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Misc\"/>
    </mc:Choice>
  </mc:AlternateContent>
  <xr:revisionPtr revIDLastSave="0" documentId="13_ncr:1_{9BB5C029-316B-4293-967D-15591501DE9D}" xr6:coauthVersionLast="47" xr6:coauthVersionMax="47" xr10:uidLastSave="{00000000-0000-0000-0000-000000000000}"/>
  <bookViews>
    <workbookView xWindow="-120" yWindow="-120" windowWidth="28095" windowHeight="16440" tabRatio="710" activeTab="8" xr2:uid="{F09E30F0-484D-4ADE-8C37-A4C3D44EF12A}"/>
  </bookViews>
  <sheets>
    <sheet name="co2" sheetId="1" r:id="rId1"/>
    <sheet name="2次多項式モデル" sheetId="26" r:id="rId2"/>
    <sheet name="指数+定数モデル (2)" sheetId="30" r:id="rId3"/>
    <sheet name="グラフ1" sheetId="32" r:id="rId4"/>
    <sheet name="グラフ1 (2)" sheetId="35" r:id="rId5"/>
    <sheet name="グラフ7" sheetId="38" r:id="rId6"/>
    <sheet name="co2 (2)" sheetId="31" r:id="rId7"/>
    <sheet name="co2偏相関" sheetId="39" r:id="rId8"/>
    <sheet name="TCI偏相関" sheetId="44" r:id="rId9"/>
    <sheet name="TC偏相関" sheetId="43" r:id="rId10"/>
    <sheet name="I偏相関" sheetId="42" r:id="rId11"/>
  </sheets>
  <definedNames>
    <definedName name="_A" localSheetId="1">'2次多項式モデル'!$B$6</definedName>
    <definedName name="_A" localSheetId="2">'指数+定数モデル (2)'!$B$6</definedName>
    <definedName name="_B" localSheetId="1">'2次多項式モデル'!$B$7</definedName>
    <definedName name="_B" localSheetId="2">'指数+定数モデル (2)'!$B$7</definedName>
    <definedName name="_C" localSheetId="1">'2次多項式モデル'!$B$8</definedName>
    <definedName name="_C" localSheetId="2">'指数+定数モデル (2)'!$B$8</definedName>
    <definedName name="_R" localSheetId="10">I偏相関!$Q$17:$AC$29</definedName>
    <definedName name="_R" localSheetId="8">TCI偏相関!$Q$17:$AC$29</definedName>
    <definedName name="_R" localSheetId="9">TC偏相関!$Q$17:$AC$29</definedName>
    <definedName name="_R">co2偏相関!$Q$17:$AC$29</definedName>
    <definedName name="_R_1" localSheetId="10">I偏相関!$Q$32:$AC$44</definedName>
    <definedName name="_R_1" localSheetId="8">TCI偏相関!$Q$32:$AC$44</definedName>
    <definedName name="_R_1" localSheetId="9">TC偏相関!$Q$32:$AC$44</definedName>
    <definedName name="_R_1">co2偏相関!$Q$32:$AC$44</definedName>
    <definedName name="RR" localSheetId="10">I偏相関!$Q$47:$AC$59</definedName>
    <definedName name="RR" localSheetId="8">TCI偏相関!$Q$47:$AC$59</definedName>
    <definedName name="RR" localSheetId="9">TC偏相関!$Q$47:$AC$59</definedName>
    <definedName name="RR">co2偏相関!$Q$47:$AC$59</definedName>
    <definedName name="Sm" localSheetId="1">'2次多項式モデル'!$B$14:$B$25</definedName>
    <definedName name="Sm" localSheetId="2">'指数+定数モデル (2)'!$B$14:$B$25</definedName>
    <definedName name="solver_adj" localSheetId="1" hidden="1">'2次多項式モデル'!$B$14:$B$25</definedName>
    <definedName name="solver_adj" localSheetId="2" hidden="1">'指数+定数モデル (2)'!$B$6,'指数+定数モデル (2)'!$B$7,'指数+定数モデル (2)'!$B$8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'2次多項式モデル'!$B$27</definedName>
    <definedName name="solver_lhs1" localSheetId="2" hidden="1">'指数+定数モデル (2)'!$B$27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'2次多項式モデル'!$B$29</definedName>
    <definedName name="solver_opt" localSheetId="2" hidden="1">'指数+定数モデル (2)'!$B$10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0</definedName>
    <definedName name="solver_rhs1" localSheetId="2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7" i="44" l="1"/>
  <c r="C746" i="44"/>
  <c r="D747" i="44" s="1"/>
  <c r="K745" i="44"/>
  <c r="L746" i="44" s="1"/>
  <c r="M747" i="44" s="1"/>
  <c r="G745" i="44"/>
  <c r="H746" i="44" s="1"/>
  <c r="I747" i="44" s="1"/>
  <c r="C745" i="44"/>
  <c r="D746" i="44" s="1"/>
  <c r="E747" i="44" s="1"/>
  <c r="C744" i="44"/>
  <c r="D745" i="44" s="1"/>
  <c r="E746" i="44" s="1"/>
  <c r="F747" i="44" s="1"/>
  <c r="C743" i="44"/>
  <c r="D744" i="44" s="1"/>
  <c r="E745" i="44" s="1"/>
  <c r="F746" i="44" s="1"/>
  <c r="G747" i="44" s="1"/>
  <c r="C742" i="44"/>
  <c r="D743" i="44" s="1"/>
  <c r="E744" i="44" s="1"/>
  <c r="F745" i="44" s="1"/>
  <c r="G746" i="44" s="1"/>
  <c r="H747" i="44" s="1"/>
  <c r="C741" i="44"/>
  <c r="D742" i="44" s="1"/>
  <c r="E743" i="44" s="1"/>
  <c r="F744" i="44" s="1"/>
  <c r="C740" i="44"/>
  <c r="D741" i="44" s="1"/>
  <c r="E742" i="44" s="1"/>
  <c r="F743" i="44" s="1"/>
  <c r="G744" i="44" s="1"/>
  <c r="H745" i="44" s="1"/>
  <c r="I746" i="44" s="1"/>
  <c r="J747" i="44" s="1"/>
  <c r="C739" i="44"/>
  <c r="D740" i="44" s="1"/>
  <c r="E741" i="44" s="1"/>
  <c r="F742" i="44" s="1"/>
  <c r="G743" i="44" s="1"/>
  <c r="H744" i="44" s="1"/>
  <c r="I745" i="44" s="1"/>
  <c r="J746" i="44" s="1"/>
  <c r="K747" i="44" s="1"/>
  <c r="C738" i="44"/>
  <c r="D739" i="44" s="1"/>
  <c r="E740" i="44" s="1"/>
  <c r="F741" i="44" s="1"/>
  <c r="G742" i="44" s="1"/>
  <c r="H743" i="44" s="1"/>
  <c r="I744" i="44" s="1"/>
  <c r="J745" i="44" s="1"/>
  <c r="K746" i="44" s="1"/>
  <c r="L747" i="44" s="1"/>
  <c r="C737" i="44"/>
  <c r="D738" i="44" s="1"/>
  <c r="E739" i="44" s="1"/>
  <c r="F740" i="44" s="1"/>
  <c r="G741" i="44" s="1"/>
  <c r="H742" i="44" s="1"/>
  <c r="I743" i="44" s="1"/>
  <c r="J744" i="44" s="1"/>
  <c r="C736" i="44"/>
  <c r="D737" i="44" s="1"/>
  <c r="E738" i="44" s="1"/>
  <c r="F739" i="44" s="1"/>
  <c r="G740" i="44" s="1"/>
  <c r="H741" i="44" s="1"/>
  <c r="I742" i="44" s="1"/>
  <c r="J743" i="44" s="1"/>
  <c r="K744" i="44" s="1"/>
  <c r="L745" i="44" s="1"/>
  <c r="M746" i="44" s="1"/>
  <c r="N747" i="44" s="1"/>
  <c r="D735" i="44"/>
  <c r="E736" i="44" s="1"/>
  <c r="F737" i="44" s="1"/>
  <c r="G738" i="44" s="1"/>
  <c r="H739" i="44" s="1"/>
  <c r="I740" i="44" s="1"/>
  <c r="J741" i="44" s="1"/>
  <c r="K742" i="44" s="1"/>
  <c r="L743" i="44" s="1"/>
  <c r="M744" i="44" s="1"/>
  <c r="N745" i="44" s="1"/>
  <c r="C735" i="44"/>
  <c r="D736" i="44" s="1"/>
  <c r="E737" i="44" s="1"/>
  <c r="F738" i="44" s="1"/>
  <c r="G739" i="44" s="1"/>
  <c r="H740" i="44" s="1"/>
  <c r="I741" i="44" s="1"/>
  <c r="J742" i="44" s="1"/>
  <c r="K743" i="44" s="1"/>
  <c r="L744" i="44" s="1"/>
  <c r="M745" i="44" s="1"/>
  <c r="N746" i="44" s="1"/>
  <c r="C734" i="44"/>
  <c r="D733" i="44"/>
  <c r="E734" i="44" s="1"/>
  <c r="F735" i="44" s="1"/>
  <c r="G736" i="44" s="1"/>
  <c r="H737" i="44" s="1"/>
  <c r="I738" i="44" s="1"/>
  <c r="J739" i="44" s="1"/>
  <c r="K740" i="44" s="1"/>
  <c r="L741" i="44" s="1"/>
  <c r="M742" i="44" s="1"/>
  <c r="N743" i="44" s="1"/>
  <c r="C733" i="44"/>
  <c r="D734" i="44" s="1"/>
  <c r="E735" i="44" s="1"/>
  <c r="F736" i="44" s="1"/>
  <c r="G737" i="44" s="1"/>
  <c r="H738" i="44" s="1"/>
  <c r="I739" i="44" s="1"/>
  <c r="J740" i="44" s="1"/>
  <c r="K741" i="44" s="1"/>
  <c r="L742" i="44" s="1"/>
  <c r="M743" i="44" s="1"/>
  <c r="N744" i="44" s="1"/>
  <c r="C732" i="44"/>
  <c r="D731" i="44"/>
  <c r="E732" i="44" s="1"/>
  <c r="F733" i="44" s="1"/>
  <c r="G734" i="44" s="1"/>
  <c r="H735" i="44" s="1"/>
  <c r="I736" i="44" s="1"/>
  <c r="J737" i="44" s="1"/>
  <c r="K738" i="44" s="1"/>
  <c r="L739" i="44" s="1"/>
  <c r="M740" i="44" s="1"/>
  <c r="N741" i="44" s="1"/>
  <c r="C731" i="44"/>
  <c r="D732" i="44" s="1"/>
  <c r="E733" i="44" s="1"/>
  <c r="F734" i="44" s="1"/>
  <c r="G735" i="44" s="1"/>
  <c r="H736" i="44" s="1"/>
  <c r="I737" i="44" s="1"/>
  <c r="J738" i="44" s="1"/>
  <c r="K739" i="44" s="1"/>
  <c r="L740" i="44" s="1"/>
  <c r="M741" i="44" s="1"/>
  <c r="N742" i="44" s="1"/>
  <c r="C730" i="44"/>
  <c r="D729" i="44"/>
  <c r="E730" i="44" s="1"/>
  <c r="F731" i="44" s="1"/>
  <c r="G732" i="44" s="1"/>
  <c r="H733" i="44" s="1"/>
  <c r="I734" i="44" s="1"/>
  <c r="J735" i="44" s="1"/>
  <c r="K736" i="44" s="1"/>
  <c r="L737" i="44" s="1"/>
  <c r="M738" i="44" s="1"/>
  <c r="N739" i="44" s="1"/>
  <c r="C729" i="44"/>
  <c r="D730" i="44" s="1"/>
  <c r="E731" i="44" s="1"/>
  <c r="F732" i="44" s="1"/>
  <c r="G733" i="44" s="1"/>
  <c r="H734" i="44" s="1"/>
  <c r="I735" i="44" s="1"/>
  <c r="J736" i="44" s="1"/>
  <c r="K737" i="44" s="1"/>
  <c r="L738" i="44" s="1"/>
  <c r="M739" i="44" s="1"/>
  <c r="N740" i="44" s="1"/>
  <c r="C728" i="44"/>
  <c r="C727" i="44"/>
  <c r="D728" i="44" s="1"/>
  <c r="E729" i="44" s="1"/>
  <c r="F730" i="44" s="1"/>
  <c r="G731" i="44" s="1"/>
  <c r="H732" i="44" s="1"/>
  <c r="I733" i="44" s="1"/>
  <c r="J734" i="44" s="1"/>
  <c r="K735" i="44" s="1"/>
  <c r="L736" i="44" s="1"/>
  <c r="M737" i="44" s="1"/>
  <c r="N738" i="44" s="1"/>
  <c r="G726" i="44"/>
  <c r="H727" i="44" s="1"/>
  <c r="I728" i="44" s="1"/>
  <c r="J729" i="44" s="1"/>
  <c r="K730" i="44" s="1"/>
  <c r="L731" i="44" s="1"/>
  <c r="M732" i="44" s="1"/>
  <c r="N733" i="44" s="1"/>
  <c r="C726" i="44"/>
  <c r="D727" i="44" s="1"/>
  <c r="E728" i="44" s="1"/>
  <c r="F729" i="44" s="1"/>
  <c r="G730" i="44" s="1"/>
  <c r="H731" i="44" s="1"/>
  <c r="I732" i="44" s="1"/>
  <c r="J733" i="44" s="1"/>
  <c r="K734" i="44" s="1"/>
  <c r="L735" i="44" s="1"/>
  <c r="M736" i="44" s="1"/>
  <c r="N737" i="44" s="1"/>
  <c r="C725" i="44"/>
  <c r="D726" i="44" s="1"/>
  <c r="E727" i="44" s="1"/>
  <c r="F728" i="44" s="1"/>
  <c r="G729" i="44" s="1"/>
  <c r="H730" i="44" s="1"/>
  <c r="I731" i="44" s="1"/>
  <c r="J732" i="44" s="1"/>
  <c r="K733" i="44" s="1"/>
  <c r="L734" i="44" s="1"/>
  <c r="M735" i="44" s="1"/>
  <c r="N736" i="44" s="1"/>
  <c r="C724" i="44"/>
  <c r="D725" i="44" s="1"/>
  <c r="E726" i="44" s="1"/>
  <c r="F727" i="44" s="1"/>
  <c r="G728" i="44" s="1"/>
  <c r="H729" i="44" s="1"/>
  <c r="I730" i="44" s="1"/>
  <c r="J731" i="44" s="1"/>
  <c r="K732" i="44" s="1"/>
  <c r="L733" i="44" s="1"/>
  <c r="M734" i="44" s="1"/>
  <c r="N735" i="44" s="1"/>
  <c r="C723" i="44"/>
  <c r="D724" i="44" s="1"/>
  <c r="E725" i="44" s="1"/>
  <c r="F726" i="44" s="1"/>
  <c r="G727" i="44" s="1"/>
  <c r="H728" i="44" s="1"/>
  <c r="I729" i="44" s="1"/>
  <c r="J730" i="44" s="1"/>
  <c r="K731" i="44" s="1"/>
  <c r="L732" i="44" s="1"/>
  <c r="M733" i="44" s="1"/>
  <c r="N734" i="44" s="1"/>
  <c r="C722" i="44"/>
  <c r="D723" i="44" s="1"/>
  <c r="E724" i="44" s="1"/>
  <c r="F725" i="44" s="1"/>
  <c r="C721" i="44"/>
  <c r="D722" i="44" s="1"/>
  <c r="E723" i="44" s="1"/>
  <c r="F724" i="44" s="1"/>
  <c r="G725" i="44" s="1"/>
  <c r="H726" i="44" s="1"/>
  <c r="I727" i="44" s="1"/>
  <c r="J728" i="44" s="1"/>
  <c r="K729" i="44" s="1"/>
  <c r="L730" i="44" s="1"/>
  <c r="M731" i="44" s="1"/>
  <c r="N732" i="44" s="1"/>
  <c r="C720" i="44"/>
  <c r="D721" i="44" s="1"/>
  <c r="E722" i="44" s="1"/>
  <c r="F723" i="44" s="1"/>
  <c r="G724" i="44" s="1"/>
  <c r="H725" i="44" s="1"/>
  <c r="I726" i="44" s="1"/>
  <c r="J727" i="44" s="1"/>
  <c r="K728" i="44" s="1"/>
  <c r="L729" i="44" s="1"/>
  <c r="M730" i="44" s="1"/>
  <c r="N731" i="44" s="1"/>
  <c r="C719" i="44"/>
  <c r="D720" i="44" s="1"/>
  <c r="E721" i="44" s="1"/>
  <c r="F722" i="44" s="1"/>
  <c r="G723" i="44" s="1"/>
  <c r="H724" i="44" s="1"/>
  <c r="I725" i="44" s="1"/>
  <c r="J726" i="44" s="1"/>
  <c r="K727" i="44" s="1"/>
  <c r="L728" i="44" s="1"/>
  <c r="M729" i="44" s="1"/>
  <c r="N730" i="44" s="1"/>
  <c r="C718" i="44"/>
  <c r="D719" i="44" s="1"/>
  <c r="E720" i="44" s="1"/>
  <c r="F721" i="44" s="1"/>
  <c r="G722" i="44" s="1"/>
  <c r="H723" i="44" s="1"/>
  <c r="I724" i="44" s="1"/>
  <c r="J725" i="44" s="1"/>
  <c r="K726" i="44" s="1"/>
  <c r="L727" i="44" s="1"/>
  <c r="M728" i="44" s="1"/>
  <c r="N729" i="44" s="1"/>
  <c r="C717" i="44"/>
  <c r="D718" i="44" s="1"/>
  <c r="E719" i="44" s="1"/>
  <c r="F720" i="44" s="1"/>
  <c r="G721" i="44" s="1"/>
  <c r="H722" i="44" s="1"/>
  <c r="I723" i="44" s="1"/>
  <c r="J724" i="44" s="1"/>
  <c r="K725" i="44" s="1"/>
  <c r="L726" i="44" s="1"/>
  <c r="M727" i="44" s="1"/>
  <c r="N728" i="44" s="1"/>
  <c r="C716" i="44"/>
  <c r="D717" i="44" s="1"/>
  <c r="E718" i="44" s="1"/>
  <c r="F719" i="44" s="1"/>
  <c r="G720" i="44" s="1"/>
  <c r="H721" i="44" s="1"/>
  <c r="I722" i="44" s="1"/>
  <c r="J723" i="44" s="1"/>
  <c r="K724" i="44" s="1"/>
  <c r="L725" i="44" s="1"/>
  <c r="M726" i="44" s="1"/>
  <c r="N727" i="44" s="1"/>
  <c r="C715" i="44"/>
  <c r="D716" i="44" s="1"/>
  <c r="E717" i="44" s="1"/>
  <c r="F718" i="44" s="1"/>
  <c r="G719" i="44" s="1"/>
  <c r="H720" i="44" s="1"/>
  <c r="I721" i="44" s="1"/>
  <c r="J722" i="44" s="1"/>
  <c r="K723" i="44" s="1"/>
  <c r="L724" i="44" s="1"/>
  <c r="M725" i="44" s="1"/>
  <c r="N726" i="44" s="1"/>
  <c r="C714" i="44"/>
  <c r="D715" i="44" s="1"/>
  <c r="E716" i="44" s="1"/>
  <c r="F717" i="44" s="1"/>
  <c r="G718" i="44" s="1"/>
  <c r="H719" i="44" s="1"/>
  <c r="I720" i="44" s="1"/>
  <c r="J721" i="44" s="1"/>
  <c r="K722" i="44" s="1"/>
  <c r="L723" i="44" s="1"/>
  <c r="M724" i="44" s="1"/>
  <c r="N725" i="44" s="1"/>
  <c r="C713" i="44"/>
  <c r="D714" i="44" s="1"/>
  <c r="E715" i="44" s="1"/>
  <c r="F716" i="44" s="1"/>
  <c r="G717" i="44" s="1"/>
  <c r="H718" i="44" s="1"/>
  <c r="I719" i="44" s="1"/>
  <c r="J720" i="44" s="1"/>
  <c r="K721" i="44" s="1"/>
  <c r="L722" i="44" s="1"/>
  <c r="M723" i="44" s="1"/>
  <c r="N724" i="44" s="1"/>
  <c r="C712" i="44"/>
  <c r="D713" i="44" s="1"/>
  <c r="E714" i="44" s="1"/>
  <c r="F715" i="44" s="1"/>
  <c r="G716" i="44" s="1"/>
  <c r="H717" i="44" s="1"/>
  <c r="I718" i="44" s="1"/>
  <c r="J719" i="44" s="1"/>
  <c r="K720" i="44" s="1"/>
  <c r="L721" i="44" s="1"/>
  <c r="M722" i="44" s="1"/>
  <c r="N723" i="44" s="1"/>
  <c r="C711" i="44"/>
  <c r="D712" i="44" s="1"/>
  <c r="E713" i="44" s="1"/>
  <c r="F714" i="44" s="1"/>
  <c r="G715" i="44" s="1"/>
  <c r="H716" i="44" s="1"/>
  <c r="I717" i="44" s="1"/>
  <c r="J718" i="44" s="1"/>
  <c r="K719" i="44" s="1"/>
  <c r="L720" i="44" s="1"/>
  <c r="M721" i="44" s="1"/>
  <c r="N722" i="44" s="1"/>
  <c r="C710" i="44"/>
  <c r="D711" i="44" s="1"/>
  <c r="E712" i="44" s="1"/>
  <c r="F713" i="44" s="1"/>
  <c r="G714" i="44" s="1"/>
  <c r="H715" i="44" s="1"/>
  <c r="I716" i="44" s="1"/>
  <c r="J717" i="44" s="1"/>
  <c r="K718" i="44" s="1"/>
  <c r="L719" i="44" s="1"/>
  <c r="M720" i="44" s="1"/>
  <c r="N721" i="44" s="1"/>
  <c r="C709" i="44"/>
  <c r="D710" i="44" s="1"/>
  <c r="E711" i="44" s="1"/>
  <c r="F712" i="44" s="1"/>
  <c r="G713" i="44" s="1"/>
  <c r="H714" i="44" s="1"/>
  <c r="I715" i="44" s="1"/>
  <c r="J716" i="44" s="1"/>
  <c r="K717" i="44" s="1"/>
  <c r="L718" i="44" s="1"/>
  <c r="M719" i="44" s="1"/>
  <c r="N720" i="44" s="1"/>
  <c r="C708" i="44"/>
  <c r="D709" i="44" s="1"/>
  <c r="E710" i="44" s="1"/>
  <c r="F711" i="44" s="1"/>
  <c r="G712" i="44" s="1"/>
  <c r="H713" i="44" s="1"/>
  <c r="I714" i="44" s="1"/>
  <c r="J715" i="44" s="1"/>
  <c r="K716" i="44" s="1"/>
  <c r="L717" i="44" s="1"/>
  <c r="M718" i="44" s="1"/>
  <c r="N719" i="44" s="1"/>
  <c r="C707" i="44"/>
  <c r="D708" i="44" s="1"/>
  <c r="E709" i="44" s="1"/>
  <c r="F710" i="44" s="1"/>
  <c r="G711" i="44" s="1"/>
  <c r="H712" i="44" s="1"/>
  <c r="I713" i="44" s="1"/>
  <c r="J714" i="44" s="1"/>
  <c r="K715" i="44" s="1"/>
  <c r="L716" i="44" s="1"/>
  <c r="M717" i="44" s="1"/>
  <c r="N718" i="44" s="1"/>
  <c r="C706" i="44"/>
  <c r="D707" i="44" s="1"/>
  <c r="E708" i="44" s="1"/>
  <c r="F709" i="44" s="1"/>
  <c r="G710" i="44" s="1"/>
  <c r="H711" i="44" s="1"/>
  <c r="I712" i="44" s="1"/>
  <c r="J713" i="44" s="1"/>
  <c r="K714" i="44" s="1"/>
  <c r="L715" i="44" s="1"/>
  <c r="M716" i="44" s="1"/>
  <c r="N717" i="44" s="1"/>
  <c r="C705" i="44"/>
  <c r="D706" i="44" s="1"/>
  <c r="E707" i="44" s="1"/>
  <c r="F708" i="44" s="1"/>
  <c r="G709" i="44" s="1"/>
  <c r="H710" i="44" s="1"/>
  <c r="I711" i="44" s="1"/>
  <c r="J712" i="44" s="1"/>
  <c r="K713" i="44" s="1"/>
  <c r="L714" i="44" s="1"/>
  <c r="M715" i="44" s="1"/>
  <c r="N716" i="44" s="1"/>
  <c r="C704" i="44"/>
  <c r="D705" i="44" s="1"/>
  <c r="E706" i="44" s="1"/>
  <c r="F707" i="44" s="1"/>
  <c r="G708" i="44" s="1"/>
  <c r="H709" i="44" s="1"/>
  <c r="I710" i="44" s="1"/>
  <c r="J711" i="44" s="1"/>
  <c r="K712" i="44" s="1"/>
  <c r="L713" i="44" s="1"/>
  <c r="M714" i="44" s="1"/>
  <c r="N715" i="44" s="1"/>
  <c r="C703" i="44"/>
  <c r="D704" i="44" s="1"/>
  <c r="E705" i="44" s="1"/>
  <c r="F706" i="44" s="1"/>
  <c r="G707" i="44" s="1"/>
  <c r="H708" i="44" s="1"/>
  <c r="I709" i="44" s="1"/>
  <c r="J710" i="44" s="1"/>
  <c r="K711" i="44" s="1"/>
  <c r="L712" i="44" s="1"/>
  <c r="M713" i="44" s="1"/>
  <c r="N714" i="44" s="1"/>
  <c r="C702" i="44"/>
  <c r="D703" i="44" s="1"/>
  <c r="E704" i="44" s="1"/>
  <c r="F705" i="44" s="1"/>
  <c r="G706" i="44" s="1"/>
  <c r="H707" i="44" s="1"/>
  <c r="I708" i="44" s="1"/>
  <c r="J709" i="44" s="1"/>
  <c r="K710" i="44" s="1"/>
  <c r="L711" i="44" s="1"/>
  <c r="M712" i="44" s="1"/>
  <c r="N713" i="44" s="1"/>
  <c r="C701" i="44"/>
  <c r="D702" i="44" s="1"/>
  <c r="E703" i="44" s="1"/>
  <c r="F704" i="44" s="1"/>
  <c r="G705" i="44" s="1"/>
  <c r="H706" i="44" s="1"/>
  <c r="I707" i="44" s="1"/>
  <c r="J708" i="44" s="1"/>
  <c r="K709" i="44" s="1"/>
  <c r="L710" i="44" s="1"/>
  <c r="M711" i="44" s="1"/>
  <c r="N712" i="44" s="1"/>
  <c r="C700" i="44"/>
  <c r="D701" i="44" s="1"/>
  <c r="E702" i="44" s="1"/>
  <c r="F703" i="44" s="1"/>
  <c r="G704" i="44" s="1"/>
  <c r="H705" i="44" s="1"/>
  <c r="I706" i="44" s="1"/>
  <c r="J707" i="44" s="1"/>
  <c r="K708" i="44" s="1"/>
  <c r="L709" i="44" s="1"/>
  <c r="M710" i="44" s="1"/>
  <c r="N711" i="44" s="1"/>
  <c r="D699" i="44"/>
  <c r="E700" i="44" s="1"/>
  <c r="F701" i="44" s="1"/>
  <c r="G702" i="44" s="1"/>
  <c r="H703" i="44" s="1"/>
  <c r="I704" i="44" s="1"/>
  <c r="J705" i="44" s="1"/>
  <c r="K706" i="44" s="1"/>
  <c r="L707" i="44" s="1"/>
  <c r="M708" i="44" s="1"/>
  <c r="N709" i="44" s="1"/>
  <c r="C699" i="44"/>
  <c r="D700" i="44" s="1"/>
  <c r="E701" i="44" s="1"/>
  <c r="F702" i="44" s="1"/>
  <c r="G703" i="44" s="1"/>
  <c r="H704" i="44" s="1"/>
  <c r="I705" i="44" s="1"/>
  <c r="J706" i="44" s="1"/>
  <c r="K707" i="44" s="1"/>
  <c r="L708" i="44" s="1"/>
  <c r="M709" i="44" s="1"/>
  <c r="N710" i="44" s="1"/>
  <c r="C698" i="44"/>
  <c r="D697" i="44"/>
  <c r="E698" i="44" s="1"/>
  <c r="F699" i="44" s="1"/>
  <c r="G700" i="44" s="1"/>
  <c r="H701" i="44" s="1"/>
  <c r="I702" i="44" s="1"/>
  <c r="J703" i="44" s="1"/>
  <c r="K704" i="44" s="1"/>
  <c r="L705" i="44" s="1"/>
  <c r="M706" i="44" s="1"/>
  <c r="N707" i="44" s="1"/>
  <c r="C697" i="44"/>
  <c r="D698" i="44" s="1"/>
  <c r="E699" i="44" s="1"/>
  <c r="F700" i="44" s="1"/>
  <c r="G701" i="44" s="1"/>
  <c r="H702" i="44" s="1"/>
  <c r="I703" i="44" s="1"/>
  <c r="J704" i="44" s="1"/>
  <c r="K705" i="44" s="1"/>
  <c r="L706" i="44" s="1"/>
  <c r="M707" i="44" s="1"/>
  <c r="N708" i="44" s="1"/>
  <c r="C696" i="44"/>
  <c r="D695" i="44"/>
  <c r="E696" i="44" s="1"/>
  <c r="F697" i="44" s="1"/>
  <c r="G698" i="44" s="1"/>
  <c r="H699" i="44" s="1"/>
  <c r="I700" i="44" s="1"/>
  <c r="J701" i="44" s="1"/>
  <c r="K702" i="44" s="1"/>
  <c r="L703" i="44" s="1"/>
  <c r="M704" i="44" s="1"/>
  <c r="N705" i="44" s="1"/>
  <c r="C695" i="44"/>
  <c r="D696" i="44" s="1"/>
  <c r="E697" i="44" s="1"/>
  <c r="F698" i="44" s="1"/>
  <c r="G699" i="44" s="1"/>
  <c r="H700" i="44" s="1"/>
  <c r="I701" i="44" s="1"/>
  <c r="J702" i="44" s="1"/>
  <c r="K703" i="44" s="1"/>
  <c r="L704" i="44" s="1"/>
  <c r="M705" i="44" s="1"/>
  <c r="N706" i="44" s="1"/>
  <c r="C694" i="44"/>
  <c r="C693" i="44"/>
  <c r="D694" i="44" s="1"/>
  <c r="E695" i="44" s="1"/>
  <c r="F696" i="44" s="1"/>
  <c r="G697" i="44" s="1"/>
  <c r="H698" i="44" s="1"/>
  <c r="I699" i="44" s="1"/>
  <c r="J700" i="44" s="1"/>
  <c r="K701" i="44" s="1"/>
  <c r="L702" i="44" s="1"/>
  <c r="M703" i="44" s="1"/>
  <c r="N704" i="44" s="1"/>
  <c r="N692" i="44"/>
  <c r="C692" i="44"/>
  <c r="D693" i="44" s="1"/>
  <c r="E694" i="44" s="1"/>
  <c r="F695" i="44" s="1"/>
  <c r="G696" i="44" s="1"/>
  <c r="H697" i="44" s="1"/>
  <c r="I698" i="44" s="1"/>
  <c r="J699" i="44" s="1"/>
  <c r="K700" i="44" s="1"/>
  <c r="L701" i="44" s="1"/>
  <c r="M702" i="44" s="1"/>
  <c r="N703" i="44" s="1"/>
  <c r="J691" i="44"/>
  <c r="K692" i="44" s="1"/>
  <c r="L693" i="44" s="1"/>
  <c r="M694" i="44" s="1"/>
  <c r="N695" i="44" s="1"/>
  <c r="D691" i="44"/>
  <c r="E692" i="44" s="1"/>
  <c r="F693" i="44" s="1"/>
  <c r="G694" i="44" s="1"/>
  <c r="H695" i="44" s="1"/>
  <c r="I696" i="44" s="1"/>
  <c r="J697" i="44" s="1"/>
  <c r="K698" i="44" s="1"/>
  <c r="L699" i="44" s="1"/>
  <c r="M700" i="44" s="1"/>
  <c r="N701" i="44" s="1"/>
  <c r="C691" i="44"/>
  <c r="D692" i="44" s="1"/>
  <c r="E693" i="44" s="1"/>
  <c r="F694" i="44" s="1"/>
  <c r="G695" i="44" s="1"/>
  <c r="H696" i="44" s="1"/>
  <c r="I697" i="44" s="1"/>
  <c r="J698" i="44" s="1"/>
  <c r="K699" i="44" s="1"/>
  <c r="L700" i="44" s="1"/>
  <c r="M701" i="44" s="1"/>
  <c r="N702" i="44" s="1"/>
  <c r="C690" i="44"/>
  <c r="C689" i="44"/>
  <c r="D690" i="44" s="1"/>
  <c r="E691" i="44" s="1"/>
  <c r="F692" i="44" s="1"/>
  <c r="G693" i="44" s="1"/>
  <c r="H694" i="44" s="1"/>
  <c r="I695" i="44" s="1"/>
  <c r="J696" i="44" s="1"/>
  <c r="K697" i="44" s="1"/>
  <c r="L698" i="44" s="1"/>
  <c r="M699" i="44" s="1"/>
  <c r="N700" i="44" s="1"/>
  <c r="D688" i="44"/>
  <c r="E689" i="44" s="1"/>
  <c r="F690" i="44" s="1"/>
  <c r="G691" i="44" s="1"/>
  <c r="H692" i="44" s="1"/>
  <c r="I693" i="44" s="1"/>
  <c r="J694" i="44" s="1"/>
  <c r="K695" i="44" s="1"/>
  <c r="L696" i="44" s="1"/>
  <c r="M697" i="44" s="1"/>
  <c r="N698" i="44" s="1"/>
  <c r="C688" i="44"/>
  <c r="D689" i="44" s="1"/>
  <c r="E690" i="44" s="1"/>
  <c r="F691" i="44" s="1"/>
  <c r="G692" i="44" s="1"/>
  <c r="H693" i="44" s="1"/>
  <c r="I694" i="44" s="1"/>
  <c r="J695" i="44" s="1"/>
  <c r="K696" i="44" s="1"/>
  <c r="L697" i="44" s="1"/>
  <c r="M698" i="44" s="1"/>
  <c r="N699" i="44" s="1"/>
  <c r="C687" i="44"/>
  <c r="C686" i="44"/>
  <c r="D687" i="44" s="1"/>
  <c r="E688" i="44" s="1"/>
  <c r="F689" i="44" s="1"/>
  <c r="G690" i="44" s="1"/>
  <c r="H691" i="44" s="1"/>
  <c r="I692" i="44" s="1"/>
  <c r="J693" i="44" s="1"/>
  <c r="K694" i="44" s="1"/>
  <c r="L695" i="44" s="1"/>
  <c r="M696" i="44" s="1"/>
  <c r="N697" i="44" s="1"/>
  <c r="D685" i="44"/>
  <c r="E686" i="44" s="1"/>
  <c r="F687" i="44" s="1"/>
  <c r="G688" i="44" s="1"/>
  <c r="H689" i="44" s="1"/>
  <c r="I690" i="44" s="1"/>
  <c r="C685" i="44"/>
  <c r="D686" i="44" s="1"/>
  <c r="E687" i="44" s="1"/>
  <c r="F688" i="44" s="1"/>
  <c r="G689" i="44" s="1"/>
  <c r="H690" i="44" s="1"/>
  <c r="I691" i="44" s="1"/>
  <c r="J692" i="44" s="1"/>
  <c r="K693" i="44" s="1"/>
  <c r="L694" i="44" s="1"/>
  <c r="M695" i="44" s="1"/>
  <c r="N696" i="44" s="1"/>
  <c r="D684" i="44"/>
  <c r="E685" i="44" s="1"/>
  <c r="F686" i="44" s="1"/>
  <c r="G687" i="44" s="1"/>
  <c r="H688" i="44" s="1"/>
  <c r="I689" i="44" s="1"/>
  <c r="J690" i="44" s="1"/>
  <c r="K691" i="44" s="1"/>
  <c r="L692" i="44" s="1"/>
  <c r="M693" i="44" s="1"/>
  <c r="N694" i="44" s="1"/>
  <c r="C684" i="44"/>
  <c r="C683" i="44"/>
  <c r="C682" i="44"/>
  <c r="D683" i="44" s="1"/>
  <c r="E684" i="44" s="1"/>
  <c r="F685" i="44" s="1"/>
  <c r="G686" i="44" s="1"/>
  <c r="H687" i="44" s="1"/>
  <c r="I688" i="44" s="1"/>
  <c r="J689" i="44" s="1"/>
  <c r="K690" i="44" s="1"/>
  <c r="L691" i="44" s="1"/>
  <c r="M692" i="44" s="1"/>
  <c r="N693" i="44" s="1"/>
  <c r="F681" i="44"/>
  <c r="G682" i="44" s="1"/>
  <c r="H683" i="44" s="1"/>
  <c r="I684" i="44" s="1"/>
  <c r="J685" i="44" s="1"/>
  <c r="K686" i="44" s="1"/>
  <c r="L687" i="44" s="1"/>
  <c r="M688" i="44" s="1"/>
  <c r="N689" i="44" s="1"/>
  <c r="C681" i="44"/>
  <c r="D682" i="44" s="1"/>
  <c r="E683" i="44" s="1"/>
  <c r="F684" i="44" s="1"/>
  <c r="G685" i="44" s="1"/>
  <c r="H686" i="44" s="1"/>
  <c r="I687" i="44" s="1"/>
  <c r="J688" i="44" s="1"/>
  <c r="K689" i="44" s="1"/>
  <c r="L690" i="44" s="1"/>
  <c r="M691" i="44" s="1"/>
  <c r="D680" i="44"/>
  <c r="E681" i="44" s="1"/>
  <c r="F682" i="44" s="1"/>
  <c r="G683" i="44" s="1"/>
  <c r="H684" i="44" s="1"/>
  <c r="I685" i="44" s="1"/>
  <c r="J686" i="44" s="1"/>
  <c r="K687" i="44" s="1"/>
  <c r="L688" i="44" s="1"/>
  <c r="M689" i="44" s="1"/>
  <c r="N690" i="44" s="1"/>
  <c r="C680" i="44"/>
  <c r="D681" i="44" s="1"/>
  <c r="E682" i="44" s="1"/>
  <c r="F683" i="44" s="1"/>
  <c r="G684" i="44" s="1"/>
  <c r="H685" i="44" s="1"/>
  <c r="I686" i="44" s="1"/>
  <c r="J687" i="44" s="1"/>
  <c r="K688" i="44" s="1"/>
  <c r="L689" i="44" s="1"/>
  <c r="M690" i="44" s="1"/>
  <c r="N691" i="44" s="1"/>
  <c r="C679" i="44"/>
  <c r="C678" i="44"/>
  <c r="D679" i="44" s="1"/>
  <c r="E680" i="44" s="1"/>
  <c r="N677" i="44"/>
  <c r="C677" i="44"/>
  <c r="D678" i="44" s="1"/>
  <c r="E679" i="44" s="1"/>
  <c r="F680" i="44" s="1"/>
  <c r="G681" i="44" s="1"/>
  <c r="H682" i="44" s="1"/>
  <c r="I683" i="44" s="1"/>
  <c r="J684" i="44" s="1"/>
  <c r="K685" i="44" s="1"/>
  <c r="L686" i="44" s="1"/>
  <c r="M687" i="44" s="1"/>
  <c r="N688" i="44" s="1"/>
  <c r="L676" i="44"/>
  <c r="M677" i="44" s="1"/>
  <c r="N678" i="44" s="1"/>
  <c r="C676" i="44"/>
  <c r="D677" i="44" s="1"/>
  <c r="E678" i="44" s="1"/>
  <c r="F679" i="44" s="1"/>
  <c r="G680" i="44" s="1"/>
  <c r="H681" i="44" s="1"/>
  <c r="I682" i="44" s="1"/>
  <c r="J683" i="44" s="1"/>
  <c r="K684" i="44" s="1"/>
  <c r="L685" i="44" s="1"/>
  <c r="M686" i="44" s="1"/>
  <c r="N687" i="44" s="1"/>
  <c r="D675" i="44"/>
  <c r="E676" i="44" s="1"/>
  <c r="F677" i="44" s="1"/>
  <c r="G678" i="44" s="1"/>
  <c r="H679" i="44" s="1"/>
  <c r="I680" i="44" s="1"/>
  <c r="J681" i="44" s="1"/>
  <c r="K682" i="44" s="1"/>
  <c r="L683" i="44" s="1"/>
  <c r="M684" i="44" s="1"/>
  <c r="N685" i="44" s="1"/>
  <c r="C675" i="44"/>
  <c r="D676" i="44" s="1"/>
  <c r="E677" i="44" s="1"/>
  <c r="F678" i="44" s="1"/>
  <c r="G679" i="44" s="1"/>
  <c r="H680" i="44" s="1"/>
  <c r="I681" i="44" s="1"/>
  <c r="J682" i="44" s="1"/>
  <c r="K683" i="44" s="1"/>
  <c r="L684" i="44" s="1"/>
  <c r="M685" i="44" s="1"/>
  <c r="N686" i="44" s="1"/>
  <c r="C674" i="44"/>
  <c r="C673" i="44"/>
  <c r="D674" i="44" s="1"/>
  <c r="E675" i="44" s="1"/>
  <c r="F676" i="44" s="1"/>
  <c r="G677" i="44" s="1"/>
  <c r="H678" i="44" s="1"/>
  <c r="I679" i="44" s="1"/>
  <c r="J680" i="44" s="1"/>
  <c r="K681" i="44" s="1"/>
  <c r="L682" i="44" s="1"/>
  <c r="M683" i="44" s="1"/>
  <c r="N684" i="44" s="1"/>
  <c r="F672" i="44"/>
  <c r="G673" i="44" s="1"/>
  <c r="H674" i="44" s="1"/>
  <c r="I675" i="44" s="1"/>
  <c r="J676" i="44" s="1"/>
  <c r="K677" i="44" s="1"/>
  <c r="L678" i="44" s="1"/>
  <c r="M679" i="44" s="1"/>
  <c r="N680" i="44" s="1"/>
  <c r="C672" i="44"/>
  <c r="D673" i="44" s="1"/>
  <c r="E674" i="44" s="1"/>
  <c r="F675" i="44" s="1"/>
  <c r="G676" i="44" s="1"/>
  <c r="H677" i="44" s="1"/>
  <c r="I678" i="44" s="1"/>
  <c r="J679" i="44" s="1"/>
  <c r="K680" i="44" s="1"/>
  <c r="L681" i="44" s="1"/>
  <c r="M682" i="44" s="1"/>
  <c r="N683" i="44" s="1"/>
  <c r="C671" i="44"/>
  <c r="D672" i="44" s="1"/>
  <c r="E673" i="44" s="1"/>
  <c r="F674" i="44" s="1"/>
  <c r="G675" i="44" s="1"/>
  <c r="H676" i="44" s="1"/>
  <c r="I677" i="44" s="1"/>
  <c r="J678" i="44" s="1"/>
  <c r="K679" i="44" s="1"/>
  <c r="L680" i="44" s="1"/>
  <c r="M681" i="44" s="1"/>
  <c r="N682" i="44" s="1"/>
  <c r="C670" i="44"/>
  <c r="D671" i="44" s="1"/>
  <c r="E672" i="44" s="1"/>
  <c r="F673" i="44" s="1"/>
  <c r="G674" i="44" s="1"/>
  <c r="H675" i="44" s="1"/>
  <c r="I676" i="44" s="1"/>
  <c r="J677" i="44" s="1"/>
  <c r="K678" i="44" s="1"/>
  <c r="L679" i="44" s="1"/>
  <c r="M680" i="44" s="1"/>
  <c r="N681" i="44" s="1"/>
  <c r="C669" i="44"/>
  <c r="D670" i="44" s="1"/>
  <c r="E671" i="44" s="1"/>
  <c r="C668" i="44"/>
  <c r="D669" i="44" s="1"/>
  <c r="E670" i="44" s="1"/>
  <c r="F671" i="44" s="1"/>
  <c r="G672" i="44" s="1"/>
  <c r="H673" i="44" s="1"/>
  <c r="I674" i="44" s="1"/>
  <c r="J675" i="44" s="1"/>
  <c r="K676" i="44" s="1"/>
  <c r="L677" i="44" s="1"/>
  <c r="M678" i="44" s="1"/>
  <c r="N679" i="44" s="1"/>
  <c r="C667" i="44"/>
  <c r="D668" i="44" s="1"/>
  <c r="E669" i="44" s="1"/>
  <c r="F670" i="44" s="1"/>
  <c r="G671" i="44" s="1"/>
  <c r="H672" i="44" s="1"/>
  <c r="I673" i="44" s="1"/>
  <c r="J674" i="44" s="1"/>
  <c r="K675" i="44" s="1"/>
  <c r="H666" i="44"/>
  <c r="I667" i="44" s="1"/>
  <c r="J668" i="44" s="1"/>
  <c r="K669" i="44" s="1"/>
  <c r="L670" i="44" s="1"/>
  <c r="M671" i="44" s="1"/>
  <c r="N672" i="44" s="1"/>
  <c r="C666" i="44"/>
  <c r="D667" i="44" s="1"/>
  <c r="E668" i="44" s="1"/>
  <c r="F669" i="44" s="1"/>
  <c r="G670" i="44" s="1"/>
  <c r="H671" i="44" s="1"/>
  <c r="I672" i="44" s="1"/>
  <c r="J673" i="44" s="1"/>
  <c r="K674" i="44" s="1"/>
  <c r="L675" i="44" s="1"/>
  <c r="M676" i="44" s="1"/>
  <c r="C665" i="44"/>
  <c r="D666" i="44" s="1"/>
  <c r="E667" i="44" s="1"/>
  <c r="F668" i="44" s="1"/>
  <c r="G669" i="44" s="1"/>
  <c r="H670" i="44" s="1"/>
  <c r="I671" i="44" s="1"/>
  <c r="J672" i="44" s="1"/>
  <c r="K673" i="44" s="1"/>
  <c r="L674" i="44" s="1"/>
  <c r="M675" i="44" s="1"/>
  <c r="N676" i="44" s="1"/>
  <c r="C664" i="44"/>
  <c r="D665" i="44" s="1"/>
  <c r="E666" i="44" s="1"/>
  <c r="F667" i="44" s="1"/>
  <c r="G668" i="44" s="1"/>
  <c r="H669" i="44" s="1"/>
  <c r="I670" i="44" s="1"/>
  <c r="J671" i="44" s="1"/>
  <c r="K672" i="44" s="1"/>
  <c r="L673" i="44" s="1"/>
  <c r="M674" i="44" s="1"/>
  <c r="N675" i="44" s="1"/>
  <c r="C663" i="44"/>
  <c r="D664" i="44" s="1"/>
  <c r="E665" i="44" s="1"/>
  <c r="F666" i="44" s="1"/>
  <c r="G667" i="44" s="1"/>
  <c r="H668" i="44" s="1"/>
  <c r="I669" i="44" s="1"/>
  <c r="J670" i="44" s="1"/>
  <c r="K671" i="44" s="1"/>
  <c r="L672" i="44" s="1"/>
  <c r="M673" i="44" s="1"/>
  <c r="N674" i="44" s="1"/>
  <c r="D662" i="44"/>
  <c r="E663" i="44" s="1"/>
  <c r="F664" i="44" s="1"/>
  <c r="G665" i="44" s="1"/>
  <c r="C662" i="44"/>
  <c r="D663" i="44" s="1"/>
  <c r="E664" i="44" s="1"/>
  <c r="F665" i="44" s="1"/>
  <c r="G666" i="44" s="1"/>
  <c r="H667" i="44" s="1"/>
  <c r="I668" i="44" s="1"/>
  <c r="J669" i="44" s="1"/>
  <c r="K670" i="44" s="1"/>
  <c r="L671" i="44" s="1"/>
  <c r="M672" i="44" s="1"/>
  <c r="N673" i="44" s="1"/>
  <c r="C661" i="44"/>
  <c r="D660" i="44"/>
  <c r="E661" i="44" s="1"/>
  <c r="F662" i="44" s="1"/>
  <c r="G663" i="44" s="1"/>
  <c r="H664" i="44" s="1"/>
  <c r="I665" i="44" s="1"/>
  <c r="J666" i="44" s="1"/>
  <c r="K667" i="44" s="1"/>
  <c r="L668" i="44" s="1"/>
  <c r="M669" i="44" s="1"/>
  <c r="N670" i="44" s="1"/>
  <c r="C660" i="44"/>
  <c r="D661" i="44" s="1"/>
  <c r="E662" i="44" s="1"/>
  <c r="F663" i="44" s="1"/>
  <c r="G664" i="44" s="1"/>
  <c r="H665" i="44" s="1"/>
  <c r="I666" i="44" s="1"/>
  <c r="J667" i="44" s="1"/>
  <c r="K668" i="44" s="1"/>
  <c r="L669" i="44" s="1"/>
  <c r="M670" i="44" s="1"/>
  <c r="N671" i="44" s="1"/>
  <c r="C659" i="44"/>
  <c r="C658" i="44"/>
  <c r="D659" i="44" s="1"/>
  <c r="E660" i="44" s="1"/>
  <c r="F661" i="44" s="1"/>
  <c r="G662" i="44" s="1"/>
  <c r="H663" i="44" s="1"/>
  <c r="I664" i="44" s="1"/>
  <c r="J665" i="44" s="1"/>
  <c r="K666" i="44" s="1"/>
  <c r="L667" i="44" s="1"/>
  <c r="M668" i="44" s="1"/>
  <c r="N669" i="44" s="1"/>
  <c r="C657" i="44"/>
  <c r="D658" i="44" s="1"/>
  <c r="E659" i="44" s="1"/>
  <c r="F660" i="44" s="1"/>
  <c r="G661" i="44" s="1"/>
  <c r="H662" i="44" s="1"/>
  <c r="I663" i="44" s="1"/>
  <c r="J664" i="44" s="1"/>
  <c r="K665" i="44" s="1"/>
  <c r="L666" i="44" s="1"/>
  <c r="M667" i="44" s="1"/>
  <c r="N668" i="44" s="1"/>
  <c r="D656" i="44"/>
  <c r="E657" i="44" s="1"/>
  <c r="F658" i="44" s="1"/>
  <c r="G659" i="44" s="1"/>
  <c r="H660" i="44" s="1"/>
  <c r="I661" i="44" s="1"/>
  <c r="J662" i="44" s="1"/>
  <c r="K663" i="44" s="1"/>
  <c r="L664" i="44" s="1"/>
  <c r="M665" i="44" s="1"/>
  <c r="N666" i="44" s="1"/>
  <c r="C656" i="44"/>
  <c r="D657" i="44" s="1"/>
  <c r="E658" i="44" s="1"/>
  <c r="F659" i="44" s="1"/>
  <c r="G660" i="44" s="1"/>
  <c r="H661" i="44" s="1"/>
  <c r="I662" i="44" s="1"/>
  <c r="J663" i="44" s="1"/>
  <c r="K664" i="44" s="1"/>
  <c r="L665" i="44" s="1"/>
  <c r="M666" i="44" s="1"/>
  <c r="N667" i="44" s="1"/>
  <c r="C655" i="44"/>
  <c r="D654" i="44"/>
  <c r="E655" i="44" s="1"/>
  <c r="F656" i="44" s="1"/>
  <c r="G657" i="44" s="1"/>
  <c r="H658" i="44" s="1"/>
  <c r="I659" i="44" s="1"/>
  <c r="J660" i="44" s="1"/>
  <c r="K661" i="44" s="1"/>
  <c r="L662" i="44" s="1"/>
  <c r="M663" i="44" s="1"/>
  <c r="N664" i="44" s="1"/>
  <c r="C654" i="44"/>
  <c r="D655" i="44" s="1"/>
  <c r="E656" i="44" s="1"/>
  <c r="F657" i="44" s="1"/>
  <c r="G658" i="44" s="1"/>
  <c r="H659" i="44" s="1"/>
  <c r="I660" i="44" s="1"/>
  <c r="J661" i="44" s="1"/>
  <c r="K662" i="44" s="1"/>
  <c r="L663" i="44" s="1"/>
  <c r="M664" i="44" s="1"/>
  <c r="N665" i="44" s="1"/>
  <c r="D653" i="44"/>
  <c r="E654" i="44" s="1"/>
  <c r="F655" i="44" s="1"/>
  <c r="G656" i="44" s="1"/>
  <c r="H657" i="44" s="1"/>
  <c r="I658" i="44" s="1"/>
  <c r="J659" i="44" s="1"/>
  <c r="K660" i="44" s="1"/>
  <c r="L661" i="44" s="1"/>
  <c r="M662" i="44" s="1"/>
  <c r="N663" i="44" s="1"/>
  <c r="C653" i="44"/>
  <c r="C652" i="44"/>
  <c r="D651" i="44"/>
  <c r="E652" i="44" s="1"/>
  <c r="F653" i="44" s="1"/>
  <c r="G654" i="44" s="1"/>
  <c r="H655" i="44" s="1"/>
  <c r="I656" i="44" s="1"/>
  <c r="J657" i="44" s="1"/>
  <c r="K658" i="44" s="1"/>
  <c r="L659" i="44" s="1"/>
  <c r="M660" i="44" s="1"/>
  <c r="N661" i="44" s="1"/>
  <c r="C651" i="44"/>
  <c r="D652" i="44" s="1"/>
  <c r="E653" i="44" s="1"/>
  <c r="F654" i="44" s="1"/>
  <c r="G655" i="44" s="1"/>
  <c r="H656" i="44" s="1"/>
  <c r="I657" i="44" s="1"/>
  <c r="J658" i="44" s="1"/>
  <c r="K659" i="44" s="1"/>
  <c r="L660" i="44" s="1"/>
  <c r="M661" i="44" s="1"/>
  <c r="N662" i="44" s="1"/>
  <c r="C650" i="44"/>
  <c r="C649" i="44"/>
  <c r="D650" i="44" s="1"/>
  <c r="E651" i="44" s="1"/>
  <c r="F652" i="44" s="1"/>
  <c r="G653" i="44" s="1"/>
  <c r="H654" i="44" s="1"/>
  <c r="I655" i="44" s="1"/>
  <c r="J656" i="44" s="1"/>
  <c r="K657" i="44" s="1"/>
  <c r="L658" i="44" s="1"/>
  <c r="M659" i="44" s="1"/>
  <c r="N660" i="44" s="1"/>
  <c r="F648" i="44"/>
  <c r="G649" i="44" s="1"/>
  <c r="H650" i="44" s="1"/>
  <c r="I651" i="44" s="1"/>
  <c r="J652" i="44" s="1"/>
  <c r="K653" i="44" s="1"/>
  <c r="L654" i="44" s="1"/>
  <c r="M655" i="44" s="1"/>
  <c r="N656" i="44" s="1"/>
  <c r="C648" i="44"/>
  <c r="D649" i="44" s="1"/>
  <c r="E650" i="44" s="1"/>
  <c r="F651" i="44" s="1"/>
  <c r="G652" i="44" s="1"/>
  <c r="H653" i="44" s="1"/>
  <c r="I654" i="44" s="1"/>
  <c r="J655" i="44" s="1"/>
  <c r="K656" i="44" s="1"/>
  <c r="L657" i="44" s="1"/>
  <c r="M658" i="44" s="1"/>
  <c r="N659" i="44" s="1"/>
  <c r="C647" i="44"/>
  <c r="D648" i="44" s="1"/>
  <c r="E649" i="44" s="1"/>
  <c r="F650" i="44" s="1"/>
  <c r="G651" i="44" s="1"/>
  <c r="H652" i="44" s="1"/>
  <c r="I653" i="44" s="1"/>
  <c r="J654" i="44" s="1"/>
  <c r="K655" i="44" s="1"/>
  <c r="L656" i="44" s="1"/>
  <c r="M657" i="44" s="1"/>
  <c r="N658" i="44" s="1"/>
  <c r="C646" i="44"/>
  <c r="D647" i="44" s="1"/>
  <c r="E648" i="44" s="1"/>
  <c r="F649" i="44" s="1"/>
  <c r="G650" i="44" s="1"/>
  <c r="H651" i="44" s="1"/>
  <c r="I652" i="44" s="1"/>
  <c r="J653" i="44" s="1"/>
  <c r="K654" i="44" s="1"/>
  <c r="L655" i="44" s="1"/>
  <c r="M656" i="44" s="1"/>
  <c r="N657" i="44" s="1"/>
  <c r="C645" i="44"/>
  <c r="D646" i="44" s="1"/>
  <c r="E647" i="44" s="1"/>
  <c r="C644" i="44"/>
  <c r="D645" i="44" s="1"/>
  <c r="E646" i="44" s="1"/>
  <c r="F647" i="44" s="1"/>
  <c r="G648" i="44" s="1"/>
  <c r="H649" i="44" s="1"/>
  <c r="I650" i="44" s="1"/>
  <c r="J651" i="44" s="1"/>
  <c r="K652" i="44" s="1"/>
  <c r="L653" i="44" s="1"/>
  <c r="M654" i="44" s="1"/>
  <c r="N655" i="44" s="1"/>
  <c r="D643" i="44"/>
  <c r="E644" i="44" s="1"/>
  <c r="F645" i="44" s="1"/>
  <c r="G646" i="44" s="1"/>
  <c r="H647" i="44" s="1"/>
  <c r="I648" i="44" s="1"/>
  <c r="J649" i="44" s="1"/>
  <c r="K650" i="44" s="1"/>
  <c r="L651" i="44" s="1"/>
  <c r="M652" i="44" s="1"/>
  <c r="N653" i="44" s="1"/>
  <c r="C643" i="44"/>
  <c r="D644" i="44" s="1"/>
  <c r="E645" i="44" s="1"/>
  <c r="F646" i="44" s="1"/>
  <c r="G647" i="44" s="1"/>
  <c r="H648" i="44" s="1"/>
  <c r="I649" i="44" s="1"/>
  <c r="J650" i="44" s="1"/>
  <c r="K651" i="44" s="1"/>
  <c r="L652" i="44" s="1"/>
  <c r="M653" i="44" s="1"/>
  <c r="N654" i="44" s="1"/>
  <c r="C642" i="44"/>
  <c r="C641" i="44"/>
  <c r="D642" i="44" s="1"/>
  <c r="E643" i="44" s="1"/>
  <c r="F644" i="44" s="1"/>
  <c r="G645" i="44" s="1"/>
  <c r="H646" i="44" s="1"/>
  <c r="I647" i="44" s="1"/>
  <c r="J648" i="44" s="1"/>
  <c r="K649" i="44" s="1"/>
  <c r="L650" i="44" s="1"/>
  <c r="M651" i="44" s="1"/>
  <c r="N652" i="44" s="1"/>
  <c r="D640" i="44"/>
  <c r="E641" i="44" s="1"/>
  <c r="F642" i="44" s="1"/>
  <c r="G643" i="44" s="1"/>
  <c r="H644" i="44" s="1"/>
  <c r="I645" i="44" s="1"/>
  <c r="J646" i="44" s="1"/>
  <c r="K647" i="44" s="1"/>
  <c r="L648" i="44" s="1"/>
  <c r="M649" i="44" s="1"/>
  <c r="N650" i="44" s="1"/>
  <c r="C640" i="44"/>
  <c r="D641" i="44" s="1"/>
  <c r="E642" i="44" s="1"/>
  <c r="F643" i="44" s="1"/>
  <c r="G644" i="44" s="1"/>
  <c r="H645" i="44" s="1"/>
  <c r="I646" i="44" s="1"/>
  <c r="J647" i="44" s="1"/>
  <c r="K648" i="44" s="1"/>
  <c r="L649" i="44" s="1"/>
  <c r="M650" i="44" s="1"/>
  <c r="N651" i="44" s="1"/>
  <c r="C639" i="44"/>
  <c r="C638" i="44"/>
  <c r="D639" i="44" s="1"/>
  <c r="E640" i="44" s="1"/>
  <c r="F641" i="44" s="1"/>
  <c r="G642" i="44" s="1"/>
  <c r="H643" i="44" s="1"/>
  <c r="I644" i="44" s="1"/>
  <c r="J645" i="44" s="1"/>
  <c r="K646" i="44" s="1"/>
  <c r="L647" i="44" s="1"/>
  <c r="M648" i="44" s="1"/>
  <c r="N649" i="44" s="1"/>
  <c r="F637" i="44"/>
  <c r="G638" i="44" s="1"/>
  <c r="H639" i="44" s="1"/>
  <c r="I640" i="44" s="1"/>
  <c r="J641" i="44" s="1"/>
  <c r="K642" i="44" s="1"/>
  <c r="L643" i="44" s="1"/>
  <c r="M644" i="44" s="1"/>
  <c r="N645" i="44" s="1"/>
  <c r="C637" i="44"/>
  <c r="D638" i="44" s="1"/>
  <c r="E639" i="44" s="1"/>
  <c r="F640" i="44" s="1"/>
  <c r="G641" i="44" s="1"/>
  <c r="H642" i="44" s="1"/>
  <c r="I643" i="44" s="1"/>
  <c r="J644" i="44" s="1"/>
  <c r="K645" i="44" s="1"/>
  <c r="L646" i="44" s="1"/>
  <c r="M647" i="44" s="1"/>
  <c r="N648" i="44" s="1"/>
  <c r="C636" i="44"/>
  <c r="D637" i="44" s="1"/>
  <c r="E638" i="44" s="1"/>
  <c r="F639" i="44" s="1"/>
  <c r="G640" i="44" s="1"/>
  <c r="H641" i="44" s="1"/>
  <c r="I642" i="44" s="1"/>
  <c r="J643" i="44" s="1"/>
  <c r="K644" i="44" s="1"/>
  <c r="L645" i="44" s="1"/>
  <c r="M646" i="44" s="1"/>
  <c r="N647" i="44" s="1"/>
  <c r="F635" i="44"/>
  <c r="G636" i="44" s="1"/>
  <c r="H637" i="44" s="1"/>
  <c r="I638" i="44" s="1"/>
  <c r="J639" i="44" s="1"/>
  <c r="K640" i="44" s="1"/>
  <c r="L641" i="44" s="1"/>
  <c r="M642" i="44" s="1"/>
  <c r="N643" i="44" s="1"/>
  <c r="C635" i="44"/>
  <c r="D636" i="44" s="1"/>
  <c r="E637" i="44" s="1"/>
  <c r="F638" i="44" s="1"/>
  <c r="G639" i="44" s="1"/>
  <c r="H640" i="44" s="1"/>
  <c r="I641" i="44" s="1"/>
  <c r="J642" i="44" s="1"/>
  <c r="K643" i="44" s="1"/>
  <c r="L644" i="44" s="1"/>
  <c r="M645" i="44" s="1"/>
  <c r="N646" i="44" s="1"/>
  <c r="C634" i="44"/>
  <c r="D635" i="44" s="1"/>
  <c r="E636" i="44" s="1"/>
  <c r="F633" i="44"/>
  <c r="G634" i="44" s="1"/>
  <c r="H635" i="44" s="1"/>
  <c r="I636" i="44" s="1"/>
  <c r="J637" i="44" s="1"/>
  <c r="K638" i="44" s="1"/>
  <c r="L639" i="44" s="1"/>
  <c r="M640" i="44" s="1"/>
  <c r="N641" i="44" s="1"/>
  <c r="C633" i="44"/>
  <c r="D634" i="44" s="1"/>
  <c r="E635" i="44" s="1"/>
  <c r="F636" i="44" s="1"/>
  <c r="G637" i="44" s="1"/>
  <c r="H638" i="44" s="1"/>
  <c r="I639" i="44" s="1"/>
  <c r="J640" i="44" s="1"/>
  <c r="K641" i="44" s="1"/>
  <c r="L642" i="44" s="1"/>
  <c r="M643" i="44" s="1"/>
  <c r="N644" i="44" s="1"/>
  <c r="C632" i="44"/>
  <c r="D633" i="44" s="1"/>
  <c r="E634" i="44" s="1"/>
  <c r="F631" i="44"/>
  <c r="G632" i="44" s="1"/>
  <c r="H633" i="44" s="1"/>
  <c r="I634" i="44" s="1"/>
  <c r="J635" i="44" s="1"/>
  <c r="K636" i="44" s="1"/>
  <c r="L637" i="44" s="1"/>
  <c r="M638" i="44" s="1"/>
  <c r="N639" i="44" s="1"/>
  <c r="C631" i="44"/>
  <c r="D632" i="44" s="1"/>
  <c r="E633" i="44" s="1"/>
  <c r="F634" i="44" s="1"/>
  <c r="G635" i="44" s="1"/>
  <c r="H636" i="44" s="1"/>
  <c r="I637" i="44" s="1"/>
  <c r="J638" i="44" s="1"/>
  <c r="K639" i="44" s="1"/>
  <c r="L640" i="44" s="1"/>
  <c r="M641" i="44" s="1"/>
  <c r="N642" i="44" s="1"/>
  <c r="C630" i="44"/>
  <c r="D631" i="44" s="1"/>
  <c r="E632" i="44" s="1"/>
  <c r="C629" i="44"/>
  <c r="D630" i="44" s="1"/>
  <c r="E631" i="44" s="1"/>
  <c r="F632" i="44" s="1"/>
  <c r="G633" i="44" s="1"/>
  <c r="H634" i="44" s="1"/>
  <c r="I635" i="44" s="1"/>
  <c r="J636" i="44" s="1"/>
  <c r="K637" i="44" s="1"/>
  <c r="L638" i="44" s="1"/>
  <c r="M639" i="44" s="1"/>
  <c r="N640" i="44" s="1"/>
  <c r="C628" i="44"/>
  <c r="D629" i="44" s="1"/>
  <c r="E630" i="44" s="1"/>
  <c r="C627" i="44"/>
  <c r="D628" i="44" s="1"/>
  <c r="E629" i="44" s="1"/>
  <c r="F630" i="44" s="1"/>
  <c r="G631" i="44" s="1"/>
  <c r="H632" i="44" s="1"/>
  <c r="I633" i="44" s="1"/>
  <c r="J634" i="44" s="1"/>
  <c r="K635" i="44" s="1"/>
  <c r="L636" i="44" s="1"/>
  <c r="M637" i="44" s="1"/>
  <c r="N638" i="44" s="1"/>
  <c r="C626" i="44"/>
  <c r="D627" i="44" s="1"/>
  <c r="E628" i="44" s="1"/>
  <c r="F629" i="44" s="1"/>
  <c r="G630" i="44" s="1"/>
  <c r="H631" i="44" s="1"/>
  <c r="I632" i="44" s="1"/>
  <c r="J633" i="44" s="1"/>
  <c r="K634" i="44" s="1"/>
  <c r="L635" i="44" s="1"/>
  <c r="M636" i="44" s="1"/>
  <c r="N637" i="44" s="1"/>
  <c r="C625" i="44"/>
  <c r="D626" i="44" s="1"/>
  <c r="E627" i="44" s="1"/>
  <c r="F628" i="44" s="1"/>
  <c r="G629" i="44" s="1"/>
  <c r="H630" i="44" s="1"/>
  <c r="I631" i="44" s="1"/>
  <c r="J632" i="44" s="1"/>
  <c r="K633" i="44" s="1"/>
  <c r="L634" i="44" s="1"/>
  <c r="M635" i="44" s="1"/>
  <c r="N636" i="44" s="1"/>
  <c r="F624" i="44"/>
  <c r="G625" i="44" s="1"/>
  <c r="H626" i="44" s="1"/>
  <c r="I627" i="44" s="1"/>
  <c r="J628" i="44" s="1"/>
  <c r="K629" i="44" s="1"/>
  <c r="L630" i="44" s="1"/>
  <c r="M631" i="44" s="1"/>
  <c r="N632" i="44" s="1"/>
  <c r="C624" i="44"/>
  <c r="D625" i="44" s="1"/>
  <c r="E626" i="44" s="1"/>
  <c r="F627" i="44" s="1"/>
  <c r="G628" i="44" s="1"/>
  <c r="H629" i="44" s="1"/>
  <c r="I630" i="44" s="1"/>
  <c r="J631" i="44" s="1"/>
  <c r="K632" i="44" s="1"/>
  <c r="L633" i="44" s="1"/>
  <c r="M634" i="44" s="1"/>
  <c r="N635" i="44" s="1"/>
  <c r="C623" i="44"/>
  <c r="D624" i="44" s="1"/>
  <c r="E625" i="44" s="1"/>
  <c r="F626" i="44" s="1"/>
  <c r="G627" i="44" s="1"/>
  <c r="H628" i="44" s="1"/>
  <c r="I629" i="44" s="1"/>
  <c r="J630" i="44" s="1"/>
  <c r="K631" i="44" s="1"/>
  <c r="L632" i="44" s="1"/>
  <c r="M633" i="44" s="1"/>
  <c r="N634" i="44" s="1"/>
  <c r="C622" i="44"/>
  <c r="D623" i="44" s="1"/>
  <c r="E624" i="44" s="1"/>
  <c r="F625" i="44" s="1"/>
  <c r="G626" i="44" s="1"/>
  <c r="H627" i="44" s="1"/>
  <c r="I628" i="44" s="1"/>
  <c r="J629" i="44" s="1"/>
  <c r="K630" i="44" s="1"/>
  <c r="L631" i="44" s="1"/>
  <c r="M632" i="44" s="1"/>
  <c r="N633" i="44" s="1"/>
  <c r="E621" i="44"/>
  <c r="F622" i="44" s="1"/>
  <c r="G623" i="44" s="1"/>
  <c r="H624" i="44" s="1"/>
  <c r="I625" i="44" s="1"/>
  <c r="J626" i="44" s="1"/>
  <c r="K627" i="44" s="1"/>
  <c r="L628" i="44" s="1"/>
  <c r="M629" i="44" s="1"/>
  <c r="N630" i="44" s="1"/>
  <c r="C621" i="44"/>
  <c r="D622" i="44" s="1"/>
  <c r="E623" i="44" s="1"/>
  <c r="F620" i="44"/>
  <c r="G621" i="44" s="1"/>
  <c r="H622" i="44" s="1"/>
  <c r="I623" i="44" s="1"/>
  <c r="J624" i="44" s="1"/>
  <c r="K625" i="44" s="1"/>
  <c r="L626" i="44" s="1"/>
  <c r="M627" i="44" s="1"/>
  <c r="N628" i="44" s="1"/>
  <c r="C620" i="44"/>
  <c r="D621" i="44" s="1"/>
  <c r="E622" i="44" s="1"/>
  <c r="F623" i="44" s="1"/>
  <c r="G624" i="44" s="1"/>
  <c r="H625" i="44" s="1"/>
  <c r="I626" i="44" s="1"/>
  <c r="J627" i="44" s="1"/>
  <c r="K628" i="44" s="1"/>
  <c r="L629" i="44" s="1"/>
  <c r="M630" i="44" s="1"/>
  <c r="N631" i="44" s="1"/>
  <c r="C619" i="44"/>
  <c r="D620" i="44" s="1"/>
  <c r="C618" i="44"/>
  <c r="D619" i="44" s="1"/>
  <c r="E620" i="44" s="1"/>
  <c r="F621" i="44" s="1"/>
  <c r="G622" i="44" s="1"/>
  <c r="H623" i="44" s="1"/>
  <c r="I624" i="44" s="1"/>
  <c r="J625" i="44" s="1"/>
  <c r="K626" i="44" s="1"/>
  <c r="L627" i="44" s="1"/>
  <c r="M628" i="44" s="1"/>
  <c r="N629" i="44" s="1"/>
  <c r="C617" i="44"/>
  <c r="D618" i="44" s="1"/>
  <c r="E619" i="44" s="1"/>
  <c r="C616" i="44"/>
  <c r="D617" i="44" s="1"/>
  <c r="E618" i="44" s="1"/>
  <c r="F619" i="44" s="1"/>
  <c r="G620" i="44" s="1"/>
  <c r="H621" i="44" s="1"/>
  <c r="I622" i="44" s="1"/>
  <c r="J623" i="44" s="1"/>
  <c r="K624" i="44" s="1"/>
  <c r="L625" i="44" s="1"/>
  <c r="M626" i="44" s="1"/>
  <c r="N627" i="44" s="1"/>
  <c r="C615" i="44"/>
  <c r="D616" i="44" s="1"/>
  <c r="E617" i="44" s="1"/>
  <c r="F618" i="44" s="1"/>
  <c r="G619" i="44" s="1"/>
  <c r="H620" i="44" s="1"/>
  <c r="I621" i="44" s="1"/>
  <c r="J622" i="44" s="1"/>
  <c r="K623" i="44" s="1"/>
  <c r="L624" i="44" s="1"/>
  <c r="M625" i="44" s="1"/>
  <c r="N626" i="44" s="1"/>
  <c r="C614" i="44"/>
  <c r="D615" i="44" s="1"/>
  <c r="E616" i="44" s="1"/>
  <c r="F617" i="44" s="1"/>
  <c r="G618" i="44" s="1"/>
  <c r="H619" i="44" s="1"/>
  <c r="I620" i="44" s="1"/>
  <c r="J621" i="44" s="1"/>
  <c r="K622" i="44" s="1"/>
  <c r="L623" i="44" s="1"/>
  <c r="M624" i="44" s="1"/>
  <c r="N625" i="44" s="1"/>
  <c r="C613" i="44"/>
  <c r="D614" i="44" s="1"/>
  <c r="E615" i="44" s="1"/>
  <c r="F616" i="44" s="1"/>
  <c r="G617" i="44" s="1"/>
  <c r="H618" i="44" s="1"/>
  <c r="I619" i="44" s="1"/>
  <c r="J620" i="44" s="1"/>
  <c r="K621" i="44" s="1"/>
  <c r="L622" i="44" s="1"/>
  <c r="M623" i="44" s="1"/>
  <c r="N624" i="44" s="1"/>
  <c r="C612" i="44"/>
  <c r="D613" i="44" s="1"/>
  <c r="E614" i="44" s="1"/>
  <c r="F615" i="44" s="1"/>
  <c r="G616" i="44" s="1"/>
  <c r="H617" i="44" s="1"/>
  <c r="I618" i="44" s="1"/>
  <c r="J619" i="44" s="1"/>
  <c r="K620" i="44" s="1"/>
  <c r="L621" i="44" s="1"/>
  <c r="M622" i="44" s="1"/>
  <c r="N623" i="44" s="1"/>
  <c r="C611" i="44"/>
  <c r="D612" i="44" s="1"/>
  <c r="E613" i="44" s="1"/>
  <c r="F614" i="44" s="1"/>
  <c r="G615" i="44" s="1"/>
  <c r="H616" i="44" s="1"/>
  <c r="I617" i="44" s="1"/>
  <c r="J618" i="44" s="1"/>
  <c r="K619" i="44" s="1"/>
  <c r="L620" i="44" s="1"/>
  <c r="M621" i="44" s="1"/>
  <c r="N622" i="44" s="1"/>
  <c r="C610" i="44"/>
  <c r="D611" i="44" s="1"/>
  <c r="E612" i="44" s="1"/>
  <c r="F613" i="44" s="1"/>
  <c r="G614" i="44" s="1"/>
  <c r="H615" i="44" s="1"/>
  <c r="I616" i="44" s="1"/>
  <c r="J617" i="44" s="1"/>
  <c r="K618" i="44" s="1"/>
  <c r="L619" i="44" s="1"/>
  <c r="M620" i="44" s="1"/>
  <c r="N621" i="44" s="1"/>
  <c r="E609" i="44"/>
  <c r="F610" i="44" s="1"/>
  <c r="G611" i="44" s="1"/>
  <c r="H612" i="44" s="1"/>
  <c r="I613" i="44" s="1"/>
  <c r="J614" i="44" s="1"/>
  <c r="K615" i="44" s="1"/>
  <c r="L616" i="44" s="1"/>
  <c r="M617" i="44" s="1"/>
  <c r="N618" i="44" s="1"/>
  <c r="C609" i="44"/>
  <c r="D610" i="44" s="1"/>
  <c r="E611" i="44" s="1"/>
  <c r="F612" i="44" s="1"/>
  <c r="G613" i="44" s="1"/>
  <c r="H614" i="44" s="1"/>
  <c r="I615" i="44" s="1"/>
  <c r="J616" i="44" s="1"/>
  <c r="K617" i="44" s="1"/>
  <c r="L618" i="44" s="1"/>
  <c r="M619" i="44" s="1"/>
  <c r="N620" i="44" s="1"/>
  <c r="C608" i="44"/>
  <c r="D609" i="44" s="1"/>
  <c r="E610" i="44" s="1"/>
  <c r="F611" i="44" s="1"/>
  <c r="G612" i="44" s="1"/>
  <c r="H613" i="44" s="1"/>
  <c r="I614" i="44" s="1"/>
  <c r="J615" i="44" s="1"/>
  <c r="K616" i="44" s="1"/>
  <c r="L617" i="44" s="1"/>
  <c r="M618" i="44" s="1"/>
  <c r="N619" i="44" s="1"/>
  <c r="C607" i="44"/>
  <c r="D608" i="44" s="1"/>
  <c r="N606" i="44"/>
  <c r="I606" i="44"/>
  <c r="J607" i="44" s="1"/>
  <c r="K608" i="44" s="1"/>
  <c r="L609" i="44" s="1"/>
  <c r="M610" i="44" s="1"/>
  <c r="N611" i="44" s="1"/>
  <c r="C606" i="44"/>
  <c r="D607" i="44" s="1"/>
  <c r="E608" i="44" s="1"/>
  <c r="F609" i="44" s="1"/>
  <c r="G610" i="44" s="1"/>
  <c r="H611" i="44" s="1"/>
  <c r="I612" i="44" s="1"/>
  <c r="J613" i="44" s="1"/>
  <c r="K614" i="44" s="1"/>
  <c r="L615" i="44" s="1"/>
  <c r="M616" i="44" s="1"/>
  <c r="N617" i="44" s="1"/>
  <c r="C605" i="44"/>
  <c r="D606" i="44" s="1"/>
  <c r="E607" i="44" s="1"/>
  <c r="F608" i="44" s="1"/>
  <c r="G609" i="44" s="1"/>
  <c r="H610" i="44" s="1"/>
  <c r="I611" i="44" s="1"/>
  <c r="J612" i="44" s="1"/>
  <c r="K613" i="44" s="1"/>
  <c r="L614" i="44" s="1"/>
  <c r="M615" i="44" s="1"/>
  <c r="N616" i="44" s="1"/>
  <c r="C604" i="44"/>
  <c r="D605" i="44" s="1"/>
  <c r="E606" i="44" s="1"/>
  <c r="F607" i="44" s="1"/>
  <c r="G608" i="44" s="1"/>
  <c r="H609" i="44" s="1"/>
  <c r="I610" i="44" s="1"/>
  <c r="J611" i="44" s="1"/>
  <c r="K612" i="44" s="1"/>
  <c r="L613" i="44" s="1"/>
  <c r="M614" i="44" s="1"/>
  <c r="N615" i="44" s="1"/>
  <c r="C603" i="44"/>
  <c r="D604" i="44" s="1"/>
  <c r="E605" i="44" s="1"/>
  <c r="F606" i="44" s="1"/>
  <c r="G607" i="44" s="1"/>
  <c r="H608" i="44" s="1"/>
  <c r="I609" i="44" s="1"/>
  <c r="J610" i="44" s="1"/>
  <c r="K611" i="44" s="1"/>
  <c r="L612" i="44" s="1"/>
  <c r="M613" i="44" s="1"/>
  <c r="N614" i="44" s="1"/>
  <c r="C602" i="44"/>
  <c r="D603" i="44" s="1"/>
  <c r="E604" i="44" s="1"/>
  <c r="F605" i="44" s="1"/>
  <c r="G606" i="44" s="1"/>
  <c r="H607" i="44" s="1"/>
  <c r="I608" i="44" s="1"/>
  <c r="J609" i="44" s="1"/>
  <c r="K610" i="44" s="1"/>
  <c r="L611" i="44" s="1"/>
  <c r="M612" i="44" s="1"/>
  <c r="N613" i="44" s="1"/>
  <c r="C601" i="44"/>
  <c r="D602" i="44" s="1"/>
  <c r="E603" i="44" s="1"/>
  <c r="F604" i="44" s="1"/>
  <c r="G605" i="44" s="1"/>
  <c r="H606" i="44" s="1"/>
  <c r="I607" i="44" s="1"/>
  <c r="J608" i="44" s="1"/>
  <c r="K609" i="44" s="1"/>
  <c r="L610" i="44" s="1"/>
  <c r="M611" i="44" s="1"/>
  <c r="N612" i="44" s="1"/>
  <c r="C600" i="44"/>
  <c r="D601" i="44" s="1"/>
  <c r="E602" i="44" s="1"/>
  <c r="F603" i="44" s="1"/>
  <c r="G604" i="44" s="1"/>
  <c r="H605" i="44" s="1"/>
  <c r="G599" i="44"/>
  <c r="H600" i="44" s="1"/>
  <c r="I601" i="44" s="1"/>
  <c r="J602" i="44" s="1"/>
  <c r="K603" i="44" s="1"/>
  <c r="L604" i="44" s="1"/>
  <c r="M605" i="44" s="1"/>
  <c r="C599" i="44"/>
  <c r="D600" i="44" s="1"/>
  <c r="E601" i="44" s="1"/>
  <c r="F602" i="44" s="1"/>
  <c r="G603" i="44" s="1"/>
  <c r="H604" i="44" s="1"/>
  <c r="I605" i="44" s="1"/>
  <c r="J606" i="44" s="1"/>
  <c r="K607" i="44" s="1"/>
  <c r="L608" i="44" s="1"/>
  <c r="M609" i="44" s="1"/>
  <c r="N610" i="44" s="1"/>
  <c r="C598" i="44"/>
  <c r="D599" i="44" s="1"/>
  <c r="E600" i="44" s="1"/>
  <c r="F601" i="44" s="1"/>
  <c r="G602" i="44" s="1"/>
  <c r="H603" i="44" s="1"/>
  <c r="I604" i="44" s="1"/>
  <c r="J605" i="44" s="1"/>
  <c r="K606" i="44" s="1"/>
  <c r="L607" i="44" s="1"/>
  <c r="M608" i="44" s="1"/>
  <c r="N609" i="44" s="1"/>
  <c r="C597" i="44"/>
  <c r="D598" i="44" s="1"/>
  <c r="E599" i="44" s="1"/>
  <c r="F600" i="44" s="1"/>
  <c r="G601" i="44" s="1"/>
  <c r="H602" i="44" s="1"/>
  <c r="I603" i="44" s="1"/>
  <c r="J604" i="44" s="1"/>
  <c r="K605" i="44" s="1"/>
  <c r="L606" i="44" s="1"/>
  <c r="M607" i="44" s="1"/>
  <c r="N608" i="44" s="1"/>
  <c r="C596" i="44"/>
  <c r="D597" i="44" s="1"/>
  <c r="E598" i="44" s="1"/>
  <c r="F599" i="44" s="1"/>
  <c r="G600" i="44" s="1"/>
  <c r="H601" i="44" s="1"/>
  <c r="I602" i="44" s="1"/>
  <c r="J603" i="44" s="1"/>
  <c r="K604" i="44" s="1"/>
  <c r="L605" i="44" s="1"/>
  <c r="M606" i="44" s="1"/>
  <c r="N607" i="44" s="1"/>
  <c r="C595" i="44"/>
  <c r="D596" i="44" s="1"/>
  <c r="E597" i="44" s="1"/>
  <c r="F598" i="44" s="1"/>
  <c r="C594" i="44"/>
  <c r="D595" i="44" s="1"/>
  <c r="E596" i="44" s="1"/>
  <c r="F597" i="44" s="1"/>
  <c r="G598" i="44" s="1"/>
  <c r="H599" i="44" s="1"/>
  <c r="I600" i="44" s="1"/>
  <c r="J601" i="44" s="1"/>
  <c r="K602" i="44" s="1"/>
  <c r="L603" i="44" s="1"/>
  <c r="M604" i="44" s="1"/>
  <c r="N605" i="44" s="1"/>
  <c r="C593" i="44"/>
  <c r="D594" i="44" s="1"/>
  <c r="E595" i="44" s="1"/>
  <c r="F596" i="44" s="1"/>
  <c r="G597" i="44" s="1"/>
  <c r="H598" i="44" s="1"/>
  <c r="I599" i="44" s="1"/>
  <c r="J600" i="44" s="1"/>
  <c r="K601" i="44" s="1"/>
  <c r="L602" i="44" s="1"/>
  <c r="M603" i="44" s="1"/>
  <c r="N604" i="44" s="1"/>
  <c r="C592" i="44"/>
  <c r="D593" i="44" s="1"/>
  <c r="E594" i="44" s="1"/>
  <c r="F595" i="44" s="1"/>
  <c r="G596" i="44" s="1"/>
  <c r="H597" i="44" s="1"/>
  <c r="I598" i="44" s="1"/>
  <c r="J599" i="44" s="1"/>
  <c r="K600" i="44" s="1"/>
  <c r="L601" i="44" s="1"/>
  <c r="M602" i="44" s="1"/>
  <c r="N603" i="44" s="1"/>
  <c r="C591" i="44"/>
  <c r="D592" i="44" s="1"/>
  <c r="E593" i="44" s="1"/>
  <c r="F594" i="44" s="1"/>
  <c r="G595" i="44" s="1"/>
  <c r="H596" i="44" s="1"/>
  <c r="I597" i="44" s="1"/>
  <c r="J598" i="44" s="1"/>
  <c r="K599" i="44" s="1"/>
  <c r="L600" i="44" s="1"/>
  <c r="M601" i="44" s="1"/>
  <c r="N602" i="44" s="1"/>
  <c r="G590" i="44"/>
  <c r="H591" i="44" s="1"/>
  <c r="I592" i="44" s="1"/>
  <c r="J593" i="44" s="1"/>
  <c r="K594" i="44" s="1"/>
  <c r="L595" i="44" s="1"/>
  <c r="M596" i="44" s="1"/>
  <c r="N597" i="44" s="1"/>
  <c r="C590" i="44"/>
  <c r="D591" i="44" s="1"/>
  <c r="E592" i="44" s="1"/>
  <c r="F593" i="44" s="1"/>
  <c r="G594" i="44" s="1"/>
  <c r="H595" i="44" s="1"/>
  <c r="I596" i="44" s="1"/>
  <c r="J597" i="44" s="1"/>
  <c r="K598" i="44" s="1"/>
  <c r="L599" i="44" s="1"/>
  <c r="M600" i="44" s="1"/>
  <c r="N601" i="44" s="1"/>
  <c r="C589" i="44"/>
  <c r="D590" i="44" s="1"/>
  <c r="E591" i="44" s="1"/>
  <c r="F592" i="44" s="1"/>
  <c r="G593" i="44" s="1"/>
  <c r="H594" i="44" s="1"/>
  <c r="I595" i="44" s="1"/>
  <c r="J596" i="44" s="1"/>
  <c r="K597" i="44" s="1"/>
  <c r="L598" i="44" s="1"/>
  <c r="M599" i="44" s="1"/>
  <c r="N600" i="44" s="1"/>
  <c r="C588" i="44"/>
  <c r="D589" i="44" s="1"/>
  <c r="E590" i="44" s="1"/>
  <c r="F591" i="44" s="1"/>
  <c r="G592" i="44" s="1"/>
  <c r="H593" i="44" s="1"/>
  <c r="I594" i="44" s="1"/>
  <c r="J595" i="44" s="1"/>
  <c r="K596" i="44" s="1"/>
  <c r="L597" i="44" s="1"/>
  <c r="M598" i="44" s="1"/>
  <c r="N599" i="44" s="1"/>
  <c r="K587" i="44"/>
  <c r="L588" i="44" s="1"/>
  <c r="M589" i="44" s="1"/>
  <c r="N590" i="44" s="1"/>
  <c r="C587" i="44"/>
  <c r="D588" i="44" s="1"/>
  <c r="E589" i="44" s="1"/>
  <c r="F590" i="44" s="1"/>
  <c r="G591" i="44" s="1"/>
  <c r="H592" i="44" s="1"/>
  <c r="I593" i="44" s="1"/>
  <c r="J594" i="44" s="1"/>
  <c r="K595" i="44" s="1"/>
  <c r="L596" i="44" s="1"/>
  <c r="M597" i="44" s="1"/>
  <c r="N598" i="44" s="1"/>
  <c r="C586" i="44"/>
  <c r="D587" i="44" s="1"/>
  <c r="E588" i="44" s="1"/>
  <c r="F589" i="44" s="1"/>
  <c r="C585" i="44"/>
  <c r="D586" i="44" s="1"/>
  <c r="E587" i="44" s="1"/>
  <c r="F588" i="44" s="1"/>
  <c r="G589" i="44" s="1"/>
  <c r="H590" i="44" s="1"/>
  <c r="I591" i="44" s="1"/>
  <c r="J592" i="44" s="1"/>
  <c r="K593" i="44" s="1"/>
  <c r="L594" i="44" s="1"/>
  <c r="M595" i="44" s="1"/>
  <c r="N596" i="44" s="1"/>
  <c r="C584" i="44"/>
  <c r="D585" i="44" s="1"/>
  <c r="E586" i="44" s="1"/>
  <c r="F587" i="44" s="1"/>
  <c r="G588" i="44" s="1"/>
  <c r="H589" i="44" s="1"/>
  <c r="I590" i="44" s="1"/>
  <c r="J591" i="44" s="1"/>
  <c r="K592" i="44" s="1"/>
  <c r="L593" i="44" s="1"/>
  <c r="M594" i="44" s="1"/>
  <c r="N595" i="44" s="1"/>
  <c r="C583" i="44"/>
  <c r="D584" i="44" s="1"/>
  <c r="E585" i="44" s="1"/>
  <c r="F586" i="44" s="1"/>
  <c r="G587" i="44" s="1"/>
  <c r="H588" i="44" s="1"/>
  <c r="I589" i="44" s="1"/>
  <c r="J590" i="44" s="1"/>
  <c r="K591" i="44" s="1"/>
  <c r="L592" i="44" s="1"/>
  <c r="M593" i="44" s="1"/>
  <c r="N594" i="44" s="1"/>
  <c r="C582" i="44"/>
  <c r="D583" i="44" s="1"/>
  <c r="E584" i="44" s="1"/>
  <c r="F585" i="44" s="1"/>
  <c r="G586" i="44" s="1"/>
  <c r="H587" i="44" s="1"/>
  <c r="I588" i="44" s="1"/>
  <c r="J589" i="44" s="1"/>
  <c r="K590" i="44" s="1"/>
  <c r="L591" i="44" s="1"/>
  <c r="M592" i="44" s="1"/>
  <c r="N593" i="44" s="1"/>
  <c r="C581" i="44"/>
  <c r="D582" i="44" s="1"/>
  <c r="E583" i="44" s="1"/>
  <c r="F584" i="44" s="1"/>
  <c r="G585" i="44" s="1"/>
  <c r="H586" i="44" s="1"/>
  <c r="I587" i="44" s="1"/>
  <c r="J588" i="44" s="1"/>
  <c r="K589" i="44" s="1"/>
  <c r="L590" i="44" s="1"/>
  <c r="M591" i="44" s="1"/>
  <c r="N592" i="44" s="1"/>
  <c r="C580" i="44"/>
  <c r="D581" i="44" s="1"/>
  <c r="E582" i="44" s="1"/>
  <c r="F583" i="44" s="1"/>
  <c r="G584" i="44" s="1"/>
  <c r="H585" i="44" s="1"/>
  <c r="I586" i="44" s="1"/>
  <c r="J587" i="44" s="1"/>
  <c r="K588" i="44" s="1"/>
  <c r="L589" i="44" s="1"/>
  <c r="M590" i="44" s="1"/>
  <c r="N591" i="44" s="1"/>
  <c r="C579" i="44"/>
  <c r="D580" i="44" s="1"/>
  <c r="E581" i="44" s="1"/>
  <c r="F582" i="44" s="1"/>
  <c r="G583" i="44" s="1"/>
  <c r="H584" i="44" s="1"/>
  <c r="I585" i="44" s="1"/>
  <c r="J586" i="44" s="1"/>
  <c r="C578" i="44"/>
  <c r="D579" i="44" s="1"/>
  <c r="E580" i="44" s="1"/>
  <c r="F581" i="44" s="1"/>
  <c r="G582" i="44" s="1"/>
  <c r="H583" i="44" s="1"/>
  <c r="I584" i="44" s="1"/>
  <c r="J585" i="44" s="1"/>
  <c r="K586" i="44" s="1"/>
  <c r="L587" i="44" s="1"/>
  <c r="M588" i="44" s="1"/>
  <c r="N589" i="44" s="1"/>
  <c r="C577" i="44"/>
  <c r="D578" i="44" s="1"/>
  <c r="E579" i="44" s="1"/>
  <c r="F580" i="44" s="1"/>
  <c r="G581" i="44" s="1"/>
  <c r="H582" i="44" s="1"/>
  <c r="I583" i="44" s="1"/>
  <c r="J584" i="44" s="1"/>
  <c r="K585" i="44" s="1"/>
  <c r="L586" i="44" s="1"/>
  <c r="M587" i="44" s="1"/>
  <c r="N588" i="44" s="1"/>
  <c r="C576" i="44"/>
  <c r="D577" i="44" s="1"/>
  <c r="E578" i="44" s="1"/>
  <c r="F579" i="44" s="1"/>
  <c r="G580" i="44" s="1"/>
  <c r="H581" i="44" s="1"/>
  <c r="I582" i="44" s="1"/>
  <c r="J583" i="44" s="1"/>
  <c r="K584" i="44" s="1"/>
  <c r="L585" i="44" s="1"/>
  <c r="M586" i="44" s="1"/>
  <c r="N587" i="44" s="1"/>
  <c r="K575" i="44"/>
  <c r="L576" i="44" s="1"/>
  <c r="M577" i="44" s="1"/>
  <c r="N578" i="44" s="1"/>
  <c r="C575" i="44"/>
  <c r="D576" i="44" s="1"/>
  <c r="E577" i="44" s="1"/>
  <c r="F578" i="44" s="1"/>
  <c r="G579" i="44" s="1"/>
  <c r="H580" i="44" s="1"/>
  <c r="I581" i="44" s="1"/>
  <c r="J582" i="44" s="1"/>
  <c r="K583" i="44" s="1"/>
  <c r="L584" i="44" s="1"/>
  <c r="M585" i="44" s="1"/>
  <c r="N586" i="44" s="1"/>
  <c r="G574" i="44"/>
  <c r="H575" i="44" s="1"/>
  <c r="I576" i="44" s="1"/>
  <c r="J577" i="44" s="1"/>
  <c r="K578" i="44" s="1"/>
  <c r="L579" i="44" s="1"/>
  <c r="M580" i="44" s="1"/>
  <c r="N581" i="44" s="1"/>
  <c r="C574" i="44"/>
  <c r="D575" i="44" s="1"/>
  <c r="E576" i="44" s="1"/>
  <c r="F577" i="44" s="1"/>
  <c r="G578" i="44" s="1"/>
  <c r="H579" i="44" s="1"/>
  <c r="I580" i="44" s="1"/>
  <c r="J581" i="44" s="1"/>
  <c r="K582" i="44" s="1"/>
  <c r="L583" i="44" s="1"/>
  <c r="M584" i="44" s="1"/>
  <c r="N585" i="44" s="1"/>
  <c r="C573" i="44"/>
  <c r="D574" i="44" s="1"/>
  <c r="E575" i="44" s="1"/>
  <c r="F576" i="44" s="1"/>
  <c r="G577" i="44" s="1"/>
  <c r="H578" i="44" s="1"/>
  <c r="I579" i="44" s="1"/>
  <c r="J580" i="44" s="1"/>
  <c r="K581" i="44" s="1"/>
  <c r="L582" i="44" s="1"/>
  <c r="M583" i="44" s="1"/>
  <c r="N584" i="44" s="1"/>
  <c r="C572" i="44"/>
  <c r="D573" i="44" s="1"/>
  <c r="E574" i="44" s="1"/>
  <c r="F575" i="44" s="1"/>
  <c r="G576" i="44" s="1"/>
  <c r="H577" i="44" s="1"/>
  <c r="I578" i="44" s="1"/>
  <c r="J579" i="44" s="1"/>
  <c r="K580" i="44" s="1"/>
  <c r="L581" i="44" s="1"/>
  <c r="M582" i="44" s="1"/>
  <c r="N583" i="44" s="1"/>
  <c r="G571" i="44"/>
  <c r="H572" i="44" s="1"/>
  <c r="I573" i="44" s="1"/>
  <c r="J574" i="44" s="1"/>
  <c r="C571" i="44"/>
  <c r="D572" i="44" s="1"/>
  <c r="E573" i="44" s="1"/>
  <c r="F574" i="44" s="1"/>
  <c r="G575" i="44" s="1"/>
  <c r="H576" i="44" s="1"/>
  <c r="I577" i="44" s="1"/>
  <c r="J578" i="44" s="1"/>
  <c r="K579" i="44" s="1"/>
  <c r="L580" i="44" s="1"/>
  <c r="M581" i="44" s="1"/>
  <c r="N582" i="44" s="1"/>
  <c r="C570" i="44"/>
  <c r="D571" i="44" s="1"/>
  <c r="E572" i="44" s="1"/>
  <c r="F573" i="44" s="1"/>
  <c r="C569" i="44"/>
  <c r="D570" i="44" s="1"/>
  <c r="E571" i="44" s="1"/>
  <c r="F572" i="44" s="1"/>
  <c r="G573" i="44" s="1"/>
  <c r="H574" i="44" s="1"/>
  <c r="I575" i="44" s="1"/>
  <c r="J576" i="44" s="1"/>
  <c r="K577" i="44" s="1"/>
  <c r="L578" i="44" s="1"/>
  <c r="M579" i="44" s="1"/>
  <c r="N580" i="44" s="1"/>
  <c r="C568" i="44"/>
  <c r="D569" i="44" s="1"/>
  <c r="E570" i="44" s="1"/>
  <c r="F571" i="44" s="1"/>
  <c r="G572" i="44" s="1"/>
  <c r="H573" i="44" s="1"/>
  <c r="I574" i="44" s="1"/>
  <c r="J575" i="44" s="1"/>
  <c r="K576" i="44" s="1"/>
  <c r="L577" i="44" s="1"/>
  <c r="M578" i="44" s="1"/>
  <c r="N579" i="44" s="1"/>
  <c r="C567" i="44"/>
  <c r="D568" i="44" s="1"/>
  <c r="E569" i="44" s="1"/>
  <c r="F570" i="44" s="1"/>
  <c r="C566" i="44"/>
  <c r="D567" i="44" s="1"/>
  <c r="E568" i="44" s="1"/>
  <c r="F569" i="44" s="1"/>
  <c r="G570" i="44" s="1"/>
  <c r="H571" i="44" s="1"/>
  <c r="I572" i="44" s="1"/>
  <c r="J573" i="44" s="1"/>
  <c r="K574" i="44" s="1"/>
  <c r="L575" i="44" s="1"/>
  <c r="M576" i="44" s="1"/>
  <c r="N577" i="44" s="1"/>
  <c r="C565" i="44"/>
  <c r="D566" i="44" s="1"/>
  <c r="E567" i="44" s="1"/>
  <c r="F568" i="44" s="1"/>
  <c r="G569" i="44" s="1"/>
  <c r="H570" i="44" s="1"/>
  <c r="I571" i="44" s="1"/>
  <c r="J572" i="44" s="1"/>
  <c r="K573" i="44" s="1"/>
  <c r="L574" i="44" s="1"/>
  <c r="M575" i="44" s="1"/>
  <c r="N576" i="44" s="1"/>
  <c r="C564" i="44"/>
  <c r="D565" i="44" s="1"/>
  <c r="E566" i="44" s="1"/>
  <c r="F567" i="44" s="1"/>
  <c r="G568" i="44" s="1"/>
  <c r="H569" i="44" s="1"/>
  <c r="I570" i="44" s="1"/>
  <c r="J571" i="44" s="1"/>
  <c r="K572" i="44" s="1"/>
  <c r="L573" i="44" s="1"/>
  <c r="M574" i="44" s="1"/>
  <c r="N575" i="44" s="1"/>
  <c r="C563" i="44"/>
  <c r="D564" i="44" s="1"/>
  <c r="E565" i="44" s="1"/>
  <c r="F566" i="44" s="1"/>
  <c r="G567" i="44" s="1"/>
  <c r="H568" i="44" s="1"/>
  <c r="I569" i="44" s="1"/>
  <c r="J570" i="44" s="1"/>
  <c r="K571" i="44" s="1"/>
  <c r="L572" i="44" s="1"/>
  <c r="M573" i="44" s="1"/>
  <c r="N574" i="44" s="1"/>
  <c r="F562" i="44"/>
  <c r="G563" i="44" s="1"/>
  <c r="H564" i="44" s="1"/>
  <c r="I565" i="44" s="1"/>
  <c r="J566" i="44" s="1"/>
  <c r="K567" i="44" s="1"/>
  <c r="L568" i="44" s="1"/>
  <c r="M569" i="44" s="1"/>
  <c r="N570" i="44" s="1"/>
  <c r="C562" i="44"/>
  <c r="D563" i="44" s="1"/>
  <c r="E564" i="44" s="1"/>
  <c r="F565" i="44" s="1"/>
  <c r="G566" i="44" s="1"/>
  <c r="H567" i="44" s="1"/>
  <c r="I568" i="44" s="1"/>
  <c r="J569" i="44" s="1"/>
  <c r="K570" i="44" s="1"/>
  <c r="L571" i="44" s="1"/>
  <c r="M572" i="44" s="1"/>
  <c r="N573" i="44" s="1"/>
  <c r="C561" i="44"/>
  <c r="D562" i="44" s="1"/>
  <c r="E563" i="44" s="1"/>
  <c r="F564" i="44" s="1"/>
  <c r="G565" i="44" s="1"/>
  <c r="H566" i="44" s="1"/>
  <c r="I567" i="44" s="1"/>
  <c r="J568" i="44" s="1"/>
  <c r="K569" i="44" s="1"/>
  <c r="L570" i="44" s="1"/>
  <c r="M571" i="44" s="1"/>
  <c r="N572" i="44" s="1"/>
  <c r="C560" i="44"/>
  <c r="D561" i="44" s="1"/>
  <c r="E562" i="44" s="1"/>
  <c r="F563" i="44" s="1"/>
  <c r="G564" i="44" s="1"/>
  <c r="H565" i="44" s="1"/>
  <c r="I566" i="44" s="1"/>
  <c r="J567" i="44" s="1"/>
  <c r="K568" i="44" s="1"/>
  <c r="L569" i="44" s="1"/>
  <c r="M570" i="44" s="1"/>
  <c r="N571" i="44" s="1"/>
  <c r="C559" i="44"/>
  <c r="D560" i="44" s="1"/>
  <c r="E561" i="44" s="1"/>
  <c r="C558" i="44"/>
  <c r="D559" i="44" s="1"/>
  <c r="E560" i="44" s="1"/>
  <c r="F561" i="44" s="1"/>
  <c r="G562" i="44" s="1"/>
  <c r="H563" i="44" s="1"/>
  <c r="I564" i="44" s="1"/>
  <c r="J565" i="44" s="1"/>
  <c r="K566" i="44" s="1"/>
  <c r="L567" i="44" s="1"/>
  <c r="M568" i="44" s="1"/>
  <c r="N569" i="44" s="1"/>
  <c r="C557" i="44"/>
  <c r="D558" i="44" s="1"/>
  <c r="E559" i="44" s="1"/>
  <c r="F560" i="44" s="1"/>
  <c r="G561" i="44" s="1"/>
  <c r="H562" i="44" s="1"/>
  <c r="I563" i="44" s="1"/>
  <c r="J564" i="44" s="1"/>
  <c r="K565" i="44" s="1"/>
  <c r="L566" i="44" s="1"/>
  <c r="M567" i="44" s="1"/>
  <c r="N568" i="44" s="1"/>
  <c r="F556" i="44"/>
  <c r="G557" i="44" s="1"/>
  <c r="H558" i="44" s="1"/>
  <c r="I559" i="44" s="1"/>
  <c r="J560" i="44" s="1"/>
  <c r="K561" i="44" s="1"/>
  <c r="L562" i="44" s="1"/>
  <c r="M563" i="44" s="1"/>
  <c r="N564" i="44" s="1"/>
  <c r="C556" i="44"/>
  <c r="D557" i="44" s="1"/>
  <c r="E558" i="44" s="1"/>
  <c r="F559" i="44" s="1"/>
  <c r="G560" i="44" s="1"/>
  <c r="H561" i="44" s="1"/>
  <c r="I562" i="44" s="1"/>
  <c r="J563" i="44" s="1"/>
  <c r="K564" i="44" s="1"/>
  <c r="L565" i="44" s="1"/>
  <c r="M566" i="44" s="1"/>
  <c r="N567" i="44" s="1"/>
  <c r="C555" i="44"/>
  <c r="D556" i="44" s="1"/>
  <c r="E557" i="44" s="1"/>
  <c r="F558" i="44" s="1"/>
  <c r="G559" i="44" s="1"/>
  <c r="H560" i="44" s="1"/>
  <c r="I561" i="44" s="1"/>
  <c r="J562" i="44" s="1"/>
  <c r="K563" i="44" s="1"/>
  <c r="L564" i="44" s="1"/>
  <c r="M565" i="44" s="1"/>
  <c r="N566" i="44" s="1"/>
  <c r="F554" i="44"/>
  <c r="G555" i="44" s="1"/>
  <c r="H556" i="44" s="1"/>
  <c r="I557" i="44" s="1"/>
  <c r="J558" i="44" s="1"/>
  <c r="K559" i="44" s="1"/>
  <c r="L560" i="44" s="1"/>
  <c r="M561" i="44" s="1"/>
  <c r="N562" i="44" s="1"/>
  <c r="C554" i="44"/>
  <c r="D555" i="44" s="1"/>
  <c r="E556" i="44" s="1"/>
  <c r="F557" i="44" s="1"/>
  <c r="G558" i="44" s="1"/>
  <c r="H559" i="44" s="1"/>
  <c r="I560" i="44" s="1"/>
  <c r="J561" i="44" s="1"/>
  <c r="K562" i="44" s="1"/>
  <c r="L563" i="44" s="1"/>
  <c r="M564" i="44" s="1"/>
  <c r="N565" i="44" s="1"/>
  <c r="C553" i="44"/>
  <c r="D554" i="44" s="1"/>
  <c r="E555" i="44" s="1"/>
  <c r="C552" i="44"/>
  <c r="D553" i="44" s="1"/>
  <c r="E554" i="44" s="1"/>
  <c r="F555" i="44" s="1"/>
  <c r="G556" i="44" s="1"/>
  <c r="H557" i="44" s="1"/>
  <c r="I558" i="44" s="1"/>
  <c r="J559" i="44" s="1"/>
  <c r="K560" i="44" s="1"/>
  <c r="L561" i="44" s="1"/>
  <c r="M562" i="44" s="1"/>
  <c r="N563" i="44" s="1"/>
  <c r="C551" i="44"/>
  <c r="D552" i="44" s="1"/>
  <c r="E553" i="44" s="1"/>
  <c r="C550" i="44"/>
  <c r="D551" i="44" s="1"/>
  <c r="E552" i="44" s="1"/>
  <c r="F553" i="44" s="1"/>
  <c r="G554" i="44" s="1"/>
  <c r="H555" i="44" s="1"/>
  <c r="I556" i="44" s="1"/>
  <c r="J557" i="44" s="1"/>
  <c r="K558" i="44" s="1"/>
  <c r="L559" i="44" s="1"/>
  <c r="M560" i="44" s="1"/>
  <c r="N561" i="44" s="1"/>
  <c r="C549" i="44"/>
  <c r="D550" i="44" s="1"/>
  <c r="E551" i="44" s="1"/>
  <c r="F552" i="44" s="1"/>
  <c r="G553" i="44" s="1"/>
  <c r="H554" i="44" s="1"/>
  <c r="I555" i="44" s="1"/>
  <c r="J556" i="44" s="1"/>
  <c r="K557" i="44" s="1"/>
  <c r="L558" i="44" s="1"/>
  <c r="M559" i="44" s="1"/>
  <c r="N560" i="44" s="1"/>
  <c r="F548" i="44"/>
  <c r="G549" i="44" s="1"/>
  <c r="H550" i="44" s="1"/>
  <c r="I551" i="44" s="1"/>
  <c r="J552" i="44" s="1"/>
  <c r="K553" i="44" s="1"/>
  <c r="L554" i="44" s="1"/>
  <c r="M555" i="44" s="1"/>
  <c r="N556" i="44" s="1"/>
  <c r="C548" i="44"/>
  <c r="D549" i="44" s="1"/>
  <c r="E550" i="44" s="1"/>
  <c r="F551" i="44" s="1"/>
  <c r="G552" i="44" s="1"/>
  <c r="H553" i="44" s="1"/>
  <c r="I554" i="44" s="1"/>
  <c r="J555" i="44" s="1"/>
  <c r="K556" i="44" s="1"/>
  <c r="L557" i="44" s="1"/>
  <c r="M558" i="44" s="1"/>
  <c r="N559" i="44" s="1"/>
  <c r="C547" i="44"/>
  <c r="D548" i="44" s="1"/>
  <c r="E549" i="44" s="1"/>
  <c r="F550" i="44" s="1"/>
  <c r="G551" i="44" s="1"/>
  <c r="H552" i="44" s="1"/>
  <c r="I553" i="44" s="1"/>
  <c r="J554" i="44" s="1"/>
  <c r="K555" i="44" s="1"/>
  <c r="L556" i="44" s="1"/>
  <c r="M557" i="44" s="1"/>
  <c r="N558" i="44" s="1"/>
  <c r="F546" i="44"/>
  <c r="G547" i="44" s="1"/>
  <c r="H548" i="44" s="1"/>
  <c r="I549" i="44" s="1"/>
  <c r="J550" i="44" s="1"/>
  <c r="K551" i="44" s="1"/>
  <c r="L552" i="44" s="1"/>
  <c r="M553" i="44" s="1"/>
  <c r="N554" i="44" s="1"/>
  <c r="C546" i="44"/>
  <c r="D547" i="44" s="1"/>
  <c r="E548" i="44" s="1"/>
  <c r="F549" i="44" s="1"/>
  <c r="G550" i="44" s="1"/>
  <c r="H551" i="44" s="1"/>
  <c r="I552" i="44" s="1"/>
  <c r="J553" i="44" s="1"/>
  <c r="K554" i="44" s="1"/>
  <c r="L555" i="44" s="1"/>
  <c r="M556" i="44" s="1"/>
  <c r="N557" i="44" s="1"/>
  <c r="C545" i="44"/>
  <c r="D546" i="44" s="1"/>
  <c r="E547" i="44" s="1"/>
  <c r="C544" i="44"/>
  <c r="D545" i="44" s="1"/>
  <c r="E546" i="44" s="1"/>
  <c r="F547" i="44" s="1"/>
  <c r="G548" i="44" s="1"/>
  <c r="H549" i="44" s="1"/>
  <c r="I550" i="44" s="1"/>
  <c r="J551" i="44" s="1"/>
  <c r="K552" i="44" s="1"/>
  <c r="L553" i="44" s="1"/>
  <c r="M554" i="44" s="1"/>
  <c r="N555" i="44" s="1"/>
  <c r="C543" i="44"/>
  <c r="D544" i="44" s="1"/>
  <c r="E545" i="44" s="1"/>
  <c r="C542" i="44"/>
  <c r="D543" i="44" s="1"/>
  <c r="E544" i="44" s="1"/>
  <c r="F545" i="44" s="1"/>
  <c r="G546" i="44" s="1"/>
  <c r="H547" i="44" s="1"/>
  <c r="I548" i="44" s="1"/>
  <c r="J549" i="44" s="1"/>
  <c r="K550" i="44" s="1"/>
  <c r="L551" i="44" s="1"/>
  <c r="M552" i="44" s="1"/>
  <c r="N553" i="44" s="1"/>
  <c r="C541" i="44"/>
  <c r="D542" i="44" s="1"/>
  <c r="E543" i="44" s="1"/>
  <c r="F544" i="44" s="1"/>
  <c r="G545" i="44" s="1"/>
  <c r="H546" i="44" s="1"/>
  <c r="I547" i="44" s="1"/>
  <c r="J548" i="44" s="1"/>
  <c r="K549" i="44" s="1"/>
  <c r="L550" i="44" s="1"/>
  <c r="M551" i="44" s="1"/>
  <c r="N552" i="44" s="1"/>
  <c r="F540" i="44"/>
  <c r="G541" i="44" s="1"/>
  <c r="H542" i="44" s="1"/>
  <c r="I543" i="44" s="1"/>
  <c r="J544" i="44" s="1"/>
  <c r="K545" i="44" s="1"/>
  <c r="L546" i="44" s="1"/>
  <c r="M547" i="44" s="1"/>
  <c r="N548" i="44" s="1"/>
  <c r="C540" i="44"/>
  <c r="D541" i="44" s="1"/>
  <c r="E542" i="44" s="1"/>
  <c r="F543" i="44" s="1"/>
  <c r="G544" i="44" s="1"/>
  <c r="H545" i="44" s="1"/>
  <c r="I546" i="44" s="1"/>
  <c r="J547" i="44" s="1"/>
  <c r="K548" i="44" s="1"/>
  <c r="L549" i="44" s="1"/>
  <c r="M550" i="44" s="1"/>
  <c r="N551" i="44" s="1"/>
  <c r="C539" i="44"/>
  <c r="D540" i="44" s="1"/>
  <c r="E541" i="44" s="1"/>
  <c r="F542" i="44" s="1"/>
  <c r="G543" i="44" s="1"/>
  <c r="H544" i="44" s="1"/>
  <c r="I545" i="44" s="1"/>
  <c r="J546" i="44" s="1"/>
  <c r="K547" i="44" s="1"/>
  <c r="L548" i="44" s="1"/>
  <c r="M549" i="44" s="1"/>
  <c r="N550" i="44" s="1"/>
  <c r="F538" i="44"/>
  <c r="G539" i="44" s="1"/>
  <c r="H540" i="44" s="1"/>
  <c r="I541" i="44" s="1"/>
  <c r="J542" i="44" s="1"/>
  <c r="K543" i="44" s="1"/>
  <c r="L544" i="44" s="1"/>
  <c r="M545" i="44" s="1"/>
  <c r="N546" i="44" s="1"/>
  <c r="C538" i="44"/>
  <c r="D539" i="44" s="1"/>
  <c r="E540" i="44" s="1"/>
  <c r="F541" i="44" s="1"/>
  <c r="G542" i="44" s="1"/>
  <c r="H543" i="44" s="1"/>
  <c r="I544" i="44" s="1"/>
  <c r="J545" i="44" s="1"/>
  <c r="K546" i="44" s="1"/>
  <c r="L547" i="44" s="1"/>
  <c r="M548" i="44" s="1"/>
  <c r="N549" i="44" s="1"/>
  <c r="C537" i="44"/>
  <c r="D538" i="44" s="1"/>
  <c r="E539" i="44" s="1"/>
  <c r="C536" i="44"/>
  <c r="D537" i="44" s="1"/>
  <c r="E538" i="44" s="1"/>
  <c r="F539" i="44" s="1"/>
  <c r="G540" i="44" s="1"/>
  <c r="H541" i="44" s="1"/>
  <c r="I542" i="44" s="1"/>
  <c r="J543" i="44" s="1"/>
  <c r="K544" i="44" s="1"/>
  <c r="L545" i="44" s="1"/>
  <c r="M546" i="44" s="1"/>
  <c r="N547" i="44" s="1"/>
  <c r="C535" i="44"/>
  <c r="D536" i="44" s="1"/>
  <c r="E537" i="44" s="1"/>
  <c r="C534" i="44"/>
  <c r="D535" i="44" s="1"/>
  <c r="E536" i="44" s="1"/>
  <c r="F537" i="44" s="1"/>
  <c r="G538" i="44" s="1"/>
  <c r="H539" i="44" s="1"/>
  <c r="I540" i="44" s="1"/>
  <c r="J541" i="44" s="1"/>
  <c r="K542" i="44" s="1"/>
  <c r="L543" i="44" s="1"/>
  <c r="M544" i="44" s="1"/>
  <c r="N545" i="44" s="1"/>
  <c r="C533" i="44"/>
  <c r="D534" i="44" s="1"/>
  <c r="E535" i="44" s="1"/>
  <c r="F536" i="44" s="1"/>
  <c r="G537" i="44" s="1"/>
  <c r="H538" i="44" s="1"/>
  <c r="I539" i="44" s="1"/>
  <c r="J540" i="44" s="1"/>
  <c r="K541" i="44" s="1"/>
  <c r="L542" i="44" s="1"/>
  <c r="M543" i="44" s="1"/>
  <c r="N544" i="44" s="1"/>
  <c r="F532" i="44"/>
  <c r="G533" i="44" s="1"/>
  <c r="H534" i="44" s="1"/>
  <c r="I535" i="44" s="1"/>
  <c r="J536" i="44" s="1"/>
  <c r="K537" i="44" s="1"/>
  <c r="L538" i="44" s="1"/>
  <c r="M539" i="44" s="1"/>
  <c r="N540" i="44" s="1"/>
  <c r="C532" i="44"/>
  <c r="D533" i="44" s="1"/>
  <c r="E534" i="44" s="1"/>
  <c r="F535" i="44" s="1"/>
  <c r="G536" i="44" s="1"/>
  <c r="H537" i="44" s="1"/>
  <c r="I538" i="44" s="1"/>
  <c r="J539" i="44" s="1"/>
  <c r="K540" i="44" s="1"/>
  <c r="L541" i="44" s="1"/>
  <c r="M542" i="44" s="1"/>
  <c r="N543" i="44" s="1"/>
  <c r="C531" i="44"/>
  <c r="D532" i="44" s="1"/>
  <c r="E533" i="44" s="1"/>
  <c r="F534" i="44" s="1"/>
  <c r="G535" i="44" s="1"/>
  <c r="H536" i="44" s="1"/>
  <c r="I537" i="44" s="1"/>
  <c r="J538" i="44" s="1"/>
  <c r="K539" i="44" s="1"/>
  <c r="L540" i="44" s="1"/>
  <c r="M541" i="44" s="1"/>
  <c r="N542" i="44" s="1"/>
  <c r="F530" i="44"/>
  <c r="G531" i="44" s="1"/>
  <c r="H532" i="44" s="1"/>
  <c r="I533" i="44" s="1"/>
  <c r="J534" i="44" s="1"/>
  <c r="K535" i="44" s="1"/>
  <c r="L536" i="44" s="1"/>
  <c r="M537" i="44" s="1"/>
  <c r="N538" i="44" s="1"/>
  <c r="C530" i="44"/>
  <c r="D531" i="44" s="1"/>
  <c r="E532" i="44" s="1"/>
  <c r="F533" i="44" s="1"/>
  <c r="G534" i="44" s="1"/>
  <c r="H535" i="44" s="1"/>
  <c r="I536" i="44" s="1"/>
  <c r="J537" i="44" s="1"/>
  <c r="K538" i="44" s="1"/>
  <c r="L539" i="44" s="1"/>
  <c r="M540" i="44" s="1"/>
  <c r="N541" i="44" s="1"/>
  <c r="C529" i="44"/>
  <c r="D530" i="44" s="1"/>
  <c r="E531" i="44" s="1"/>
  <c r="C528" i="44"/>
  <c r="D529" i="44" s="1"/>
  <c r="E530" i="44" s="1"/>
  <c r="F531" i="44" s="1"/>
  <c r="G532" i="44" s="1"/>
  <c r="H533" i="44" s="1"/>
  <c r="I534" i="44" s="1"/>
  <c r="J535" i="44" s="1"/>
  <c r="K536" i="44" s="1"/>
  <c r="L537" i="44" s="1"/>
  <c r="M538" i="44" s="1"/>
  <c r="N539" i="44" s="1"/>
  <c r="C527" i="44"/>
  <c r="D528" i="44" s="1"/>
  <c r="E529" i="44" s="1"/>
  <c r="C526" i="44"/>
  <c r="D527" i="44" s="1"/>
  <c r="E528" i="44" s="1"/>
  <c r="F529" i="44" s="1"/>
  <c r="G530" i="44" s="1"/>
  <c r="H531" i="44" s="1"/>
  <c r="I532" i="44" s="1"/>
  <c r="J533" i="44" s="1"/>
  <c r="K534" i="44" s="1"/>
  <c r="L535" i="44" s="1"/>
  <c r="M536" i="44" s="1"/>
  <c r="N537" i="44" s="1"/>
  <c r="C525" i="44"/>
  <c r="D526" i="44" s="1"/>
  <c r="E527" i="44" s="1"/>
  <c r="F528" i="44" s="1"/>
  <c r="G529" i="44" s="1"/>
  <c r="H530" i="44" s="1"/>
  <c r="I531" i="44" s="1"/>
  <c r="J532" i="44" s="1"/>
  <c r="K533" i="44" s="1"/>
  <c r="L534" i="44" s="1"/>
  <c r="M535" i="44" s="1"/>
  <c r="N536" i="44" s="1"/>
  <c r="F524" i="44"/>
  <c r="G525" i="44" s="1"/>
  <c r="H526" i="44" s="1"/>
  <c r="I527" i="44" s="1"/>
  <c r="J528" i="44" s="1"/>
  <c r="K529" i="44" s="1"/>
  <c r="L530" i="44" s="1"/>
  <c r="M531" i="44" s="1"/>
  <c r="N532" i="44" s="1"/>
  <c r="C524" i="44"/>
  <c r="D525" i="44" s="1"/>
  <c r="E526" i="44" s="1"/>
  <c r="F527" i="44" s="1"/>
  <c r="G528" i="44" s="1"/>
  <c r="H529" i="44" s="1"/>
  <c r="I530" i="44" s="1"/>
  <c r="J531" i="44" s="1"/>
  <c r="K532" i="44" s="1"/>
  <c r="L533" i="44" s="1"/>
  <c r="M534" i="44" s="1"/>
  <c r="N535" i="44" s="1"/>
  <c r="C523" i="44"/>
  <c r="D524" i="44" s="1"/>
  <c r="E525" i="44" s="1"/>
  <c r="F526" i="44" s="1"/>
  <c r="G527" i="44" s="1"/>
  <c r="H528" i="44" s="1"/>
  <c r="I529" i="44" s="1"/>
  <c r="J530" i="44" s="1"/>
  <c r="K531" i="44" s="1"/>
  <c r="L532" i="44" s="1"/>
  <c r="M533" i="44" s="1"/>
  <c r="N534" i="44" s="1"/>
  <c r="F522" i="44"/>
  <c r="G523" i="44" s="1"/>
  <c r="H524" i="44" s="1"/>
  <c r="I525" i="44" s="1"/>
  <c r="J526" i="44" s="1"/>
  <c r="K527" i="44" s="1"/>
  <c r="L528" i="44" s="1"/>
  <c r="M529" i="44" s="1"/>
  <c r="N530" i="44" s="1"/>
  <c r="C522" i="44"/>
  <c r="D523" i="44" s="1"/>
  <c r="E524" i="44" s="1"/>
  <c r="F525" i="44" s="1"/>
  <c r="G526" i="44" s="1"/>
  <c r="H527" i="44" s="1"/>
  <c r="I528" i="44" s="1"/>
  <c r="J529" i="44" s="1"/>
  <c r="K530" i="44" s="1"/>
  <c r="L531" i="44" s="1"/>
  <c r="M532" i="44" s="1"/>
  <c r="N533" i="44" s="1"/>
  <c r="C521" i="44"/>
  <c r="D522" i="44" s="1"/>
  <c r="E523" i="44" s="1"/>
  <c r="C520" i="44"/>
  <c r="D521" i="44" s="1"/>
  <c r="E522" i="44" s="1"/>
  <c r="F523" i="44" s="1"/>
  <c r="G524" i="44" s="1"/>
  <c r="H525" i="44" s="1"/>
  <c r="I526" i="44" s="1"/>
  <c r="J527" i="44" s="1"/>
  <c r="K528" i="44" s="1"/>
  <c r="L529" i="44" s="1"/>
  <c r="M530" i="44" s="1"/>
  <c r="N531" i="44" s="1"/>
  <c r="C519" i="44"/>
  <c r="D520" i="44" s="1"/>
  <c r="E521" i="44" s="1"/>
  <c r="C518" i="44"/>
  <c r="D519" i="44" s="1"/>
  <c r="E520" i="44" s="1"/>
  <c r="F521" i="44" s="1"/>
  <c r="G522" i="44" s="1"/>
  <c r="H523" i="44" s="1"/>
  <c r="I524" i="44" s="1"/>
  <c r="J525" i="44" s="1"/>
  <c r="K526" i="44" s="1"/>
  <c r="L527" i="44" s="1"/>
  <c r="M528" i="44" s="1"/>
  <c r="N529" i="44" s="1"/>
  <c r="C517" i="44"/>
  <c r="D518" i="44" s="1"/>
  <c r="E519" i="44" s="1"/>
  <c r="F520" i="44" s="1"/>
  <c r="G521" i="44" s="1"/>
  <c r="H522" i="44" s="1"/>
  <c r="I523" i="44" s="1"/>
  <c r="J524" i="44" s="1"/>
  <c r="K525" i="44" s="1"/>
  <c r="L526" i="44" s="1"/>
  <c r="M527" i="44" s="1"/>
  <c r="N528" i="44" s="1"/>
  <c r="F516" i="44"/>
  <c r="G517" i="44" s="1"/>
  <c r="H518" i="44" s="1"/>
  <c r="I519" i="44" s="1"/>
  <c r="J520" i="44" s="1"/>
  <c r="K521" i="44" s="1"/>
  <c r="L522" i="44" s="1"/>
  <c r="M523" i="44" s="1"/>
  <c r="N524" i="44" s="1"/>
  <c r="C516" i="44"/>
  <c r="D517" i="44" s="1"/>
  <c r="E518" i="44" s="1"/>
  <c r="F519" i="44" s="1"/>
  <c r="G520" i="44" s="1"/>
  <c r="H521" i="44" s="1"/>
  <c r="I522" i="44" s="1"/>
  <c r="J523" i="44" s="1"/>
  <c r="K524" i="44" s="1"/>
  <c r="L525" i="44" s="1"/>
  <c r="M526" i="44" s="1"/>
  <c r="N527" i="44" s="1"/>
  <c r="C515" i="44"/>
  <c r="D516" i="44" s="1"/>
  <c r="E517" i="44" s="1"/>
  <c r="F518" i="44" s="1"/>
  <c r="G519" i="44" s="1"/>
  <c r="H520" i="44" s="1"/>
  <c r="I521" i="44" s="1"/>
  <c r="J522" i="44" s="1"/>
  <c r="K523" i="44" s="1"/>
  <c r="L524" i="44" s="1"/>
  <c r="M525" i="44" s="1"/>
  <c r="N526" i="44" s="1"/>
  <c r="F514" i="44"/>
  <c r="G515" i="44" s="1"/>
  <c r="H516" i="44" s="1"/>
  <c r="I517" i="44" s="1"/>
  <c r="J518" i="44" s="1"/>
  <c r="K519" i="44" s="1"/>
  <c r="L520" i="44" s="1"/>
  <c r="M521" i="44" s="1"/>
  <c r="N522" i="44" s="1"/>
  <c r="C514" i="44"/>
  <c r="D515" i="44" s="1"/>
  <c r="E516" i="44" s="1"/>
  <c r="F517" i="44" s="1"/>
  <c r="G518" i="44" s="1"/>
  <c r="H519" i="44" s="1"/>
  <c r="I520" i="44" s="1"/>
  <c r="J521" i="44" s="1"/>
  <c r="K522" i="44" s="1"/>
  <c r="L523" i="44" s="1"/>
  <c r="M524" i="44" s="1"/>
  <c r="N525" i="44" s="1"/>
  <c r="C513" i="44"/>
  <c r="D514" i="44" s="1"/>
  <c r="E515" i="44" s="1"/>
  <c r="C512" i="44"/>
  <c r="D513" i="44" s="1"/>
  <c r="E514" i="44" s="1"/>
  <c r="F515" i="44" s="1"/>
  <c r="G516" i="44" s="1"/>
  <c r="H517" i="44" s="1"/>
  <c r="I518" i="44" s="1"/>
  <c r="J519" i="44" s="1"/>
  <c r="K520" i="44" s="1"/>
  <c r="L521" i="44" s="1"/>
  <c r="M522" i="44" s="1"/>
  <c r="N523" i="44" s="1"/>
  <c r="C511" i="44"/>
  <c r="D512" i="44" s="1"/>
  <c r="E513" i="44" s="1"/>
  <c r="C510" i="44"/>
  <c r="D511" i="44" s="1"/>
  <c r="E512" i="44" s="1"/>
  <c r="F513" i="44" s="1"/>
  <c r="G514" i="44" s="1"/>
  <c r="H515" i="44" s="1"/>
  <c r="I516" i="44" s="1"/>
  <c r="J517" i="44" s="1"/>
  <c r="K518" i="44" s="1"/>
  <c r="L519" i="44" s="1"/>
  <c r="M520" i="44" s="1"/>
  <c r="N521" i="44" s="1"/>
  <c r="C509" i="44"/>
  <c r="D510" i="44" s="1"/>
  <c r="E511" i="44" s="1"/>
  <c r="F512" i="44" s="1"/>
  <c r="G513" i="44" s="1"/>
  <c r="H514" i="44" s="1"/>
  <c r="I515" i="44" s="1"/>
  <c r="J516" i="44" s="1"/>
  <c r="K517" i="44" s="1"/>
  <c r="L518" i="44" s="1"/>
  <c r="M519" i="44" s="1"/>
  <c r="N520" i="44" s="1"/>
  <c r="F508" i="44"/>
  <c r="G509" i="44" s="1"/>
  <c r="H510" i="44" s="1"/>
  <c r="I511" i="44" s="1"/>
  <c r="J512" i="44" s="1"/>
  <c r="K513" i="44" s="1"/>
  <c r="L514" i="44" s="1"/>
  <c r="M515" i="44" s="1"/>
  <c r="N516" i="44" s="1"/>
  <c r="C508" i="44"/>
  <c r="D509" i="44" s="1"/>
  <c r="E510" i="44" s="1"/>
  <c r="F511" i="44" s="1"/>
  <c r="G512" i="44" s="1"/>
  <c r="H513" i="44" s="1"/>
  <c r="I514" i="44" s="1"/>
  <c r="J515" i="44" s="1"/>
  <c r="K516" i="44" s="1"/>
  <c r="L517" i="44" s="1"/>
  <c r="M518" i="44" s="1"/>
  <c r="N519" i="44" s="1"/>
  <c r="C507" i="44"/>
  <c r="D508" i="44" s="1"/>
  <c r="E509" i="44" s="1"/>
  <c r="F510" i="44" s="1"/>
  <c r="G511" i="44" s="1"/>
  <c r="H512" i="44" s="1"/>
  <c r="I513" i="44" s="1"/>
  <c r="J514" i="44" s="1"/>
  <c r="K515" i="44" s="1"/>
  <c r="L516" i="44" s="1"/>
  <c r="M517" i="44" s="1"/>
  <c r="N518" i="44" s="1"/>
  <c r="F506" i="44"/>
  <c r="G507" i="44" s="1"/>
  <c r="H508" i="44" s="1"/>
  <c r="I509" i="44" s="1"/>
  <c r="J510" i="44" s="1"/>
  <c r="K511" i="44" s="1"/>
  <c r="L512" i="44" s="1"/>
  <c r="M513" i="44" s="1"/>
  <c r="N514" i="44" s="1"/>
  <c r="C506" i="44"/>
  <c r="D507" i="44" s="1"/>
  <c r="E508" i="44" s="1"/>
  <c r="F509" i="44" s="1"/>
  <c r="G510" i="44" s="1"/>
  <c r="H511" i="44" s="1"/>
  <c r="I512" i="44" s="1"/>
  <c r="J513" i="44" s="1"/>
  <c r="K514" i="44" s="1"/>
  <c r="L515" i="44" s="1"/>
  <c r="M516" i="44" s="1"/>
  <c r="N517" i="44" s="1"/>
  <c r="C505" i="44"/>
  <c r="D506" i="44" s="1"/>
  <c r="E507" i="44" s="1"/>
  <c r="C504" i="44"/>
  <c r="D505" i="44" s="1"/>
  <c r="E506" i="44" s="1"/>
  <c r="F507" i="44" s="1"/>
  <c r="G508" i="44" s="1"/>
  <c r="H509" i="44" s="1"/>
  <c r="I510" i="44" s="1"/>
  <c r="J511" i="44" s="1"/>
  <c r="K512" i="44" s="1"/>
  <c r="L513" i="44" s="1"/>
  <c r="M514" i="44" s="1"/>
  <c r="N515" i="44" s="1"/>
  <c r="C503" i="44"/>
  <c r="D504" i="44" s="1"/>
  <c r="E505" i="44" s="1"/>
  <c r="C502" i="44"/>
  <c r="D503" i="44" s="1"/>
  <c r="E504" i="44" s="1"/>
  <c r="F505" i="44" s="1"/>
  <c r="G506" i="44" s="1"/>
  <c r="H507" i="44" s="1"/>
  <c r="I508" i="44" s="1"/>
  <c r="J509" i="44" s="1"/>
  <c r="K510" i="44" s="1"/>
  <c r="L511" i="44" s="1"/>
  <c r="M512" i="44" s="1"/>
  <c r="N513" i="44" s="1"/>
  <c r="C501" i="44"/>
  <c r="D502" i="44" s="1"/>
  <c r="E503" i="44" s="1"/>
  <c r="F504" i="44" s="1"/>
  <c r="G505" i="44" s="1"/>
  <c r="H506" i="44" s="1"/>
  <c r="I507" i="44" s="1"/>
  <c r="J508" i="44" s="1"/>
  <c r="K509" i="44" s="1"/>
  <c r="L510" i="44" s="1"/>
  <c r="M511" i="44" s="1"/>
  <c r="N512" i="44" s="1"/>
  <c r="F500" i="44"/>
  <c r="G501" i="44" s="1"/>
  <c r="H502" i="44" s="1"/>
  <c r="I503" i="44" s="1"/>
  <c r="J504" i="44" s="1"/>
  <c r="K505" i="44" s="1"/>
  <c r="L506" i="44" s="1"/>
  <c r="M507" i="44" s="1"/>
  <c r="N508" i="44" s="1"/>
  <c r="C500" i="44"/>
  <c r="D501" i="44" s="1"/>
  <c r="E502" i="44" s="1"/>
  <c r="F503" i="44" s="1"/>
  <c r="G504" i="44" s="1"/>
  <c r="H505" i="44" s="1"/>
  <c r="I506" i="44" s="1"/>
  <c r="J507" i="44" s="1"/>
  <c r="K508" i="44" s="1"/>
  <c r="L509" i="44" s="1"/>
  <c r="M510" i="44" s="1"/>
  <c r="N511" i="44" s="1"/>
  <c r="C499" i="44"/>
  <c r="D500" i="44" s="1"/>
  <c r="E501" i="44" s="1"/>
  <c r="F502" i="44" s="1"/>
  <c r="G503" i="44" s="1"/>
  <c r="H504" i="44" s="1"/>
  <c r="I505" i="44" s="1"/>
  <c r="J506" i="44" s="1"/>
  <c r="K507" i="44" s="1"/>
  <c r="L508" i="44" s="1"/>
  <c r="M509" i="44" s="1"/>
  <c r="N510" i="44" s="1"/>
  <c r="F498" i="44"/>
  <c r="G499" i="44" s="1"/>
  <c r="H500" i="44" s="1"/>
  <c r="I501" i="44" s="1"/>
  <c r="J502" i="44" s="1"/>
  <c r="K503" i="44" s="1"/>
  <c r="L504" i="44" s="1"/>
  <c r="M505" i="44" s="1"/>
  <c r="N506" i="44" s="1"/>
  <c r="C498" i="44"/>
  <c r="D499" i="44" s="1"/>
  <c r="E500" i="44" s="1"/>
  <c r="F501" i="44" s="1"/>
  <c r="G502" i="44" s="1"/>
  <c r="H503" i="44" s="1"/>
  <c r="I504" i="44" s="1"/>
  <c r="J505" i="44" s="1"/>
  <c r="K506" i="44" s="1"/>
  <c r="L507" i="44" s="1"/>
  <c r="M508" i="44" s="1"/>
  <c r="N509" i="44" s="1"/>
  <c r="C497" i="44"/>
  <c r="D498" i="44" s="1"/>
  <c r="E499" i="44" s="1"/>
  <c r="C496" i="44"/>
  <c r="D497" i="44" s="1"/>
  <c r="E498" i="44" s="1"/>
  <c r="F499" i="44" s="1"/>
  <c r="G500" i="44" s="1"/>
  <c r="H501" i="44" s="1"/>
  <c r="I502" i="44" s="1"/>
  <c r="J503" i="44" s="1"/>
  <c r="K504" i="44" s="1"/>
  <c r="L505" i="44" s="1"/>
  <c r="M506" i="44" s="1"/>
  <c r="N507" i="44" s="1"/>
  <c r="C495" i="44"/>
  <c r="D496" i="44" s="1"/>
  <c r="E497" i="44" s="1"/>
  <c r="C494" i="44"/>
  <c r="D495" i="44" s="1"/>
  <c r="E496" i="44" s="1"/>
  <c r="F497" i="44" s="1"/>
  <c r="G498" i="44" s="1"/>
  <c r="H499" i="44" s="1"/>
  <c r="I500" i="44" s="1"/>
  <c r="J501" i="44" s="1"/>
  <c r="K502" i="44" s="1"/>
  <c r="L503" i="44" s="1"/>
  <c r="M504" i="44" s="1"/>
  <c r="N505" i="44" s="1"/>
  <c r="C493" i="44"/>
  <c r="D494" i="44" s="1"/>
  <c r="E495" i="44" s="1"/>
  <c r="F496" i="44" s="1"/>
  <c r="G497" i="44" s="1"/>
  <c r="H498" i="44" s="1"/>
  <c r="I499" i="44" s="1"/>
  <c r="J500" i="44" s="1"/>
  <c r="K501" i="44" s="1"/>
  <c r="L502" i="44" s="1"/>
  <c r="M503" i="44" s="1"/>
  <c r="N504" i="44" s="1"/>
  <c r="F492" i="44"/>
  <c r="G493" i="44" s="1"/>
  <c r="H494" i="44" s="1"/>
  <c r="I495" i="44" s="1"/>
  <c r="J496" i="44" s="1"/>
  <c r="K497" i="44" s="1"/>
  <c r="L498" i="44" s="1"/>
  <c r="M499" i="44" s="1"/>
  <c r="N500" i="44" s="1"/>
  <c r="C492" i="44"/>
  <c r="D493" i="44" s="1"/>
  <c r="E494" i="44" s="1"/>
  <c r="F495" i="44" s="1"/>
  <c r="G496" i="44" s="1"/>
  <c r="H497" i="44" s="1"/>
  <c r="I498" i="44" s="1"/>
  <c r="J499" i="44" s="1"/>
  <c r="K500" i="44" s="1"/>
  <c r="L501" i="44" s="1"/>
  <c r="M502" i="44" s="1"/>
  <c r="N503" i="44" s="1"/>
  <c r="C491" i="44"/>
  <c r="D492" i="44" s="1"/>
  <c r="E493" i="44" s="1"/>
  <c r="F494" i="44" s="1"/>
  <c r="G495" i="44" s="1"/>
  <c r="H496" i="44" s="1"/>
  <c r="I497" i="44" s="1"/>
  <c r="J498" i="44" s="1"/>
  <c r="K499" i="44" s="1"/>
  <c r="L500" i="44" s="1"/>
  <c r="M501" i="44" s="1"/>
  <c r="N502" i="44" s="1"/>
  <c r="F490" i="44"/>
  <c r="G491" i="44" s="1"/>
  <c r="H492" i="44" s="1"/>
  <c r="I493" i="44" s="1"/>
  <c r="J494" i="44" s="1"/>
  <c r="K495" i="44" s="1"/>
  <c r="L496" i="44" s="1"/>
  <c r="M497" i="44" s="1"/>
  <c r="N498" i="44" s="1"/>
  <c r="C490" i="44"/>
  <c r="D491" i="44" s="1"/>
  <c r="E492" i="44" s="1"/>
  <c r="F493" i="44" s="1"/>
  <c r="G494" i="44" s="1"/>
  <c r="H495" i="44" s="1"/>
  <c r="I496" i="44" s="1"/>
  <c r="J497" i="44" s="1"/>
  <c r="K498" i="44" s="1"/>
  <c r="L499" i="44" s="1"/>
  <c r="M500" i="44" s="1"/>
  <c r="N501" i="44" s="1"/>
  <c r="C489" i="44"/>
  <c r="D490" i="44" s="1"/>
  <c r="E491" i="44" s="1"/>
  <c r="C488" i="44"/>
  <c r="D489" i="44" s="1"/>
  <c r="E490" i="44" s="1"/>
  <c r="F491" i="44" s="1"/>
  <c r="G492" i="44" s="1"/>
  <c r="H493" i="44" s="1"/>
  <c r="I494" i="44" s="1"/>
  <c r="J495" i="44" s="1"/>
  <c r="K496" i="44" s="1"/>
  <c r="L497" i="44" s="1"/>
  <c r="M498" i="44" s="1"/>
  <c r="N499" i="44" s="1"/>
  <c r="C487" i="44"/>
  <c r="D488" i="44" s="1"/>
  <c r="E489" i="44" s="1"/>
  <c r="C486" i="44"/>
  <c r="D487" i="44" s="1"/>
  <c r="E488" i="44" s="1"/>
  <c r="F489" i="44" s="1"/>
  <c r="G490" i="44" s="1"/>
  <c r="H491" i="44" s="1"/>
  <c r="I492" i="44" s="1"/>
  <c r="J493" i="44" s="1"/>
  <c r="K494" i="44" s="1"/>
  <c r="L495" i="44" s="1"/>
  <c r="M496" i="44" s="1"/>
  <c r="N497" i="44" s="1"/>
  <c r="C485" i="44"/>
  <c r="D486" i="44" s="1"/>
  <c r="E487" i="44" s="1"/>
  <c r="F488" i="44" s="1"/>
  <c r="G489" i="44" s="1"/>
  <c r="H490" i="44" s="1"/>
  <c r="I491" i="44" s="1"/>
  <c r="J492" i="44" s="1"/>
  <c r="K493" i="44" s="1"/>
  <c r="L494" i="44" s="1"/>
  <c r="M495" i="44" s="1"/>
  <c r="N496" i="44" s="1"/>
  <c r="F484" i="44"/>
  <c r="G485" i="44" s="1"/>
  <c r="H486" i="44" s="1"/>
  <c r="I487" i="44" s="1"/>
  <c r="J488" i="44" s="1"/>
  <c r="K489" i="44" s="1"/>
  <c r="L490" i="44" s="1"/>
  <c r="M491" i="44" s="1"/>
  <c r="N492" i="44" s="1"/>
  <c r="C484" i="44"/>
  <c r="D485" i="44" s="1"/>
  <c r="E486" i="44" s="1"/>
  <c r="F487" i="44" s="1"/>
  <c r="G488" i="44" s="1"/>
  <c r="H489" i="44" s="1"/>
  <c r="I490" i="44" s="1"/>
  <c r="J491" i="44" s="1"/>
  <c r="K492" i="44" s="1"/>
  <c r="L493" i="44" s="1"/>
  <c r="M494" i="44" s="1"/>
  <c r="N495" i="44" s="1"/>
  <c r="C483" i="44"/>
  <c r="D484" i="44" s="1"/>
  <c r="E485" i="44" s="1"/>
  <c r="F486" i="44" s="1"/>
  <c r="G487" i="44" s="1"/>
  <c r="H488" i="44" s="1"/>
  <c r="I489" i="44" s="1"/>
  <c r="J490" i="44" s="1"/>
  <c r="K491" i="44" s="1"/>
  <c r="L492" i="44" s="1"/>
  <c r="M493" i="44" s="1"/>
  <c r="N494" i="44" s="1"/>
  <c r="F482" i="44"/>
  <c r="G483" i="44" s="1"/>
  <c r="H484" i="44" s="1"/>
  <c r="I485" i="44" s="1"/>
  <c r="J486" i="44" s="1"/>
  <c r="K487" i="44" s="1"/>
  <c r="L488" i="44" s="1"/>
  <c r="M489" i="44" s="1"/>
  <c r="N490" i="44" s="1"/>
  <c r="C482" i="44"/>
  <c r="D483" i="44" s="1"/>
  <c r="E484" i="44" s="1"/>
  <c r="F485" i="44" s="1"/>
  <c r="G486" i="44" s="1"/>
  <c r="H487" i="44" s="1"/>
  <c r="I488" i="44" s="1"/>
  <c r="J489" i="44" s="1"/>
  <c r="K490" i="44" s="1"/>
  <c r="L491" i="44" s="1"/>
  <c r="M492" i="44" s="1"/>
  <c r="N493" i="44" s="1"/>
  <c r="C481" i="44"/>
  <c r="D482" i="44" s="1"/>
  <c r="E483" i="44" s="1"/>
  <c r="F480" i="44"/>
  <c r="G481" i="44" s="1"/>
  <c r="H482" i="44" s="1"/>
  <c r="I483" i="44" s="1"/>
  <c r="J484" i="44" s="1"/>
  <c r="K485" i="44" s="1"/>
  <c r="L486" i="44" s="1"/>
  <c r="M487" i="44" s="1"/>
  <c r="N488" i="44" s="1"/>
  <c r="C480" i="44"/>
  <c r="D481" i="44" s="1"/>
  <c r="E482" i="44" s="1"/>
  <c r="F483" i="44" s="1"/>
  <c r="G484" i="44" s="1"/>
  <c r="H485" i="44" s="1"/>
  <c r="I486" i="44" s="1"/>
  <c r="J487" i="44" s="1"/>
  <c r="K488" i="44" s="1"/>
  <c r="L489" i="44" s="1"/>
  <c r="M490" i="44" s="1"/>
  <c r="N491" i="44" s="1"/>
  <c r="C479" i="44"/>
  <c r="D480" i="44" s="1"/>
  <c r="E481" i="44" s="1"/>
  <c r="C478" i="44"/>
  <c r="D479" i="44" s="1"/>
  <c r="E480" i="44" s="1"/>
  <c r="F481" i="44" s="1"/>
  <c r="G482" i="44" s="1"/>
  <c r="H483" i="44" s="1"/>
  <c r="I484" i="44" s="1"/>
  <c r="J485" i="44" s="1"/>
  <c r="K486" i="44" s="1"/>
  <c r="L487" i="44" s="1"/>
  <c r="M488" i="44" s="1"/>
  <c r="N489" i="44" s="1"/>
  <c r="C477" i="44"/>
  <c r="D478" i="44" s="1"/>
  <c r="E479" i="44" s="1"/>
  <c r="C476" i="44"/>
  <c r="D477" i="44" s="1"/>
  <c r="E478" i="44" s="1"/>
  <c r="F479" i="44" s="1"/>
  <c r="G480" i="44" s="1"/>
  <c r="H481" i="44" s="1"/>
  <c r="I482" i="44" s="1"/>
  <c r="J483" i="44" s="1"/>
  <c r="K484" i="44" s="1"/>
  <c r="L485" i="44" s="1"/>
  <c r="M486" i="44" s="1"/>
  <c r="N487" i="44" s="1"/>
  <c r="C475" i="44"/>
  <c r="D476" i="44" s="1"/>
  <c r="E477" i="44" s="1"/>
  <c r="F478" i="44" s="1"/>
  <c r="G479" i="44" s="1"/>
  <c r="H480" i="44" s="1"/>
  <c r="I481" i="44" s="1"/>
  <c r="J482" i="44" s="1"/>
  <c r="K483" i="44" s="1"/>
  <c r="L484" i="44" s="1"/>
  <c r="M485" i="44" s="1"/>
  <c r="N486" i="44" s="1"/>
  <c r="C474" i="44"/>
  <c r="D475" i="44" s="1"/>
  <c r="E476" i="44" s="1"/>
  <c r="F477" i="44" s="1"/>
  <c r="G478" i="44" s="1"/>
  <c r="H479" i="44" s="1"/>
  <c r="I480" i="44" s="1"/>
  <c r="J481" i="44" s="1"/>
  <c r="K482" i="44" s="1"/>
  <c r="L483" i="44" s="1"/>
  <c r="M484" i="44" s="1"/>
  <c r="N485" i="44" s="1"/>
  <c r="F473" i="44"/>
  <c r="G474" i="44" s="1"/>
  <c r="H475" i="44" s="1"/>
  <c r="I476" i="44" s="1"/>
  <c r="J477" i="44" s="1"/>
  <c r="K478" i="44" s="1"/>
  <c r="L479" i="44" s="1"/>
  <c r="M480" i="44" s="1"/>
  <c r="N481" i="44" s="1"/>
  <c r="C473" i="44"/>
  <c r="D474" i="44" s="1"/>
  <c r="E475" i="44" s="1"/>
  <c r="F476" i="44" s="1"/>
  <c r="G477" i="44" s="1"/>
  <c r="H478" i="44" s="1"/>
  <c r="I479" i="44" s="1"/>
  <c r="J480" i="44" s="1"/>
  <c r="K481" i="44" s="1"/>
  <c r="L482" i="44" s="1"/>
  <c r="M483" i="44" s="1"/>
  <c r="N484" i="44" s="1"/>
  <c r="C472" i="44"/>
  <c r="D473" i="44" s="1"/>
  <c r="E474" i="44" s="1"/>
  <c r="F475" i="44" s="1"/>
  <c r="G476" i="44" s="1"/>
  <c r="H477" i="44" s="1"/>
  <c r="I478" i="44" s="1"/>
  <c r="J479" i="44" s="1"/>
  <c r="K480" i="44" s="1"/>
  <c r="L481" i="44" s="1"/>
  <c r="M482" i="44" s="1"/>
  <c r="N483" i="44" s="1"/>
  <c r="F471" i="44"/>
  <c r="G472" i="44" s="1"/>
  <c r="H473" i="44" s="1"/>
  <c r="I474" i="44" s="1"/>
  <c r="J475" i="44" s="1"/>
  <c r="K476" i="44" s="1"/>
  <c r="L477" i="44" s="1"/>
  <c r="M478" i="44" s="1"/>
  <c r="N479" i="44" s="1"/>
  <c r="C471" i="44"/>
  <c r="D472" i="44" s="1"/>
  <c r="E473" i="44" s="1"/>
  <c r="F474" i="44" s="1"/>
  <c r="G475" i="44" s="1"/>
  <c r="H476" i="44" s="1"/>
  <c r="I477" i="44" s="1"/>
  <c r="J478" i="44" s="1"/>
  <c r="K479" i="44" s="1"/>
  <c r="L480" i="44" s="1"/>
  <c r="M481" i="44" s="1"/>
  <c r="N482" i="44" s="1"/>
  <c r="C470" i="44"/>
  <c r="D471" i="44" s="1"/>
  <c r="E472" i="44" s="1"/>
  <c r="C469" i="44"/>
  <c r="D470" i="44" s="1"/>
  <c r="E471" i="44" s="1"/>
  <c r="F472" i="44" s="1"/>
  <c r="G473" i="44" s="1"/>
  <c r="H474" i="44" s="1"/>
  <c r="I475" i="44" s="1"/>
  <c r="J476" i="44" s="1"/>
  <c r="K477" i="44" s="1"/>
  <c r="L478" i="44" s="1"/>
  <c r="M479" i="44" s="1"/>
  <c r="N480" i="44" s="1"/>
  <c r="C468" i="44"/>
  <c r="D469" i="44" s="1"/>
  <c r="E470" i="44" s="1"/>
  <c r="C467" i="44"/>
  <c r="D468" i="44" s="1"/>
  <c r="E469" i="44" s="1"/>
  <c r="F470" i="44" s="1"/>
  <c r="G471" i="44" s="1"/>
  <c r="H472" i="44" s="1"/>
  <c r="I473" i="44" s="1"/>
  <c r="J474" i="44" s="1"/>
  <c r="K475" i="44" s="1"/>
  <c r="L476" i="44" s="1"/>
  <c r="M477" i="44" s="1"/>
  <c r="N478" i="44" s="1"/>
  <c r="C466" i="44"/>
  <c r="D467" i="44" s="1"/>
  <c r="E468" i="44" s="1"/>
  <c r="F469" i="44" s="1"/>
  <c r="G470" i="44" s="1"/>
  <c r="H471" i="44" s="1"/>
  <c r="I472" i="44" s="1"/>
  <c r="J473" i="44" s="1"/>
  <c r="K474" i="44" s="1"/>
  <c r="L475" i="44" s="1"/>
  <c r="M476" i="44" s="1"/>
  <c r="N477" i="44" s="1"/>
  <c r="F465" i="44"/>
  <c r="G466" i="44" s="1"/>
  <c r="H467" i="44" s="1"/>
  <c r="I468" i="44" s="1"/>
  <c r="J469" i="44" s="1"/>
  <c r="K470" i="44" s="1"/>
  <c r="L471" i="44" s="1"/>
  <c r="M472" i="44" s="1"/>
  <c r="N473" i="44" s="1"/>
  <c r="C465" i="44"/>
  <c r="D466" i="44" s="1"/>
  <c r="E467" i="44" s="1"/>
  <c r="F468" i="44" s="1"/>
  <c r="G469" i="44" s="1"/>
  <c r="H470" i="44" s="1"/>
  <c r="I471" i="44" s="1"/>
  <c r="J472" i="44" s="1"/>
  <c r="K473" i="44" s="1"/>
  <c r="L474" i="44" s="1"/>
  <c r="M475" i="44" s="1"/>
  <c r="N476" i="44" s="1"/>
  <c r="C464" i="44"/>
  <c r="D465" i="44" s="1"/>
  <c r="E466" i="44" s="1"/>
  <c r="F467" i="44" s="1"/>
  <c r="G468" i="44" s="1"/>
  <c r="H469" i="44" s="1"/>
  <c r="I470" i="44" s="1"/>
  <c r="J471" i="44" s="1"/>
  <c r="K472" i="44" s="1"/>
  <c r="L473" i="44" s="1"/>
  <c r="M474" i="44" s="1"/>
  <c r="N475" i="44" s="1"/>
  <c r="F463" i="44"/>
  <c r="G464" i="44" s="1"/>
  <c r="H465" i="44" s="1"/>
  <c r="I466" i="44" s="1"/>
  <c r="J467" i="44" s="1"/>
  <c r="K468" i="44" s="1"/>
  <c r="L469" i="44" s="1"/>
  <c r="M470" i="44" s="1"/>
  <c r="N471" i="44" s="1"/>
  <c r="C463" i="44"/>
  <c r="D464" i="44" s="1"/>
  <c r="E465" i="44" s="1"/>
  <c r="F466" i="44" s="1"/>
  <c r="G467" i="44" s="1"/>
  <c r="H468" i="44" s="1"/>
  <c r="I469" i="44" s="1"/>
  <c r="J470" i="44" s="1"/>
  <c r="K471" i="44" s="1"/>
  <c r="L472" i="44" s="1"/>
  <c r="M473" i="44" s="1"/>
  <c r="N474" i="44" s="1"/>
  <c r="C462" i="44"/>
  <c r="D463" i="44" s="1"/>
  <c r="E464" i="44" s="1"/>
  <c r="C461" i="44"/>
  <c r="D462" i="44" s="1"/>
  <c r="E463" i="44" s="1"/>
  <c r="F464" i="44" s="1"/>
  <c r="G465" i="44" s="1"/>
  <c r="H466" i="44" s="1"/>
  <c r="I467" i="44" s="1"/>
  <c r="J468" i="44" s="1"/>
  <c r="K469" i="44" s="1"/>
  <c r="L470" i="44" s="1"/>
  <c r="M471" i="44" s="1"/>
  <c r="N472" i="44" s="1"/>
  <c r="C460" i="44"/>
  <c r="D461" i="44" s="1"/>
  <c r="E462" i="44" s="1"/>
  <c r="C459" i="44"/>
  <c r="D460" i="44" s="1"/>
  <c r="E461" i="44" s="1"/>
  <c r="F462" i="44" s="1"/>
  <c r="G463" i="44" s="1"/>
  <c r="H464" i="44" s="1"/>
  <c r="I465" i="44" s="1"/>
  <c r="J466" i="44" s="1"/>
  <c r="K467" i="44" s="1"/>
  <c r="L468" i="44" s="1"/>
  <c r="M469" i="44" s="1"/>
  <c r="N470" i="44" s="1"/>
  <c r="C458" i="44"/>
  <c r="D459" i="44" s="1"/>
  <c r="E460" i="44" s="1"/>
  <c r="F461" i="44" s="1"/>
  <c r="G462" i="44" s="1"/>
  <c r="H463" i="44" s="1"/>
  <c r="I464" i="44" s="1"/>
  <c r="J465" i="44" s="1"/>
  <c r="K466" i="44" s="1"/>
  <c r="L467" i="44" s="1"/>
  <c r="M468" i="44" s="1"/>
  <c r="N469" i="44" s="1"/>
  <c r="C457" i="44"/>
  <c r="D458" i="44" s="1"/>
  <c r="E459" i="44" s="1"/>
  <c r="F460" i="44" s="1"/>
  <c r="G461" i="44" s="1"/>
  <c r="H462" i="44" s="1"/>
  <c r="I463" i="44" s="1"/>
  <c r="J464" i="44" s="1"/>
  <c r="K465" i="44" s="1"/>
  <c r="L466" i="44" s="1"/>
  <c r="M467" i="44" s="1"/>
  <c r="N468" i="44" s="1"/>
  <c r="C456" i="44"/>
  <c r="D457" i="44" s="1"/>
  <c r="E458" i="44" s="1"/>
  <c r="F459" i="44" s="1"/>
  <c r="G460" i="44" s="1"/>
  <c r="H461" i="44" s="1"/>
  <c r="I462" i="44" s="1"/>
  <c r="J463" i="44" s="1"/>
  <c r="K464" i="44" s="1"/>
  <c r="L465" i="44" s="1"/>
  <c r="M466" i="44" s="1"/>
  <c r="N467" i="44" s="1"/>
  <c r="C455" i="44"/>
  <c r="D456" i="44" s="1"/>
  <c r="E457" i="44" s="1"/>
  <c r="F458" i="44" s="1"/>
  <c r="G459" i="44" s="1"/>
  <c r="H460" i="44" s="1"/>
  <c r="I461" i="44" s="1"/>
  <c r="J462" i="44" s="1"/>
  <c r="K463" i="44" s="1"/>
  <c r="L464" i="44" s="1"/>
  <c r="M465" i="44" s="1"/>
  <c r="N466" i="44" s="1"/>
  <c r="C454" i="44"/>
  <c r="D455" i="44" s="1"/>
  <c r="E456" i="44" s="1"/>
  <c r="F457" i="44" s="1"/>
  <c r="G458" i="44" s="1"/>
  <c r="H459" i="44" s="1"/>
  <c r="I460" i="44" s="1"/>
  <c r="J461" i="44" s="1"/>
  <c r="K462" i="44" s="1"/>
  <c r="L463" i="44" s="1"/>
  <c r="M464" i="44" s="1"/>
  <c r="N465" i="44" s="1"/>
  <c r="C453" i="44"/>
  <c r="D454" i="44" s="1"/>
  <c r="E455" i="44" s="1"/>
  <c r="F456" i="44" s="1"/>
  <c r="G457" i="44" s="1"/>
  <c r="H458" i="44" s="1"/>
  <c r="I459" i="44" s="1"/>
  <c r="J460" i="44" s="1"/>
  <c r="K461" i="44" s="1"/>
  <c r="L462" i="44" s="1"/>
  <c r="M463" i="44" s="1"/>
  <c r="N464" i="44" s="1"/>
  <c r="C452" i="44"/>
  <c r="D453" i="44" s="1"/>
  <c r="E454" i="44" s="1"/>
  <c r="F455" i="44" s="1"/>
  <c r="G456" i="44" s="1"/>
  <c r="H457" i="44" s="1"/>
  <c r="I458" i="44" s="1"/>
  <c r="J459" i="44" s="1"/>
  <c r="K460" i="44" s="1"/>
  <c r="L461" i="44" s="1"/>
  <c r="M462" i="44" s="1"/>
  <c r="N463" i="44" s="1"/>
  <c r="C451" i="44"/>
  <c r="D452" i="44" s="1"/>
  <c r="E453" i="44" s="1"/>
  <c r="F454" i="44" s="1"/>
  <c r="G455" i="44" s="1"/>
  <c r="H456" i="44" s="1"/>
  <c r="I457" i="44" s="1"/>
  <c r="J458" i="44" s="1"/>
  <c r="K459" i="44" s="1"/>
  <c r="L460" i="44" s="1"/>
  <c r="M461" i="44" s="1"/>
  <c r="N462" i="44" s="1"/>
  <c r="C450" i="44"/>
  <c r="D451" i="44" s="1"/>
  <c r="E452" i="44" s="1"/>
  <c r="F453" i="44" s="1"/>
  <c r="G454" i="44" s="1"/>
  <c r="H455" i="44" s="1"/>
  <c r="I456" i="44" s="1"/>
  <c r="J457" i="44" s="1"/>
  <c r="K458" i="44" s="1"/>
  <c r="L459" i="44" s="1"/>
  <c r="M460" i="44" s="1"/>
  <c r="N461" i="44" s="1"/>
  <c r="C449" i="44"/>
  <c r="D450" i="44" s="1"/>
  <c r="E451" i="44" s="1"/>
  <c r="F452" i="44" s="1"/>
  <c r="G453" i="44" s="1"/>
  <c r="H454" i="44" s="1"/>
  <c r="I455" i="44" s="1"/>
  <c r="J456" i="44" s="1"/>
  <c r="K457" i="44" s="1"/>
  <c r="L458" i="44" s="1"/>
  <c r="M459" i="44" s="1"/>
  <c r="N460" i="44" s="1"/>
  <c r="C448" i="44"/>
  <c r="D449" i="44" s="1"/>
  <c r="E450" i="44" s="1"/>
  <c r="F451" i="44" s="1"/>
  <c r="G452" i="44" s="1"/>
  <c r="H453" i="44" s="1"/>
  <c r="I454" i="44" s="1"/>
  <c r="J455" i="44" s="1"/>
  <c r="K456" i="44" s="1"/>
  <c r="L457" i="44" s="1"/>
  <c r="M458" i="44" s="1"/>
  <c r="N459" i="44" s="1"/>
  <c r="C447" i="44"/>
  <c r="D448" i="44" s="1"/>
  <c r="E449" i="44" s="1"/>
  <c r="F450" i="44" s="1"/>
  <c r="G451" i="44" s="1"/>
  <c r="H452" i="44" s="1"/>
  <c r="I453" i="44" s="1"/>
  <c r="J454" i="44" s="1"/>
  <c r="K455" i="44" s="1"/>
  <c r="L456" i="44" s="1"/>
  <c r="M457" i="44" s="1"/>
  <c r="N458" i="44" s="1"/>
  <c r="C446" i="44"/>
  <c r="D447" i="44" s="1"/>
  <c r="E448" i="44" s="1"/>
  <c r="F449" i="44" s="1"/>
  <c r="G450" i="44" s="1"/>
  <c r="H451" i="44" s="1"/>
  <c r="I452" i="44" s="1"/>
  <c r="J453" i="44" s="1"/>
  <c r="K454" i="44" s="1"/>
  <c r="L455" i="44" s="1"/>
  <c r="M456" i="44" s="1"/>
  <c r="N457" i="44" s="1"/>
  <c r="C445" i="44"/>
  <c r="D446" i="44" s="1"/>
  <c r="E447" i="44" s="1"/>
  <c r="F448" i="44" s="1"/>
  <c r="G449" i="44" s="1"/>
  <c r="H450" i="44" s="1"/>
  <c r="I451" i="44" s="1"/>
  <c r="J452" i="44" s="1"/>
  <c r="K453" i="44" s="1"/>
  <c r="L454" i="44" s="1"/>
  <c r="M455" i="44" s="1"/>
  <c r="N456" i="44" s="1"/>
  <c r="C444" i="44"/>
  <c r="D445" i="44" s="1"/>
  <c r="E446" i="44" s="1"/>
  <c r="F447" i="44" s="1"/>
  <c r="G448" i="44" s="1"/>
  <c r="H449" i="44" s="1"/>
  <c r="I450" i="44" s="1"/>
  <c r="J451" i="44" s="1"/>
  <c r="K452" i="44" s="1"/>
  <c r="L453" i="44" s="1"/>
  <c r="M454" i="44" s="1"/>
  <c r="N455" i="44" s="1"/>
  <c r="C443" i="44"/>
  <c r="D444" i="44" s="1"/>
  <c r="E445" i="44" s="1"/>
  <c r="F446" i="44" s="1"/>
  <c r="G447" i="44" s="1"/>
  <c r="H448" i="44" s="1"/>
  <c r="I449" i="44" s="1"/>
  <c r="J450" i="44" s="1"/>
  <c r="K451" i="44" s="1"/>
  <c r="L452" i="44" s="1"/>
  <c r="M453" i="44" s="1"/>
  <c r="N454" i="44" s="1"/>
  <c r="C442" i="44"/>
  <c r="D443" i="44" s="1"/>
  <c r="E444" i="44" s="1"/>
  <c r="F445" i="44" s="1"/>
  <c r="G446" i="44" s="1"/>
  <c r="H447" i="44" s="1"/>
  <c r="I448" i="44" s="1"/>
  <c r="J449" i="44" s="1"/>
  <c r="K450" i="44" s="1"/>
  <c r="L451" i="44" s="1"/>
  <c r="M452" i="44" s="1"/>
  <c r="N453" i="44" s="1"/>
  <c r="C441" i="44"/>
  <c r="D442" i="44" s="1"/>
  <c r="E443" i="44" s="1"/>
  <c r="F444" i="44" s="1"/>
  <c r="G445" i="44" s="1"/>
  <c r="H446" i="44" s="1"/>
  <c r="I447" i="44" s="1"/>
  <c r="J448" i="44" s="1"/>
  <c r="K449" i="44" s="1"/>
  <c r="L450" i="44" s="1"/>
  <c r="M451" i="44" s="1"/>
  <c r="N452" i="44" s="1"/>
  <c r="C440" i="44"/>
  <c r="D441" i="44" s="1"/>
  <c r="E442" i="44" s="1"/>
  <c r="F443" i="44" s="1"/>
  <c r="G444" i="44" s="1"/>
  <c r="H445" i="44" s="1"/>
  <c r="I446" i="44" s="1"/>
  <c r="J447" i="44" s="1"/>
  <c r="K448" i="44" s="1"/>
  <c r="L449" i="44" s="1"/>
  <c r="M450" i="44" s="1"/>
  <c r="N451" i="44" s="1"/>
  <c r="C439" i="44"/>
  <c r="D440" i="44" s="1"/>
  <c r="E441" i="44" s="1"/>
  <c r="F442" i="44" s="1"/>
  <c r="G443" i="44" s="1"/>
  <c r="H444" i="44" s="1"/>
  <c r="I445" i="44" s="1"/>
  <c r="J446" i="44" s="1"/>
  <c r="K447" i="44" s="1"/>
  <c r="L448" i="44" s="1"/>
  <c r="M449" i="44" s="1"/>
  <c r="N450" i="44" s="1"/>
  <c r="C438" i="44"/>
  <c r="D439" i="44" s="1"/>
  <c r="E440" i="44" s="1"/>
  <c r="F441" i="44" s="1"/>
  <c r="G442" i="44" s="1"/>
  <c r="H443" i="44" s="1"/>
  <c r="I444" i="44" s="1"/>
  <c r="J445" i="44" s="1"/>
  <c r="K446" i="44" s="1"/>
  <c r="L447" i="44" s="1"/>
  <c r="M448" i="44" s="1"/>
  <c r="N449" i="44" s="1"/>
  <c r="C437" i="44"/>
  <c r="D438" i="44" s="1"/>
  <c r="E439" i="44" s="1"/>
  <c r="F440" i="44" s="1"/>
  <c r="G441" i="44" s="1"/>
  <c r="H442" i="44" s="1"/>
  <c r="I443" i="44" s="1"/>
  <c r="J444" i="44" s="1"/>
  <c r="K445" i="44" s="1"/>
  <c r="L446" i="44" s="1"/>
  <c r="M447" i="44" s="1"/>
  <c r="N448" i="44" s="1"/>
  <c r="C436" i="44"/>
  <c r="D437" i="44" s="1"/>
  <c r="E438" i="44" s="1"/>
  <c r="F439" i="44" s="1"/>
  <c r="G440" i="44" s="1"/>
  <c r="H441" i="44" s="1"/>
  <c r="I442" i="44" s="1"/>
  <c r="J443" i="44" s="1"/>
  <c r="K444" i="44" s="1"/>
  <c r="L445" i="44" s="1"/>
  <c r="M446" i="44" s="1"/>
  <c r="N447" i="44" s="1"/>
  <c r="C435" i="44"/>
  <c r="D436" i="44" s="1"/>
  <c r="E437" i="44" s="1"/>
  <c r="F438" i="44" s="1"/>
  <c r="G439" i="44" s="1"/>
  <c r="H440" i="44" s="1"/>
  <c r="I441" i="44" s="1"/>
  <c r="J442" i="44" s="1"/>
  <c r="K443" i="44" s="1"/>
  <c r="L444" i="44" s="1"/>
  <c r="M445" i="44" s="1"/>
  <c r="N446" i="44" s="1"/>
  <c r="C434" i="44"/>
  <c r="D435" i="44" s="1"/>
  <c r="E436" i="44" s="1"/>
  <c r="F437" i="44" s="1"/>
  <c r="G438" i="44" s="1"/>
  <c r="H439" i="44" s="1"/>
  <c r="I440" i="44" s="1"/>
  <c r="J441" i="44" s="1"/>
  <c r="K442" i="44" s="1"/>
  <c r="L443" i="44" s="1"/>
  <c r="M444" i="44" s="1"/>
  <c r="N445" i="44" s="1"/>
  <c r="C433" i="44"/>
  <c r="D434" i="44" s="1"/>
  <c r="E435" i="44" s="1"/>
  <c r="F436" i="44" s="1"/>
  <c r="G437" i="44" s="1"/>
  <c r="H438" i="44" s="1"/>
  <c r="I439" i="44" s="1"/>
  <c r="J440" i="44" s="1"/>
  <c r="K441" i="44" s="1"/>
  <c r="L442" i="44" s="1"/>
  <c r="M443" i="44" s="1"/>
  <c r="N444" i="44" s="1"/>
  <c r="C432" i="44"/>
  <c r="D433" i="44" s="1"/>
  <c r="E434" i="44" s="1"/>
  <c r="F435" i="44" s="1"/>
  <c r="G436" i="44" s="1"/>
  <c r="H437" i="44" s="1"/>
  <c r="I438" i="44" s="1"/>
  <c r="J439" i="44" s="1"/>
  <c r="K440" i="44" s="1"/>
  <c r="L441" i="44" s="1"/>
  <c r="M442" i="44" s="1"/>
  <c r="N443" i="44" s="1"/>
  <c r="C431" i="44"/>
  <c r="D432" i="44" s="1"/>
  <c r="E433" i="44" s="1"/>
  <c r="F434" i="44" s="1"/>
  <c r="G435" i="44" s="1"/>
  <c r="H436" i="44" s="1"/>
  <c r="I437" i="44" s="1"/>
  <c r="J438" i="44" s="1"/>
  <c r="K439" i="44" s="1"/>
  <c r="L440" i="44" s="1"/>
  <c r="M441" i="44" s="1"/>
  <c r="N442" i="44" s="1"/>
  <c r="C430" i="44"/>
  <c r="D431" i="44" s="1"/>
  <c r="E432" i="44" s="1"/>
  <c r="F433" i="44" s="1"/>
  <c r="G434" i="44" s="1"/>
  <c r="H435" i="44" s="1"/>
  <c r="I436" i="44" s="1"/>
  <c r="J437" i="44" s="1"/>
  <c r="K438" i="44" s="1"/>
  <c r="L439" i="44" s="1"/>
  <c r="M440" i="44" s="1"/>
  <c r="N441" i="44" s="1"/>
  <c r="C429" i="44"/>
  <c r="D430" i="44" s="1"/>
  <c r="E431" i="44" s="1"/>
  <c r="F432" i="44" s="1"/>
  <c r="G433" i="44" s="1"/>
  <c r="H434" i="44" s="1"/>
  <c r="I435" i="44" s="1"/>
  <c r="J436" i="44" s="1"/>
  <c r="K437" i="44" s="1"/>
  <c r="L438" i="44" s="1"/>
  <c r="M439" i="44" s="1"/>
  <c r="N440" i="44" s="1"/>
  <c r="C428" i="44"/>
  <c r="D429" i="44" s="1"/>
  <c r="E430" i="44" s="1"/>
  <c r="F431" i="44" s="1"/>
  <c r="G432" i="44" s="1"/>
  <c r="H433" i="44" s="1"/>
  <c r="I434" i="44" s="1"/>
  <c r="J435" i="44" s="1"/>
  <c r="K436" i="44" s="1"/>
  <c r="L437" i="44" s="1"/>
  <c r="M438" i="44" s="1"/>
  <c r="N439" i="44" s="1"/>
  <c r="C427" i="44"/>
  <c r="D428" i="44" s="1"/>
  <c r="E429" i="44" s="1"/>
  <c r="F430" i="44" s="1"/>
  <c r="G431" i="44" s="1"/>
  <c r="H432" i="44" s="1"/>
  <c r="I433" i="44" s="1"/>
  <c r="J434" i="44" s="1"/>
  <c r="K435" i="44" s="1"/>
  <c r="L436" i="44" s="1"/>
  <c r="M437" i="44" s="1"/>
  <c r="N438" i="44" s="1"/>
  <c r="C426" i="44"/>
  <c r="D427" i="44" s="1"/>
  <c r="E428" i="44" s="1"/>
  <c r="F429" i="44" s="1"/>
  <c r="G430" i="44" s="1"/>
  <c r="H431" i="44" s="1"/>
  <c r="I432" i="44" s="1"/>
  <c r="J433" i="44" s="1"/>
  <c r="K434" i="44" s="1"/>
  <c r="L435" i="44" s="1"/>
  <c r="M436" i="44" s="1"/>
  <c r="N437" i="44" s="1"/>
  <c r="C425" i="44"/>
  <c r="D426" i="44" s="1"/>
  <c r="E427" i="44" s="1"/>
  <c r="F428" i="44" s="1"/>
  <c r="G429" i="44" s="1"/>
  <c r="H430" i="44" s="1"/>
  <c r="I431" i="44" s="1"/>
  <c r="J432" i="44" s="1"/>
  <c r="K433" i="44" s="1"/>
  <c r="L434" i="44" s="1"/>
  <c r="M435" i="44" s="1"/>
  <c r="N436" i="44" s="1"/>
  <c r="C424" i="44"/>
  <c r="D425" i="44" s="1"/>
  <c r="E426" i="44" s="1"/>
  <c r="F427" i="44" s="1"/>
  <c r="G428" i="44" s="1"/>
  <c r="H429" i="44" s="1"/>
  <c r="I430" i="44" s="1"/>
  <c r="J431" i="44" s="1"/>
  <c r="K432" i="44" s="1"/>
  <c r="L433" i="44" s="1"/>
  <c r="M434" i="44" s="1"/>
  <c r="N435" i="44" s="1"/>
  <c r="C423" i="44"/>
  <c r="D424" i="44" s="1"/>
  <c r="E425" i="44" s="1"/>
  <c r="F426" i="44" s="1"/>
  <c r="G427" i="44" s="1"/>
  <c r="H428" i="44" s="1"/>
  <c r="I429" i="44" s="1"/>
  <c r="J430" i="44" s="1"/>
  <c r="K431" i="44" s="1"/>
  <c r="L432" i="44" s="1"/>
  <c r="M433" i="44" s="1"/>
  <c r="N434" i="44" s="1"/>
  <c r="C422" i="44"/>
  <c r="D423" i="44" s="1"/>
  <c r="E424" i="44" s="1"/>
  <c r="F425" i="44" s="1"/>
  <c r="G426" i="44" s="1"/>
  <c r="H427" i="44" s="1"/>
  <c r="I428" i="44" s="1"/>
  <c r="J429" i="44" s="1"/>
  <c r="K430" i="44" s="1"/>
  <c r="L431" i="44" s="1"/>
  <c r="M432" i="44" s="1"/>
  <c r="N433" i="44" s="1"/>
  <c r="C421" i="44"/>
  <c r="D422" i="44" s="1"/>
  <c r="E423" i="44" s="1"/>
  <c r="F424" i="44" s="1"/>
  <c r="G425" i="44" s="1"/>
  <c r="H426" i="44" s="1"/>
  <c r="I427" i="44" s="1"/>
  <c r="J428" i="44" s="1"/>
  <c r="K429" i="44" s="1"/>
  <c r="L430" i="44" s="1"/>
  <c r="M431" i="44" s="1"/>
  <c r="N432" i="44" s="1"/>
  <c r="C420" i="44"/>
  <c r="D421" i="44" s="1"/>
  <c r="E422" i="44" s="1"/>
  <c r="F423" i="44" s="1"/>
  <c r="G424" i="44" s="1"/>
  <c r="H425" i="44" s="1"/>
  <c r="I426" i="44" s="1"/>
  <c r="J427" i="44" s="1"/>
  <c r="K428" i="44" s="1"/>
  <c r="L429" i="44" s="1"/>
  <c r="M430" i="44" s="1"/>
  <c r="N431" i="44" s="1"/>
  <c r="C419" i="44"/>
  <c r="D420" i="44" s="1"/>
  <c r="E421" i="44" s="1"/>
  <c r="F422" i="44" s="1"/>
  <c r="G423" i="44" s="1"/>
  <c r="H424" i="44" s="1"/>
  <c r="I425" i="44" s="1"/>
  <c r="J426" i="44" s="1"/>
  <c r="K427" i="44" s="1"/>
  <c r="L428" i="44" s="1"/>
  <c r="M429" i="44" s="1"/>
  <c r="N430" i="44" s="1"/>
  <c r="C418" i="44"/>
  <c r="D419" i="44" s="1"/>
  <c r="E420" i="44" s="1"/>
  <c r="F421" i="44" s="1"/>
  <c r="G422" i="44" s="1"/>
  <c r="H423" i="44" s="1"/>
  <c r="I424" i="44" s="1"/>
  <c r="J425" i="44" s="1"/>
  <c r="K426" i="44" s="1"/>
  <c r="L427" i="44" s="1"/>
  <c r="M428" i="44" s="1"/>
  <c r="N429" i="44" s="1"/>
  <c r="C417" i="44"/>
  <c r="D418" i="44" s="1"/>
  <c r="E419" i="44" s="1"/>
  <c r="F420" i="44" s="1"/>
  <c r="G421" i="44" s="1"/>
  <c r="H422" i="44" s="1"/>
  <c r="I423" i="44" s="1"/>
  <c r="J424" i="44" s="1"/>
  <c r="K425" i="44" s="1"/>
  <c r="L426" i="44" s="1"/>
  <c r="M427" i="44" s="1"/>
  <c r="N428" i="44" s="1"/>
  <c r="C416" i="44"/>
  <c r="D417" i="44" s="1"/>
  <c r="E418" i="44" s="1"/>
  <c r="F419" i="44" s="1"/>
  <c r="G420" i="44" s="1"/>
  <c r="H421" i="44" s="1"/>
  <c r="I422" i="44" s="1"/>
  <c r="J423" i="44" s="1"/>
  <c r="K424" i="44" s="1"/>
  <c r="L425" i="44" s="1"/>
  <c r="M426" i="44" s="1"/>
  <c r="N427" i="44" s="1"/>
  <c r="C415" i="44"/>
  <c r="D416" i="44" s="1"/>
  <c r="E417" i="44" s="1"/>
  <c r="F418" i="44" s="1"/>
  <c r="G419" i="44" s="1"/>
  <c r="H420" i="44" s="1"/>
  <c r="I421" i="44" s="1"/>
  <c r="J422" i="44" s="1"/>
  <c r="K423" i="44" s="1"/>
  <c r="L424" i="44" s="1"/>
  <c r="M425" i="44" s="1"/>
  <c r="N426" i="44" s="1"/>
  <c r="C414" i="44"/>
  <c r="D415" i="44" s="1"/>
  <c r="E416" i="44" s="1"/>
  <c r="F417" i="44" s="1"/>
  <c r="G418" i="44" s="1"/>
  <c r="H419" i="44" s="1"/>
  <c r="I420" i="44" s="1"/>
  <c r="J421" i="44" s="1"/>
  <c r="K422" i="44" s="1"/>
  <c r="L423" i="44" s="1"/>
  <c r="M424" i="44" s="1"/>
  <c r="N425" i="44" s="1"/>
  <c r="C413" i="44"/>
  <c r="D414" i="44" s="1"/>
  <c r="E415" i="44" s="1"/>
  <c r="F416" i="44" s="1"/>
  <c r="G417" i="44" s="1"/>
  <c r="H418" i="44" s="1"/>
  <c r="I419" i="44" s="1"/>
  <c r="J420" i="44" s="1"/>
  <c r="K421" i="44" s="1"/>
  <c r="L422" i="44" s="1"/>
  <c r="M423" i="44" s="1"/>
  <c r="N424" i="44" s="1"/>
  <c r="C412" i="44"/>
  <c r="D413" i="44" s="1"/>
  <c r="E414" i="44" s="1"/>
  <c r="F415" i="44" s="1"/>
  <c r="G416" i="44" s="1"/>
  <c r="H417" i="44" s="1"/>
  <c r="I418" i="44" s="1"/>
  <c r="J419" i="44" s="1"/>
  <c r="K420" i="44" s="1"/>
  <c r="L421" i="44" s="1"/>
  <c r="M422" i="44" s="1"/>
  <c r="N423" i="44" s="1"/>
  <c r="C411" i="44"/>
  <c r="D412" i="44" s="1"/>
  <c r="E413" i="44" s="1"/>
  <c r="F414" i="44" s="1"/>
  <c r="G415" i="44" s="1"/>
  <c r="H416" i="44" s="1"/>
  <c r="I417" i="44" s="1"/>
  <c r="J418" i="44" s="1"/>
  <c r="K419" i="44" s="1"/>
  <c r="L420" i="44" s="1"/>
  <c r="M421" i="44" s="1"/>
  <c r="N422" i="44" s="1"/>
  <c r="C410" i="44"/>
  <c r="D411" i="44" s="1"/>
  <c r="E412" i="44" s="1"/>
  <c r="F413" i="44" s="1"/>
  <c r="G414" i="44" s="1"/>
  <c r="H415" i="44" s="1"/>
  <c r="I416" i="44" s="1"/>
  <c r="J417" i="44" s="1"/>
  <c r="K418" i="44" s="1"/>
  <c r="L419" i="44" s="1"/>
  <c r="M420" i="44" s="1"/>
  <c r="N421" i="44" s="1"/>
  <c r="C409" i="44"/>
  <c r="D410" i="44" s="1"/>
  <c r="E411" i="44" s="1"/>
  <c r="F412" i="44" s="1"/>
  <c r="G413" i="44" s="1"/>
  <c r="H414" i="44" s="1"/>
  <c r="I415" i="44" s="1"/>
  <c r="J416" i="44" s="1"/>
  <c r="K417" i="44" s="1"/>
  <c r="L418" i="44" s="1"/>
  <c r="M419" i="44" s="1"/>
  <c r="N420" i="44" s="1"/>
  <c r="C408" i="44"/>
  <c r="D409" i="44" s="1"/>
  <c r="E410" i="44" s="1"/>
  <c r="F411" i="44" s="1"/>
  <c r="G412" i="44" s="1"/>
  <c r="H413" i="44" s="1"/>
  <c r="I414" i="44" s="1"/>
  <c r="J415" i="44" s="1"/>
  <c r="K416" i="44" s="1"/>
  <c r="L417" i="44" s="1"/>
  <c r="M418" i="44" s="1"/>
  <c r="N419" i="44" s="1"/>
  <c r="C407" i="44"/>
  <c r="D408" i="44" s="1"/>
  <c r="E409" i="44" s="1"/>
  <c r="F410" i="44" s="1"/>
  <c r="G411" i="44" s="1"/>
  <c r="H412" i="44" s="1"/>
  <c r="I413" i="44" s="1"/>
  <c r="J414" i="44" s="1"/>
  <c r="K415" i="44" s="1"/>
  <c r="L416" i="44" s="1"/>
  <c r="M417" i="44" s="1"/>
  <c r="N418" i="44" s="1"/>
  <c r="C406" i="44"/>
  <c r="D407" i="44" s="1"/>
  <c r="E408" i="44" s="1"/>
  <c r="F409" i="44" s="1"/>
  <c r="G410" i="44" s="1"/>
  <c r="H411" i="44" s="1"/>
  <c r="I412" i="44" s="1"/>
  <c r="J413" i="44" s="1"/>
  <c r="K414" i="44" s="1"/>
  <c r="L415" i="44" s="1"/>
  <c r="M416" i="44" s="1"/>
  <c r="N417" i="44" s="1"/>
  <c r="C405" i="44"/>
  <c r="D406" i="44" s="1"/>
  <c r="E407" i="44" s="1"/>
  <c r="F408" i="44" s="1"/>
  <c r="G409" i="44" s="1"/>
  <c r="H410" i="44" s="1"/>
  <c r="I411" i="44" s="1"/>
  <c r="J412" i="44" s="1"/>
  <c r="K413" i="44" s="1"/>
  <c r="L414" i="44" s="1"/>
  <c r="M415" i="44" s="1"/>
  <c r="N416" i="44" s="1"/>
  <c r="C404" i="44"/>
  <c r="D405" i="44" s="1"/>
  <c r="E406" i="44" s="1"/>
  <c r="F407" i="44" s="1"/>
  <c r="G408" i="44" s="1"/>
  <c r="H409" i="44" s="1"/>
  <c r="I410" i="44" s="1"/>
  <c r="J411" i="44" s="1"/>
  <c r="K412" i="44" s="1"/>
  <c r="L413" i="44" s="1"/>
  <c r="M414" i="44" s="1"/>
  <c r="N415" i="44" s="1"/>
  <c r="C403" i="44"/>
  <c r="D404" i="44" s="1"/>
  <c r="E405" i="44" s="1"/>
  <c r="F406" i="44" s="1"/>
  <c r="G407" i="44" s="1"/>
  <c r="H408" i="44" s="1"/>
  <c r="I409" i="44" s="1"/>
  <c r="J410" i="44" s="1"/>
  <c r="K411" i="44" s="1"/>
  <c r="L412" i="44" s="1"/>
  <c r="M413" i="44" s="1"/>
  <c r="N414" i="44" s="1"/>
  <c r="C402" i="44"/>
  <c r="D403" i="44" s="1"/>
  <c r="E404" i="44" s="1"/>
  <c r="F405" i="44" s="1"/>
  <c r="G406" i="44" s="1"/>
  <c r="H407" i="44" s="1"/>
  <c r="I408" i="44" s="1"/>
  <c r="J409" i="44" s="1"/>
  <c r="K410" i="44" s="1"/>
  <c r="L411" i="44" s="1"/>
  <c r="M412" i="44" s="1"/>
  <c r="N413" i="44" s="1"/>
  <c r="C401" i="44"/>
  <c r="D402" i="44" s="1"/>
  <c r="E403" i="44" s="1"/>
  <c r="F404" i="44" s="1"/>
  <c r="G405" i="44" s="1"/>
  <c r="H406" i="44" s="1"/>
  <c r="I407" i="44" s="1"/>
  <c r="J408" i="44" s="1"/>
  <c r="K409" i="44" s="1"/>
  <c r="L410" i="44" s="1"/>
  <c r="M411" i="44" s="1"/>
  <c r="N412" i="44" s="1"/>
  <c r="C400" i="44"/>
  <c r="D401" i="44" s="1"/>
  <c r="E402" i="44" s="1"/>
  <c r="F403" i="44" s="1"/>
  <c r="G404" i="44" s="1"/>
  <c r="H405" i="44" s="1"/>
  <c r="I406" i="44" s="1"/>
  <c r="J407" i="44" s="1"/>
  <c r="K408" i="44" s="1"/>
  <c r="L409" i="44" s="1"/>
  <c r="M410" i="44" s="1"/>
  <c r="N411" i="44" s="1"/>
  <c r="C399" i="44"/>
  <c r="D400" i="44" s="1"/>
  <c r="E401" i="44" s="1"/>
  <c r="F402" i="44" s="1"/>
  <c r="G403" i="44" s="1"/>
  <c r="H404" i="44" s="1"/>
  <c r="I405" i="44" s="1"/>
  <c r="J406" i="44" s="1"/>
  <c r="K407" i="44" s="1"/>
  <c r="L408" i="44" s="1"/>
  <c r="M409" i="44" s="1"/>
  <c r="N410" i="44" s="1"/>
  <c r="C398" i="44"/>
  <c r="D399" i="44" s="1"/>
  <c r="E400" i="44" s="1"/>
  <c r="F401" i="44" s="1"/>
  <c r="G402" i="44" s="1"/>
  <c r="H403" i="44" s="1"/>
  <c r="I404" i="44" s="1"/>
  <c r="J405" i="44" s="1"/>
  <c r="K406" i="44" s="1"/>
  <c r="L407" i="44" s="1"/>
  <c r="M408" i="44" s="1"/>
  <c r="N409" i="44" s="1"/>
  <c r="C397" i="44"/>
  <c r="D398" i="44" s="1"/>
  <c r="E399" i="44" s="1"/>
  <c r="F400" i="44" s="1"/>
  <c r="G401" i="44" s="1"/>
  <c r="H402" i="44" s="1"/>
  <c r="I403" i="44" s="1"/>
  <c r="J404" i="44" s="1"/>
  <c r="K405" i="44" s="1"/>
  <c r="L406" i="44" s="1"/>
  <c r="M407" i="44" s="1"/>
  <c r="N408" i="44" s="1"/>
  <c r="C396" i="44"/>
  <c r="D397" i="44" s="1"/>
  <c r="E398" i="44" s="1"/>
  <c r="F399" i="44" s="1"/>
  <c r="G400" i="44" s="1"/>
  <c r="H401" i="44" s="1"/>
  <c r="I402" i="44" s="1"/>
  <c r="J403" i="44" s="1"/>
  <c r="K404" i="44" s="1"/>
  <c r="L405" i="44" s="1"/>
  <c r="M406" i="44" s="1"/>
  <c r="N407" i="44" s="1"/>
  <c r="C395" i="44"/>
  <c r="D396" i="44" s="1"/>
  <c r="E397" i="44" s="1"/>
  <c r="F398" i="44" s="1"/>
  <c r="G399" i="44" s="1"/>
  <c r="H400" i="44" s="1"/>
  <c r="I401" i="44" s="1"/>
  <c r="J402" i="44" s="1"/>
  <c r="K403" i="44" s="1"/>
  <c r="L404" i="44" s="1"/>
  <c r="M405" i="44" s="1"/>
  <c r="N406" i="44" s="1"/>
  <c r="C394" i="44"/>
  <c r="D395" i="44" s="1"/>
  <c r="E396" i="44" s="1"/>
  <c r="F397" i="44" s="1"/>
  <c r="G398" i="44" s="1"/>
  <c r="H399" i="44" s="1"/>
  <c r="I400" i="44" s="1"/>
  <c r="J401" i="44" s="1"/>
  <c r="K402" i="44" s="1"/>
  <c r="L403" i="44" s="1"/>
  <c r="M404" i="44" s="1"/>
  <c r="N405" i="44" s="1"/>
  <c r="C393" i="44"/>
  <c r="D394" i="44" s="1"/>
  <c r="E395" i="44" s="1"/>
  <c r="F396" i="44" s="1"/>
  <c r="G397" i="44" s="1"/>
  <c r="H398" i="44" s="1"/>
  <c r="I399" i="44" s="1"/>
  <c r="J400" i="44" s="1"/>
  <c r="K401" i="44" s="1"/>
  <c r="L402" i="44" s="1"/>
  <c r="M403" i="44" s="1"/>
  <c r="N404" i="44" s="1"/>
  <c r="C392" i="44"/>
  <c r="D393" i="44" s="1"/>
  <c r="E394" i="44" s="1"/>
  <c r="F395" i="44" s="1"/>
  <c r="G396" i="44" s="1"/>
  <c r="H397" i="44" s="1"/>
  <c r="I398" i="44" s="1"/>
  <c r="J399" i="44" s="1"/>
  <c r="K400" i="44" s="1"/>
  <c r="L401" i="44" s="1"/>
  <c r="M402" i="44" s="1"/>
  <c r="N403" i="44" s="1"/>
  <c r="C391" i="44"/>
  <c r="D392" i="44" s="1"/>
  <c r="E393" i="44" s="1"/>
  <c r="F394" i="44" s="1"/>
  <c r="G395" i="44" s="1"/>
  <c r="H396" i="44" s="1"/>
  <c r="I397" i="44" s="1"/>
  <c r="J398" i="44" s="1"/>
  <c r="K399" i="44" s="1"/>
  <c r="L400" i="44" s="1"/>
  <c r="M401" i="44" s="1"/>
  <c r="N402" i="44" s="1"/>
  <c r="C390" i="44"/>
  <c r="D391" i="44" s="1"/>
  <c r="E392" i="44" s="1"/>
  <c r="F393" i="44" s="1"/>
  <c r="G394" i="44" s="1"/>
  <c r="H395" i="44" s="1"/>
  <c r="I396" i="44" s="1"/>
  <c r="J397" i="44" s="1"/>
  <c r="K398" i="44" s="1"/>
  <c r="L399" i="44" s="1"/>
  <c r="M400" i="44" s="1"/>
  <c r="N401" i="44" s="1"/>
  <c r="C389" i="44"/>
  <c r="D390" i="44" s="1"/>
  <c r="E391" i="44" s="1"/>
  <c r="F392" i="44" s="1"/>
  <c r="G393" i="44" s="1"/>
  <c r="H394" i="44" s="1"/>
  <c r="I395" i="44" s="1"/>
  <c r="J396" i="44" s="1"/>
  <c r="K397" i="44" s="1"/>
  <c r="L398" i="44" s="1"/>
  <c r="M399" i="44" s="1"/>
  <c r="N400" i="44" s="1"/>
  <c r="C388" i="44"/>
  <c r="D389" i="44" s="1"/>
  <c r="E390" i="44" s="1"/>
  <c r="F391" i="44" s="1"/>
  <c r="G392" i="44" s="1"/>
  <c r="H393" i="44" s="1"/>
  <c r="I394" i="44" s="1"/>
  <c r="J395" i="44" s="1"/>
  <c r="K396" i="44" s="1"/>
  <c r="L397" i="44" s="1"/>
  <c r="M398" i="44" s="1"/>
  <c r="N399" i="44" s="1"/>
  <c r="C387" i="44"/>
  <c r="D388" i="44" s="1"/>
  <c r="E389" i="44" s="1"/>
  <c r="F390" i="44" s="1"/>
  <c r="G391" i="44" s="1"/>
  <c r="H392" i="44" s="1"/>
  <c r="I393" i="44" s="1"/>
  <c r="J394" i="44" s="1"/>
  <c r="K395" i="44" s="1"/>
  <c r="L396" i="44" s="1"/>
  <c r="M397" i="44" s="1"/>
  <c r="N398" i="44" s="1"/>
  <c r="C386" i="44"/>
  <c r="D387" i="44" s="1"/>
  <c r="E388" i="44" s="1"/>
  <c r="F389" i="44" s="1"/>
  <c r="G390" i="44" s="1"/>
  <c r="H391" i="44" s="1"/>
  <c r="I392" i="44" s="1"/>
  <c r="J393" i="44" s="1"/>
  <c r="K394" i="44" s="1"/>
  <c r="L395" i="44" s="1"/>
  <c r="M396" i="44" s="1"/>
  <c r="N397" i="44" s="1"/>
  <c r="C385" i="44"/>
  <c r="D386" i="44" s="1"/>
  <c r="E387" i="44" s="1"/>
  <c r="F388" i="44" s="1"/>
  <c r="G389" i="44" s="1"/>
  <c r="H390" i="44" s="1"/>
  <c r="I391" i="44" s="1"/>
  <c r="J392" i="44" s="1"/>
  <c r="K393" i="44" s="1"/>
  <c r="L394" i="44" s="1"/>
  <c r="M395" i="44" s="1"/>
  <c r="N396" i="44" s="1"/>
  <c r="C384" i="44"/>
  <c r="D385" i="44" s="1"/>
  <c r="E386" i="44" s="1"/>
  <c r="F387" i="44" s="1"/>
  <c r="G388" i="44" s="1"/>
  <c r="H389" i="44" s="1"/>
  <c r="I390" i="44" s="1"/>
  <c r="J391" i="44" s="1"/>
  <c r="K392" i="44" s="1"/>
  <c r="L393" i="44" s="1"/>
  <c r="M394" i="44" s="1"/>
  <c r="N395" i="44" s="1"/>
  <c r="C383" i="44"/>
  <c r="D384" i="44" s="1"/>
  <c r="E385" i="44" s="1"/>
  <c r="F386" i="44" s="1"/>
  <c r="G387" i="44" s="1"/>
  <c r="H388" i="44" s="1"/>
  <c r="I389" i="44" s="1"/>
  <c r="J390" i="44" s="1"/>
  <c r="K391" i="44" s="1"/>
  <c r="L392" i="44" s="1"/>
  <c r="M393" i="44" s="1"/>
  <c r="N394" i="44" s="1"/>
  <c r="C382" i="44"/>
  <c r="D383" i="44" s="1"/>
  <c r="E384" i="44" s="1"/>
  <c r="F385" i="44" s="1"/>
  <c r="G386" i="44" s="1"/>
  <c r="H387" i="44" s="1"/>
  <c r="I388" i="44" s="1"/>
  <c r="J389" i="44" s="1"/>
  <c r="K390" i="44" s="1"/>
  <c r="L391" i="44" s="1"/>
  <c r="M392" i="44" s="1"/>
  <c r="N393" i="44" s="1"/>
  <c r="C381" i="44"/>
  <c r="D382" i="44" s="1"/>
  <c r="E383" i="44" s="1"/>
  <c r="F384" i="44" s="1"/>
  <c r="G385" i="44" s="1"/>
  <c r="H386" i="44" s="1"/>
  <c r="I387" i="44" s="1"/>
  <c r="J388" i="44" s="1"/>
  <c r="K389" i="44" s="1"/>
  <c r="L390" i="44" s="1"/>
  <c r="M391" i="44" s="1"/>
  <c r="N392" i="44" s="1"/>
  <c r="C380" i="44"/>
  <c r="D381" i="44" s="1"/>
  <c r="E382" i="44" s="1"/>
  <c r="F383" i="44" s="1"/>
  <c r="G384" i="44" s="1"/>
  <c r="H385" i="44" s="1"/>
  <c r="I386" i="44" s="1"/>
  <c r="J387" i="44" s="1"/>
  <c r="K388" i="44" s="1"/>
  <c r="L389" i="44" s="1"/>
  <c r="M390" i="44" s="1"/>
  <c r="N391" i="44" s="1"/>
  <c r="C379" i="44"/>
  <c r="D380" i="44" s="1"/>
  <c r="E381" i="44" s="1"/>
  <c r="F382" i="44" s="1"/>
  <c r="G383" i="44" s="1"/>
  <c r="H384" i="44" s="1"/>
  <c r="I385" i="44" s="1"/>
  <c r="J386" i="44" s="1"/>
  <c r="K387" i="44" s="1"/>
  <c r="L388" i="44" s="1"/>
  <c r="M389" i="44" s="1"/>
  <c r="N390" i="44" s="1"/>
  <c r="C378" i="44"/>
  <c r="D379" i="44" s="1"/>
  <c r="E380" i="44" s="1"/>
  <c r="F381" i="44" s="1"/>
  <c r="G382" i="44" s="1"/>
  <c r="H383" i="44" s="1"/>
  <c r="I384" i="44" s="1"/>
  <c r="J385" i="44" s="1"/>
  <c r="K386" i="44" s="1"/>
  <c r="L387" i="44" s="1"/>
  <c r="M388" i="44" s="1"/>
  <c r="N389" i="44" s="1"/>
  <c r="C377" i="44"/>
  <c r="D378" i="44" s="1"/>
  <c r="E379" i="44" s="1"/>
  <c r="F380" i="44" s="1"/>
  <c r="G381" i="44" s="1"/>
  <c r="H382" i="44" s="1"/>
  <c r="I383" i="44" s="1"/>
  <c r="J384" i="44" s="1"/>
  <c r="K385" i="44" s="1"/>
  <c r="L386" i="44" s="1"/>
  <c r="M387" i="44" s="1"/>
  <c r="N388" i="44" s="1"/>
  <c r="C376" i="44"/>
  <c r="D377" i="44" s="1"/>
  <c r="E378" i="44" s="1"/>
  <c r="F379" i="44" s="1"/>
  <c r="G380" i="44" s="1"/>
  <c r="H381" i="44" s="1"/>
  <c r="I382" i="44" s="1"/>
  <c r="J383" i="44" s="1"/>
  <c r="K384" i="44" s="1"/>
  <c r="L385" i="44" s="1"/>
  <c r="M386" i="44" s="1"/>
  <c r="N387" i="44" s="1"/>
  <c r="C375" i="44"/>
  <c r="D376" i="44" s="1"/>
  <c r="E377" i="44" s="1"/>
  <c r="F378" i="44" s="1"/>
  <c r="G379" i="44" s="1"/>
  <c r="H380" i="44" s="1"/>
  <c r="I381" i="44" s="1"/>
  <c r="J382" i="44" s="1"/>
  <c r="K383" i="44" s="1"/>
  <c r="L384" i="44" s="1"/>
  <c r="M385" i="44" s="1"/>
  <c r="N386" i="44" s="1"/>
  <c r="C374" i="44"/>
  <c r="D375" i="44" s="1"/>
  <c r="E376" i="44" s="1"/>
  <c r="F377" i="44" s="1"/>
  <c r="G378" i="44" s="1"/>
  <c r="H379" i="44" s="1"/>
  <c r="I380" i="44" s="1"/>
  <c r="J381" i="44" s="1"/>
  <c r="K382" i="44" s="1"/>
  <c r="L383" i="44" s="1"/>
  <c r="M384" i="44" s="1"/>
  <c r="N385" i="44" s="1"/>
  <c r="C373" i="44"/>
  <c r="D374" i="44" s="1"/>
  <c r="E375" i="44" s="1"/>
  <c r="F376" i="44" s="1"/>
  <c r="G377" i="44" s="1"/>
  <c r="H378" i="44" s="1"/>
  <c r="I379" i="44" s="1"/>
  <c r="J380" i="44" s="1"/>
  <c r="K381" i="44" s="1"/>
  <c r="L382" i="44" s="1"/>
  <c r="M383" i="44" s="1"/>
  <c r="N384" i="44" s="1"/>
  <c r="C372" i="44"/>
  <c r="D373" i="44" s="1"/>
  <c r="E374" i="44" s="1"/>
  <c r="F375" i="44" s="1"/>
  <c r="G376" i="44" s="1"/>
  <c r="H377" i="44" s="1"/>
  <c r="I378" i="44" s="1"/>
  <c r="J379" i="44" s="1"/>
  <c r="K380" i="44" s="1"/>
  <c r="L381" i="44" s="1"/>
  <c r="M382" i="44" s="1"/>
  <c r="N383" i="44" s="1"/>
  <c r="C371" i="44"/>
  <c r="D372" i="44" s="1"/>
  <c r="E373" i="44" s="1"/>
  <c r="F374" i="44" s="1"/>
  <c r="G375" i="44" s="1"/>
  <c r="H376" i="44" s="1"/>
  <c r="I377" i="44" s="1"/>
  <c r="J378" i="44" s="1"/>
  <c r="K379" i="44" s="1"/>
  <c r="L380" i="44" s="1"/>
  <c r="M381" i="44" s="1"/>
  <c r="N382" i="44" s="1"/>
  <c r="C370" i="44"/>
  <c r="D371" i="44" s="1"/>
  <c r="E372" i="44" s="1"/>
  <c r="F373" i="44" s="1"/>
  <c r="G374" i="44" s="1"/>
  <c r="H375" i="44" s="1"/>
  <c r="I376" i="44" s="1"/>
  <c r="J377" i="44" s="1"/>
  <c r="K378" i="44" s="1"/>
  <c r="L379" i="44" s="1"/>
  <c r="M380" i="44" s="1"/>
  <c r="N381" i="44" s="1"/>
  <c r="C369" i="44"/>
  <c r="D370" i="44" s="1"/>
  <c r="E371" i="44" s="1"/>
  <c r="F372" i="44" s="1"/>
  <c r="G373" i="44" s="1"/>
  <c r="H374" i="44" s="1"/>
  <c r="I375" i="44" s="1"/>
  <c r="J376" i="44" s="1"/>
  <c r="K377" i="44" s="1"/>
  <c r="L378" i="44" s="1"/>
  <c r="M379" i="44" s="1"/>
  <c r="N380" i="44" s="1"/>
  <c r="C368" i="44"/>
  <c r="D369" i="44" s="1"/>
  <c r="E370" i="44" s="1"/>
  <c r="F371" i="44" s="1"/>
  <c r="G372" i="44" s="1"/>
  <c r="H373" i="44" s="1"/>
  <c r="I374" i="44" s="1"/>
  <c r="J375" i="44" s="1"/>
  <c r="K376" i="44" s="1"/>
  <c r="L377" i="44" s="1"/>
  <c r="M378" i="44" s="1"/>
  <c r="N379" i="44" s="1"/>
  <c r="C367" i="44"/>
  <c r="D368" i="44" s="1"/>
  <c r="E369" i="44" s="1"/>
  <c r="F370" i="44" s="1"/>
  <c r="G371" i="44" s="1"/>
  <c r="H372" i="44" s="1"/>
  <c r="I373" i="44" s="1"/>
  <c r="J374" i="44" s="1"/>
  <c r="K375" i="44" s="1"/>
  <c r="L376" i="44" s="1"/>
  <c r="M377" i="44" s="1"/>
  <c r="N378" i="44" s="1"/>
  <c r="C366" i="44"/>
  <c r="D367" i="44" s="1"/>
  <c r="E368" i="44" s="1"/>
  <c r="F369" i="44" s="1"/>
  <c r="G370" i="44" s="1"/>
  <c r="H371" i="44" s="1"/>
  <c r="I372" i="44" s="1"/>
  <c r="J373" i="44" s="1"/>
  <c r="K374" i="44" s="1"/>
  <c r="L375" i="44" s="1"/>
  <c r="M376" i="44" s="1"/>
  <c r="N377" i="44" s="1"/>
  <c r="C365" i="44"/>
  <c r="D366" i="44" s="1"/>
  <c r="E367" i="44" s="1"/>
  <c r="F368" i="44" s="1"/>
  <c r="G369" i="44" s="1"/>
  <c r="H370" i="44" s="1"/>
  <c r="I371" i="44" s="1"/>
  <c r="J372" i="44" s="1"/>
  <c r="K373" i="44" s="1"/>
  <c r="L374" i="44" s="1"/>
  <c r="M375" i="44" s="1"/>
  <c r="N376" i="44" s="1"/>
  <c r="C364" i="44"/>
  <c r="D365" i="44" s="1"/>
  <c r="E366" i="44" s="1"/>
  <c r="F367" i="44" s="1"/>
  <c r="G368" i="44" s="1"/>
  <c r="H369" i="44" s="1"/>
  <c r="I370" i="44" s="1"/>
  <c r="J371" i="44" s="1"/>
  <c r="K372" i="44" s="1"/>
  <c r="L373" i="44" s="1"/>
  <c r="M374" i="44" s="1"/>
  <c r="N375" i="44" s="1"/>
  <c r="C363" i="44"/>
  <c r="D364" i="44" s="1"/>
  <c r="E365" i="44" s="1"/>
  <c r="F366" i="44" s="1"/>
  <c r="G367" i="44" s="1"/>
  <c r="H368" i="44" s="1"/>
  <c r="I369" i="44" s="1"/>
  <c r="J370" i="44" s="1"/>
  <c r="K371" i="44" s="1"/>
  <c r="L372" i="44" s="1"/>
  <c r="M373" i="44" s="1"/>
  <c r="N374" i="44" s="1"/>
  <c r="C362" i="44"/>
  <c r="D363" i="44" s="1"/>
  <c r="E364" i="44" s="1"/>
  <c r="F365" i="44" s="1"/>
  <c r="G366" i="44" s="1"/>
  <c r="H367" i="44" s="1"/>
  <c r="I368" i="44" s="1"/>
  <c r="J369" i="44" s="1"/>
  <c r="K370" i="44" s="1"/>
  <c r="L371" i="44" s="1"/>
  <c r="M372" i="44" s="1"/>
  <c r="N373" i="44" s="1"/>
  <c r="C361" i="44"/>
  <c r="D362" i="44" s="1"/>
  <c r="E363" i="44" s="1"/>
  <c r="F364" i="44" s="1"/>
  <c r="G365" i="44" s="1"/>
  <c r="H366" i="44" s="1"/>
  <c r="I367" i="44" s="1"/>
  <c r="J368" i="44" s="1"/>
  <c r="K369" i="44" s="1"/>
  <c r="L370" i="44" s="1"/>
  <c r="M371" i="44" s="1"/>
  <c r="N372" i="44" s="1"/>
  <c r="C360" i="44"/>
  <c r="D361" i="44" s="1"/>
  <c r="E362" i="44" s="1"/>
  <c r="F363" i="44" s="1"/>
  <c r="G364" i="44" s="1"/>
  <c r="H365" i="44" s="1"/>
  <c r="I366" i="44" s="1"/>
  <c r="J367" i="44" s="1"/>
  <c r="K368" i="44" s="1"/>
  <c r="L369" i="44" s="1"/>
  <c r="M370" i="44" s="1"/>
  <c r="N371" i="44" s="1"/>
  <c r="C359" i="44"/>
  <c r="D360" i="44" s="1"/>
  <c r="E361" i="44" s="1"/>
  <c r="F362" i="44" s="1"/>
  <c r="G363" i="44" s="1"/>
  <c r="H364" i="44" s="1"/>
  <c r="I365" i="44" s="1"/>
  <c r="J366" i="44" s="1"/>
  <c r="K367" i="44" s="1"/>
  <c r="L368" i="44" s="1"/>
  <c r="M369" i="44" s="1"/>
  <c r="N370" i="44" s="1"/>
  <c r="C358" i="44"/>
  <c r="D359" i="44" s="1"/>
  <c r="E360" i="44" s="1"/>
  <c r="F361" i="44" s="1"/>
  <c r="G362" i="44" s="1"/>
  <c r="H363" i="44" s="1"/>
  <c r="I364" i="44" s="1"/>
  <c r="J365" i="44" s="1"/>
  <c r="K366" i="44" s="1"/>
  <c r="L367" i="44" s="1"/>
  <c r="M368" i="44" s="1"/>
  <c r="N369" i="44" s="1"/>
  <c r="C357" i="44"/>
  <c r="D358" i="44" s="1"/>
  <c r="E359" i="44" s="1"/>
  <c r="F360" i="44" s="1"/>
  <c r="G361" i="44" s="1"/>
  <c r="H362" i="44" s="1"/>
  <c r="I363" i="44" s="1"/>
  <c r="J364" i="44" s="1"/>
  <c r="K365" i="44" s="1"/>
  <c r="L366" i="44" s="1"/>
  <c r="M367" i="44" s="1"/>
  <c r="N368" i="44" s="1"/>
  <c r="C356" i="44"/>
  <c r="D357" i="44" s="1"/>
  <c r="E358" i="44" s="1"/>
  <c r="F359" i="44" s="1"/>
  <c r="G360" i="44" s="1"/>
  <c r="H361" i="44" s="1"/>
  <c r="I362" i="44" s="1"/>
  <c r="J363" i="44" s="1"/>
  <c r="K364" i="44" s="1"/>
  <c r="L365" i="44" s="1"/>
  <c r="M366" i="44" s="1"/>
  <c r="N367" i="44" s="1"/>
  <c r="C355" i="44"/>
  <c r="D356" i="44" s="1"/>
  <c r="E357" i="44" s="1"/>
  <c r="F358" i="44" s="1"/>
  <c r="G359" i="44" s="1"/>
  <c r="H360" i="44" s="1"/>
  <c r="I361" i="44" s="1"/>
  <c r="J362" i="44" s="1"/>
  <c r="K363" i="44" s="1"/>
  <c r="L364" i="44" s="1"/>
  <c r="M365" i="44" s="1"/>
  <c r="N366" i="44" s="1"/>
  <c r="C354" i="44"/>
  <c r="D355" i="44" s="1"/>
  <c r="E356" i="44" s="1"/>
  <c r="F357" i="44" s="1"/>
  <c r="G358" i="44" s="1"/>
  <c r="H359" i="44" s="1"/>
  <c r="I360" i="44" s="1"/>
  <c r="J361" i="44" s="1"/>
  <c r="K362" i="44" s="1"/>
  <c r="L363" i="44" s="1"/>
  <c r="M364" i="44" s="1"/>
  <c r="N365" i="44" s="1"/>
  <c r="C353" i="44"/>
  <c r="D354" i="44" s="1"/>
  <c r="E355" i="44" s="1"/>
  <c r="F356" i="44" s="1"/>
  <c r="G357" i="44" s="1"/>
  <c r="H358" i="44" s="1"/>
  <c r="I359" i="44" s="1"/>
  <c r="J360" i="44" s="1"/>
  <c r="K361" i="44" s="1"/>
  <c r="L362" i="44" s="1"/>
  <c r="M363" i="44" s="1"/>
  <c r="N364" i="44" s="1"/>
  <c r="C352" i="44"/>
  <c r="D353" i="44" s="1"/>
  <c r="E354" i="44" s="1"/>
  <c r="F355" i="44" s="1"/>
  <c r="G356" i="44" s="1"/>
  <c r="H357" i="44" s="1"/>
  <c r="I358" i="44" s="1"/>
  <c r="J359" i="44" s="1"/>
  <c r="K360" i="44" s="1"/>
  <c r="L361" i="44" s="1"/>
  <c r="M362" i="44" s="1"/>
  <c r="N363" i="44" s="1"/>
  <c r="C351" i="44"/>
  <c r="D352" i="44" s="1"/>
  <c r="E353" i="44" s="1"/>
  <c r="F354" i="44" s="1"/>
  <c r="G355" i="44" s="1"/>
  <c r="H356" i="44" s="1"/>
  <c r="I357" i="44" s="1"/>
  <c r="J358" i="44" s="1"/>
  <c r="K359" i="44" s="1"/>
  <c r="L360" i="44" s="1"/>
  <c r="M361" i="44" s="1"/>
  <c r="N362" i="44" s="1"/>
  <c r="C350" i="44"/>
  <c r="D351" i="44" s="1"/>
  <c r="E352" i="44" s="1"/>
  <c r="F353" i="44" s="1"/>
  <c r="G354" i="44" s="1"/>
  <c r="H355" i="44" s="1"/>
  <c r="I356" i="44" s="1"/>
  <c r="J357" i="44" s="1"/>
  <c r="K358" i="44" s="1"/>
  <c r="L359" i="44" s="1"/>
  <c r="M360" i="44" s="1"/>
  <c r="N361" i="44" s="1"/>
  <c r="C349" i="44"/>
  <c r="D350" i="44" s="1"/>
  <c r="E351" i="44" s="1"/>
  <c r="F352" i="44" s="1"/>
  <c r="G353" i="44" s="1"/>
  <c r="H354" i="44" s="1"/>
  <c r="I355" i="44" s="1"/>
  <c r="J356" i="44" s="1"/>
  <c r="K357" i="44" s="1"/>
  <c r="L358" i="44" s="1"/>
  <c r="M359" i="44" s="1"/>
  <c r="N360" i="44" s="1"/>
  <c r="C348" i="44"/>
  <c r="D349" i="44" s="1"/>
  <c r="E350" i="44" s="1"/>
  <c r="F351" i="44" s="1"/>
  <c r="G352" i="44" s="1"/>
  <c r="H353" i="44" s="1"/>
  <c r="I354" i="44" s="1"/>
  <c r="J355" i="44" s="1"/>
  <c r="K356" i="44" s="1"/>
  <c r="L357" i="44" s="1"/>
  <c r="M358" i="44" s="1"/>
  <c r="N359" i="44" s="1"/>
  <c r="C347" i="44"/>
  <c r="D348" i="44" s="1"/>
  <c r="E349" i="44" s="1"/>
  <c r="F350" i="44" s="1"/>
  <c r="G351" i="44" s="1"/>
  <c r="H352" i="44" s="1"/>
  <c r="I353" i="44" s="1"/>
  <c r="J354" i="44" s="1"/>
  <c r="K355" i="44" s="1"/>
  <c r="L356" i="44" s="1"/>
  <c r="M357" i="44" s="1"/>
  <c r="N358" i="44" s="1"/>
  <c r="C346" i="44"/>
  <c r="D347" i="44" s="1"/>
  <c r="E348" i="44" s="1"/>
  <c r="F349" i="44" s="1"/>
  <c r="G350" i="44" s="1"/>
  <c r="H351" i="44" s="1"/>
  <c r="I352" i="44" s="1"/>
  <c r="J353" i="44" s="1"/>
  <c r="K354" i="44" s="1"/>
  <c r="L355" i="44" s="1"/>
  <c r="M356" i="44" s="1"/>
  <c r="N357" i="44" s="1"/>
  <c r="E345" i="44"/>
  <c r="F346" i="44" s="1"/>
  <c r="G347" i="44" s="1"/>
  <c r="H348" i="44" s="1"/>
  <c r="I349" i="44" s="1"/>
  <c r="J350" i="44" s="1"/>
  <c r="K351" i="44" s="1"/>
  <c r="L352" i="44" s="1"/>
  <c r="M353" i="44" s="1"/>
  <c r="N354" i="44" s="1"/>
  <c r="C345" i="44"/>
  <c r="D346" i="44" s="1"/>
  <c r="E347" i="44" s="1"/>
  <c r="F348" i="44" s="1"/>
  <c r="G349" i="44" s="1"/>
  <c r="H350" i="44" s="1"/>
  <c r="I351" i="44" s="1"/>
  <c r="J352" i="44" s="1"/>
  <c r="K353" i="44" s="1"/>
  <c r="L354" i="44" s="1"/>
  <c r="M355" i="44" s="1"/>
  <c r="N356" i="44" s="1"/>
  <c r="C344" i="44"/>
  <c r="D345" i="44" s="1"/>
  <c r="E346" i="44" s="1"/>
  <c r="F347" i="44" s="1"/>
  <c r="G348" i="44" s="1"/>
  <c r="H349" i="44" s="1"/>
  <c r="I350" i="44" s="1"/>
  <c r="J351" i="44" s="1"/>
  <c r="K352" i="44" s="1"/>
  <c r="L353" i="44" s="1"/>
  <c r="M354" i="44" s="1"/>
  <c r="N355" i="44" s="1"/>
  <c r="M343" i="44"/>
  <c r="N344" i="44" s="1"/>
  <c r="E343" i="44"/>
  <c r="F344" i="44" s="1"/>
  <c r="G345" i="44" s="1"/>
  <c r="H346" i="44" s="1"/>
  <c r="I347" i="44" s="1"/>
  <c r="J348" i="44" s="1"/>
  <c r="K349" i="44" s="1"/>
  <c r="L350" i="44" s="1"/>
  <c r="M351" i="44" s="1"/>
  <c r="N352" i="44" s="1"/>
  <c r="C343" i="44"/>
  <c r="D344" i="44" s="1"/>
  <c r="E342" i="44"/>
  <c r="F343" i="44" s="1"/>
  <c r="G344" i="44" s="1"/>
  <c r="H345" i="44" s="1"/>
  <c r="I346" i="44" s="1"/>
  <c r="J347" i="44" s="1"/>
  <c r="K348" i="44" s="1"/>
  <c r="L349" i="44" s="1"/>
  <c r="M350" i="44" s="1"/>
  <c r="N351" i="44" s="1"/>
  <c r="C342" i="44"/>
  <c r="D343" i="44" s="1"/>
  <c r="E344" i="44" s="1"/>
  <c r="F345" i="44" s="1"/>
  <c r="G346" i="44" s="1"/>
  <c r="H347" i="44" s="1"/>
  <c r="I348" i="44" s="1"/>
  <c r="J349" i="44" s="1"/>
  <c r="K350" i="44" s="1"/>
  <c r="L351" i="44" s="1"/>
  <c r="M352" i="44" s="1"/>
  <c r="N353" i="44" s="1"/>
  <c r="C341" i="44"/>
  <c r="D342" i="44" s="1"/>
  <c r="E340" i="44"/>
  <c r="F341" i="44" s="1"/>
  <c r="G342" i="44" s="1"/>
  <c r="H343" i="44" s="1"/>
  <c r="I344" i="44" s="1"/>
  <c r="J345" i="44" s="1"/>
  <c r="K346" i="44" s="1"/>
  <c r="L347" i="44" s="1"/>
  <c r="M348" i="44" s="1"/>
  <c r="N349" i="44" s="1"/>
  <c r="C340" i="44"/>
  <c r="D341" i="44" s="1"/>
  <c r="C339" i="44"/>
  <c r="D340" i="44" s="1"/>
  <c r="E341" i="44" s="1"/>
  <c r="F342" i="44" s="1"/>
  <c r="G343" i="44" s="1"/>
  <c r="H344" i="44" s="1"/>
  <c r="I345" i="44" s="1"/>
  <c r="J346" i="44" s="1"/>
  <c r="K347" i="44" s="1"/>
  <c r="L348" i="44" s="1"/>
  <c r="M349" i="44" s="1"/>
  <c r="N350" i="44" s="1"/>
  <c r="C338" i="44"/>
  <c r="D339" i="44" s="1"/>
  <c r="E337" i="44"/>
  <c r="F338" i="44" s="1"/>
  <c r="G339" i="44" s="1"/>
  <c r="H340" i="44" s="1"/>
  <c r="I341" i="44" s="1"/>
  <c r="J342" i="44" s="1"/>
  <c r="K343" i="44" s="1"/>
  <c r="L344" i="44" s="1"/>
  <c r="M345" i="44" s="1"/>
  <c r="N346" i="44" s="1"/>
  <c r="C337" i="44"/>
  <c r="D338" i="44" s="1"/>
  <c r="E339" i="44" s="1"/>
  <c r="F340" i="44" s="1"/>
  <c r="G341" i="44" s="1"/>
  <c r="H342" i="44" s="1"/>
  <c r="I343" i="44" s="1"/>
  <c r="J344" i="44" s="1"/>
  <c r="K345" i="44" s="1"/>
  <c r="L346" i="44" s="1"/>
  <c r="M347" i="44" s="1"/>
  <c r="N348" i="44" s="1"/>
  <c r="C336" i="44"/>
  <c r="D337" i="44" s="1"/>
  <c r="E338" i="44" s="1"/>
  <c r="F339" i="44" s="1"/>
  <c r="G340" i="44" s="1"/>
  <c r="H341" i="44" s="1"/>
  <c r="I342" i="44" s="1"/>
  <c r="J343" i="44" s="1"/>
  <c r="K344" i="44" s="1"/>
  <c r="L345" i="44" s="1"/>
  <c r="M346" i="44" s="1"/>
  <c r="N347" i="44" s="1"/>
  <c r="M335" i="44"/>
  <c r="N336" i="44" s="1"/>
  <c r="E335" i="44"/>
  <c r="F336" i="44" s="1"/>
  <c r="G337" i="44" s="1"/>
  <c r="H338" i="44" s="1"/>
  <c r="I339" i="44" s="1"/>
  <c r="J340" i="44" s="1"/>
  <c r="K341" i="44" s="1"/>
  <c r="L342" i="44" s="1"/>
  <c r="C335" i="44"/>
  <c r="D336" i="44" s="1"/>
  <c r="E334" i="44"/>
  <c r="F335" i="44" s="1"/>
  <c r="G336" i="44" s="1"/>
  <c r="H337" i="44" s="1"/>
  <c r="I338" i="44" s="1"/>
  <c r="J339" i="44" s="1"/>
  <c r="K340" i="44" s="1"/>
  <c r="L341" i="44" s="1"/>
  <c r="M342" i="44" s="1"/>
  <c r="N343" i="44" s="1"/>
  <c r="C334" i="44"/>
  <c r="D335" i="44" s="1"/>
  <c r="E336" i="44" s="1"/>
  <c r="F337" i="44" s="1"/>
  <c r="G338" i="44" s="1"/>
  <c r="H339" i="44" s="1"/>
  <c r="I340" i="44" s="1"/>
  <c r="J341" i="44" s="1"/>
  <c r="K342" i="44" s="1"/>
  <c r="L343" i="44" s="1"/>
  <c r="M344" i="44" s="1"/>
  <c r="N345" i="44" s="1"/>
  <c r="C333" i="44"/>
  <c r="D334" i="44" s="1"/>
  <c r="E332" i="44"/>
  <c r="F333" i="44" s="1"/>
  <c r="G334" i="44" s="1"/>
  <c r="H335" i="44" s="1"/>
  <c r="I336" i="44" s="1"/>
  <c r="J337" i="44" s="1"/>
  <c r="K338" i="44" s="1"/>
  <c r="L339" i="44" s="1"/>
  <c r="M340" i="44" s="1"/>
  <c r="N341" i="44" s="1"/>
  <c r="C332" i="44"/>
  <c r="D333" i="44" s="1"/>
  <c r="C331" i="44"/>
  <c r="D332" i="44" s="1"/>
  <c r="E333" i="44" s="1"/>
  <c r="F334" i="44" s="1"/>
  <c r="G335" i="44" s="1"/>
  <c r="H336" i="44" s="1"/>
  <c r="I337" i="44" s="1"/>
  <c r="J338" i="44" s="1"/>
  <c r="K339" i="44" s="1"/>
  <c r="L340" i="44" s="1"/>
  <c r="M341" i="44" s="1"/>
  <c r="N342" i="44" s="1"/>
  <c r="C330" i="44"/>
  <c r="D331" i="44" s="1"/>
  <c r="E329" i="44"/>
  <c r="F330" i="44" s="1"/>
  <c r="G331" i="44" s="1"/>
  <c r="H332" i="44" s="1"/>
  <c r="I333" i="44" s="1"/>
  <c r="J334" i="44" s="1"/>
  <c r="K335" i="44" s="1"/>
  <c r="L336" i="44" s="1"/>
  <c r="M337" i="44" s="1"/>
  <c r="N338" i="44" s="1"/>
  <c r="C329" i="44"/>
  <c r="D330" i="44" s="1"/>
  <c r="E331" i="44" s="1"/>
  <c r="F332" i="44" s="1"/>
  <c r="G333" i="44" s="1"/>
  <c r="H334" i="44" s="1"/>
  <c r="I335" i="44" s="1"/>
  <c r="J336" i="44" s="1"/>
  <c r="K337" i="44" s="1"/>
  <c r="L338" i="44" s="1"/>
  <c r="M339" i="44" s="1"/>
  <c r="N340" i="44" s="1"/>
  <c r="C328" i="44"/>
  <c r="D329" i="44" s="1"/>
  <c r="E330" i="44" s="1"/>
  <c r="F331" i="44" s="1"/>
  <c r="G332" i="44" s="1"/>
  <c r="H333" i="44" s="1"/>
  <c r="I334" i="44" s="1"/>
  <c r="J335" i="44" s="1"/>
  <c r="K336" i="44" s="1"/>
  <c r="L337" i="44" s="1"/>
  <c r="M338" i="44" s="1"/>
  <c r="N339" i="44" s="1"/>
  <c r="M327" i="44"/>
  <c r="N328" i="44" s="1"/>
  <c r="E327" i="44"/>
  <c r="F328" i="44" s="1"/>
  <c r="G329" i="44" s="1"/>
  <c r="H330" i="44" s="1"/>
  <c r="I331" i="44" s="1"/>
  <c r="J332" i="44" s="1"/>
  <c r="K333" i="44" s="1"/>
  <c r="L334" i="44" s="1"/>
  <c r="C327" i="44"/>
  <c r="D328" i="44" s="1"/>
  <c r="E326" i="44"/>
  <c r="F327" i="44" s="1"/>
  <c r="G328" i="44" s="1"/>
  <c r="H329" i="44" s="1"/>
  <c r="I330" i="44" s="1"/>
  <c r="J331" i="44" s="1"/>
  <c r="K332" i="44" s="1"/>
  <c r="L333" i="44" s="1"/>
  <c r="M334" i="44" s="1"/>
  <c r="N335" i="44" s="1"/>
  <c r="C326" i="44"/>
  <c r="D327" i="44" s="1"/>
  <c r="E328" i="44" s="1"/>
  <c r="F329" i="44" s="1"/>
  <c r="G330" i="44" s="1"/>
  <c r="H331" i="44" s="1"/>
  <c r="I332" i="44" s="1"/>
  <c r="J333" i="44" s="1"/>
  <c r="K334" i="44" s="1"/>
  <c r="L335" i="44" s="1"/>
  <c r="M336" i="44" s="1"/>
  <c r="N337" i="44" s="1"/>
  <c r="C325" i="44"/>
  <c r="D326" i="44" s="1"/>
  <c r="I324" i="44"/>
  <c r="J325" i="44" s="1"/>
  <c r="K326" i="44" s="1"/>
  <c r="L327" i="44" s="1"/>
  <c r="M328" i="44" s="1"/>
  <c r="N329" i="44" s="1"/>
  <c r="E324" i="44"/>
  <c r="F325" i="44" s="1"/>
  <c r="G326" i="44" s="1"/>
  <c r="H327" i="44" s="1"/>
  <c r="I328" i="44" s="1"/>
  <c r="J329" i="44" s="1"/>
  <c r="K330" i="44" s="1"/>
  <c r="L331" i="44" s="1"/>
  <c r="M332" i="44" s="1"/>
  <c r="N333" i="44" s="1"/>
  <c r="C324" i="44"/>
  <c r="D325" i="44" s="1"/>
  <c r="C323" i="44"/>
  <c r="D324" i="44" s="1"/>
  <c r="E325" i="44" s="1"/>
  <c r="F326" i="44" s="1"/>
  <c r="G327" i="44" s="1"/>
  <c r="H328" i="44" s="1"/>
  <c r="I329" i="44" s="1"/>
  <c r="J330" i="44" s="1"/>
  <c r="K331" i="44" s="1"/>
  <c r="L332" i="44" s="1"/>
  <c r="M333" i="44" s="1"/>
  <c r="N334" i="44" s="1"/>
  <c r="C322" i="44"/>
  <c r="D323" i="44" s="1"/>
  <c r="E321" i="44"/>
  <c r="F322" i="44" s="1"/>
  <c r="G323" i="44" s="1"/>
  <c r="H324" i="44" s="1"/>
  <c r="I325" i="44" s="1"/>
  <c r="J326" i="44" s="1"/>
  <c r="K327" i="44" s="1"/>
  <c r="L328" i="44" s="1"/>
  <c r="M329" i="44" s="1"/>
  <c r="N330" i="44" s="1"/>
  <c r="C321" i="44"/>
  <c r="D322" i="44" s="1"/>
  <c r="E323" i="44" s="1"/>
  <c r="F324" i="44" s="1"/>
  <c r="G325" i="44" s="1"/>
  <c r="H326" i="44" s="1"/>
  <c r="I327" i="44" s="1"/>
  <c r="J328" i="44" s="1"/>
  <c r="K329" i="44" s="1"/>
  <c r="L330" i="44" s="1"/>
  <c r="M331" i="44" s="1"/>
  <c r="N332" i="44" s="1"/>
  <c r="C320" i="44"/>
  <c r="D321" i="44" s="1"/>
  <c r="E322" i="44" s="1"/>
  <c r="F323" i="44" s="1"/>
  <c r="G324" i="44" s="1"/>
  <c r="H325" i="44" s="1"/>
  <c r="I326" i="44" s="1"/>
  <c r="J327" i="44" s="1"/>
  <c r="K328" i="44" s="1"/>
  <c r="L329" i="44" s="1"/>
  <c r="M330" i="44" s="1"/>
  <c r="N331" i="44" s="1"/>
  <c r="M319" i="44"/>
  <c r="N320" i="44" s="1"/>
  <c r="E319" i="44"/>
  <c r="F320" i="44" s="1"/>
  <c r="G321" i="44" s="1"/>
  <c r="H322" i="44" s="1"/>
  <c r="I323" i="44" s="1"/>
  <c r="J324" i="44" s="1"/>
  <c r="K325" i="44" s="1"/>
  <c r="L326" i="44" s="1"/>
  <c r="C319" i="44"/>
  <c r="D320" i="44" s="1"/>
  <c r="E318" i="44"/>
  <c r="F319" i="44" s="1"/>
  <c r="G320" i="44" s="1"/>
  <c r="H321" i="44" s="1"/>
  <c r="I322" i="44" s="1"/>
  <c r="J323" i="44" s="1"/>
  <c r="K324" i="44" s="1"/>
  <c r="L325" i="44" s="1"/>
  <c r="M326" i="44" s="1"/>
  <c r="N327" i="44" s="1"/>
  <c r="C318" i="44"/>
  <c r="D319" i="44" s="1"/>
  <c r="E320" i="44" s="1"/>
  <c r="F321" i="44" s="1"/>
  <c r="G322" i="44" s="1"/>
  <c r="H323" i="44" s="1"/>
  <c r="C317" i="44"/>
  <c r="D318" i="44" s="1"/>
  <c r="E316" i="44"/>
  <c r="F317" i="44" s="1"/>
  <c r="G318" i="44" s="1"/>
  <c r="H319" i="44" s="1"/>
  <c r="I320" i="44" s="1"/>
  <c r="J321" i="44" s="1"/>
  <c r="K322" i="44" s="1"/>
  <c r="L323" i="44" s="1"/>
  <c r="M324" i="44" s="1"/>
  <c r="N325" i="44" s="1"/>
  <c r="C316" i="44"/>
  <c r="D317" i="44" s="1"/>
  <c r="C315" i="44"/>
  <c r="D316" i="44" s="1"/>
  <c r="E317" i="44" s="1"/>
  <c r="F318" i="44" s="1"/>
  <c r="G319" i="44" s="1"/>
  <c r="H320" i="44" s="1"/>
  <c r="I321" i="44" s="1"/>
  <c r="J322" i="44" s="1"/>
  <c r="K323" i="44" s="1"/>
  <c r="L324" i="44" s="1"/>
  <c r="M325" i="44" s="1"/>
  <c r="N326" i="44" s="1"/>
  <c r="C314" i="44"/>
  <c r="D315" i="44" s="1"/>
  <c r="E313" i="44"/>
  <c r="F314" i="44" s="1"/>
  <c r="G315" i="44" s="1"/>
  <c r="H316" i="44" s="1"/>
  <c r="I317" i="44" s="1"/>
  <c r="J318" i="44" s="1"/>
  <c r="K319" i="44" s="1"/>
  <c r="L320" i="44" s="1"/>
  <c r="M321" i="44" s="1"/>
  <c r="N322" i="44" s="1"/>
  <c r="C313" i="44"/>
  <c r="D314" i="44" s="1"/>
  <c r="E315" i="44" s="1"/>
  <c r="F316" i="44" s="1"/>
  <c r="G317" i="44" s="1"/>
  <c r="H318" i="44" s="1"/>
  <c r="I319" i="44" s="1"/>
  <c r="J320" i="44" s="1"/>
  <c r="K321" i="44" s="1"/>
  <c r="L322" i="44" s="1"/>
  <c r="M323" i="44" s="1"/>
  <c r="N324" i="44" s="1"/>
  <c r="C312" i="44"/>
  <c r="D313" i="44" s="1"/>
  <c r="E314" i="44" s="1"/>
  <c r="F315" i="44" s="1"/>
  <c r="G316" i="44" s="1"/>
  <c r="H317" i="44" s="1"/>
  <c r="I318" i="44" s="1"/>
  <c r="J319" i="44" s="1"/>
  <c r="K320" i="44" s="1"/>
  <c r="L321" i="44" s="1"/>
  <c r="M322" i="44" s="1"/>
  <c r="N323" i="44" s="1"/>
  <c r="M311" i="44"/>
  <c r="N312" i="44" s="1"/>
  <c r="E311" i="44"/>
  <c r="F312" i="44" s="1"/>
  <c r="G313" i="44" s="1"/>
  <c r="H314" i="44" s="1"/>
  <c r="I315" i="44" s="1"/>
  <c r="J316" i="44" s="1"/>
  <c r="K317" i="44" s="1"/>
  <c r="L318" i="44" s="1"/>
  <c r="C311" i="44"/>
  <c r="D312" i="44" s="1"/>
  <c r="E310" i="44"/>
  <c r="F311" i="44" s="1"/>
  <c r="G312" i="44" s="1"/>
  <c r="H313" i="44" s="1"/>
  <c r="I314" i="44" s="1"/>
  <c r="J315" i="44" s="1"/>
  <c r="K316" i="44" s="1"/>
  <c r="L317" i="44" s="1"/>
  <c r="M318" i="44" s="1"/>
  <c r="N319" i="44" s="1"/>
  <c r="C310" i="44"/>
  <c r="D311" i="44" s="1"/>
  <c r="E312" i="44" s="1"/>
  <c r="F313" i="44" s="1"/>
  <c r="G314" i="44" s="1"/>
  <c r="H315" i="44" s="1"/>
  <c r="I316" i="44" s="1"/>
  <c r="J317" i="44" s="1"/>
  <c r="K318" i="44" s="1"/>
  <c r="L319" i="44" s="1"/>
  <c r="M320" i="44" s="1"/>
  <c r="N321" i="44" s="1"/>
  <c r="C309" i="44"/>
  <c r="D310" i="44" s="1"/>
  <c r="E308" i="44"/>
  <c r="F309" i="44" s="1"/>
  <c r="G310" i="44" s="1"/>
  <c r="H311" i="44" s="1"/>
  <c r="I312" i="44" s="1"/>
  <c r="J313" i="44" s="1"/>
  <c r="K314" i="44" s="1"/>
  <c r="L315" i="44" s="1"/>
  <c r="M316" i="44" s="1"/>
  <c r="N317" i="44" s="1"/>
  <c r="C308" i="44"/>
  <c r="D309" i="44" s="1"/>
  <c r="C307" i="44"/>
  <c r="D308" i="44" s="1"/>
  <c r="E309" i="44" s="1"/>
  <c r="F310" i="44" s="1"/>
  <c r="G311" i="44" s="1"/>
  <c r="H312" i="44" s="1"/>
  <c r="I313" i="44" s="1"/>
  <c r="J314" i="44" s="1"/>
  <c r="K315" i="44" s="1"/>
  <c r="L316" i="44" s="1"/>
  <c r="M317" i="44" s="1"/>
  <c r="N318" i="44" s="1"/>
  <c r="C306" i="44"/>
  <c r="D307" i="44" s="1"/>
  <c r="E305" i="44"/>
  <c r="F306" i="44" s="1"/>
  <c r="G307" i="44" s="1"/>
  <c r="H308" i="44" s="1"/>
  <c r="I309" i="44" s="1"/>
  <c r="J310" i="44" s="1"/>
  <c r="K311" i="44" s="1"/>
  <c r="L312" i="44" s="1"/>
  <c r="M313" i="44" s="1"/>
  <c r="N314" i="44" s="1"/>
  <c r="C305" i="44"/>
  <c r="D306" i="44" s="1"/>
  <c r="E307" i="44" s="1"/>
  <c r="F308" i="44" s="1"/>
  <c r="G309" i="44" s="1"/>
  <c r="H310" i="44" s="1"/>
  <c r="I311" i="44" s="1"/>
  <c r="J312" i="44" s="1"/>
  <c r="K313" i="44" s="1"/>
  <c r="L314" i="44" s="1"/>
  <c r="M315" i="44" s="1"/>
  <c r="N316" i="44" s="1"/>
  <c r="C304" i="44"/>
  <c r="D305" i="44" s="1"/>
  <c r="E306" i="44" s="1"/>
  <c r="F307" i="44" s="1"/>
  <c r="G308" i="44" s="1"/>
  <c r="H309" i="44" s="1"/>
  <c r="I310" i="44" s="1"/>
  <c r="J311" i="44" s="1"/>
  <c r="K312" i="44" s="1"/>
  <c r="L313" i="44" s="1"/>
  <c r="M314" i="44" s="1"/>
  <c r="N315" i="44" s="1"/>
  <c r="M303" i="44"/>
  <c r="N304" i="44" s="1"/>
  <c r="E303" i="44"/>
  <c r="F304" i="44" s="1"/>
  <c r="G305" i="44" s="1"/>
  <c r="H306" i="44" s="1"/>
  <c r="I307" i="44" s="1"/>
  <c r="J308" i="44" s="1"/>
  <c r="K309" i="44" s="1"/>
  <c r="L310" i="44" s="1"/>
  <c r="C303" i="44"/>
  <c r="D304" i="44" s="1"/>
  <c r="E302" i="44"/>
  <c r="F303" i="44" s="1"/>
  <c r="G304" i="44" s="1"/>
  <c r="H305" i="44" s="1"/>
  <c r="I306" i="44" s="1"/>
  <c r="J307" i="44" s="1"/>
  <c r="K308" i="44" s="1"/>
  <c r="L309" i="44" s="1"/>
  <c r="M310" i="44" s="1"/>
  <c r="N311" i="44" s="1"/>
  <c r="C302" i="44"/>
  <c r="D303" i="44" s="1"/>
  <c r="E304" i="44" s="1"/>
  <c r="F305" i="44" s="1"/>
  <c r="G306" i="44" s="1"/>
  <c r="H307" i="44" s="1"/>
  <c r="I308" i="44" s="1"/>
  <c r="J309" i="44" s="1"/>
  <c r="K310" i="44" s="1"/>
  <c r="L311" i="44" s="1"/>
  <c r="M312" i="44" s="1"/>
  <c r="N313" i="44" s="1"/>
  <c r="C301" i="44"/>
  <c r="D302" i="44" s="1"/>
  <c r="E300" i="44"/>
  <c r="F301" i="44" s="1"/>
  <c r="G302" i="44" s="1"/>
  <c r="H303" i="44" s="1"/>
  <c r="I304" i="44" s="1"/>
  <c r="J305" i="44" s="1"/>
  <c r="K306" i="44" s="1"/>
  <c r="L307" i="44" s="1"/>
  <c r="M308" i="44" s="1"/>
  <c r="N309" i="44" s="1"/>
  <c r="C300" i="44"/>
  <c r="D301" i="44" s="1"/>
  <c r="C299" i="44"/>
  <c r="D300" i="44" s="1"/>
  <c r="E301" i="44" s="1"/>
  <c r="F302" i="44" s="1"/>
  <c r="G303" i="44" s="1"/>
  <c r="H304" i="44" s="1"/>
  <c r="I305" i="44" s="1"/>
  <c r="J306" i="44" s="1"/>
  <c r="K307" i="44" s="1"/>
  <c r="L308" i="44" s="1"/>
  <c r="M309" i="44" s="1"/>
  <c r="N310" i="44" s="1"/>
  <c r="C298" i="44"/>
  <c r="D299" i="44" s="1"/>
  <c r="E297" i="44"/>
  <c r="F298" i="44" s="1"/>
  <c r="G299" i="44" s="1"/>
  <c r="H300" i="44" s="1"/>
  <c r="I301" i="44" s="1"/>
  <c r="J302" i="44" s="1"/>
  <c r="K303" i="44" s="1"/>
  <c r="L304" i="44" s="1"/>
  <c r="M305" i="44" s="1"/>
  <c r="N306" i="44" s="1"/>
  <c r="C297" i="44"/>
  <c r="D298" i="44" s="1"/>
  <c r="E299" i="44" s="1"/>
  <c r="F300" i="44" s="1"/>
  <c r="G301" i="44" s="1"/>
  <c r="H302" i="44" s="1"/>
  <c r="I303" i="44" s="1"/>
  <c r="J304" i="44" s="1"/>
  <c r="K305" i="44" s="1"/>
  <c r="L306" i="44" s="1"/>
  <c r="M307" i="44" s="1"/>
  <c r="N308" i="44" s="1"/>
  <c r="C296" i="44"/>
  <c r="D297" i="44" s="1"/>
  <c r="E298" i="44" s="1"/>
  <c r="F299" i="44" s="1"/>
  <c r="G300" i="44" s="1"/>
  <c r="H301" i="44" s="1"/>
  <c r="I302" i="44" s="1"/>
  <c r="J303" i="44" s="1"/>
  <c r="K304" i="44" s="1"/>
  <c r="L305" i="44" s="1"/>
  <c r="M306" i="44" s="1"/>
  <c r="N307" i="44" s="1"/>
  <c r="M295" i="44"/>
  <c r="N296" i="44" s="1"/>
  <c r="E295" i="44"/>
  <c r="F296" i="44" s="1"/>
  <c r="G297" i="44" s="1"/>
  <c r="H298" i="44" s="1"/>
  <c r="I299" i="44" s="1"/>
  <c r="J300" i="44" s="1"/>
  <c r="K301" i="44" s="1"/>
  <c r="L302" i="44" s="1"/>
  <c r="C295" i="44"/>
  <c r="D296" i="44" s="1"/>
  <c r="E294" i="44"/>
  <c r="F295" i="44" s="1"/>
  <c r="G296" i="44" s="1"/>
  <c r="H297" i="44" s="1"/>
  <c r="I298" i="44" s="1"/>
  <c r="J299" i="44" s="1"/>
  <c r="K300" i="44" s="1"/>
  <c r="L301" i="44" s="1"/>
  <c r="M302" i="44" s="1"/>
  <c r="N303" i="44" s="1"/>
  <c r="C294" i="44"/>
  <c r="D295" i="44" s="1"/>
  <c r="E296" i="44" s="1"/>
  <c r="F297" i="44" s="1"/>
  <c r="G298" i="44" s="1"/>
  <c r="H299" i="44" s="1"/>
  <c r="I300" i="44" s="1"/>
  <c r="J301" i="44" s="1"/>
  <c r="K302" i="44" s="1"/>
  <c r="L303" i="44" s="1"/>
  <c r="M304" i="44" s="1"/>
  <c r="N305" i="44" s="1"/>
  <c r="C293" i="44"/>
  <c r="D294" i="44" s="1"/>
  <c r="I292" i="44"/>
  <c r="J293" i="44" s="1"/>
  <c r="K294" i="44" s="1"/>
  <c r="L295" i="44" s="1"/>
  <c r="M296" i="44" s="1"/>
  <c r="N297" i="44" s="1"/>
  <c r="E292" i="44"/>
  <c r="F293" i="44" s="1"/>
  <c r="G294" i="44" s="1"/>
  <c r="H295" i="44" s="1"/>
  <c r="I296" i="44" s="1"/>
  <c r="J297" i="44" s="1"/>
  <c r="K298" i="44" s="1"/>
  <c r="L299" i="44" s="1"/>
  <c r="M300" i="44" s="1"/>
  <c r="N301" i="44" s="1"/>
  <c r="C292" i="44"/>
  <c r="D293" i="44" s="1"/>
  <c r="C291" i="44"/>
  <c r="D292" i="44" s="1"/>
  <c r="E293" i="44" s="1"/>
  <c r="F294" i="44" s="1"/>
  <c r="G295" i="44" s="1"/>
  <c r="H296" i="44" s="1"/>
  <c r="I297" i="44" s="1"/>
  <c r="J298" i="44" s="1"/>
  <c r="K299" i="44" s="1"/>
  <c r="L300" i="44" s="1"/>
  <c r="M301" i="44" s="1"/>
  <c r="N302" i="44" s="1"/>
  <c r="C290" i="44"/>
  <c r="D291" i="44" s="1"/>
  <c r="E289" i="44"/>
  <c r="F290" i="44" s="1"/>
  <c r="G291" i="44" s="1"/>
  <c r="H292" i="44" s="1"/>
  <c r="I293" i="44" s="1"/>
  <c r="J294" i="44" s="1"/>
  <c r="K295" i="44" s="1"/>
  <c r="L296" i="44" s="1"/>
  <c r="M297" i="44" s="1"/>
  <c r="N298" i="44" s="1"/>
  <c r="C289" i="44"/>
  <c r="D290" i="44" s="1"/>
  <c r="E291" i="44" s="1"/>
  <c r="F292" i="44" s="1"/>
  <c r="G293" i="44" s="1"/>
  <c r="H294" i="44" s="1"/>
  <c r="I295" i="44" s="1"/>
  <c r="J296" i="44" s="1"/>
  <c r="K297" i="44" s="1"/>
  <c r="L298" i="44" s="1"/>
  <c r="M299" i="44" s="1"/>
  <c r="N300" i="44" s="1"/>
  <c r="C288" i="44"/>
  <c r="D289" i="44" s="1"/>
  <c r="E290" i="44" s="1"/>
  <c r="F291" i="44" s="1"/>
  <c r="G292" i="44" s="1"/>
  <c r="H293" i="44" s="1"/>
  <c r="I294" i="44" s="1"/>
  <c r="J295" i="44" s="1"/>
  <c r="K296" i="44" s="1"/>
  <c r="L297" i="44" s="1"/>
  <c r="M298" i="44" s="1"/>
  <c r="N299" i="44" s="1"/>
  <c r="M287" i="44"/>
  <c r="N288" i="44" s="1"/>
  <c r="E287" i="44"/>
  <c r="F288" i="44" s="1"/>
  <c r="G289" i="44" s="1"/>
  <c r="H290" i="44" s="1"/>
  <c r="I291" i="44" s="1"/>
  <c r="J292" i="44" s="1"/>
  <c r="K293" i="44" s="1"/>
  <c r="L294" i="44" s="1"/>
  <c r="C287" i="44"/>
  <c r="D288" i="44" s="1"/>
  <c r="E286" i="44"/>
  <c r="F287" i="44" s="1"/>
  <c r="G288" i="44" s="1"/>
  <c r="H289" i="44" s="1"/>
  <c r="I290" i="44" s="1"/>
  <c r="J291" i="44" s="1"/>
  <c r="K292" i="44" s="1"/>
  <c r="L293" i="44" s="1"/>
  <c r="M294" i="44" s="1"/>
  <c r="N295" i="44" s="1"/>
  <c r="C286" i="44"/>
  <c r="D287" i="44" s="1"/>
  <c r="E288" i="44" s="1"/>
  <c r="F289" i="44" s="1"/>
  <c r="G290" i="44" s="1"/>
  <c r="H291" i="44" s="1"/>
  <c r="C285" i="44"/>
  <c r="D286" i="44" s="1"/>
  <c r="E284" i="44"/>
  <c r="F285" i="44" s="1"/>
  <c r="G286" i="44" s="1"/>
  <c r="H287" i="44" s="1"/>
  <c r="I288" i="44" s="1"/>
  <c r="J289" i="44" s="1"/>
  <c r="K290" i="44" s="1"/>
  <c r="L291" i="44" s="1"/>
  <c r="M292" i="44" s="1"/>
  <c r="N293" i="44" s="1"/>
  <c r="C284" i="44"/>
  <c r="D285" i="44" s="1"/>
  <c r="C283" i="44"/>
  <c r="D284" i="44" s="1"/>
  <c r="E285" i="44" s="1"/>
  <c r="F286" i="44" s="1"/>
  <c r="G287" i="44" s="1"/>
  <c r="H288" i="44" s="1"/>
  <c r="I289" i="44" s="1"/>
  <c r="J290" i="44" s="1"/>
  <c r="K291" i="44" s="1"/>
  <c r="L292" i="44" s="1"/>
  <c r="M293" i="44" s="1"/>
  <c r="N294" i="44" s="1"/>
  <c r="C282" i="44"/>
  <c r="D283" i="44" s="1"/>
  <c r="E281" i="44"/>
  <c r="F282" i="44" s="1"/>
  <c r="G283" i="44" s="1"/>
  <c r="H284" i="44" s="1"/>
  <c r="I285" i="44" s="1"/>
  <c r="J286" i="44" s="1"/>
  <c r="K287" i="44" s="1"/>
  <c r="L288" i="44" s="1"/>
  <c r="M289" i="44" s="1"/>
  <c r="N290" i="44" s="1"/>
  <c r="C281" i="44"/>
  <c r="D282" i="44" s="1"/>
  <c r="E283" i="44" s="1"/>
  <c r="F284" i="44" s="1"/>
  <c r="G285" i="44" s="1"/>
  <c r="H286" i="44" s="1"/>
  <c r="I287" i="44" s="1"/>
  <c r="J288" i="44" s="1"/>
  <c r="K289" i="44" s="1"/>
  <c r="L290" i="44" s="1"/>
  <c r="M291" i="44" s="1"/>
  <c r="N292" i="44" s="1"/>
  <c r="C280" i="44"/>
  <c r="D281" i="44" s="1"/>
  <c r="E282" i="44" s="1"/>
  <c r="F283" i="44" s="1"/>
  <c r="G284" i="44" s="1"/>
  <c r="H285" i="44" s="1"/>
  <c r="I286" i="44" s="1"/>
  <c r="J287" i="44" s="1"/>
  <c r="K288" i="44" s="1"/>
  <c r="L289" i="44" s="1"/>
  <c r="M290" i="44" s="1"/>
  <c r="N291" i="44" s="1"/>
  <c r="M279" i="44"/>
  <c r="N280" i="44" s="1"/>
  <c r="E279" i="44"/>
  <c r="F280" i="44" s="1"/>
  <c r="G281" i="44" s="1"/>
  <c r="H282" i="44" s="1"/>
  <c r="I283" i="44" s="1"/>
  <c r="J284" i="44" s="1"/>
  <c r="K285" i="44" s="1"/>
  <c r="L286" i="44" s="1"/>
  <c r="C279" i="44"/>
  <c r="D280" i="44" s="1"/>
  <c r="C278" i="44"/>
  <c r="D279" i="44" s="1"/>
  <c r="E280" i="44" s="1"/>
  <c r="F281" i="44" s="1"/>
  <c r="G282" i="44" s="1"/>
  <c r="H283" i="44" s="1"/>
  <c r="I284" i="44" s="1"/>
  <c r="J285" i="44" s="1"/>
  <c r="K286" i="44" s="1"/>
  <c r="L287" i="44" s="1"/>
  <c r="M288" i="44" s="1"/>
  <c r="N289" i="44" s="1"/>
  <c r="E277" i="44"/>
  <c r="F278" i="44" s="1"/>
  <c r="G279" i="44" s="1"/>
  <c r="H280" i="44" s="1"/>
  <c r="I281" i="44" s="1"/>
  <c r="J282" i="44" s="1"/>
  <c r="K283" i="44" s="1"/>
  <c r="L284" i="44" s="1"/>
  <c r="M285" i="44" s="1"/>
  <c r="N286" i="44" s="1"/>
  <c r="C277" i="44"/>
  <c r="D278" i="44" s="1"/>
  <c r="E276" i="44"/>
  <c r="F277" i="44" s="1"/>
  <c r="G278" i="44" s="1"/>
  <c r="H279" i="44" s="1"/>
  <c r="I280" i="44" s="1"/>
  <c r="J281" i="44" s="1"/>
  <c r="K282" i="44" s="1"/>
  <c r="L283" i="44" s="1"/>
  <c r="M284" i="44" s="1"/>
  <c r="N285" i="44" s="1"/>
  <c r="C276" i="44"/>
  <c r="D277" i="44" s="1"/>
  <c r="E278" i="44" s="1"/>
  <c r="F279" i="44" s="1"/>
  <c r="G280" i="44" s="1"/>
  <c r="H281" i="44" s="1"/>
  <c r="I282" i="44" s="1"/>
  <c r="J283" i="44" s="1"/>
  <c r="K284" i="44" s="1"/>
  <c r="L285" i="44" s="1"/>
  <c r="M286" i="44" s="1"/>
  <c r="N287" i="44" s="1"/>
  <c r="E275" i="44"/>
  <c r="F276" i="44" s="1"/>
  <c r="G277" i="44" s="1"/>
  <c r="H278" i="44" s="1"/>
  <c r="I279" i="44" s="1"/>
  <c r="J280" i="44" s="1"/>
  <c r="K281" i="44" s="1"/>
  <c r="L282" i="44" s="1"/>
  <c r="M283" i="44" s="1"/>
  <c r="N284" i="44" s="1"/>
  <c r="C275" i="44"/>
  <c r="D276" i="44" s="1"/>
  <c r="I274" i="44"/>
  <c r="J275" i="44" s="1"/>
  <c r="K276" i="44" s="1"/>
  <c r="L277" i="44" s="1"/>
  <c r="M278" i="44" s="1"/>
  <c r="N279" i="44" s="1"/>
  <c r="E274" i="44"/>
  <c r="F275" i="44" s="1"/>
  <c r="G276" i="44" s="1"/>
  <c r="H277" i="44" s="1"/>
  <c r="I278" i="44" s="1"/>
  <c r="J279" i="44" s="1"/>
  <c r="K280" i="44" s="1"/>
  <c r="L281" i="44" s="1"/>
  <c r="M282" i="44" s="1"/>
  <c r="N283" i="44" s="1"/>
  <c r="C274" i="44"/>
  <c r="D275" i="44" s="1"/>
  <c r="C273" i="44"/>
  <c r="D274" i="44" s="1"/>
  <c r="C272" i="44"/>
  <c r="D273" i="44" s="1"/>
  <c r="G271" i="44"/>
  <c r="H272" i="44" s="1"/>
  <c r="I273" i="44" s="1"/>
  <c r="J274" i="44" s="1"/>
  <c r="K275" i="44" s="1"/>
  <c r="L276" i="44" s="1"/>
  <c r="M277" i="44" s="1"/>
  <c r="N278" i="44" s="1"/>
  <c r="C271" i="44"/>
  <c r="D272" i="44" s="1"/>
  <c r="E273" i="44" s="1"/>
  <c r="F274" i="44" s="1"/>
  <c r="G275" i="44" s="1"/>
  <c r="H276" i="44" s="1"/>
  <c r="I277" i="44" s="1"/>
  <c r="J278" i="44" s="1"/>
  <c r="K279" i="44" s="1"/>
  <c r="L280" i="44" s="1"/>
  <c r="M281" i="44" s="1"/>
  <c r="N282" i="44" s="1"/>
  <c r="C270" i="44"/>
  <c r="D271" i="44" s="1"/>
  <c r="E272" i="44" s="1"/>
  <c r="F273" i="44" s="1"/>
  <c r="G274" i="44" s="1"/>
  <c r="H275" i="44" s="1"/>
  <c r="I276" i="44" s="1"/>
  <c r="J277" i="44" s="1"/>
  <c r="K278" i="44" s="1"/>
  <c r="L279" i="44" s="1"/>
  <c r="M280" i="44" s="1"/>
  <c r="N281" i="44" s="1"/>
  <c r="C269" i="44"/>
  <c r="D270" i="44" s="1"/>
  <c r="E271" i="44" s="1"/>
  <c r="F272" i="44" s="1"/>
  <c r="G273" i="44" s="1"/>
  <c r="H274" i="44" s="1"/>
  <c r="I275" i="44" s="1"/>
  <c r="J276" i="44" s="1"/>
  <c r="K277" i="44" s="1"/>
  <c r="L278" i="44" s="1"/>
  <c r="K268" i="44"/>
  <c r="L269" i="44" s="1"/>
  <c r="M270" i="44" s="1"/>
  <c r="N271" i="44" s="1"/>
  <c r="C268" i="44"/>
  <c r="D269" i="44" s="1"/>
  <c r="E270" i="44" s="1"/>
  <c r="F271" i="44" s="1"/>
  <c r="G272" i="44" s="1"/>
  <c r="H273" i="44" s="1"/>
  <c r="G267" i="44"/>
  <c r="H268" i="44" s="1"/>
  <c r="I269" i="44" s="1"/>
  <c r="J270" i="44" s="1"/>
  <c r="K271" i="44" s="1"/>
  <c r="L272" i="44" s="1"/>
  <c r="M273" i="44" s="1"/>
  <c r="N274" i="44" s="1"/>
  <c r="C267" i="44"/>
  <c r="D268" i="44" s="1"/>
  <c r="E269" i="44" s="1"/>
  <c r="F270" i="44" s="1"/>
  <c r="C266" i="44"/>
  <c r="D267" i="44" s="1"/>
  <c r="E268" i="44" s="1"/>
  <c r="F269" i="44" s="1"/>
  <c r="G270" i="44" s="1"/>
  <c r="H271" i="44" s="1"/>
  <c r="I272" i="44" s="1"/>
  <c r="J273" i="44" s="1"/>
  <c r="K274" i="44" s="1"/>
  <c r="L275" i="44" s="1"/>
  <c r="M276" i="44" s="1"/>
  <c r="N277" i="44" s="1"/>
  <c r="C265" i="44"/>
  <c r="D266" i="44" s="1"/>
  <c r="E267" i="44" s="1"/>
  <c r="F268" i="44" s="1"/>
  <c r="G269" i="44" s="1"/>
  <c r="H270" i="44" s="1"/>
  <c r="I271" i="44" s="1"/>
  <c r="J272" i="44" s="1"/>
  <c r="K273" i="44" s="1"/>
  <c r="L274" i="44" s="1"/>
  <c r="M275" i="44" s="1"/>
  <c r="N276" i="44" s="1"/>
  <c r="G264" i="44"/>
  <c r="H265" i="44" s="1"/>
  <c r="I266" i="44" s="1"/>
  <c r="J267" i="44" s="1"/>
  <c r="C264" i="44"/>
  <c r="D265" i="44" s="1"/>
  <c r="E266" i="44" s="1"/>
  <c r="F267" i="44" s="1"/>
  <c r="G268" i="44" s="1"/>
  <c r="H269" i="44" s="1"/>
  <c r="I270" i="44" s="1"/>
  <c r="J271" i="44" s="1"/>
  <c r="K272" i="44" s="1"/>
  <c r="L273" i="44" s="1"/>
  <c r="M274" i="44" s="1"/>
  <c r="N275" i="44" s="1"/>
  <c r="C263" i="44"/>
  <c r="D264" i="44" s="1"/>
  <c r="E265" i="44" s="1"/>
  <c r="F266" i="44" s="1"/>
  <c r="C262" i="44"/>
  <c r="D263" i="44" s="1"/>
  <c r="E264" i="44" s="1"/>
  <c r="F265" i="44" s="1"/>
  <c r="G266" i="44" s="1"/>
  <c r="H267" i="44" s="1"/>
  <c r="I268" i="44" s="1"/>
  <c r="J269" i="44" s="1"/>
  <c r="K270" i="44" s="1"/>
  <c r="L271" i="44" s="1"/>
  <c r="M272" i="44" s="1"/>
  <c r="N273" i="44" s="1"/>
  <c r="C261" i="44"/>
  <c r="D262" i="44" s="1"/>
  <c r="E263" i="44" s="1"/>
  <c r="F264" i="44" s="1"/>
  <c r="G265" i="44" s="1"/>
  <c r="H266" i="44" s="1"/>
  <c r="I267" i="44" s="1"/>
  <c r="J268" i="44" s="1"/>
  <c r="K269" i="44" s="1"/>
  <c r="L270" i="44" s="1"/>
  <c r="M271" i="44" s="1"/>
  <c r="N272" i="44" s="1"/>
  <c r="G260" i="44"/>
  <c r="H261" i="44" s="1"/>
  <c r="I262" i="44" s="1"/>
  <c r="J263" i="44" s="1"/>
  <c r="K264" i="44" s="1"/>
  <c r="L265" i="44" s="1"/>
  <c r="M266" i="44" s="1"/>
  <c r="N267" i="44" s="1"/>
  <c r="C260" i="44"/>
  <c r="D261" i="44" s="1"/>
  <c r="E262" i="44" s="1"/>
  <c r="F263" i="44" s="1"/>
  <c r="C259" i="44"/>
  <c r="D260" i="44" s="1"/>
  <c r="E261" i="44" s="1"/>
  <c r="F262" i="44" s="1"/>
  <c r="G263" i="44" s="1"/>
  <c r="H264" i="44" s="1"/>
  <c r="I265" i="44" s="1"/>
  <c r="J266" i="44" s="1"/>
  <c r="K267" i="44" s="1"/>
  <c r="L268" i="44" s="1"/>
  <c r="M269" i="44" s="1"/>
  <c r="N270" i="44" s="1"/>
  <c r="C258" i="44"/>
  <c r="D259" i="44" s="1"/>
  <c r="E260" i="44" s="1"/>
  <c r="F261" i="44" s="1"/>
  <c r="G262" i="44" s="1"/>
  <c r="H263" i="44" s="1"/>
  <c r="I264" i="44" s="1"/>
  <c r="J265" i="44" s="1"/>
  <c r="K266" i="44" s="1"/>
  <c r="L267" i="44" s="1"/>
  <c r="M268" i="44" s="1"/>
  <c r="N269" i="44" s="1"/>
  <c r="C257" i="44"/>
  <c r="D258" i="44" s="1"/>
  <c r="E259" i="44" s="1"/>
  <c r="F260" i="44" s="1"/>
  <c r="G261" i="44" s="1"/>
  <c r="H262" i="44" s="1"/>
  <c r="I263" i="44" s="1"/>
  <c r="J264" i="44" s="1"/>
  <c r="K265" i="44" s="1"/>
  <c r="L266" i="44" s="1"/>
  <c r="M267" i="44" s="1"/>
  <c r="N268" i="44" s="1"/>
  <c r="C256" i="44"/>
  <c r="D257" i="44" s="1"/>
  <c r="E258" i="44" s="1"/>
  <c r="F259" i="44" s="1"/>
  <c r="G255" i="44"/>
  <c r="H256" i="44" s="1"/>
  <c r="I257" i="44" s="1"/>
  <c r="J258" i="44" s="1"/>
  <c r="K259" i="44" s="1"/>
  <c r="L260" i="44" s="1"/>
  <c r="M261" i="44" s="1"/>
  <c r="N262" i="44" s="1"/>
  <c r="C255" i="44"/>
  <c r="D256" i="44" s="1"/>
  <c r="E257" i="44" s="1"/>
  <c r="F258" i="44" s="1"/>
  <c r="G259" i="44" s="1"/>
  <c r="H260" i="44" s="1"/>
  <c r="I261" i="44" s="1"/>
  <c r="J262" i="44" s="1"/>
  <c r="K263" i="44" s="1"/>
  <c r="L264" i="44" s="1"/>
  <c r="M265" i="44" s="1"/>
  <c r="N266" i="44" s="1"/>
  <c r="C254" i="44"/>
  <c r="D255" i="44" s="1"/>
  <c r="E256" i="44" s="1"/>
  <c r="F257" i="44" s="1"/>
  <c r="G258" i="44" s="1"/>
  <c r="H259" i="44" s="1"/>
  <c r="I260" i="44" s="1"/>
  <c r="J261" i="44" s="1"/>
  <c r="K262" i="44" s="1"/>
  <c r="L263" i="44" s="1"/>
  <c r="M264" i="44" s="1"/>
  <c r="N265" i="44" s="1"/>
  <c r="C253" i="44"/>
  <c r="D254" i="44" s="1"/>
  <c r="E255" i="44" s="1"/>
  <c r="F256" i="44" s="1"/>
  <c r="G257" i="44" s="1"/>
  <c r="H258" i="44" s="1"/>
  <c r="I259" i="44" s="1"/>
  <c r="J260" i="44" s="1"/>
  <c r="K261" i="44" s="1"/>
  <c r="L262" i="44" s="1"/>
  <c r="M263" i="44" s="1"/>
  <c r="N264" i="44" s="1"/>
  <c r="C252" i="44"/>
  <c r="D253" i="44" s="1"/>
  <c r="E254" i="44" s="1"/>
  <c r="F255" i="44" s="1"/>
  <c r="G256" i="44" s="1"/>
  <c r="H257" i="44" s="1"/>
  <c r="I258" i="44" s="1"/>
  <c r="J259" i="44" s="1"/>
  <c r="K260" i="44" s="1"/>
  <c r="L261" i="44" s="1"/>
  <c r="M262" i="44" s="1"/>
  <c r="N263" i="44" s="1"/>
  <c r="G251" i="44"/>
  <c r="H252" i="44" s="1"/>
  <c r="I253" i="44" s="1"/>
  <c r="J254" i="44" s="1"/>
  <c r="K255" i="44" s="1"/>
  <c r="L256" i="44" s="1"/>
  <c r="M257" i="44" s="1"/>
  <c r="N258" i="44" s="1"/>
  <c r="C251" i="44"/>
  <c r="D252" i="44" s="1"/>
  <c r="E253" i="44" s="1"/>
  <c r="F254" i="44" s="1"/>
  <c r="C250" i="44"/>
  <c r="D251" i="44" s="1"/>
  <c r="E252" i="44" s="1"/>
  <c r="F253" i="44" s="1"/>
  <c r="G254" i="44" s="1"/>
  <c r="H255" i="44" s="1"/>
  <c r="I256" i="44" s="1"/>
  <c r="J257" i="44" s="1"/>
  <c r="K258" i="44" s="1"/>
  <c r="L259" i="44" s="1"/>
  <c r="M260" i="44" s="1"/>
  <c r="N261" i="44" s="1"/>
  <c r="C249" i="44"/>
  <c r="D250" i="44" s="1"/>
  <c r="E251" i="44" s="1"/>
  <c r="F252" i="44" s="1"/>
  <c r="G253" i="44" s="1"/>
  <c r="H254" i="44" s="1"/>
  <c r="I255" i="44" s="1"/>
  <c r="J256" i="44" s="1"/>
  <c r="K257" i="44" s="1"/>
  <c r="L258" i="44" s="1"/>
  <c r="M259" i="44" s="1"/>
  <c r="N260" i="44" s="1"/>
  <c r="C248" i="44"/>
  <c r="D249" i="44" s="1"/>
  <c r="E250" i="44" s="1"/>
  <c r="F251" i="44" s="1"/>
  <c r="G252" i="44" s="1"/>
  <c r="H253" i="44" s="1"/>
  <c r="I254" i="44" s="1"/>
  <c r="J255" i="44" s="1"/>
  <c r="K256" i="44" s="1"/>
  <c r="L257" i="44" s="1"/>
  <c r="M258" i="44" s="1"/>
  <c r="N259" i="44" s="1"/>
  <c r="C247" i="44"/>
  <c r="D248" i="44" s="1"/>
  <c r="E249" i="44" s="1"/>
  <c r="F250" i="44" s="1"/>
  <c r="C246" i="44"/>
  <c r="D247" i="44" s="1"/>
  <c r="E248" i="44" s="1"/>
  <c r="F249" i="44" s="1"/>
  <c r="G250" i="44" s="1"/>
  <c r="H251" i="44" s="1"/>
  <c r="I252" i="44" s="1"/>
  <c r="J253" i="44" s="1"/>
  <c r="K254" i="44" s="1"/>
  <c r="L255" i="44" s="1"/>
  <c r="M256" i="44" s="1"/>
  <c r="N257" i="44" s="1"/>
  <c r="C245" i="44"/>
  <c r="D246" i="44" s="1"/>
  <c r="E247" i="44" s="1"/>
  <c r="F248" i="44" s="1"/>
  <c r="G249" i="44" s="1"/>
  <c r="H250" i="44" s="1"/>
  <c r="I251" i="44" s="1"/>
  <c r="J252" i="44" s="1"/>
  <c r="K253" i="44" s="1"/>
  <c r="L254" i="44" s="1"/>
  <c r="M255" i="44" s="1"/>
  <c r="N256" i="44" s="1"/>
  <c r="C244" i="44"/>
  <c r="D245" i="44" s="1"/>
  <c r="E246" i="44" s="1"/>
  <c r="F247" i="44" s="1"/>
  <c r="G248" i="44" s="1"/>
  <c r="H249" i="44" s="1"/>
  <c r="I250" i="44" s="1"/>
  <c r="J251" i="44" s="1"/>
  <c r="K252" i="44" s="1"/>
  <c r="L253" i="44" s="1"/>
  <c r="M254" i="44" s="1"/>
  <c r="N255" i="44" s="1"/>
  <c r="C243" i="44"/>
  <c r="D244" i="44" s="1"/>
  <c r="E245" i="44" s="1"/>
  <c r="F246" i="44" s="1"/>
  <c r="G247" i="44" s="1"/>
  <c r="H248" i="44" s="1"/>
  <c r="I249" i="44" s="1"/>
  <c r="J250" i="44" s="1"/>
  <c r="K251" i="44" s="1"/>
  <c r="L252" i="44" s="1"/>
  <c r="M253" i="44" s="1"/>
  <c r="N254" i="44" s="1"/>
  <c r="C242" i="44"/>
  <c r="D243" i="44" s="1"/>
  <c r="E244" i="44" s="1"/>
  <c r="F245" i="44" s="1"/>
  <c r="G246" i="44" s="1"/>
  <c r="H247" i="44" s="1"/>
  <c r="I248" i="44" s="1"/>
  <c r="J249" i="44" s="1"/>
  <c r="K250" i="44" s="1"/>
  <c r="L251" i="44" s="1"/>
  <c r="M252" i="44" s="1"/>
  <c r="N253" i="44" s="1"/>
  <c r="C241" i="44"/>
  <c r="D242" i="44" s="1"/>
  <c r="E243" i="44" s="1"/>
  <c r="F244" i="44" s="1"/>
  <c r="G245" i="44" s="1"/>
  <c r="H246" i="44" s="1"/>
  <c r="I247" i="44" s="1"/>
  <c r="J248" i="44" s="1"/>
  <c r="K249" i="44" s="1"/>
  <c r="L250" i="44" s="1"/>
  <c r="M251" i="44" s="1"/>
  <c r="N252" i="44" s="1"/>
  <c r="C240" i="44"/>
  <c r="D241" i="44" s="1"/>
  <c r="E242" i="44" s="1"/>
  <c r="F243" i="44" s="1"/>
  <c r="G244" i="44" s="1"/>
  <c r="H245" i="44" s="1"/>
  <c r="I246" i="44" s="1"/>
  <c r="J247" i="44" s="1"/>
  <c r="K248" i="44" s="1"/>
  <c r="L249" i="44" s="1"/>
  <c r="M250" i="44" s="1"/>
  <c r="N251" i="44" s="1"/>
  <c r="G239" i="44"/>
  <c r="H240" i="44" s="1"/>
  <c r="I241" i="44" s="1"/>
  <c r="J242" i="44" s="1"/>
  <c r="K243" i="44" s="1"/>
  <c r="L244" i="44" s="1"/>
  <c r="M245" i="44" s="1"/>
  <c r="N246" i="44" s="1"/>
  <c r="C239" i="44"/>
  <c r="D240" i="44" s="1"/>
  <c r="E241" i="44" s="1"/>
  <c r="F242" i="44" s="1"/>
  <c r="G243" i="44" s="1"/>
  <c r="H244" i="44" s="1"/>
  <c r="I245" i="44" s="1"/>
  <c r="J246" i="44" s="1"/>
  <c r="K247" i="44" s="1"/>
  <c r="L248" i="44" s="1"/>
  <c r="M249" i="44" s="1"/>
  <c r="N250" i="44" s="1"/>
  <c r="C238" i="44"/>
  <c r="D239" i="44" s="1"/>
  <c r="E240" i="44" s="1"/>
  <c r="F241" i="44" s="1"/>
  <c r="G242" i="44" s="1"/>
  <c r="H243" i="44" s="1"/>
  <c r="I244" i="44" s="1"/>
  <c r="J245" i="44" s="1"/>
  <c r="K246" i="44" s="1"/>
  <c r="L247" i="44" s="1"/>
  <c r="M248" i="44" s="1"/>
  <c r="N249" i="44" s="1"/>
  <c r="C237" i="44"/>
  <c r="D238" i="44" s="1"/>
  <c r="E239" i="44" s="1"/>
  <c r="F240" i="44" s="1"/>
  <c r="G241" i="44" s="1"/>
  <c r="H242" i="44" s="1"/>
  <c r="I243" i="44" s="1"/>
  <c r="J244" i="44" s="1"/>
  <c r="K245" i="44" s="1"/>
  <c r="L246" i="44" s="1"/>
  <c r="M247" i="44" s="1"/>
  <c r="N248" i="44" s="1"/>
  <c r="K236" i="44"/>
  <c r="L237" i="44" s="1"/>
  <c r="M238" i="44" s="1"/>
  <c r="N239" i="44" s="1"/>
  <c r="C236" i="44"/>
  <c r="D237" i="44" s="1"/>
  <c r="E238" i="44" s="1"/>
  <c r="F239" i="44" s="1"/>
  <c r="G240" i="44" s="1"/>
  <c r="H241" i="44" s="1"/>
  <c r="I242" i="44" s="1"/>
  <c r="J243" i="44" s="1"/>
  <c r="K244" i="44" s="1"/>
  <c r="L245" i="44" s="1"/>
  <c r="M246" i="44" s="1"/>
  <c r="N247" i="44" s="1"/>
  <c r="G235" i="44"/>
  <c r="H236" i="44" s="1"/>
  <c r="I237" i="44" s="1"/>
  <c r="J238" i="44" s="1"/>
  <c r="K239" i="44" s="1"/>
  <c r="L240" i="44" s="1"/>
  <c r="M241" i="44" s="1"/>
  <c r="N242" i="44" s="1"/>
  <c r="C235" i="44"/>
  <c r="D236" i="44" s="1"/>
  <c r="E237" i="44" s="1"/>
  <c r="F238" i="44" s="1"/>
  <c r="C234" i="44"/>
  <c r="D235" i="44" s="1"/>
  <c r="E236" i="44" s="1"/>
  <c r="F237" i="44" s="1"/>
  <c r="G238" i="44" s="1"/>
  <c r="H239" i="44" s="1"/>
  <c r="I240" i="44" s="1"/>
  <c r="J241" i="44" s="1"/>
  <c r="K242" i="44" s="1"/>
  <c r="L243" i="44" s="1"/>
  <c r="M244" i="44" s="1"/>
  <c r="N245" i="44" s="1"/>
  <c r="C233" i="44"/>
  <c r="D234" i="44" s="1"/>
  <c r="E235" i="44" s="1"/>
  <c r="F236" i="44" s="1"/>
  <c r="G237" i="44" s="1"/>
  <c r="H238" i="44" s="1"/>
  <c r="I239" i="44" s="1"/>
  <c r="J240" i="44" s="1"/>
  <c r="K241" i="44" s="1"/>
  <c r="L242" i="44" s="1"/>
  <c r="M243" i="44" s="1"/>
  <c r="N244" i="44" s="1"/>
  <c r="G232" i="44"/>
  <c r="H233" i="44" s="1"/>
  <c r="I234" i="44" s="1"/>
  <c r="J235" i="44" s="1"/>
  <c r="C232" i="44"/>
  <c r="D233" i="44" s="1"/>
  <c r="E234" i="44" s="1"/>
  <c r="F235" i="44" s="1"/>
  <c r="G236" i="44" s="1"/>
  <c r="H237" i="44" s="1"/>
  <c r="I238" i="44" s="1"/>
  <c r="J239" i="44" s="1"/>
  <c r="K240" i="44" s="1"/>
  <c r="L241" i="44" s="1"/>
  <c r="M242" i="44" s="1"/>
  <c r="N243" i="44" s="1"/>
  <c r="C231" i="44"/>
  <c r="D232" i="44" s="1"/>
  <c r="E233" i="44" s="1"/>
  <c r="F234" i="44" s="1"/>
  <c r="C230" i="44"/>
  <c r="D231" i="44" s="1"/>
  <c r="E232" i="44" s="1"/>
  <c r="F233" i="44" s="1"/>
  <c r="G234" i="44" s="1"/>
  <c r="H235" i="44" s="1"/>
  <c r="I236" i="44" s="1"/>
  <c r="J237" i="44" s="1"/>
  <c r="K238" i="44" s="1"/>
  <c r="L239" i="44" s="1"/>
  <c r="M240" i="44" s="1"/>
  <c r="N241" i="44" s="1"/>
  <c r="C229" i="44"/>
  <c r="D230" i="44" s="1"/>
  <c r="E231" i="44" s="1"/>
  <c r="F232" i="44" s="1"/>
  <c r="G233" i="44" s="1"/>
  <c r="H234" i="44" s="1"/>
  <c r="I235" i="44" s="1"/>
  <c r="J236" i="44" s="1"/>
  <c r="K237" i="44" s="1"/>
  <c r="L238" i="44" s="1"/>
  <c r="M239" i="44" s="1"/>
  <c r="N240" i="44" s="1"/>
  <c r="G228" i="44"/>
  <c r="H229" i="44" s="1"/>
  <c r="I230" i="44" s="1"/>
  <c r="J231" i="44" s="1"/>
  <c r="K232" i="44" s="1"/>
  <c r="L233" i="44" s="1"/>
  <c r="M234" i="44" s="1"/>
  <c r="N235" i="44" s="1"/>
  <c r="C228" i="44"/>
  <c r="D229" i="44" s="1"/>
  <c r="E230" i="44" s="1"/>
  <c r="F231" i="44" s="1"/>
  <c r="C227" i="44"/>
  <c r="D228" i="44" s="1"/>
  <c r="E229" i="44" s="1"/>
  <c r="F230" i="44" s="1"/>
  <c r="G231" i="44" s="1"/>
  <c r="H232" i="44" s="1"/>
  <c r="I233" i="44" s="1"/>
  <c r="J234" i="44" s="1"/>
  <c r="K235" i="44" s="1"/>
  <c r="L236" i="44" s="1"/>
  <c r="M237" i="44" s="1"/>
  <c r="N238" i="44" s="1"/>
  <c r="C226" i="44"/>
  <c r="D227" i="44" s="1"/>
  <c r="E228" i="44" s="1"/>
  <c r="F229" i="44" s="1"/>
  <c r="G230" i="44" s="1"/>
  <c r="H231" i="44" s="1"/>
  <c r="I232" i="44" s="1"/>
  <c r="J233" i="44" s="1"/>
  <c r="K234" i="44" s="1"/>
  <c r="L235" i="44" s="1"/>
  <c r="M236" i="44" s="1"/>
  <c r="N237" i="44" s="1"/>
  <c r="C225" i="44"/>
  <c r="D226" i="44" s="1"/>
  <c r="E227" i="44" s="1"/>
  <c r="F228" i="44" s="1"/>
  <c r="G229" i="44" s="1"/>
  <c r="H230" i="44" s="1"/>
  <c r="I231" i="44" s="1"/>
  <c r="J232" i="44" s="1"/>
  <c r="K233" i="44" s="1"/>
  <c r="L234" i="44" s="1"/>
  <c r="M235" i="44" s="1"/>
  <c r="N236" i="44" s="1"/>
  <c r="C224" i="44"/>
  <c r="D225" i="44" s="1"/>
  <c r="E226" i="44" s="1"/>
  <c r="F227" i="44" s="1"/>
  <c r="G223" i="44"/>
  <c r="H224" i="44" s="1"/>
  <c r="I225" i="44" s="1"/>
  <c r="J226" i="44" s="1"/>
  <c r="K227" i="44" s="1"/>
  <c r="L228" i="44" s="1"/>
  <c r="M229" i="44" s="1"/>
  <c r="N230" i="44" s="1"/>
  <c r="C223" i="44"/>
  <c r="D224" i="44" s="1"/>
  <c r="E225" i="44" s="1"/>
  <c r="F226" i="44" s="1"/>
  <c r="G227" i="44" s="1"/>
  <c r="H228" i="44" s="1"/>
  <c r="I229" i="44" s="1"/>
  <c r="J230" i="44" s="1"/>
  <c r="K231" i="44" s="1"/>
  <c r="L232" i="44" s="1"/>
  <c r="M233" i="44" s="1"/>
  <c r="N234" i="44" s="1"/>
  <c r="C222" i="44"/>
  <c r="D223" i="44" s="1"/>
  <c r="E224" i="44" s="1"/>
  <c r="F225" i="44" s="1"/>
  <c r="G226" i="44" s="1"/>
  <c r="H227" i="44" s="1"/>
  <c r="I228" i="44" s="1"/>
  <c r="J229" i="44" s="1"/>
  <c r="K230" i="44" s="1"/>
  <c r="L231" i="44" s="1"/>
  <c r="M232" i="44" s="1"/>
  <c r="N233" i="44" s="1"/>
  <c r="C221" i="44"/>
  <c r="D222" i="44" s="1"/>
  <c r="E223" i="44" s="1"/>
  <c r="F224" i="44" s="1"/>
  <c r="G225" i="44" s="1"/>
  <c r="H226" i="44" s="1"/>
  <c r="I227" i="44" s="1"/>
  <c r="J228" i="44" s="1"/>
  <c r="K229" i="44" s="1"/>
  <c r="L230" i="44" s="1"/>
  <c r="M231" i="44" s="1"/>
  <c r="N232" i="44" s="1"/>
  <c r="C220" i="44"/>
  <c r="D221" i="44" s="1"/>
  <c r="E222" i="44" s="1"/>
  <c r="F223" i="44" s="1"/>
  <c r="G224" i="44" s="1"/>
  <c r="H225" i="44" s="1"/>
  <c r="I226" i="44" s="1"/>
  <c r="J227" i="44" s="1"/>
  <c r="K228" i="44" s="1"/>
  <c r="L229" i="44" s="1"/>
  <c r="M230" i="44" s="1"/>
  <c r="N231" i="44" s="1"/>
  <c r="G219" i="44"/>
  <c r="H220" i="44" s="1"/>
  <c r="I221" i="44" s="1"/>
  <c r="J222" i="44" s="1"/>
  <c r="K223" i="44" s="1"/>
  <c r="L224" i="44" s="1"/>
  <c r="M225" i="44" s="1"/>
  <c r="N226" i="44" s="1"/>
  <c r="C219" i="44"/>
  <c r="D220" i="44" s="1"/>
  <c r="E221" i="44" s="1"/>
  <c r="F222" i="44" s="1"/>
  <c r="C218" i="44"/>
  <c r="D219" i="44" s="1"/>
  <c r="E220" i="44" s="1"/>
  <c r="F221" i="44" s="1"/>
  <c r="G222" i="44" s="1"/>
  <c r="H223" i="44" s="1"/>
  <c r="I224" i="44" s="1"/>
  <c r="J225" i="44" s="1"/>
  <c r="K226" i="44" s="1"/>
  <c r="L227" i="44" s="1"/>
  <c r="M228" i="44" s="1"/>
  <c r="N229" i="44" s="1"/>
  <c r="C217" i="44"/>
  <c r="D218" i="44" s="1"/>
  <c r="E219" i="44" s="1"/>
  <c r="F220" i="44" s="1"/>
  <c r="G221" i="44" s="1"/>
  <c r="H222" i="44" s="1"/>
  <c r="I223" i="44" s="1"/>
  <c r="J224" i="44" s="1"/>
  <c r="K225" i="44" s="1"/>
  <c r="L226" i="44" s="1"/>
  <c r="M227" i="44" s="1"/>
  <c r="N228" i="44" s="1"/>
  <c r="C216" i="44"/>
  <c r="D217" i="44" s="1"/>
  <c r="E218" i="44" s="1"/>
  <c r="F219" i="44" s="1"/>
  <c r="G220" i="44" s="1"/>
  <c r="H221" i="44" s="1"/>
  <c r="I222" i="44" s="1"/>
  <c r="J223" i="44" s="1"/>
  <c r="K224" i="44" s="1"/>
  <c r="L225" i="44" s="1"/>
  <c r="M226" i="44" s="1"/>
  <c r="N227" i="44" s="1"/>
  <c r="C215" i="44"/>
  <c r="D216" i="44" s="1"/>
  <c r="E217" i="44" s="1"/>
  <c r="F218" i="44" s="1"/>
  <c r="C214" i="44"/>
  <c r="D215" i="44" s="1"/>
  <c r="E216" i="44" s="1"/>
  <c r="F217" i="44" s="1"/>
  <c r="G218" i="44" s="1"/>
  <c r="H219" i="44" s="1"/>
  <c r="I220" i="44" s="1"/>
  <c r="J221" i="44" s="1"/>
  <c r="K222" i="44" s="1"/>
  <c r="L223" i="44" s="1"/>
  <c r="M224" i="44" s="1"/>
  <c r="N225" i="44" s="1"/>
  <c r="C213" i="44"/>
  <c r="D214" i="44" s="1"/>
  <c r="E215" i="44" s="1"/>
  <c r="F216" i="44" s="1"/>
  <c r="G217" i="44" s="1"/>
  <c r="H218" i="44" s="1"/>
  <c r="I219" i="44" s="1"/>
  <c r="J220" i="44" s="1"/>
  <c r="K221" i="44" s="1"/>
  <c r="L222" i="44" s="1"/>
  <c r="M223" i="44" s="1"/>
  <c r="N224" i="44" s="1"/>
  <c r="C212" i="44"/>
  <c r="D213" i="44" s="1"/>
  <c r="E214" i="44" s="1"/>
  <c r="F215" i="44" s="1"/>
  <c r="G216" i="44" s="1"/>
  <c r="H217" i="44" s="1"/>
  <c r="I218" i="44" s="1"/>
  <c r="J219" i="44" s="1"/>
  <c r="K220" i="44" s="1"/>
  <c r="L221" i="44" s="1"/>
  <c r="M222" i="44" s="1"/>
  <c r="N223" i="44" s="1"/>
  <c r="C211" i="44"/>
  <c r="D212" i="44" s="1"/>
  <c r="E213" i="44" s="1"/>
  <c r="F214" i="44" s="1"/>
  <c r="G215" i="44" s="1"/>
  <c r="H216" i="44" s="1"/>
  <c r="I217" i="44" s="1"/>
  <c r="J218" i="44" s="1"/>
  <c r="K219" i="44" s="1"/>
  <c r="L220" i="44" s="1"/>
  <c r="M221" i="44" s="1"/>
  <c r="N222" i="44" s="1"/>
  <c r="C210" i="44"/>
  <c r="D211" i="44" s="1"/>
  <c r="E212" i="44" s="1"/>
  <c r="F213" i="44" s="1"/>
  <c r="G214" i="44" s="1"/>
  <c r="H215" i="44" s="1"/>
  <c r="I216" i="44" s="1"/>
  <c r="J217" i="44" s="1"/>
  <c r="K218" i="44" s="1"/>
  <c r="L219" i="44" s="1"/>
  <c r="M220" i="44" s="1"/>
  <c r="N221" i="44" s="1"/>
  <c r="C209" i="44"/>
  <c r="D210" i="44" s="1"/>
  <c r="E211" i="44" s="1"/>
  <c r="F212" i="44" s="1"/>
  <c r="G213" i="44" s="1"/>
  <c r="H214" i="44" s="1"/>
  <c r="I215" i="44" s="1"/>
  <c r="J216" i="44" s="1"/>
  <c r="K217" i="44" s="1"/>
  <c r="L218" i="44" s="1"/>
  <c r="M219" i="44" s="1"/>
  <c r="N220" i="44" s="1"/>
  <c r="C208" i="44"/>
  <c r="D209" i="44" s="1"/>
  <c r="E210" i="44" s="1"/>
  <c r="F211" i="44" s="1"/>
  <c r="G212" i="44" s="1"/>
  <c r="H213" i="44" s="1"/>
  <c r="I214" i="44" s="1"/>
  <c r="J215" i="44" s="1"/>
  <c r="K216" i="44" s="1"/>
  <c r="L217" i="44" s="1"/>
  <c r="M218" i="44" s="1"/>
  <c r="N219" i="44" s="1"/>
  <c r="G207" i="44"/>
  <c r="H208" i="44" s="1"/>
  <c r="I209" i="44" s="1"/>
  <c r="J210" i="44" s="1"/>
  <c r="K211" i="44" s="1"/>
  <c r="L212" i="44" s="1"/>
  <c r="M213" i="44" s="1"/>
  <c r="N214" i="44" s="1"/>
  <c r="C207" i="44"/>
  <c r="D208" i="44" s="1"/>
  <c r="E209" i="44" s="1"/>
  <c r="F210" i="44" s="1"/>
  <c r="G211" i="44" s="1"/>
  <c r="H212" i="44" s="1"/>
  <c r="I213" i="44" s="1"/>
  <c r="J214" i="44" s="1"/>
  <c r="K215" i="44" s="1"/>
  <c r="L216" i="44" s="1"/>
  <c r="M217" i="44" s="1"/>
  <c r="N218" i="44" s="1"/>
  <c r="C206" i="44"/>
  <c r="D207" i="44" s="1"/>
  <c r="E208" i="44" s="1"/>
  <c r="F209" i="44" s="1"/>
  <c r="G210" i="44" s="1"/>
  <c r="H211" i="44" s="1"/>
  <c r="I212" i="44" s="1"/>
  <c r="J213" i="44" s="1"/>
  <c r="K214" i="44" s="1"/>
  <c r="L215" i="44" s="1"/>
  <c r="M216" i="44" s="1"/>
  <c r="N217" i="44" s="1"/>
  <c r="C205" i="44"/>
  <c r="D206" i="44" s="1"/>
  <c r="E207" i="44" s="1"/>
  <c r="F208" i="44" s="1"/>
  <c r="G209" i="44" s="1"/>
  <c r="H210" i="44" s="1"/>
  <c r="I211" i="44" s="1"/>
  <c r="J212" i="44" s="1"/>
  <c r="K213" i="44" s="1"/>
  <c r="L214" i="44" s="1"/>
  <c r="M215" i="44" s="1"/>
  <c r="N216" i="44" s="1"/>
  <c r="K204" i="44"/>
  <c r="L205" i="44" s="1"/>
  <c r="M206" i="44" s="1"/>
  <c r="N207" i="44" s="1"/>
  <c r="C204" i="44"/>
  <c r="D205" i="44" s="1"/>
  <c r="E206" i="44" s="1"/>
  <c r="F207" i="44" s="1"/>
  <c r="G208" i="44" s="1"/>
  <c r="H209" i="44" s="1"/>
  <c r="I210" i="44" s="1"/>
  <c r="J211" i="44" s="1"/>
  <c r="K212" i="44" s="1"/>
  <c r="L213" i="44" s="1"/>
  <c r="M214" i="44" s="1"/>
  <c r="N215" i="44" s="1"/>
  <c r="G203" i="44"/>
  <c r="H204" i="44" s="1"/>
  <c r="I205" i="44" s="1"/>
  <c r="J206" i="44" s="1"/>
  <c r="K207" i="44" s="1"/>
  <c r="L208" i="44" s="1"/>
  <c r="M209" i="44" s="1"/>
  <c r="N210" i="44" s="1"/>
  <c r="C203" i="44"/>
  <c r="D204" i="44" s="1"/>
  <c r="E205" i="44" s="1"/>
  <c r="F206" i="44" s="1"/>
  <c r="C202" i="44"/>
  <c r="D203" i="44" s="1"/>
  <c r="E204" i="44" s="1"/>
  <c r="F205" i="44" s="1"/>
  <c r="G206" i="44" s="1"/>
  <c r="H207" i="44" s="1"/>
  <c r="I208" i="44" s="1"/>
  <c r="J209" i="44" s="1"/>
  <c r="K210" i="44" s="1"/>
  <c r="L211" i="44" s="1"/>
  <c r="M212" i="44" s="1"/>
  <c r="N213" i="44" s="1"/>
  <c r="C201" i="44"/>
  <c r="D202" i="44" s="1"/>
  <c r="E203" i="44" s="1"/>
  <c r="F204" i="44" s="1"/>
  <c r="G205" i="44" s="1"/>
  <c r="H206" i="44" s="1"/>
  <c r="I207" i="44" s="1"/>
  <c r="J208" i="44" s="1"/>
  <c r="K209" i="44" s="1"/>
  <c r="L210" i="44" s="1"/>
  <c r="M211" i="44" s="1"/>
  <c r="N212" i="44" s="1"/>
  <c r="G200" i="44"/>
  <c r="H201" i="44" s="1"/>
  <c r="I202" i="44" s="1"/>
  <c r="J203" i="44" s="1"/>
  <c r="C200" i="44"/>
  <c r="D201" i="44" s="1"/>
  <c r="E202" i="44" s="1"/>
  <c r="F203" i="44" s="1"/>
  <c r="G204" i="44" s="1"/>
  <c r="H205" i="44" s="1"/>
  <c r="I206" i="44" s="1"/>
  <c r="J207" i="44" s="1"/>
  <c r="K208" i="44" s="1"/>
  <c r="L209" i="44" s="1"/>
  <c r="M210" i="44" s="1"/>
  <c r="N211" i="44" s="1"/>
  <c r="C199" i="44"/>
  <c r="D200" i="44" s="1"/>
  <c r="E201" i="44" s="1"/>
  <c r="F202" i="44" s="1"/>
  <c r="C198" i="44"/>
  <c r="D199" i="44" s="1"/>
  <c r="E200" i="44" s="1"/>
  <c r="F201" i="44" s="1"/>
  <c r="G202" i="44" s="1"/>
  <c r="H203" i="44" s="1"/>
  <c r="I204" i="44" s="1"/>
  <c r="J205" i="44" s="1"/>
  <c r="K206" i="44" s="1"/>
  <c r="L207" i="44" s="1"/>
  <c r="M208" i="44" s="1"/>
  <c r="N209" i="44" s="1"/>
  <c r="C197" i="44"/>
  <c r="D198" i="44" s="1"/>
  <c r="E199" i="44" s="1"/>
  <c r="F200" i="44" s="1"/>
  <c r="G201" i="44" s="1"/>
  <c r="H202" i="44" s="1"/>
  <c r="I203" i="44" s="1"/>
  <c r="J204" i="44" s="1"/>
  <c r="K205" i="44" s="1"/>
  <c r="L206" i="44" s="1"/>
  <c r="M207" i="44" s="1"/>
  <c r="N208" i="44" s="1"/>
  <c r="G196" i="44"/>
  <c r="H197" i="44" s="1"/>
  <c r="I198" i="44" s="1"/>
  <c r="J199" i="44" s="1"/>
  <c r="K200" i="44" s="1"/>
  <c r="L201" i="44" s="1"/>
  <c r="M202" i="44" s="1"/>
  <c r="N203" i="44" s="1"/>
  <c r="C196" i="44"/>
  <c r="D197" i="44" s="1"/>
  <c r="E198" i="44" s="1"/>
  <c r="F199" i="44" s="1"/>
  <c r="C195" i="44"/>
  <c r="D196" i="44" s="1"/>
  <c r="E197" i="44" s="1"/>
  <c r="F198" i="44" s="1"/>
  <c r="G199" i="44" s="1"/>
  <c r="H200" i="44" s="1"/>
  <c r="I201" i="44" s="1"/>
  <c r="J202" i="44" s="1"/>
  <c r="K203" i="44" s="1"/>
  <c r="L204" i="44" s="1"/>
  <c r="M205" i="44" s="1"/>
  <c r="N206" i="44" s="1"/>
  <c r="C194" i="44"/>
  <c r="D195" i="44" s="1"/>
  <c r="E196" i="44" s="1"/>
  <c r="F197" i="44" s="1"/>
  <c r="G198" i="44" s="1"/>
  <c r="H199" i="44" s="1"/>
  <c r="I200" i="44" s="1"/>
  <c r="J201" i="44" s="1"/>
  <c r="K202" i="44" s="1"/>
  <c r="L203" i="44" s="1"/>
  <c r="M204" i="44" s="1"/>
  <c r="N205" i="44" s="1"/>
  <c r="C193" i="44"/>
  <c r="D194" i="44" s="1"/>
  <c r="E195" i="44" s="1"/>
  <c r="F196" i="44" s="1"/>
  <c r="G197" i="44" s="1"/>
  <c r="H198" i="44" s="1"/>
  <c r="I199" i="44" s="1"/>
  <c r="J200" i="44" s="1"/>
  <c r="K201" i="44" s="1"/>
  <c r="L202" i="44" s="1"/>
  <c r="M203" i="44" s="1"/>
  <c r="N204" i="44" s="1"/>
  <c r="C192" i="44"/>
  <c r="D193" i="44" s="1"/>
  <c r="E194" i="44" s="1"/>
  <c r="F195" i="44" s="1"/>
  <c r="G191" i="44"/>
  <c r="H192" i="44" s="1"/>
  <c r="I193" i="44" s="1"/>
  <c r="J194" i="44" s="1"/>
  <c r="K195" i="44" s="1"/>
  <c r="L196" i="44" s="1"/>
  <c r="M197" i="44" s="1"/>
  <c r="N198" i="44" s="1"/>
  <c r="C191" i="44"/>
  <c r="D192" i="44" s="1"/>
  <c r="E193" i="44" s="1"/>
  <c r="F194" i="44" s="1"/>
  <c r="G195" i="44" s="1"/>
  <c r="H196" i="44" s="1"/>
  <c r="I197" i="44" s="1"/>
  <c r="J198" i="44" s="1"/>
  <c r="K199" i="44" s="1"/>
  <c r="L200" i="44" s="1"/>
  <c r="M201" i="44" s="1"/>
  <c r="N202" i="44" s="1"/>
  <c r="C190" i="44"/>
  <c r="D191" i="44" s="1"/>
  <c r="E192" i="44" s="1"/>
  <c r="F193" i="44" s="1"/>
  <c r="G194" i="44" s="1"/>
  <c r="H195" i="44" s="1"/>
  <c r="I196" i="44" s="1"/>
  <c r="J197" i="44" s="1"/>
  <c r="K198" i="44" s="1"/>
  <c r="L199" i="44" s="1"/>
  <c r="M200" i="44" s="1"/>
  <c r="N201" i="44" s="1"/>
  <c r="C189" i="44"/>
  <c r="D190" i="44" s="1"/>
  <c r="E191" i="44" s="1"/>
  <c r="F192" i="44" s="1"/>
  <c r="G193" i="44" s="1"/>
  <c r="H194" i="44" s="1"/>
  <c r="I195" i="44" s="1"/>
  <c r="J196" i="44" s="1"/>
  <c r="K197" i="44" s="1"/>
  <c r="L198" i="44" s="1"/>
  <c r="M199" i="44" s="1"/>
  <c r="N200" i="44" s="1"/>
  <c r="C188" i="44"/>
  <c r="D189" i="44" s="1"/>
  <c r="E190" i="44" s="1"/>
  <c r="F191" i="44" s="1"/>
  <c r="G192" i="44" s="1"/>
  <c r="H193" i="44" s="1"/>
  <c r="I194" i="44" s="1"/>
  <c r="J195" i="44" s="1"/>
  <c r="K196" i="44" s="1"/>
  <c r="L197" i="44" s="1"/>
  <c r="M198" i="44" s="1"/>
  <c r="N199" i="44" s="1"/>
  <c r="G187" i="44"/>
  <c r="H188" i="44" s="1"/>
  <c r="I189" i="44" s="1"/>
  <c r="J190" i="44" s="1"/>
  <c r="K191" i="44" s="1"/>
  <c r="L192" i="44" s="1"/>
  <c r="M193" i="44" s="1"/>
  <c r="N194" i="44" s="1"/>
  <c r="C187" i="44"/>
  <c r="D188" i="44" s="1"/>
  <c r="E189" i="44" s="1"/>
  <c r="F190" i="44" s="1"/>
  <c r="C186" i="44"/>
  <c r="D187" i="44" s="1"/>
  <c r="E188" i="44" s="1"/>
  <c r="F189" i="44" s="1"/>
  <c r="G190" i="44" s="1"/>
  <c r="H191" i="44" s="1"/>
  <c r="I192" i="44" s="1"/>
  <c r="J193" i="44" s="1"/>
  <c r="K194" i="44" s="1"/>
  <c r="L195" i="44" s="1"/>
  <c r="M196" i="44" s="1"/>
  <c r="N197" i="44" s="1"/>
  <c r="C185" i="44"/>
  <c r="D186" i="44" s="1"/>
  <c r="E187" i="44" s="1"/>
  <c r="F188" i="44" s="1"/>
  <c r="G189" i="44" s="1"/>
  <c r="H190" i="44" s="1"/>
  <c r="I191" i="44" s="1"/>
  <c r="J192" i="44" s="1"/>
  <c r="K193" i="44" s="1"/>
  <c r="L194" i="44" s="1"/>
  <c r="M195" i="44" s="1"/>
  <c r="N196" i="44" s="1"/>
  <c r="C184" i="44"/>
  <c r="D185" i="44" s="1"/>
  <c r="E186" i="44" s="1"/>
  <c r="F187" i="44" s="1"/>
  <c r="G188" i="44" s="1"/>
  <c r="H189" i="44" s="1"/>
  <c r="I190" i="44" s="1"/>
  <c r="J191" i="44" s="1"/>
  <c r="K192" i="44" s="1"/>
  <c r="L193" i="44" s="1"/>
  <c r="M194" i="44" s="1"/>
  <c r="N195" i="44" s="1"/>
  <c r="C183" i="44"/>
  <c r="D184" i="44" s="1"/>
  <c r="E185" i="44" s="1"/>
  <c r="F186" i="44" s="1"/>
  <c r="C182" i="44"/>
  <c r="D183" i="44" s="1"/>
  <c r="E184" i="44" s="1"/>
  <c r="F185" i="44" s="1"/>
  <c r="G186" i="44" s="1"/>
  <c r="H187" i="44" s="1"/>
  <c r="I188" i="44" s="1"/>
  <c r="J189" i="44" s="1"/>
  <c r="K190" i="44" s="1"/>
  <c r="L191" i="44" s="1"/>
  <c r="M192" i="44" s="1"/>
  <c r="N193" i="44" s="1"/>
  <c r="C181" i="44"/>
  <c r="D182" i="44" s="1"/>
  <c r="E183" i="44" s="1"/>
  <c r="F184" i="44" s="1"/>
  <c r="G185" i="44" s="1"/>
  <c r="H186" i="44" s="1"/>
  <c r="I187" i="44" s="1"/>
  <c r="J188" i="44" s="1"/>
  <c r="K189" i="44" s="1"/>
  <c r="L190" i="44" s="1"/>
  <c r="M191" i="44" s="1"/>
  <c r="N192" i="44" s="1"/>
  <c r="C180" i="44"/>
  <c r="D181" i="44" s="1"/>
  <c r="E182" i="44" s="1"/>
  <c r="F183" i="44" s="1"/>
  <c r="G184" i="44" s="1"/>
  <c r="H185" i="44" s="1"/>
  <c r="I186" i="44" s="1"/>
  <c r="J187" i="44" s="1"/>
  <c r="K188" i="44" s="1"/>
  <c r="L189" i="44" s="1"/>
  <c r="M190" i="44" s="1"/>
  <c r="N191" i="44" s="1"/>
  <c r="C179" i="44"/>
  <c r="D180" i="44" s="1"/>
  <c r="E181" i="44" s="1"/>
  <c r="F182" i="44" s="1"/>
  <c r="G183" i="44" s="1"/>
  <c r="H184" i="44" s="1"/>
  <c r="I185" i="44" s="1"/>
  <c r="J186" i="44" s="1"/>
  <c r="K187" i="44" s="1"/>
  <c r="L188" i="44" s="1"/>
  <c r="M189" i="44" s="1"/>
  <c r="N190" i="44" s="1"/>
  <c r="C178" i="44"/>
  <c r="D179" i="44" s="1"/>
  <c r="E180" i="44" s="1"/>
  <c r="F181" i="44" s="1"/>
  <c r="G182" i="44" s="1"/>
  <c r="H183" i="44" s="1"/>
  <c r="I184" i="44" s="1"/>
  <c r="J185" i="44" s="1"/>
  <c r="K186" i="44" s="1"/>
  <c r="L187" i="44" s="1"/>
  <c r="M188" i="44" s="1"/>
  <c r="N189" i="44" s="1"/>
  <c r="C177" i="44"/>
  <c r="D178" i="44" s="1"/>
  <c r="E179" i="44" s="1"/>
  <c r="F180" i="44" s="1"/>
  <c r="G181" i="44" s="1"/>
  <c r="H182" i="44" s="1"/>
  <c r="I183" i="44" s="1"/>
  <c r="J184" i="44" s="1"/>
  <c r="K185" i="44" s="1"/>
  <c r="L186" i="44" s="1"/>
  <c r="M187" i="44" s="1"/>
  <c r="N188" i="44" s="1"/>
  <c r="C176" i="44"/>
  <c r="D177" i="44" s="1"/>
  <c r="E178" i="44" s="1"/>
  <c r="F179" i="44" s="1"/>
  <c r="G180" i="44" s="1"/>
  <c r="H181" i="44" s="1"/>
  <c r="I182" i="44" s="1"/>
  <c r="J183" i="44" s="1"/>
  <c r="K184" i="44" s="1"/>
  <c r="L185" i="44" s="1"/>
  <c r="M186" i="44" s="1"/>
  <c r="N187" i="44" s="1"/>
  <c r="G175" i="44"/>
  <c r="H176" i="44" s="1"/>
  <c r="I177" i="44" s="1"/>
  <c r="J178" i="44" s="1"/>
  <c r="K179" i="44" s="1"/>
  <c r="L180" i="44" s="1"/>
  <c r="M181" i="44" s="1"/>
  <c r="N182" i="44" s="1"/>
  <c r="C175" i="44"/>
  <c r="D176" i="44" s="1"/>
  <c r="E177" i="44" s="1"/>
  <c r="F178" i="44" s="1"/>
  <c r="G179" i="44" s="1"/>
  <c r="H180" i="44" s="1"/>
  <c r="I181" i="44" s="1"/>
  <c r="J182" i="44" s="1"/>
  <c r="K183" i="44" s="1"/>
  <c r="L184" i="44" s="1"/>
  <c r="M185" i="44" s="1"/>
  <c r="N186" i="44" s="1"/>
  <c r="C174" i="44"/>
  <c r="D175" i="44" s="1"/>
  <c r="E176" i="44" s="1"/>
  <c r="F177" i="44" s="1"/>
  <c r="G178" i="44" s="1"/>
  <c r="H179" i="44" s="1"/>
  <c r="I180" i="44" s="1"/>
  <c r="J181" i="44" s="1"/>
  <c r="K182" i="44" s="1"/>
  <c r="L183" i="44" s="1"/>
  <c r="M184" i="44" s="1"/>
  <c r="N185" i="44" s="1"/>
  <c r="C173" i="44"/>
  <c r="D174" i="44" s="1"/>
  <c r="E175" i="44" s="1"/>
  <c r="F176" i="44" s="1"/>
  <c r="G177" i="44" s="1"/>
  <c r="H178" i="44" s="1"/>
  <c r="I179" i="44" s="1"/>
  <c r="J180" i="44" s="1"/>
  <c r="K181" i="44" s="1"/>
  <c r="L182" i="44" s="1"/>
  <c r="M183" i="44" s="1"/>
  <c r="N184" i="44" s="1"/>
  <c r="K172" i="44"/>
  <c r="L173" i="44" s="1"/>
  <c r="M174" i="44" s="1"/>
  <c r="N175" i="44" s="1"/>
  <c r="C172" i="44"/>
  <c r="D173" i="44" s="1"/>
  <c r="E174" i="44" s="1"/>
  <c r="F175" i="44" s="1"/>
  <c r="G176" i="44" s="1"/>
  <c r="H177" i="44" s="1"/>
  <c r="I178" i="44" s="1"/>
  <c r="J179" i="44" s="1"/>
  <c r="K180" i="44" s="1"/>
  <c r="L181" i="44" s="1"/>
  <c r="M182" i="44" s="1"/>
  <c r="N183" i="44" s="1"/>
  <c r="G171" i="44"/>
  <c r="H172" i="44" s="1"/>
  <c r="I173" i="44" s="1"/>
  <c r="J174" i="44" s="1"/>
  <c r="K175" i="44" s="1"/>
  <c r="L176" i="44" s="1"/>
  <c r="M177" i="44" s="1"/>
  <c r="N178" i="44" s="1"/>
  <c r="C171" i="44"/>
  <c r="D172" i="44" s="1"/>
  <c r="E173" i="44" s="1"/>
  <c r="F174" i="44" s="1"/>
  <c r="C170" i="44"/>
  <c r="D171" i="44" s="1"/>
  <c r="E172" i="44" s="1"/>
  <c r="F173" i="44" s="1"/>
  <c r="G174" i="44" s="1"/>
  <c r="H175" i="44" s="1"/>
  <c r="I176" i="44" s="1"/>
  <c r="J177" i="44" s="1"/>
  <c r="K178" i="44" s="1"/>
  <c r="L179" i="44" s="1"/>
  <c r="M180" i="44" s="1"/>
  <c r="N181" i="44" s="1"/>
  <c r="C169" i="44"/>
  <c r="D170" i="44" s="1"/>
  <c r="E171" i="44" s="1"/>
  <c r="F172" i="44" s="1"/>
  <c r="G173" i="44" s="1"/>
  <c r="H174" i="44" s="1"/>
  <c r="I175" i="44" s="1"/>
  <c r="J176" i="44" s="1"/>
  <c r="K177" i="44" s="1"/>
  <c r="L178" i="44" s="1"/>
  <c r="M179" i="44" s="1"/>
  <c r="N180" i="44" s="1"/>
  <c r="G168" i="44"/>
  <c r="H169" i="44" s="1"/>
  <c r="I170" i="44" s="1"/>
  <c r="J171" i="44" s="1"/>
  <c r="C168" i="44"/>
  <c r="D169" i="44" s="1"/>
  <c r="E170" i="44" s="1"/>
  <c r="F171" i="44" s="1"/>
  <c r="G172" i="44" s="1"/>
  <c r="H173" i="44" s="1"/>
  <c r="I174" i="44" s="1"/>
  <c r="J175" i="44" s="1"/>
  <c r="K176" i="44" s="1"/>
  <c r="L177" i="44" s="1"/>
  <c r="M178" i="44" s="1"/>
  <c r="N179" i="44" s="1"/>
  <c r="C167" i="44"/>
  <c r="D168" i="44" s="1"/>
  <c r="E169" i="44" s="1"/>
  <c r="F170" i="44" s="1"/>
  <c r="C166" i="44"/>
  <c r="D167" i="44" s="1"/>
  <c r="E168" i="44" s="1"/>
  <c r="F169" i="44" s="1"/>
  <c r="G170" i="44" s="1"/>
  <c r="H171" i="44" s="1"/>
  <c r="I172" i="44" s="1"/>
  <c r="J173" i="44" s="1"/>
  <c r="K174" i="44" s="1"/>
  <c r="L175" i="44" s="1"/>
  <c r="M176" i="44" s="1"/>
  <c r="N177" i="44" s="1"/>
  <c r="C165" i="44"/>
  <c r="D166" i="44" s="1"/>
  <c r="E167" i="44" s="1"/>
  <c r="F168" i="44" s="1"/>
  <c r="G169" i="44" s="1"/>
  <c r="H170" i="44" s="1"/>
  <c r="I171" i="44" s="1"/>
  <c r="J172" i="44" s="1"/>
  <c r="K173" i="44" s="1"/>
  <c r="L174" i="44" s="1"/>
  <c r="M175" i="44" s="1"/>
  <c r="N176" i="44" s="1"/>
  <c r="G164" i="44"/>
  <c r="H165" i="44" s="1"/>
  <c r="I166" i="44" s="1"/>
  <c r="J167" i="44" s="1"/>
  <c r="K168" i="44" s="1"/>
  <c r="L169" i="44" s="1"/>
  <c r="M170" i="44" s="1"/>
  <c r="N171" i="44" s="1"/>
  <c r="C164" i="44"/>
  <c r="D165" i="44" s="1"/>
  <c r="E166" i="44" s="1"/>
  <c r="F167" i="44" s="1"/>
  <c r="C163" i="44"/>
  <c r="D164" i="44" s="1"/>
  <c r="E165" i="44" s="1"/>
  <c r="F166" i="44" s="1"/>
  <c r="G167" i="44" s="1"/>
  <c r="H168" i="44" s="1"/>
  <c r="I169" i="44" s="1"/>
  <c r="J170" i="44" s="1"/>
  <c r="K171" i="44" s="1"/>
  <c r="L172" i="44" s="1"/>
  <c r="M173" i="44" s="1"/>
  <c r="N174" i="44" s="1"/>
  <c r="C162" i="44"/>
  <c r="D163" i="44" s="1"/>
  <c r="E164" i="44" s="1"/>
  <c r="F165" i="44" s="1"/>
  <c r="G166" i="44" s="1"/>
  <c r="H167" i="44" s="1"/>
  <c r="I168" i="44" s="1"/>
  <c r="J169" i="44" s="1"/>
  <c r="K170" i="44" s="1"/>
  <c r="L171" i="44" s="1"/>
  <c r="M172" i="44" s="1"/>
  <c r="N173" i="44" s="1"/>
  <c r="C161" i="44"/>
  <c r="D162" i="44" s="1"/>
  <c r="E163" i="44" s="1"/>
  <c r="F164" i="44" s="1"/>
  <c r="G165" i="44" s="1"/>
  <c r="H166" i="44" s="1"/>
  <c r="I167" i="44" s="1"/>
  <c r="J168" i="44" s="1"/>
  <c r="K169" i="44" s="1"/>
  <c r="L170" i="44" s="1"/>
  <c r="M171" i="44" s="1"/>
  <c r="N172" i="44" s="1"/>
  <c r="C160" i="44"/>
  <c r="D161" i="44" s="1"/>
  <c r="E162" i="44" s="1"/>
  <c r="F163" i="44" s="1"/>
  <c r="G159" i="44"/>
  <c r="H160" i="44" s="1"/>
  <c r="I161" i="44" s="1"/>
  <c r="J162" i="44" s="1"/>
  <c r="K163" i="44" s="1"/>
  <c r="L164" i="44" s="1"/>
  <c r="M165" i="44" s="1"/>
  <c r="N166" i="44" s="1"/>
  <c r="C159" i="44"/>
  <c r="D160" i="44" s="1"/>
  <c r="E161" i="44" s="1"/>
  <c r="F162" i="44" s="1"/>
  <c r="G163" i="44" s="1"/>
  <c r="H164" i="44" s="1"/>
  <c r="I165" i="44" s="1"/>
  <c r="J166" i="44" s="1"/>
  <c r="K167" i="44" s="1"/>
  <c r="L168" i="44" s="1"/>
  <c r="M169" i="44" s="1"/>
  <c r="N170" i="44" s="1"/>
  <c r="C158" i="44"/>
  <c r="D159" i="44" s="1"/>
  <c r="E160" i="44" s="1"/>
  <c r="F161" i="44" s="1"/>
  <c r="G162" i="44" s="1"/>
  <c r="H163" i="44" s="1"/>
  <c r="I164" i="44" s="1"/>
  <c r="J165" i="44" s="1"/>
  <c r="K166" i="44" s="1"/>
  <c r="L167" i="44" s="1"/>
  <c r="M168" i="44" s="1"/>
  <c r="N169" i="44" s="1"/>
  <c r="C157" i="44"/>
  <c r="D158" i="44" s="1"/>
  <c r="E159" i="44" s="1"/>
  <c r="F160" i="44" s="1"/>
  <c r="G161" i="44" s="1"/>
  <c r="H162" i="44" s="1"/>
  <c r="I163" i="44" s="1"/>
  <c r="J164" i="44" s="1"/>
  <c r="K165" i="44" s="1"/>
  <c r="L166" i="44" s="1"/>
  <c r="M167" i="44" s="1"/>
  <c r="N168" i="44" s="1"/>
  <c r="C156" i="44"/>
  <c r="D157" i="44" s="1"/>
  <c r="E158" i="44" s="1"/>
  <c r="F159" i="44" s="1"/>
  <c r="G160" i="44" s="1"/>
  <c r="H161" i="44" s="1"/>
  <c r="I162" i="44" s="1"/>
  <c r="J163" i="44" s="1"/>
  <c r="K164" i="44" s="1"/>
  <c r="L165" i="44" s="1"/>
  <c r="M166" i="44" s="1"/>
  <c r="N167" i="44" s="1"/>
  <c r="G155" i="44"/>
  <c r="H156" i="44" s="1"/>
  <c r="I157" i="44" s="1"/>
  <c r="J158" i="44" s="1"/>
  <c r="K159" i="44" s="1"/>
  <c r="L160" i="44" s="1"/>
  <c r="M161" i="44" s="1"/>
  <c r="N162" i="44" s="1"/>
  <c r="C155" i="44"/>
  <c r="D156" i="44" s="1"/>
  <c r="E157" i="44" s="1"/>
  <c r="F158" i="44" s="1"/>
  <c r="C154" i="44"/>
  <c r="D155" i="44" s="1"/>
  <c r="E156" i="44" s="1"/>
  <c r="F157" i="44" s="1"/>
  <c r="G158" i="44" s="1"/>
  <c r="H159" i="44" s="1"/>
  <c r="I160" i="44" s="1"/>
  <c r="J161" i="44" s="1"/>
  <c r="K162" i="44" s="1"/>
  <c r="L163" i="44" s="1"/>
  <c r="M164" i="44" s="1"/>
  <c r="N165" i="44" s="1"/>
  <c r="C153" i="44"/>
  <c r="D154" i="44" s="1"/>
  <c r="E155" i="44" s="1"/>
  <c r="F156" i="44" s="1"/>
  <c r="G157" i="44" s="1"/>
  <c r="H158" i="44" s="1"/>
  <c r="I159" i="44" s="1"/>
  <c r="J160" i="44" s="1"/>
  <c r="K161" i="44" s="1"/>
  <c r="L162" i="44" s="1"/>
  <c r="M163" i="44" s="1"/>
  <c r="N164" i="44" s="1"/>
  <c r="C152" i="44"/>
  <c r="D153" i="44" s="1"/>
  <c r="E154" i="44" s="1"/>
  <c r="F155" i="44" s="1"/>
  <c r="G156" i="44" s="1"/>
  <c r="H157" i="44" s="1"/>
  <c r="I158" i="44" s="1"/>
  <c r="J159" i="44" s="1"/>
  <c r="K160" i="44" s="1"/>
  <c r="L161" i="44" s="1"/>
  <c r="M162" i="44" s="1"/>
  <c r="N163" i="44" s="1"/>
  <c r="C151" i="44"/>
  <c r="D152" i="44" s="1"/>
  <c r="E153" i="44" s="1"/>
  <c r="F154" i="44" s="1"/>
  <c r="C150" i="44"/>
  <c r="D151" i="44" s="1"/>
  <c r="E152" i="44" s="1"/>
  <c r="F153" i="44" s="1"/>
  <c r="G154" i="44" s="1"/>
  <c r="H155" i="44" s="1"/>
  <c r="I156" i="44" s="1"/>
  <c r="J157" i="44" s="1"/>
  <c r="K158" i="44" s="1"/>
  <c r="L159" i="44" s="1"/>
  <c r="M160" i="44" s="1"/>
  <c r="N161" i="44" s="1"/>
  <c r="C149" i="44"/>
  <c r="D150" i="44" s="1"/>
  <c r="E151" i="44" s="1"/>
  <c r="F152" i="44" s="1"/>
  <c r="G153" i="44" s="1"/>
  <c r="H154" i="44" s="1"/>
  <c r="I155" i="44" s="1"/>
  <c r="J156" i="44" s="1"/>
  <c r="K157" i="44" s="1"/>
  <c r="L158" i="44" s="1"/>
  <c r="M159" i="44" s="1"/>
  <c r="N160" i="44" s="1"/>
  <c r="C148" i="44"/>
  <c r="D149" i="44" s="1"/>
  <c r="E150" i="44" s="1"/>
  <c r="F151" i="44" s="1"/>
  <c r="G152" i="44" s="1"/>
  <c r="H153" i="44" s="1"/>
  <c r="I154" i="44" s="1"/>
  <c r="J155" i="44" s="1"/>
  <c r="K156" i="44" s="1"/>
  <c r="L157" i="44" s="1"/>
  <c r="M158" i="44" s="1"/>
  <c r="N159" i="44" s="1"/>
  <c r="C147" i="44"/>
  <c r="D148" i="44" s="1"/>
  <c r="E149" i="44" s="1"/>
  <c r="F150" i="44" s="1"/>
  <c r="G151" i="44" s="1"/>
  <c r="H152" i="44" s="1"/>
  <c r="I153" i="44" s="1"/>
  <c r="J154" i="44" s="1"/>
  <c r="K155" i="44" s="1"/>
  <c r="L156" i="44" s="1"/>
  <c r="M157" i="44" s="1"/>
  <c r="N158" i="44" s="1"/>
  <c r="C146" i="44"/>
  <c r="D147" i="44" s="1"/>
  <c r="E148" i="44" s="1"/>
  <c r="F149" i="44" s="1"/>
  <c r="G150" i="44" s="1"/>
  <c r="H151" i="44" s="1"/>
  <c r="I152" i="44" s="1"/>
  <c r="J153" i="44" s="1"/>
  <c r="K154" i="44" s="1"/>
  <c r="L155" i="44" s="1"/>
  <c r="M156" i="44" s="1"/>
  <c r="N157" i="44" s="1"/>
  <c r="C145" i="44"/>
  <c r="D146" i="44" s="1"/>
  <c r="E147" i="44" s="1"/>
  <c r="F148" i="44" s="1"/>
  <c r="G149" i="44" s="1"/>
  <c r="H150" i="44" s="1"/>
  <c r="I151" i="44" s="1"/>
  <c r="J152" i="44" s="1"/>
  <c r="K153" i="44" s="1"/>
  <c r="L154" i="44" s="1"/>
  <c r="M155" i="44" s="1"/>
  <c r="N156" i="44" s="1"/>
  <c r="C144" i="44"/>
  <c r="D145" i="44" s="1"/>
  <c r="E146" i="44" s="1"/>
  <c r="F147" i="44" s="1"/>
  <c r="G148" i="44" s="1"/>
  <c r="H149" i="44" s="1"/>
  <c r="I150" i="44" s="1"/>
  <c r="J151" i="44" s="1"/>
  <c r="K152" i="44" s="1"/>
  <c r="L153" i="44" s="1"/>
  <c r="M154" i="44" s="1"/>
  <c r="N155" i="44" s="1"/>
  <c r="G143" i="44"/>
  <c r="H144" i="44" s="1"/>
  <c r="I145" i="44" s="1"/>
  <c r="J146" i="44" s="1"/>
  <c r="K147" i="44" s="1"/>
  <c r="L148" i="44" s="1"/>
  <c r="M149" i="44" s="1"/>
  <c r="N150" i="44" s="1"/>
  <c r="C143" i="44"/>
  <c r="D144" i="44" s="1"/>
  <c r="E145" i="44" s="1"/>
  <c r="F146" i="44" s="1"/>
  <c r="G147" i="44" s="1"/>
  <c r="H148" i="44" s="1"/>
  <c r="I149" i="44" s="1"/>
  <c r="J150" i="44" s="1"/>
  <c r="K151" i="44" s="1"/>
  <c r="L152" i="44" s="1"/>
  <c r="M153" i="44" s="1"/>
  <c r="N154" i="44" s="1"/>
  <c r="C142" i="44"/>
  <c r="D143" i="44" s="1"/>
  <c r="E144" i="44" s="1"/>
  <c r="F145" i="44" s="1"/>
  <c r="G146" i="44" s="1"/>
  <c r="H147" i="44" s="1"/>
  <c r="I148" i="44" s="1"/>
  <c r="J149" i="44" s="1"/>
  <c r="K150" i="44" s="1"/>
  <c r="L151" i="44" s="1"/>
  <c r="M152" i="44" s="1"/>
  <c r="N153" i="44" s="1"/>
  <c r="C141" i="44"/>
  <c r="D142" i="44" s="1"/>
  <c r="E143" i="44" s="1"/>
  <c r="F144" i="44" s="1"/>
  <c r="G145" i="44" s="1"/>
  <c r="H146" i="44" s="1"/>
  <c r="I147" i="44" s="1"/>
  <c r="J148" i="44" s="1"/>
  <c r="K149" i="44" s="1"/>
  <c r="L150" i="44" s="1"/>
  <c r="M151" i="44" s="1"/>
  <c r="N152" i="44" s="1"/>
  <c r="K140" i="44"/>
  <c r="L141" i="44" s="1"/>
  <c r="M142" i="44" s="1"/>
  <c r="N143" i="44" s="1"/>
  <c r="C140" i="44"/>
  <c r="D141" i="44" s="1"/>
  <c r="E142" i="44" s="1"/>
  <c r="F143" i="44" s="1"/>
  <c r="G144" i="44" s="1"/>
  <c r="H145" i="44" s="1"/>
  <c r="I146" i="44" s="1"/>
  <c r="J147" i="44" s="1"/>
  <c r="K148" i="44" s="1"/>
  <c r="L149" i="44" s="1"/>
  <c r="M150" i="44" s="1"/>
  <c r="N151" i="44" s="1"/>
  <c r="G139" i="44"/>
  <c r="H140" i="44" s="1"/>
  <c r="I141" i="44" s="1"/>
  <c r="J142" i="44" s="1"/>
  <c r="K143" i="44" s="1"/>
  <c r="L144" i="44" s="1"/>
  <c r="M145" i="44" s="1"/>
  <c r="N146" i="44" s="1"/>
  <c r="C139" i="44"/>
  <c r="D140" i="44" s="1"/>
  <c r="E141" i="44" s="1"/>
  <c r="F142" i="44" s="1"/>
  <c r="C138" i="44"/>
  <c r="D139" i="44" s="1"/>
  <c r="E140" i="44" s="1"/>
  <c r="F141" i="44" s="1"/>
  <c r="G142" i="44" s="1"/>
  <c r="H143" i="44" s="1"/>
  <c r="I144" i="44" s="1"/>
  <c r="J145" i="44" s="1"/>
  <c r="K146" i="44" s="1"/>
  <c r="L147" i="44" s="1"/>
  <c r="M148" i="44" s="1"/>
  <c r="N149" i="44" s="1"/>
  <c r="C137" i="44"/>
  <c r="D138" i="44" s="1"/>
  <c r="E139" i="44" s="1"/>
  <c r="F140" i="44" s="1"/>
  <c r="G141" i="44" s="1"/>
  <c r="H142" i="44" s="1"/>
  <c r="I143" i="44" s="1"/>
  <c r="J144" i="44" s="1"/>
  <c r="K145" i="44" s="1"/>
  <c r="L146" i="44" s="1"/>
  <c r="M147" i="44" s="1"/>
  <c r="N148" i="44" s="1"/>
  <c r="G136" i="44"/>
  <c r="H137" i="44" s="1"/>
  <c r="I138" i="44" s="1"/>
  <c r="J139" i="44" s="1"/>
  <c r="C136" i="44"/>
  <c r="D137" i="44" s="1"/>
  <c r="E138" i="44" s="1"/>
  <c r="F139" i="44" s="1"/>
  <c r="G140" i="44" s="1"/>
  <c r="H141" i="44" s="1"/>
  <c r="I142" i="44" s="1"/>
  <c r="J143" i="44" s="1"/>
  <c r="K144" i="44" s="1"/>
  <c r="L145" i="44" s="1"/>
  <c r="M146" i="44" s="1"/>
  <c r="N147" i="44" s="1"/>
  <c r="C135" i="44"/>
  <c r="D136" i="44" s="1"/>
  <c r="E137" i="44" s="1"/>
  <c r="F138" i="44" s="1"/>
  <c r="C134" i="44"/>
  <c r="D135" i="44" s="1"/>
  <c r="E136" i="44" s="1"/>
  <c r="F137" i="44" s="1"/>
  <c r="G138" i="44" s="1"/>
  <c r="H139" i="44" s="1"/>
  <c r="I140" i="44" s="1"/>
  <c r="J141" i="44" s="1"/>
  <c r="K142" i="44" s="1"/>
  <c r="L143" i="44" s="1"/>
  <c r="M144" i="44" s="1"/>
  <c r="N145" i="44" s="1"/>
  <c r="C133" i="44"/>
  <c r="D134" i="44" s="1"/>
  <c r="E135" i="44" s="1"/>
  <c r="F136" i="44" s="1"/>
  <c r="G137" i="44" s="1"/>
  <c r="H138" i="44" s="1"/>
  <c r="I139" i="44" s="1"/>
  <c r="J140" i="44" s="1"/>
  <c r="K141" i="44" s="1"/>
  <c r="L142" i="44" s="1"/>
  <c r="M143" i="44" s="1"/>
  <c r="N144" i="44" s="1"/>
  <c r="G132" i="44"/>
  <c r="H133" i="44" s="1"/>
  <c r="I134" i="44" s="1"/>
  <c r="J135" i="44" s="1"/>
  <c r="K136" i="44" s="1"/>
  <c r="L137" i="44" s="1"/>
  <c r="M138" i="44" s="1"/>
  <c r="N139" i="44" s="1"/>
  <c r="C132" i="44"/>
  <c r="D133" i="44" s="1"/>
  <c r="E134" i="44" s="1"/>
  <c r="F135" i="44" s="1"/>
  <c r="C131" i="44"/>
  <c r="D132" i="44" s="1"/>
  <c r="E133" i="44" s="1"/>
  <c r="F134" i="44" s="1"/>
  <c r="G135" i="44" s="1"/>
  <c r="H136" i="44" s="1"/>
  <c r="I137" i="44" s="1"/>
  <c r="J138" i="44" s="1"/>
  <c r="K139" i="44" s="1"/>
  <c r="L140" i="44" s="1"/>
  <c r="M141" i="44" s="1"/>
  <c r="N142" i="44" s="1"/>
  <c r="C130" i="44"/>
  <c r="D131" i="44" s="1"/>
  <c r="E132" i="44" s="1"/>
  <c r="F133" i="44" s="1"/>
  <c r="G134" i="44" s="1"/>
  <c r="H135" i="44" s="1"/>
  <c r="I136" i="44" s="1"/>
  <c r="J137" i="44" s="1"/>
  <c r="K138" i="44" s="1"/>
  <c r="L139" i="44" s="1"/>
  <c r="M140" i="44" s="1"/>
  <c r="N141" i="44" s="1"/>
  <c r="C129" i="44"/>
  <c r="D130" i="44" s="1"/>
  <c r="E131" i="44" s="1"/>
  <c r="F132" i="44" s="1"/>
  <c r="G133" i="44" s="1"/>
  <c r="H134" i="44" s="1"/>
  <c r="I135" i="44" s="1"/>
  <c r="J136" i="44" s="1"/>
  <c r="K137" i="44" s="1"/>
  <c r="L138" i="44" s="1"/>
  <c r="M139" i="44" s="1"/>
  <c r="N140" i="44" s="1"/>
  <c r="C128" i="44"/>
  <c r="D129" i="44" s="1"/>
  <c r="E130" i="44" s="1"/>
  <c r="F131" i="44" s="1"/>
  <c r="G127" i="44"/>
  <c r="H128" i="44" s="1"/>
  <c r="I129" i="44" s="1"/>
  <c r="J130" i="44" s="1"/>
  <c r="K131" i="44" s="1"/>
  <c r="L132" i="44" s="1"/>
  <c r="M133" i="44" s="1"/>
  <c r="N134" i="44" s="1"/>
  <c r="C127" i="44"/>
  <c r="D128" i="44" s="1"/>
  <c r="E129" i="44" s="1"/>
  <c r="F130" i="44" s="1"/>
  <c r="G131" i="44" s="1"/>
  <c r="H132" i="44" s="1"/>
  <c r="I133" i="44" s="1"/>
  <c r="J134" i="44" s="1"/>
  <c r="K135" i="44" s="1"/>
  <c r="L136" i="44" s="1"/>
  <c r="M137" i="44" s="1"/>
  <c r="N138" i="44" s="1"/>
  <c r="C126" i="44"/>
  <c r="D127" i="44" s="1"/>
  <c r="E128" i="44" s="1"/>
  <c r="F129" i="44" s="1"/>
  <c r="G130" i="44" s="1"/>
  <c r="H131" i="44" s="1"/>
  <c r="I132" i="44" s="1"/>
  <c r="J133" i="44" s="1"/>
  <c r="K134" i="44" s="1"/>
  <c r="L135" i="44" s="1"/>
  <c r="M136" i="44" s="1"/>
  <c r="N137" i="44" s="1"/>
  <c r="C125" i="44"/>
  <c r="D126" i="44" s="1"/>
  <c r="E127" i="44" s="1"/>
  <c r="F128" i="44" s="1"/>
  <c r="G129" i="44" s="1"/>
  <c r="H130" i="44" s="1"/>
  <c r="I131" i="44" s="1"/>
  <c r="J132" i="44" s="1"/>
  <c r="K133" i="44" s="1"/>
  <c r="L134" i="44" s="1"/>
  <c r="M135" i="44" s="1"/>
  <c r="N136" i="44" s="1"/>
  <c r="C124" i="44"/>
  <c r="D125" i="44" s="1"/>
  <c r="E126" i="44" s="1"/>
  <c r="F127" i="44" s="1"/>
  <c r="G128" i="44" s="1"/>
  <c r="H129" i="44" s="1"/>
  <c r="I130" i="44" s="1"/>
  <c r="J131" i="44" s="1"/>
  <c r="K132" i="44" s="1"/>
  <c r="L133" i="44" s="1"/>
  <c r="M134" i="44" s="1"/>
  <c r="N135" i="44" s="1"/>
  <c r="G123" i="44"/>
  <c r="H124" i="44" s="1"/>
  <c r="I125" i="44" s="1"/>
  <c r="J126" i="44" s="1"/>
  <c r="K127" i="44" s="1"/>
  <c r="L128" i="44" s="1"/>
  <c r="M129" i="44" s="1"/>
  <c r="N130" i="44" s="1"/>
  <c r="C123" i="44"/>
  <c r="D124" i="44" s="1"/>
  <c r="E125" i="44" s="1"/>
  <c r="F126" i="44" s="1"/>
  <c r="C122" i="44"/>
  <c r="D123" i="44" s="1"/>
  <c r="E124" i="44" s="1"/>
  <c r="F125" i="44" s="1"/>
  <c r="G126" i="44" s="1"/>
  <c r="H127" i="44" s="1"/>
  <c r="I128" i="44" s="1"/>
  <c r="J129" i="44" s="1"/>
  <c r="K130" i="44" s="1"/>
  <c r="L131" i="44" s="1"/>
  <c r="M132" i="44" s="1"/>
  <c r="N133" i="44" s="1"/>
  <c r="C121" i="44"/>
  <c r="D122" i="44" s="1"/>
  <c r="E123" i="44" s="1"/>
  <c r="F124" i="44" s="1"/>
  <c r="G125" i="44" s="1"/>
  <c r="H126" i="44" s="1"/>
  <c r="I127" i="44" s="1"/>
  <c r="J128" i="44" s="1"/>
  <c r="K129" i="44" s="1"/>
  <c r="L130" i="44" s="1"/>
  <c r="M131" i="44" s="1"/>
  <c r="N132" i="44" s="1"/>
  <c r="C120" i="44"/>
  <c r="D121" i="44" s="1"/>
  <c r="E122" i="44" s="1"/>
  <c r="F123" i="44" s="1"/>
  <c r="G124" i="44" s="1"/>
  <c r="H125" i="44" s="1"/>
  <c r="I126" i="44" s="1"/>
  <c r="J127" i="44" s="1"/>
  <c r="K128" i="44" s="1"/>
  <c r="L129" i="44" s="1"/>
  <c r="M130" i="44" s="1"/>
  <c r="N131" i="44" s="1"/>
  <c r="C119" i="44"/>
  <c r="D120" i="44" s="1"/>
  <c r="E121" i="44" s="1"/>
  <c r="F122" i="44" s="1"/>
  <c r="C118" i="44"/>
  <c r="D119" i="44" s="1"/>
  <c r="E120" i="44" s="1"/>
  <c r="F121" i="44" s="1"/>
  <c r="G122" i="44" s="1"/>
  <c r="H123" i="44" s="1"/>
  <c r="I124" i="44" s="1"/>
  <c r="J125" i="44" s="1"/>
  <c r="K126" i="44" s="1"/>
  <c r="L127" i="44" s="1"/>
  <c r="M128" i="44" s="1"/>
  <c r="N129" i="44" s="1"/>
  <c r="C117" i="44"/>
  <c r="D118" i="44" s="1"/>
  <c r="E119" i="44" s="1"/>
  <c r="F120" i="44" s="1"/>
  <c r="G121" i="44" s="1"/>
  <c r="H122" i="44" s="1"/>
  <c r="I123" i="44" s="1"/>
  <c r="J124" i="44" s="1"/>
  <c r="K125" i="44" s="1"/>
  <c r="L126" i="44" s="1"/>
  <c r="M127" i="44" s="1"/>
  <c r="N128" i="44" s="1"/>
  <c r="C116" i="44"/>
  <c r="D117" i="44" s="1"/>
  <c r="E118" i="44" s="1"/>
  <c r="F119" i="44" s="1"/>
  <c r="G120" i="44" s="1"/>
  <c r="H121" i="44" s="1"/>
  <c r="I122" i="44" s="1"/>
  <c r="J123" i="44" s="1"/>
  <c r="K124" i="44" s="1"/>
  <c r="L125" i="44" s="1"/>
  <c r="M126" i="44" s="1"/>
  <c r="N127" i="44" s="1"/>
  <c r="C115" i="44"/>
  <c r="D116" i="44" s="1"/>
  <c r="E117" i="44" s="1"/>
  <c r="F118" i="44" s="1"/>
  <c r="G119" i="44" s="1"/>
  <c r="H120" i="44" s="1"/>
  <c r="I121" i="44" s="1"/>
  <c r="J122" i="44" s="1"/>
  <c r="K123" i="44" s="1"/>
  <c r="L124" i="44" s="1"/>
  <c r="M125" i="44" s="1"/>
  <c r="N126" i="44" s="1"/>
  <c r="C114" i="44"/>
  <c r="D115" i="44" s="1"/>
  <c r="E116" i="44" s="1"/>
  <c r="F117" i="44" s="1"/>
  <c r="G118" i="44" s="1"/>
  <c r="H119" i="44" s="1"/>
  <c r="I120" i="44" s="1"/>
  <c r="J121" i="44" s="1"/>
  <c r="K122" i="44" s="1"/>
  <c r="L123" i="44" s="1"/>
  <c r="M124" i="44" s="1"/>
  <c r="N125" i="44" s="1"/>
  <c r="C113" i="44"/>
  <c r="D114" i="44" s="1"/>
  <c r="E115" i="44" s="1"/>
  <c r="F116" i="44" s="1"/>
  <c r="G117" i="44" s="1"/>
  <c r="H118" i="44" s="1"/>
  <c r="I119" i="44" s="1"/>
  <c r="J120" i="44" s="1"/>
  <c r="K121" i="44" s="1"/>
  <c r="L122" i="44" s="1"/>
  <c r="M123" i="44" s="1"/>
  <c r="N124" i="44" s="1"/>
  <c r="C112" i="44"/>
  <c r="D113" i="44" s="1"/>
  <c r="E114" i="44" s="1"/>
  <c r="F115" i="44" s="1"/>
  <c r="G116" i="44" s="1"/>
  <c r="H117" i="44" s="1"/>
  <c r="I118" i="44" s="1"/>
  <c r="J119" i="44" s="1"/>
  <c r="K120" i="44" s="1"/>
  <c r="L121" i="44" s="1"/>
  <c r="M122" i="44" s="1"/>
  <c r="N123" i="44" s="1"/>
  <c r="G111" i="44"/>
  <c r="H112" i="44" s="1"/>
  <c r="I113" i="44" s="1"/>
  <c r="J114" i="44" s="1"/>
  <c r="K115" i="44" s="1"/>
  <c r="L116" i="44" s="1"/>
  <c r="M117" i="44" s="1"/>
  <c r="N118" i="44" s="1"/>
  <c r="C111" i="44"/>
  <c r="D112" i="44" s="1"/>
  <c r="E113" i="44" s="1"/>
  <c r="F114" i="44" s="1"/>
  <c r="G115" i="44" s="1"/>
  <c r="H116" i="44" s="1"/>
  <c r="I117" i="44" s="1"/>
  <c r="J118" i="44" s="1"/>
  <c r="K119" i="44" s="1"/>
  <c r="L120" i="44" s="1"/>
  <c r="M121" i="44" s="1"/>
  <c r="N122" i="44" s="1"/>
  <c r="C110" i="44"/>
  <c r="D111" i="44" s="1"/>
  <c r="E112" i="44" s="1"/>
  <c r="F113" i="44" s="1"/>
  <c r="G114" i="44" s="1"/>
  <c r="H115" i="44" s="1"/>
  <c r="I116" i="44" s="1"/>
  <c r="J117" i="44" s="1"/>
  <c r="K118" i="44" s="1"/>
  <c r="L119" i="44" s="1"/>
  <c r="M120" i="44" s="1"/>
  <c r="N121" i="44" s="1"/>
  <c r="C109" i="44"/>
  <c r="D110" i="44" s="1"/>
  <c r="E111" i="44" s="1"/>
  <c r="F112" i="44" s="1"/>
  <c r="G113" i="44" s="1"/>
  <c r="H114" i="44" s="1"/>
  <c r="I115" i="44" s="1"/>
  <c r="J116" i="44" s="1"/>
  <c r="K117" i="44" s="1"/>
  <c r="L118" i="44" s="1"/>
  <c r="M119" i="44" s="1"/>
  <c r="N120" i="44" s="1"/>
  <c r="K108" i="44"/>
  <c r="L109" i="44" s="1"/>
  <c r="M110" i="44" s="1"/>
  <c r="N111" i="44" s="1"/>
  <c r="C108" i="44"/>
  <c r="D109" i="44" s="1"/>
  <c r="E110" i="44" s="1"/>
  <c r="F111" i="44" s="1"/>
  <c r="G112" i="44" s="1"/>
  <c r="H113" i="44" s="1"/>
  <c r="I114" i="44" s="1"/>
  <c r="J115" i="44" s="1"/>
  <c r="K116" i="44" s="1"/>
  <c r="L117" i="44" s="1"/>
  <c r="M118" i="44" s="1"/>
  <c r="N119" i="44" s="1"/>
  <c r="G107" i="44"/>
  <c r="H108" i="44" s="1"/>
  <c r="I109" i="44" s="1"/>
  <c r="J110" i="44" s="1"/>
  <c r="K111" i="44" s="1"/>
  <c r="L112" i="44" s="1"/>
  <c r="M113" i="44" s="1"/>
  <c r="N114" i="44" s="1"/>
  <c r="C107" i="44"/>
  <c r="D108" i="44" s="1"/>
  <c r="E109" i="44" s="1"/>
  <c r="F110" i="44" s="1"/>
  <c r="C106" i="44"/>
  <c r="D107" i="44" s="1"/>
  <c r="E108" i="44" s="1"/>
  <c r="F109" i="44" s="1"/>
  <c r="G110" i="44" s="1"/>
  <c r="H111" i="44" s="1"/>
  <c r="I112" i="44" s="1"/>
  <c r="J113" i="44" s="1"/>
  <c r="K114" i="44" s="1"/>
  <c r="L115" i="44" s="1"/>
  <c r="M116" i="44" s="1"/>
  <c r="N117" i="44" s="1"/>
  <c r="C105" i="44"/>
  <c r="D106" i="44" s="1"/>
  <c r="E107" i="44" s="1"/>
  <c r="F108" i="44" s="1"/>
  <c r="G109" i="44" s="1"/>
  <c r="H110" i="44" s="1"/>
  <c r="I111" i="44" s="1"/>
  <c r="J112" i="44" s="1"/>
  <c r="K113" i="44" s="1"/>
  <c r="L114" i="44" s="1"/>
  <c r="M115" i="44" s="1"/>
  <c r="N116" i="44" s="1"/>
  <c r="G104" i="44"/>
  <c r="H105" i="44" s="1"/>
  <c r="I106" i="44" s="1"/>
  <c r="J107" i="44" s="1"/>
  <c r="C104" i="44"/>
  <c r="D105" i="44" s="1"/>
  <c r="E106" i="44" s="1"/>
  <c r="F107" i="44" s="1"/>
  <c r="G108" i="44" s="1"/>
  <c r="H109" i="44" s="1"/>
  <c r="I110" i="44" s="1"/>
  <c r="J111" i="44" s="1"/>
  <c r="K112" i="44" s="1"/>
  <c r="L113" i="44" s="1"/>
  <c r="M114" i="44" s="1"/>
  <c r="N115" i="44" s="1"/>
  <c r="C103" i="44"/>
  <c r="D104" i="44" s="1"/>
  <c r="E105" i="44" s="1"/>
  <c r="F106" i="44" s="1"/>
  <c r="C102" i="44"/>
  <c r="D103" i="44" s="1"/>
  <c r="E104" i="44" s="1"/>
  <c r="F105" i="44" s="1"/>
  <c r="G106" i="44" s="1"/>
  <c r="H107" i="44" s="1"/>
  <c r="I108" i="44" s="1"/>
  <c r="J109" i="44" s="1"/>
  <c r="K110" i="44" s="1"/>
  <c r="L111" i="44" s="1"/>
  <c r="M112" i="44" s="1"/>
  <c r="N113" i="44" s="1"/>
  <c r="C101" i="44"/>
  <c r="D102" i="44" s="1"/>
  <c r="E103" i="44" s="1"/>
  <c r="F104" i="44" s="1"/>
  <c r="G105" i="44" s="1"/>
  <c r="H106" i="44" s="1"/>
  <c r="I107" i="44" s="1"/>
  <c r="J108" i="44" s="1"/>
  <c r="K109" i="44" s="1"/>
  <c r="L110" i="44" s="1"/>
  <c r="M111" i="44" s="1"/>
  <c r="N112" i="44" s="1"/>
  <c r="G100" i="44"/>
  <c r="H101" i="44" s="1"/>
  <c r="I102" i="44" s="1"/>
  <c r="J103" i="44" s="1"/>
  <c r="K104" i="44" s="1"/>
  <c r="L105" i="44" s="1"/>
  <c r="M106" i="44" s="1"/>
  <c r="N107" i="44" s="1"/>
  <c r="C100" i="44"/>
  <c r="D101" i="44" s="1"/>
  <c r="E102" i="44" s="1"/>
  <c r="F103" i="44" s="1"/>
  <c r="C99" i="44"/>
  <c r="D100" i="44" s="1"/>
  <c r="E101" i="44" s="1"/>
  <c r="F102" i="44" s="1"/>
  <c r="G103" i="44" s="1"/>
  <c r="H104" i="44" s="1"/>
  <c r="I105" i="44" s="1"/>
  <c r="J106" i="44" s="1"/>
  <c r="K107" i="44" s="1"/>
  <c r="L108" i="44" s="1"/>
  <c r="M109" i="44" s="1"/>
  <c r="N110" i="44" s="1"/>
  <c r="C98" i="44"/>
  <c r="D99" i="44" s="1"/>
  <c r="E100" i="44" s="1"/>
  <c r="F101" i="44" s="1"/>
  <c r="G102" i="44" s="1"/>
  <c r="H103" i="44" s="1"/>
  <c r="I104" i="44" s="1"/>
  <c r="J105" i="44" s="1"/>
  <c r="K106" i="44" s="1"/>
  <c r="L107" i="44" s="1"/>
  <c r="M108" i="44" s="1"/>
  <c r="N109" i="44" s="1"/>
  <c r="C97" i="44"/>
  <c r="D98" i="44" s="1"/>
  <c r="E99" i="44" s="1"/>
  <c r="F100" i="44" s="1"/>
  <c r="G101" i="44" s="1"/>
  <c r="H102" i="44" s="1"/>
  <c r="I103" i="44" s="1"/>
  <c r="J104" i="44" s="1"/>
  <c r="K105" i="44" s="1"/>
  <c r="L106" i="44" s="1"/>
  <c r="M107" i="44" s="1"/>
  <c r="N108" i="44" s="1"/>
  <c r="C96" i="44"/>
  <c r="D97" i="44" s="1"/>
  <c r="E98" i="44" s="1"/>
  <c r="F99" i="44" s="1"/>
  <c r="G95" i="44"/>
  <c r="H96" i="44" s="1"/>
  <c r="I97" i="44" s="1"/>
  <c r="J98" i="44" s="1"/>
  <c r="K99" i="44" s="1"/>
  <c r="L100" i="44" s="1"/>
  <c r="M101" i="44" s="1"/>
  <c r="N102" i="44" s="1"/>
  <c r="C95" i="44"/>
  <c r="D96" i="44" s="1"/>
  <c r="E97" i="44" s="1"/>
  <c r="F98" i="44" s="1"/>
  <c r="G99" i="44" s="1"/>
  <c r="H100" i="44" s="1"/>
  <c r="I101" i="44" s="1"/>
  <c r="J102" i="44" s="1"/>
  <c r="K103" i="44" s="1"/>
  <c r="L104" i="44" s="1"/>
  <c r="M105" i="44" s="1"/>
  <c r="N106" i="44" s="1"/>
  <c r="C94" i="44"/>
  <c r="D95" i="44" s="1"/>
  <c r="E96" i="44" s="1"/>
  <c r="F97" i="44" s="1"/>
  <c r="G98" i="44" s="1"/>
  <c r="H99" i="44" s="1"/>
  <c r="I100" i="44" s="1"/>
  <c r="J101" i="44" s="1"/>
  <c r="K102" i="44" s="1"/>
  <c r="L103" i="44" s="1"/>
  <c r="M104" i="44" s="1"/>
  <c r="N105" i="44" s="1"/>
  <c r="C93" i="44"/>
  <c r="D94" i="44" s="1"/>
  <c r="E95" i="44" s="1"/>
  <c r="F96" i="44" s="1"/>
  <c r="G97" i="44" s="1"/>
  <c r="H98" i="44" s="1"/>
  <c r="I99" i="44" s="1"/>
  <c r="J100" i="44" s="1"/>
  <c r="K101" i="44" s="1"/>
  <c r="L102" i="44" s="1"/>
  <c r="M103" i="44" s="1"/>
  <c r="N104" i="44" s="1"/>
  <c r="G92" i="44"/>
  <c r="H93" i="44" s="1"/>
  <c r="I94" i="44" s="1"/>
  <c r="J95" i="44" s="1"/>
  <c r="K96" i="44" s="1"/>
  <c r="L97" i="44" s="1"/>
  <c r="M98" i="44" s="1"/>
  <c r="N99" i="44" s="1"/>
  <c r="C92" i="44"/>
  <c r="D93" i="44" s="1"/>
  <c r="E94" i="44" s="1"/>
  <c r="F95" i="44" s="1"/>
  <c r="G96" i="44" s="1"/>
  <c r="H97" i="44" s="1"/>
  <c r="I98" i="44" s="1"/>
  <c r="J99" i="44" s="1"/>
  <c r="K100" i="44" s="1"/>
  <c r="L101" i="44" s="1"/>
  <c r="M102" i="44" s="1"/>
  <c r="N103" i="44" s="1"/>
  <c r="C91" i="44"/>
  <c r="D92" i="44" s="1"/>
  <c r="E93" i="44" s="1"/>
  <c r="F94" i="44" s="1"/>
  <c r="C90" i="44"/>
  <c r="D91" i="44" s="1"/>
  <c r="E92" i="44" s="1"/>
  <c r="F93" i="44" s="1"/>
  <c r="G94" i="44" s="1"/>
  <c r="H95" i="44" s="1"/>
  <c r="I96" i="44" s="1"/>
  <c r="J97" i="44" s="1"/>
  <c r="K98" i="44" s="1"/>
  <c r="L99" i="44" s="1"/>
  <c r="M100" i="44" s="1"/>
  <c r="N101" i="44" s="1"/>
  <c r="C89" i="44"/>
  <c r="D90" i="44" s="1"/>
  <c r="E91" i="44" s="1"/>
  <c r="F92" i="44" s="1"/>
  <c r="G93" i="44" s="1"/>
  <c r="H94" i="44" s="1"/>
  <c r="I95" i="44" s="1"/>
  <c r="J96" i="44" s="1"/>
  <c r="K97" i="44" s="1"/>
  <c r="L98" i="44" s="1"/>
  <c r="M99" i="44" s="1"/>
  <c r="N100" i="44" s="1"/>
  <c r="C88" i="44"/>
  <c r="D89" i="44" s="1"/>
  <c r="E90" i="44" s="1"/>
  <c r="F91" i="44" s="1"/>
  <c r="C87" i="44"/>
  <c r="D88" i="44" s="1"/>
  <c r="E89" i="44" s="1"/>
  <c r="F90" i="44" s="1"/>
  <c r="G91" i="44" s="1"/>
  <c r="H92" i="44" s="1"/>
  <c r="I93" i="44" s="1"/>
  <c r="J94" i="44" s="1"/>
  <c r="K95" i="44" s="1"/>
  <c r="L96" i="44" s="1"/>
  <c r="M97" i="44" s="1"/>
  <c r="N98" i="44" s="1"/>
  <c r="C86" i="44"/>
  <c r="D87" i="44" s="1"/>
  <c r="E88" i="44" s="1"/>
  <c r="F89" i="44" s="1"/>
  <c r="G90" i="44" s="1"/>
  <c r="H91" i="44" s="1"/>
  <c r="I92" i="44" s="1"/>
  <c r="J93" i="44" s="1"/>
  <c r="K94" i="44" s="1"/>
  <c r="L95" i="44" s="1"/>
  <c r="M96" i="44" s="1"/>
  <c r="N97" i="44" s="1"/>
  <c r="C85" i="44"/>
  <c r="D86" i="44" s="1"/>
  <c r="E87" i="44" s="1"/>
  <c r="F88" i="44" s="1"/>
  <c r="G89" i="44" s="1"/>
  <c r="H90" i="44" s="1"/>
  <c r="I91" i="44" s="1"/>
  <c r="J92" i="44" s="1"/>
  <c r="K93" i="44" s="1"/>
  <c r="L94" i="44" s="1"/>
  <c r="M95" i="44" s="1"/>
  <c r="N96" i="44" s="1"/>
  <c r="C84" i="44"/>
  <c r="D85" i="44" s="1"/>
  <c r="E86" i="44" s="1"/>
  <c r="F87" i="44" s="1"/>
  <c r="G88" i="44" s="1"/>
  <c r="H89" i="44" s="1"/>
  <c r="I90" i="44" s="1"/>
  <c r="J91" i="44" s="1"/>
  <c r="K92" i="44" s="1"/>
  <c r="L93" i="44" s="1"/>
  <c r="M94" i="44" s="1"/>
  <c r="N95" i="44" s="1"/>
  <c r="C83" i="44"/>
  <c r="D84" i="44" s="1"/>
  <c r="E85" i="44" s="1"/>
  <c r="F86" i="44" s="1"/>
  <c r="G87" i="44" s="1"/>
  <c r="H88" i="44" s="1"/>
  <c r="I89" i="44" s="1"/>
  <c r="J90" i="44" s="1"/>
  <c r="K91" i="44" s="1"/>
  <c r="L92" i="44" s="1"/>
  <c r="M93" i="44" s="1"/>
  <c r="N94" i="44" s="1"/>
  <c r="C82" i="44"/>
  <c r="D83" i="44" s="1"/>
  <c r="E84" i="44" s="1"/>
  <c r="F85" i="44" s="1"/>
  <c r="G86" i="44" s="1"/>
  <c r="H87" i="44" s="1"/>
  <c r="I88" i="44" s="1"/>
  <c r="J89" i="44" s="1"/>
  <c r="K90" i="44" s="1"/>
  <c r="L91" i="44" s="1"/>
  <c r="M92" i="44" s="1"/>
  <c r="N93" i="44" s="1"/>
  <c r="C81" i="44"/>
  <c r="D82" i="44" s="1"/>
  <c r="E83" i="44" s="1"/>
  <c r="F84" i="44" s="1"/>
  <c r="G85" i="44" s="1"/>
  <c r="H86" i="44" s="1"/>
  <c r="I87" i="44" s="1"/>
  <c r="J88" i="44" s="1"/>
  <c r="K89" i="44" s="1"/>
  <c r="L90" i="44" s="1"/>
  <c r="M91" i="44" s="1"/>
  <c r="N92" i="44" s="1"/>
  <c r="C80" i="44"/>
  <c r="D81" i="44" s="1"/>
  <c r="E82" i="44" s="1"/>
  <c r="F83" i="44" s="1"/>
  <c r="G84" i="44" s="1"/>
  <c r="H85" i="44" s="1"/>
  <c r="I86" i="44" s="1"/>
  <c r="J87" i="44" s="1"/>
  <c r="K88" i="44" s="1"/>
  <c r="L89" i="44" s="1"/>
  <c r="M90" i="44" s="1"/>
  <c r="N91" i="44" s="1"/>
  <c r="C79" i="44"/>
  <c r="D80" i="44" s="1"/>
  <c r="E81" i="44" s="1"/>
  <c r="F82" i="44" s="1"/>
  <c r="G83" i="44" s="1"/>
  <c r="H84" i="44" s="1"/>
  <c r="I85" i="44" s="1"/>
  <c r="J86" i="44" s="1"/>
  <c r="K87" i="44" s="1"/>
  <c r="L88" i="44" s="1"/>
  <c r="M89" i="44" s="1"/>
  <c r="N90" i="44" s="1"/>
  <c r="C78" i="44"/>
  <c r="D79" i="44" s="1"/>
  <c r="E80" i="44" s="1"/>
  <c r="F81" i="44" s="1"/>
  <c r="G82" i="44" s="1"/>
  <c r="H83" i="44" s="1"/>
  <c r="I84" i="44" s="1"/>
  <c r="J85" i="44" s="1"/>
  <c r="K86" i="44" s="1"/>
  <c r="L87" i="44" s="1"/>
  <c r="M88" i="44" s="1"/>
  <c r="N89" i="44" s="1"/>
  <c r="C77" i="44"/>
  <c r="D78" i="44" s="1"/>
  <c r="E79" i="44" s="1"/>
  <c r="F80" i="44" s="1"/>
  <c r="G81" i="44" s="1"/>
  <c r="H82" i="44" s="1"/>
  <c r="I83" i="44" s="1"/>
  <c r="J84" i="44" s="1"/>
  <c r="K85" i="44" s="1"/>
  <c r="L86" i="44" s="1"/>
  <c r="M87" i="44" s="1"/>
  <c r="N88" i="44" s="1"/>
  <c r="C76" i="44"/>
  <c r="D77" i="44" s="1"/>
  <c r="E78" i="44" s="1"/>
  <c r="F79" i="44" s="1"/>
  <c r="G80" i="44" s="1"/>
  <c r="H81" i="44" s="1"/>
  <c r="I82" i="44" s="1"/>
  <c r="J83" i="44" s="1"/>
  <c r="K84" i="44" s="1"/>
  <c r="L85" i="44" s="1"/>
  <c r="M86" i="44" s="1"/>
  <c r="N87" i="44" s="1"/>
  <c r="C74" i="44"/>
  <c r="D75" i="44" s="1"/>
  <c r="E76" i="44" s="1"/>
  <c r="F77" i="44" s="1"/>
  <c r="G78" i="44" s="1"/>
  <c r="H79" i="44" s="1"/>
  <c r="I80" i="44" s="1"/>
  <c r="J81" i="44" s="1"/>
  <c r="K82" i="44" s="1"/>
  <c r="L83" i="44" s="1"/>
  <c r="M84" i="44" s="1"/>
  <c r="N85" i="44" s="1"/>
  <c r="C75" i="44"/>
  <c r="D76" i="44" s="1"/>
  <c r="E77" i="44" s="1"/>
  <c r="F78" i="44" s="1"/>
  <c r="G79" i="44" s="1"/>
  <c r="H80" i="44" s="1"/>
  <c r="I81" i="44" s="1"/>
  <c r="J82" i="44" s="1"/>
  <c r="K83" i="44" s="1"/>
  <c r="L84" i="44" s="1"/>
  <c r="M85" i="44" s="1"/>
  <c r="N86" i="44" s="1"/>
  <c r="D73" i="44"/>
  <c r="E74" i="44" s="1"/>
  <c r="F75" i="44" s="1"/>
  <c r="G76" i="44" s="1"/>
  <c r="H77" i="44" s="1"/>
  <c r="I78" i="44" s="1"/>
  <c r="J79" i="44" s="1"/>
  <c r="K80" i="44" s="1"/>
  <c r="L81" i="44" s="1"/>
  <c r="M82" i="44" s="1"/>
  <c r="N83" i="44" s="1"/>
  <c r="C73" i="44"/>
  <c r="D74" i="44" s="1"/>
  <c r="E75" i="44" s="1"/>
  <c r="F76" i="44" s="1"/>
  <c r="G77" i="44" s="1"/>
  <c r="H78" i="44" s="1"/>
  <c r="I79" i="44" s="1"/>
  <c r="J80" i="44" s="1"/>
  <c r="K81" i="44" s="1"/>
  <c r="L82" i="44" s="1"/>
  <c r="M83" i="44" s="1"/>
  <c r="N84" i="44" s="1"/>
  <c r="D72" i="44"/>
  <c r="E73" i="44" s="1"/>
  <c r="F74" i="44" s="1"/>
  <c r="G75" i="44" s="1"/>
  <c r="H76" i="44" s="1"/>
  <c r="I77" i="44" s="1"/>
  <c r="J78" i="44" s="1"/>
  <c r="K79" i="44" s="1"/>
  <c r="L80" i="44" s="1"/>
  <c r="M81" i="44" s="1"/>
  <c r="N82" i="44" s="1"/>
  <c r="C72" i="44"/>
  <c r="C71" i="44"/>
  <c r="E70" i="44"/>
  <c r="F71" i="44" s="1"/>
  <c r="G72" i="44" s="1"/>
  <c r="H73" i="44" s="1"/>
  <c r="I74" i="44" s="1"/>
  <c r="J75" i="44" s="1"/>
  <c r="K76" i="44" s="1"/>
  <c r="L77" i="44" s="1"/>
  <c r="M78" i="44" s="1"/>
  <c r="N79" i="44" s="1"/>
  <c r="C70" i="44"/>
  <c r="D71" i="44" s="1"/>
  <c r="E72" i="44" s="1"/>
  <c r="F73" i="44" s="1"/>
  <c r="G74" i="44" s="1"/>
  <c r="H75" i="44" s="1"/>
  <c r="I76" i="44" s="1"/>
  <c r="J77" i="44" s="1"/>
  <c r="K78" i="44" s="1"/>
  <c r="L79" i="44" s="1"/>
  <c r="M80" i="44" s="1"/>
  <c r="N81" i="44" s="1"/>
  <c r="D69" i="44"/>
  <c r="C69" i="44"/>
  <c r="D70" i="44" s="1"/>
  <c r="E71" i="44" s="1"/>
  <c r="F72" i="44" s="1"/>
  <c r="G73" i="44" s="1"/>
  <c r="H74" i="44" s="1"/>
  <c r="I75" i="44" s="1"/>
  <c r="J76" i="44" s="1"/>
  <c r="K77" i="44" s="1"/>
  <c r="L78" i="44" s="1"/>
  <c r="M79" i="44" s="1"/>
  <c r="N80" i="44" s="1"/>
  <c r="D68" i="44"/>
  <c r="E69" i="44" s="1"/>
  <c r="F70" i="44" s="1"/>
  <c r="G71" i="44" s="1"/>
  <c r="H72" i="44" s="1"/>
  <c r="I73" i="44" s="1"/>
  <c r="J74" i="44" s="1"/>
  <c r="K75" i="44" s="1"/>
  <c r="L76" i="44" s="1"/>
  <c r="M77" i="44" s="1"/>
  <c r="N78" i="44" s="1"/>
  <c r="C68" i="44"/>
  <c r="C67" i="44"/>
  <c r="E66" i="44"/>
  <c r="F67" i="44" s="1"/>
  <c r="G68" i="44" s="1"/>
  <c r="H69" i="44" s="1"/>
  <c r="I70" i="44" s="1"/>
  <c r="J71" i="44" s="1"/>
  <c r="K72" i="44" s="1"/>
  <c r="L73" i="44" s="1"/>
  <c r="M74" i="44" s="1"/>
  <c r="N75" i="44" s="1"/>
  <c r="C66" i="44"/>
  <c r="D67" i="44" s="1"/>
  <c r="E68" i="44" s="1"/>
  <c r="F69" i="44" s="1"/>
  <c r="G70" i="44" s="1"/>
  <c r="H71" i="44" s="1"/>
  <c r="I72" i="44" s="1"/>
  <c r="J73" i="44" s="1"/>
  <c r="K74" i="44" s="1"/>
  <c r="L75" i="44" s="1"/>
  <c r="M76" i="44" s="1"/>
  <c r="N77" i="44" s="1"/>
  <c r="D65" i="44"/>
  <c r="C65" i="44"/>
  <c r="D66" i="44" s="1"/>
  <c r="E67" i="44" s="1"/>
  <c r="F68" i="44" s="1"/>
  <c r="G69" i="44" s="1"/>
  <c r="H70" i="44" s="1"/>
  <c r="I71" i="44" s="1"/>
  <c r="J72" i="44" s="1"/>
  <c r="K73" i="44" s="1"/>
  <c r="L74" i="44" s="1"/>
  <c r="M75" i="44" s="1"/>
  <c r="N76" i="44" s="1"/>
  <c r="D64" i="44"/>
  <c r="E65" i="44" s="1"/>
  <c r="F66" i="44" s="1"/>
  <c r="G67" i="44" s="1"/>
  <c r="H68" i="44" s="1"/>
  <c r="I69" i="44" s="1"/>
  <c r="J70" i="44" s="1"/>
  <c r="K71" i="44" s="1"/>
  <c r="L72" i="44" s="1"/>
  <c r="M73" i="44" s="1"/>
  <c r="N74" i="44" s="1"/>
  <c r="C64" i="44"/>
  <c r="C63" i="44"/>
  <c r="E62" i="44"/>
  <c r="F63" i="44" s="1"/>
  <c r="G64" i="44" s="1"/>
  <c r="H65" i="44" s="1"/>
  <c r="I66" i="44" s="1"/>
  <c r="J67" i="44" s="1"/>
  <c r="K68" i="44" s="1"/>
  <c r="L69" i="44" s="1"/>
  <c r="M70" i="44" s="1"/>
  <c r="N71" i="44" s="1"/>
  <c r="C62" i="44"/>
  <c r="D63" i="44" s="1"/>
  <c r="E64" i="44" s="1"/>
  <c r="F65" i="44" s="1"/>
  <c r="G66" i="44" s="1"/>
  <c r="H67" i="44" s="1"/>
  <c r="I68" i="44" s="1"/>
  <c r="J69" i="44" s="1"/>
  <c r="K70" i="44" s="1"/>
  <c r="L71" i="44" s="1"/>
  <c r="M72" i="44" s="1"/>
  <c r="N73" i="44" s="1"/>
  <c r="D61" i="44"/>
  <c r="C61" i="44"/>
  <c r="D62" i="44" s="1"/>
  <c r="E63" i="44" s="1"/>
  <c r="F64" i="44" s="1"/>
  <c r="G65" i="44" s="1"/>
  <c r="H66" i="44" s="1"/>
  <c r="I67" i="44" s="1"/>
  <c r="J68" i="44" s="1"/>
  <c r="K69" i="44" s="1"/>
  <c r="L70" i="44" s="1"/>
  <c r="M71" i="44" s="1"/>
  <c r="N72" i="44" s="1"/>
  <c r="D60" i="44"/>
  <c r="E61" i="44" s="1"/>
  <c r="F62" i="44" s="1"/>
  <c r="G63" i="44" s="1"/>
  <c r="H64" i="44" s="1"/>
  <c r="I65" i="44" s="1"/>
  <c r="J66" i="44" s="1"/>
  <c r="K67" i="44" s="1"/>
  <c r="L68" i="44" s="1"/>
  <c r="M69" i="44" s="1"/>
  <c r="N70" i="44" s="1"/>
  <c r="C60" i="44"/>
  <c r="C59" i="44"/>
  <c r="E58" i="44"/>
  <c r="F59" i="44" s="1"/>
  <c r="G60" i="44" s="1"/>
  <c r="H61" i="44" s="1"/>
  <c r="I62" i="44" s="1"/>
  <c r="J63" i="44" s="1"/>
  <c r="K64" i="44" s="1"/>
  <c r="L65" i="44" s="1"/>
  <c r="M66" i="44" s="1"/>
  <c r="N67" i="44" s="1"/>
  <c r="C58" i="44"/>
  <c r="D59" i="44" s="1"/>
  <c r="E60" i="44" s="1"/>
  <c r="F61" i="44" s="1"/>
  <c r="G62" i="44" s="1"/>
  <c r="H63" i="44" s="1"/>
  <c r="I64" i="44" s="1"/>
  <c r="J65" i="44" s="1"/>
  <c r="K66" i="44" s="1"/>
  <c r="L67" i="44" s="1"/>
  <c r="M68" i="44" s="1"/>
  <c r="N69" i="44" s="1"/>
  <c r="D57" i="44"/>
  <c r="C57" i="44"/>
  <c r="D58" i="44" s="1"/>
  <c r="E59" i="44" s="1"/>
  <c r="F60" i="44" s="1"/>
  <c r="G61" i="44" s="1"/>
  <c r="H62" i="44" s="1"/>
  <c r="I63" i="44" s="1"/>
  <c r="J64" i="44" s="1"/>
  <c r="K65" i="44" s="1"/>
  <c r="L66" i="44" s="1"/>
  <c r="M67" i="44" s="1"/>
  <c r="N68" i="44" s="1"/>
  <c r="D56" i="44"/>
  <c r="E57" i="44" s="1"/>
  <c r="F58" i="44" s="1"/>
  <c r="G59" i="44" s="1"/>
  <c r="H60" i="44" s="1"/>
  <c r="I61" i="44" s="1"/>
  <c r="J62" i="44" s="1"/>
  <c r="K63" i="44" s="1"/>
  <c r="L64" i="44" s="1"/>
  <c r="M65" i="44" s="1"/>
  <c r="N66" i="44" s="1"/>
  <c r="C56" i="44"/>
  <c r="C55" i="44"/>
  <c r="C54" i="44"/>
  <c r="D55" i="44" s="1"/>
  <c r="E56" i="44" s="1"/>
  <c r="F57" i="44" s="1"/>
  <c r="G58" i="44" s="1"/>
  <c r="H59" i="44" s="1"/>
  <c r="I60" i="44" s="1"/>
  <c r="J61" i="44" s="1"/>
  <c r="K62" i="44" s="1"/>
  <c r="L63" i="44" s="1"/>
  <c r="M64" i="44" s="1"/>
  <c r="N65" i="44" s="1"/>
  <c r="D53" i="44"/>
  <c r="E54" i="44" s="1"/>
  <c r="F55" i="44" s="1"/>
  <c r="G56" i="44" s="1"/>
  <c r="H57" i="44" s="1"/>
  <c r="I58" i="44" s="1"/>
  <c r="J59" i="44" s="1"/>
  <c r="K60" i="44" s="1"/>
  <c r="L61" i="44" s="1"/>
  <c r="M62" i="44" s="1"/>
  <c r="N63" i="44" s="1"/>
  <c r="C53" i="44"/>
  <c r="D54" i="44" s="1"/>
  <c r="E55" i="44" s="1"/>
  <c r="F56" i="44" s="1"/>
  <c r="G57" i="44" s="1"/>
  <c r="H58" i="44" s="1"/>
  <c r="I59" i="44" s="1"/>
  <c r="J60" i="44" s="1"/>
  <c r="K61" i="44" s="1"/>
  <c r="L62" i="44" s="1"/>
  <c r="M63" i="44" s="1"/>
  <c r="N64" i="44" s="1"/>
  <c r="C52" i="44"/>
  <c r="C51" i="44"/>
  <c r="D52" i="44" s="1"/>
  <c r="E53" i="44" s="1"/>
  <c r="F54" i="44" s="1"/>
  <c r="G55" i="44" s="1"/>
  <c r="H56" i="44" s="1"/>
  <c r="I57" i="44" s="1"/>
  <c r="J58" i="44" s="1"/>
  <c r="K59" i="44" s="1"/>
  <c r="L60" i="44" s="1"/>
  <c r="M61" i="44" s="1"/>
  <c r="N62" i="44" s="1"/>
  <c r="C50" i="44"/>
  <c r="D51" i="44" s="1"/>
  <c r="E52" i="44" s="1"/>
  <c r="F53" i="44" s="1"/>
  <c r="G54" i="44" s="1"/>
  <c r="H55" i="44" s="1"/>
  <c r="I56" i="44" s="1"/>
  <c r="J57" i="44" s="1"/>
  <c r="K58" i="44" s="1"/>
  <c r="L59" i="44" s="1"/>
  <c r="M60" i="44" s="1"/>
  <c r="N61" i="44" s="1"/>
  <c r="C49" i="44"/>
  <c r="D50" i="44" s="1"/>
  <c r="E51" i="44" s="1"/>
  <c r="F52" i="44" s="1"/>
  <c r="G53" i="44" s="1"/>
  <c r="H54" i="44" s="1"/>
  <c r="I55" i="44" s="1"/>
  <c r="J56" i="44" s="1"/>
  <c r="K57" i="44" s="1"/>
  <c r="L58" i="44" s="1"/>
  <c r="M59" i="44" s="1"/>
  <c r="N60" i="44" s="1"/>
  <c r="C48" i="44"/>
  <c r="D49" i="44" s="1"/>
  <c r="E50" i="44" s="1"/>
  <c r="F51" i="44" s="1"/>
  <c r="G52" i="44" s="1"/>
  <c r="H53" i="44" s="1"/>
  <c r="I54" i="44" s="1"/>
  <c r="J55" i="44" s="1"/>
  <c r="K56" i="44" s="1"/>
  <c r="L57" i="44" s="1"/>
  <c r="M58" i="44" s="1"/>
  <c r="N59" i="44" s="1"/>
  <c r="C47" i="44"/>
  <c r="D48" i="44" s="1"/>
  <c r="E49" i="44" s="1"/>
  <c r="F50" i="44" s="1"/>
  <c r="G51" i="44" s="1"/>
  <c r="H52" i="44" s="1"/>
  <c r="I53" i="44" s="1"/>
  <c r="J54" i="44" s="1"/>
  <c r="K55" i="44" s="1"/>
  <c r="L56" i="44" s="1"/>
  <c r="M57" i="44" s="1"/>
  <c r="N58" i="44" s="1"/>
  <c r="C46" i="44"/>
  <c r="D47" i="44" s="1"/>
  <c r="E48" i="44" s="1"/>
  <c r="F49" i="44" s="1"/>
  <c r="G50" i="44" s="1"/>
  <c r="H51" i="44" s="1"/>
  <c r="I52" i="44" s="1"/>
  <c r="J53" i="44" s="1"/>
  <c r="K54" i="44" s="1"/>
  <c r="L55" i="44" s="1"/>
  <c r="M56" i="44" s="1"/>
  <c r="N57" i="44" s="1"/>
  <c r="C45" i="44"/>
  <c r="D46" i="44" s="1"/>
  <c r="E47" i="44" s="1"/>
  <c r="F48" i="44" s="1"/>
  <c r="G49" i="44" s="1"/>
  <c r="H50" i="44" s="1"/>
  <c r="I51" i="44" s="1"/>
  <c r="J52" i="44" s="1"/>
  <c r="K53" i="44" s="1"/>
  <c r="L54" i="44" s="1"/>
  <c r="M55" i="44" s="1"/>
  <c r="N56" i="44" s="1"/>
  <c r="C44" i="44"/>
  <c r="D45" i="44" s="1"/>
  <c r="E46" i="44" s="1"/>
  <c r="F47" i="44" s="1"/>
  <c r="G48" i="44" s="1"/>
  <c r="H49" i="44" s="1"/>
  <c r="I50" i="44" s="1"/>
  <c r="J51" i="44" s="1"/>
  <c r="K52" i="44" s="1"/>
  <c r="L53" i="44" s="1"/>
  <c r="M54" i="44" s="1"/>
  <c r="N55" i="44" s="1"/>
  <c r="C43" i="44"/>
  <c r="D44" i="44" s="1"/>
  <c r="E45" i="44" s="1"/>
  <c r="F46" i="44" s="1"/>
  <c r="G47" i="44" s="1"/>
  <c r="H48" i="44" s="1"/>
  <c r="I49" i="44" s="1"/>
  <c r="J50" i="44" s="1"/>
  <c r="K51" i="44" s="1"/>
  <c r="L52" i="44" s="1"/>
  <c r="M53" i="44" s="1"/>
  <c r="N54" i="44" s="1"/>
  <c r="C42" i="44"/>
  <c r="D43" i="44" s="1"/>
  <c r="E44" i="44" s="1"/>
  <c r="F45" i="44" s="1"/>
  <c r="G46" i="44" s="1"/>
  <c r="H47" i="44" s="1"/>
  <c r="I48" i="44" s="1"/>
  <c r="J49" i="44" s="1"/>
  <c r="K50" i="44" s="1"/>
  <c r="L51" i="44" s="1"/>
  <c r="M52" i="44" s="1"/>
  <c r="N53" i="44" s="1"/>
  <c r="C41" i="44"/>
  <c r="D42" i="44" s="1"/>
  <c r="E43" i="44" s="1"/>
  <c r="F44" i="44" s="1"/>
  <c r="G45" i="44" s="1"/>
  <c r="H46" i="44" s="1"/>
  <c r="I47" i="44" s="1"/>
  <c r="J48" i="44" s="1"/>
  <c r="K49" i="44" s="1"/>
  <c r="L50" i="44" s="1"/>
  <c r="M51" i="44" s="1"/>
  <c r="N52" i="44" s="1"/>
  <c r="C40" i="44"/>
  <c r="D41" i="44" s="1"/>
  <c r="E42" i="44" s="1"/>
  <c r="F43" i="44" s="1"/>
  <c r="G44" i="44" s="1"/>
  <c r="H45" i="44" s="1"/>
  <c r="I46" i="44" s="1"/>
  <c r="J47" i="44" s="1"/>
  <c r="K48" i="44" s="1"/>
  <c r="L49" i="44" s="1"/>
  <c r="M50" i="44" s="1"/>
  <c r="N51" i="44" s="1"/>
  <c r="D39" i="44"/>
  <c r="E40" i="44" s="1"/>
  <c r="F41" i="44" s="1"/>
  <c r="G42" i="44" s="1"/>
  <c r="H43" i="44" s="1"/>
  <c r="I44" i="44" s="1"/>
  <c r="J45" i="44" s="1"/>
  <c r="K46" i="44" s="1"/>
  <c r="L47" i="44" s="1"/>
  <c r="M48" i="44" s="1"/>
  <c r="N49" i="44" s="1"/>
  <c r="C39" i="44"/>
  <c r="D40" i="44" s="1"/>
  <c r="E41" i="44" s="1"/>
  <c r="F42" i="44" s="1"/>
  <c r="G43" i="44" s="1"/>
  <c r="H44" i="44" s="1"/>
  <c r="I45" i="44" s="1"/>
  <c r="J46" i="44" s="1"/>
  <c r="K47" i="44" s="1"/>
  <c r="L48" i="44" s="1"/>
  <c r="M49" i="44" s="1"/>
  <c r="N50" i="44" s="1"/>
  <c r="C38" i="44"/>
  <c r="C37" i="44"/>
  <c r="D38" i="44" s="1"/>
  <c r="E39" i="44" s="1"/>
  <c r="F40" i="44" s="1"/>
  <c r="G41" i="44" s="1"/>
  <c r="H42" i="44" s="1"/>
  <c r="I43" i="44" s="1"/>
  <c r="J44" i="44" s="1"/>
  <c r="K45" i="44" s="1"/>
  <c r="L46" i="44" s="1"/>
  <c r="M47" i="44" s="1"/>
  <c r="N48" i="44" s="1"/>
  <c r="C36" i="44"/>
  <c r="D37" i="44" s="1"/>
  <c r="E38" i="44" s="1"/>
  <c r="F39" i="44" s="1"/>
  <c r="G40" i="44" s="1"/>
  <c r="H41" i="44" s="1"/>
  <c r="I42" i="44" s="1"/>
  <c r="J43" i="44" s="1"/>
  <c r="K44" i="44" s="1"/>
  <c r="L45" i="44" s="1"/>
  <c r="M46" i="44" s="1"/>
  <c r="N47" i="44" s="1"/>
  <c r="D35" i="44"/>
  <c r="E36" i="44" s="1"/>
  <c r="F37" i="44" s="1"/>
  <c r="G38" i="44" s="1"/>
  <c r="H39" i="44" s="1"/>
  <c r="I40" i="44" s="1"/>
  <c r="J41" i="44" s="1"/>
  <c r="K42" i="44" s="1"/>
  <c r="L43" i="44" s="1"/>
  <c r="M44" i="44" s="1"/>
  <c r="N45" i="44" s="1"/>
  <c r="C35" i="44"/>
  <c r="D36" i="44" s="1"/>
  <c r="E37" i="44" s="1"/>
  <c r="F38" i="44" s="1"/>
  <c r="G39" i="44" s="1"/>
  <c r="H40" i="44" s="1"/>
  <c r="I41" i="44" s="1"/>
  <c r="J42" i="44" s="1"/>
  <c r="K43" i="44" s="1"/>
  <c r="L44" i="44" s="1"/>
  <c r="M45" i="44" s="1"/>
  <c r="N46" i="44" s="1"/>
  <c r="C34" i="44"/>
  <c r="C33" i="44"/>
  <c r="D34" i="44" s="1"/>
  <c r="E35" i="44" s="1"/>
  <c r="F36" i="44" s="1"/>
  <c r="G37" i="44" s="1"/>
  <c r="H38" i="44" s="1"/>
  <c r="I39" i="44" s="1"/>
  <c r="J40" i="44" s="1"/>
  <c r="K41" i="44" s="1"/>
  <c r="L42" i="44" s="1"/>
  <c r="M43" i="44" s="1"/>
  <c r="N44" i="44" s="1"/>
  <c r="C32" i="44"/>
  <c r="D33" i="44" s="1"/>
  <c r="E34" i="44" s="1"/>
  <c r="F35" i="44" s="1"/>
  <c r="G36" i="44" s="1"/>
  <c r="H37" i="44" s="1"/>
  <c r="I38" i="44" s="1"/>
  <c r="J39" i="44" s="1"/>
  <c r="K40" i="44" s="1"/>
  <c r="L41" i="44" s="1"/>
  <c r="M42" i="44" s="1"/>
  <c r="N43" i="44" s="1"/>
  <c r="C31" i="44"/>
  <c r="D32" i="44" s="1"/>
  <c r="E33" i="44" s="1"/>
  <c r="F34" i="44" s="1"/>
  <c r="G35" i="44" s="1"/>
  <c r="H36" i="44" s="1"/>
  <c r="I37" i="44" s="1"/>
  <c r="J38" i="44" s="1"/>
  <c r="K39" i="44" s="1"/>
  <c r="L40" i="44" s="1"/>
  <c r="M41" i="44" s="1"/>
  <c r="N42" i="44" s="1"/>
  <c r="C30" i="44"/>
  <c r="D31" i="44" s="1"/>
  <c r="E32" i="44" s="1"/>
  <c r="F33" i="44" s="1"/>
  <c r="G34" i="44" s="1"/>
  <c r="H35" i="44" s="1"/>
  <c r="I36" i="44" s="1"/>
  <c r="J37" i="44" s="1"/>
  <c r="K38" i="44" s="1"/>
  <c r="L39" i="44" s="1"/>
  <c r="M40" i="44" s="1"/>
  <c r="N41" i="44" s="1"/>
  <c r="C29" i="44"/>
  <c r="D30" i="44" s="1"/>
  <c r="E31" i="44" s="1"/>
  <c r="F32" i="44" s="1"/>
  <c r="G33" i="44" s="1"/>
  <c r="H34" i="44" s="1"/>
  <c r="I35" i="44" s="1"/>
  <c r="J36" i="44" s="1"/>
  <c r="K37" i="44" s="1"/>
  <c r="L38" i="44" s="1"/>
  <c r="M39" i="44" s="1"/>
  <c r="N40" i="44" s="1"/>
  <c r="C28" i="44"/>
  <c r="D29" i="44" s="1"/>
  <c r="E30" i="44" s="1"/>
  <c r="F31" i="44" s="1"/>
  <c r="G32" i="44" s="1"/>
  <c r="H33" i="44" s="1"/>
  <c r="I34" i="44" s="1"/>
  <c r="J35" i="44" s="1"/>
  <c r="K36" i="44" s="1"/>
  <c r="L37" i="44" s="1"/>
  <c r="M38" i="44" s="1"/>
  <c r="N39" i="44" s="1"/>
  <c r="C27" i="44"/>
  <c r="D28" i="44" s="1"/>
  <c r="E29" i="44" s="1"/>
  <c r="F30" i="44" s="1"/>
  <c r="G31" i="44" s="1"/>
  <c r="H32" i="44" s="1"/>
  <c r="I33" i="44" s="1"/>
  <c r="J34" i="44" s="1"/>
  <c r="K35" i="44" s="1"/>
  <c r="L36" i="44" s="1"/>
  <c r="M37" i="44" s="1"/>
  <c r="N38" i="44" s="1"/>
  <c r="C26" i="44"/>
  <c r="D27" i="44" s="1"/>
  <c r="E28" i="44" s="1"/>
  <c r="F29" i="44" s="1"/>
  <c r="G30" i="44" s="1"/>
  <c r="H31" i="44" s="1"/>
  <c r="I32" i="44" s="1"/>
  <c r="J33" i="44" s="1"/>
  <c r="K34" i="44" s="1"/>
  <c r="L35" i="44" s="1"/>
  <c r="M36" i="44" s="1"/>
  <c r="N37" i="44" s="1"/>
  <c r="C25" i="44"/>
  <c r="D26" i="44" s="1"/>
  <c r="E27" i="44" s="1"/>
  <c r="F28" i="44" s="1"/>
  <c r="G29" i="44" s="1"/>
  <c r="H30" i="44" s="1"/>
  <c r="I31" i="44" s="1"/>
  <c r="J32" i="44" s="1"/>
  <c r="K33" i="44" s="1"/>
  <c r="L34" i="44" s="1"/>
  <c r="M35" i="44" s="1"/>
  <c r="N36" i="44" s="1"/>
  <c r="C24" i="44"/>
  <c r="D25" i="44" s="1"/>
  <c r="E26" i="44" s="1"/>
  <c r="F27" i="44" s="1"/>
  <c r="G28" i="44" s="1"/>
  <c r="H29" i="44" s="1"/>
  <c r="I30" i="44" s="1"/>
  <c r="J31" i="44" s="1"/>
  <c r="K32" i="44" s="1"/>
  <c r="L33" i="44" s="1"/>
  <c r="M34" i="44" s="1"/>
  <c r="N35" i="44" s="1"/>
  <c r="C23" i="44"/>
  <c r="D24" i="44" s="1"/>
  <c r="E25" i="44" s="1"/>
  <c r="F26" i="44" s="1"/>
  <c r="G27" i="44" s="1"/>
  <c r="H28" i="44" s="1"/>
  <c r="I29" i="44" s="1"/>
  <c r="J30" i="44" s="1"/>
  <c r="K31" i="44" s="1"/>
  <c r="L32" i="44" s="1"/>
  <c r="M33" i="44" s="1"/>
  <c r="N34" i="44" s="1"/>
  <c r="C22" i="44"/>
  <c r="D23" i="44" s="1"/>
  <c r="E24" i="44" s="1"/>
  <c r="F25" i="44" s="1"/>
  <c r="G26" i="44" s="1"/>
  <c r="H27" i="44" s="1"/>
  <c r="I28" i="44" s="1"/>
  <c r="J29" i="44" s="1"/>
  <c r="K30" i="44" s="1"/>
  <c r="L31" i="44" s="1"/>
  <c r="M32" i="44" s="1"/>
  <c r="N33" i="44" s="1"/>
  <c r="C21" i="44"/>
  <c r="D22" i="44" s="1"/>
  <c r="E23" i="44" s="1"/>
  <c r="F24" i="44" s="1"/>
  <c r="G25" i="44" s="1"/>
  <c r="H26" i="44" s="1"/>
  <c r="I27" i="44" s="1"/>
  <c r="J28" i="44" s="1"/>
  <c r="K29" i="44" s="1"/>
  <c r="L30" i="44" s="1"/>
  <c r="M31" i="44" s="1"/>
  <c r="N32" i="44" s="1"/>
  <c r="C20" i="44"/>
  <c r="D21" i="44" s="1"/>
  <c r="E22" i="44" s="1"/>
  <c r="F23" i="44" s="1"/>
  <c r="G24" i="44" s="1"/>
  <c r="H25" i="44" s="1"/>
  <c r="I26" i="44" s="1"/>
  <c r="J27" i="44" s="1"/>
  <c r="K28" i="44" s="1"/>
  <c r="L29" i="44" s="1"/>
  <c r="M30" i="44" s="1"/>
  <c r="N31" i="44" s="1"/>
  <c r="C19" i="44"/>
  <c r="D20" i="44" s="1"/>
  <c r="E21" i="44" s="1"/>
  <c r="F22" i="44" s="1"/>
  <c r="G23" i="44" s="1"/>
  <c r="H24" i="44" s="1"/>
  <c r="I25" i="44" s="1"/>
  <c r="J26" i="44" s="1"/>
  <c r="K27" i="44" s="1"/>
  <c r="L28" i="44" s="1"/>
  <c r="M29" i="44" s="1"/>
  <c r="N30" i="44" s="1"/>
  <c r="C18" i="44"/>
  <c r="D19" i="44" s="1"/>
  <c r="E20" i="44" s="1"/>
  <c r="F21" i="44" s="1"/>
  <c r="G22" i="44" s="1"/>
  <c r="H23" i="44" s="1"/>
  <c r="I24" i="44" s="1"/>
  <c r="J25" i="44" s="1"/>
  <c r="K26" i="44" s="1"/>
  <c r="L27" i="44" s="1"/>
  <c r="M28" i="44" s="1"/>
  <c r="N29" i="44" s="1"/>
  <c r="Q17" i="44" a="1"/>
  <c r="AC29" i="44" s="1"/>
  <c r="C17" i="44"/>
  <c r="D18" i="44" s="1"/>
  <c r="E19" i="44" s="1"/>
  <c r="F20" i="44" s="1"/>
  <c r="G21" i="44" s="1"/>
  <c r="H22" i="44" s="1"/>
  <c r="I23" i="44" s="1"/>
  <c r="J24" i="44" s="1"/>
  <c r="K25" i="44" s="1"/>
  <c r="L26" i="44" s="1"/>
  <c r="M27" i="44" s="1"/>
  <c r="N28" i="44" s="1"/>
  <c r="C16" i="44"/>
  <c r="D17" i="44" s="1"/>
  <c r="E18" i="44" s="1"/>
  <c r="F19" i="44" s="1"/>
  <c r="G20" i="44" s="1"/>
  <c r="H21" i="44" s="1"/>
  <c r="I22" i="44" s="1"/>
  <c r="J23" i="44" s="1"/>
  <c r="K24" i="44" s="1"/>
  <c r="L25" i="44" s="1"/>
  <c r="M26" i="44" s="1"/>
  <c r="N27" i="44" s="1"/>
  <c r="C15" i="44"/>
  <c r="D16" i="44" s="1"/>
  <c r="E17" i="44" s="1"/>
  <c r="F18" i="44" s="1"/>
  <c r="G19" i="44" s="1"/>
  <c r="H20" i="44" s="1"/>
  <c r="I21" i="44" s="1"/>
  <c r="J22" i="44" s="1"/>
  <c r="K23" i="44" s="1"/>
  <c r="L24" i="44" s="1"/>
  <c r="M25" i="44" s="1"/>
  <c r="N26" i="44" s="1"/>
  <c r="C14" i="44"/>
  <c r="D15" i="44" s="1"/>
  <c r="E16" i="44" s="1"/>
  <c r="F17" i="44" s="1"/>
  <c r="G18" i="44" s="1"/>
  <c r="H19" i="44" s="1"/>
  <c r="I20" i="44" s="1"/>
  <c r="J21" i="44" s="1"/>
  <c r="K22" i="44" s="1"/>
  <c r="L23" i="44" s="1"/>
  <c r="M24" i="44" s="1"/>
  <c r="N25" i="44" s="1"/>
  <c r="C13" i="44"/>
  <c r="D14" i="44" s="1"/>
  <c r="E15" i="44" s="1"/>
  <c r="F16" i="44" s="1"/>
  <c r="G17" i="44" s="1"/>
  <c r="H18" i="44" s="1"/>
  <c r="I19" i="44" s="1"/>
  <c r="J20" i="44" s="1"/>
  <c r="K21" i="44" s="1"/>
  <c r="L22" i="44" s="1"/>
  <c r="M23" i="44" s="1"/>
  <c r="N24" i="44" s="1"/>
  <c r="C12" i="44"/>
  <c r="D13" i="44" s="1"/>
  <c r="E14" i="44" s="1"/>
  <c r="F15" i="44" s="1"/>
  <c r="G16" i="44" s="1"/>
  <c r="H17" i="44" s="1"/>
  <c r="I18" i="44" s="1"/>
  <c r="J19" i="44" s="1"/>
  <c r="K20" i="44" s="1"/>
  <c r="L21" i="44" s="1"/>
  <c r="M22" i="44" s="1"/>
  <c r="N23" i="44" s="1"/>
  <c r="C11" i="44"/>
  <c r="D12" i="44" s="1"/>
  <c r="E13" i="44" s="1"/>
  <c r="F14" i="44" s="1"/>
  <c r="G15" i="44" s="1"/>
  <c r="H16" i="44" s="1"/>
  <c r="I17" i="44" s="1"/>
  <c r="J18" i="44" s="1"/>
  <c r="K19" i="44" s="1"/>
  <c r="L20" i="44" s="1"/>
  <c r="M21" i="44" s="1"/>
  <c r="N22" i="44" s="1"/>
  <c r="C10" i="44"/>
  <c r="D11" i="44" s="1"/>
  <c r="E12" i="44" s="1"/>
  <c r="F13" i="44" s="1"/>
  <c r="G14" i="44" s="1"/>
  <c r="H15" i="44" s="1"/>
  <c r="I16" i="44" s="1"/>
  <c r="J17" i="44" s="1"/>
  <c r="K18" i="44" s="1"/>
  <c r="L19" i="44" s="1"/>
  <c r="M20" i="44" s="1"/>
  <c r="N21" i="44" s="1"/>
  <c r="D9" i="44"/>
  <c r="E10" i="44" s="1"/>
  <c r="F11" i="44" s="1"/>
  <c r="G12" i="44" s="1"/>
  <c r="H13" i="44" s="1"/>
  <c r="I14" i="44" s="1"/>
  <c r="J15" i="44" s="1"/>
  <c r="K16" i="44" s="1"/>
  <c r="L17" i="44" s="1"/>
  <c r="M18" i="44" s="1"/>
  <c r="N19" i="44" s="1"/>
  <c r="C9" i="44"/>
  <c r="D10" i="44" s="1"/>
  <c r="E11" i="44" s="1"/>
  <c r="F12" i="44" s="1"/>
  <c r="G13" i="44" s="1"/>
  <c r="H14" i="44" s="1"/>
  <c r="I15" i="44" s="1"/>
  <c r="J16" i="44" s="1"/>
  <c r="K17" i="44" s="1"/>
  <c r="L18" i="44" s="1"/>
  <c r="M19" i="44" s="1"/>
  <c r="N20" i="44" s="1"/>
  <c r="C8" i="44"/>
  <c r="C7" i="44"/>
  <c r="D8" i="44" s="1"/>
  <c r="E9" i="44" s="1"/>
  <c r="F10" i="44" s="1"/>
  <c r="G11" i="44" s="1"/>
  <c r="H12" i="44" s="1"/>
  <c r="I13" i="44" s="1"/>
  <c r="J14" i="44" s="1"/>
  <c r="K15" i="44" s="1"/>
  <c r="L16" i="44" s="1"/>
  <c r="M17" i="44" s="1"/>
  <c r="N18" i="44" s="1"/>
  <c r="N5" i="44"/>
  <c r="J5" i="44"/>
  <c r="K6" i="44" s="1"/>
  <c r="L7" i="44" s="1"/>
  <c r="M8" i="44" s="1"/>
  <c r="N9" i="44" s="1"/>
  <c r="F5" i="44"/>
  <c r="G6" i="44" s="1"/>
  <c r="H7" i="44" s="1"/>
  <c r="I8" i="44" s="1"/>
  <c r="J9" i="44" s="1"/>
  <c r="K10" i="44" s="1"/>
  <c r="L11" i="44" s="1"/>
  <c r="M12" i="44" s="1"/>
  <c r="N13" i="44" s="1"/>
  <c r="C5" i="44"/>
  <c r="D6" i="44" s="1"/>
  <c r="E7" i="44" s="1"/>
  <c r="F8" i="44" s="1"/>
  <c r="G9" i="44" s="1"/>
  <c r="H10" i="44" s="1"/>
  <c r="I11" i="44" s="1"/>
  <c r="J12" i="44" s="1"/>
  <c r="K13" i="44" s="1"/>
  <c r="L14" i="44" s="1"/>
  <c r="M15" i="44" s="1"/>
  <c r="N16" i="44" s="1"/>
  <c r="C6" i="44"/>
  <c r="D7" i="44" s="1"/>
  <c r="E8" i="44" s="1"/>
  <c r="F9" i="44" s="1"/>
  <c r="G10" i="44" s="1"/>
  <c r="H11" i="44" s="1"/>
  <c r="I12" i="44" s="1"/>
  <c r="J13" i="44" s="1"/>
  <c r="K14" i="44" s="1"/>
  <c r="L15" i="44" s="1"/>
  <c r="M16" i="44" s="1"/>
  <c r="N17" i="44" s="1"/>
  <c r="M4" i="44"/>
  <c r="K4" i="44"/>
  <c r="L5" i="44" s="1"/>
  <c r="M6" i="44" s="1"/>
  <c r="N7" i="44" s="1"/>
  <c r="I4" i="44"/>
  <c r="G4" i="44"/>
  <c r="H5" i="44" s="1"/>
  <c r="I6" i="44" s="1"/>
  <c r="J7" i="44" s="1"/>
  <c r="K8" i="44" s="1"/>
  <c r="L9" i="44" s="1"/>
  <c r="M10" i="44" s="1"/>
  <c r="N11" i="44" s="1"/>
  <c r="E4" i="44"/>
  <c r="C4" i="44"/>
  <c r="D5" i="44" s="1"/>
  <c r="E6" i="44" s="1"/>
  <c r="F7" i="44" s="1"/>
  <c r="G8" i="44" s="1"/>
  <c r="H9" i="44" s="1"/>
  <c r="I10" i="44" s="1"/>
  <c r="J11" i="44" s="1"/>
  <c r="K12" i="44" s="1"/>
  <c r="L13" i="44" s="1"/>
  <c r="M14" i="44" s="1"/>
  <c r="N15" i="44" s="1"/>
  <c r="N3" i="44"/>
  <c r="M3" i="44"/>
  <c r="N4" i="44" s="1"/>
  <c r="L3" i="44"/>
  <c r="K3" i="44"/>
  <c r="L4" i="44" s="1"/>
  <c r="M5" i="44" s="1"/>
  <c r="N6" i="44" s="1"/>
  <c r="J3" i="44"/>
  <c r="I3" i="44"/>
  <c r="J4" i="44" s="1"/>
  <c r="K5" i="44" s="1"/>
  <c r="L6" i="44" s="1"/>
  <c r="M7" i="44" s="1"/>
  <c r="N8" i="44" s="1"/>
  <c r="H3" i="44"/>
  <c r="G3" i="44"/>
  <c r="H4" i="44" s="1"/>
  <c r="I5" i="44" s="1"/>
  <c r="J6" i="44" s="1"/>
  <c r="K7" i="44" s="1"/>
  <c r="L8" i="44" s="1"/>
  <c r="M9" i="44" s="1"/>
  <c r="N10" i="44" s="1"/>
  <c r="F3" i="44"/>
  <c r="E3" i="44"/>
  <c r="F4" i="44" s="1"/>
  <c r="G5" i="44" s="1"/>
  <c r="H6" i="44" s="1"/>
  <c r="I7" i="44" s="1"/>
  <c r="J8" i="44" s="1"/>
  <c r="K9" i="44" s="1"/>
  <c r="L10" i="44" s="1"/>
  <c r="M11" i="44" s="1"/>
  <c r="N12" i="44" s="1"/>
  <c r="D3" i="44"/>
  <c r="C3" i="44"/>
  <c r="D4" i="44" s="1"/>
  <c r="E5" i="44" s="1"/>
  <c r="F6" i="44" s="1"/>
  <c r="G7" i="44" s="1"/>
  <c r="H8" i="44" s="1"/>
  <c r="I9" i="44" s="1"/>
  <c r="J10" i="44" s="1"/>
  <c r="K11" i="44" s="1"/>
  <c r="L12" i="44" s="1"/>
  <c r="M13" i="44" s="1"/>
  <c r="N14" i="44" s="1"/>
  <c r="C739" i="43"/>
  <c r="C735" i="43"/>
  <c r="D736" i="43" s="1"/>
  <c r="E737" i="43" s="1"/>
  <c r="F738" i="43" s="1"/>
  <c r="G739" i="43" s="1"/>
  <c r="H740" i="43" s="1"/>
  <c r="I741" i="43" s="1"/>
  <c r="J742" i="43" s="1"/>
  <c r="K743" i="43" s="1"/>
  <c r="L744" i="43" s="1"/>
  <c r="M745" i="43" s="1"/>
  <c r="N746" i="43" s="1"/>
  <c r="C731" i="43"/>
  <c r="D732" i="43" s="1"/>
  <c r="E733" i="43" s="1"/>
  <c r="F734" i="43" s="1"/>
  <c r="G735" i="43" s="1"/>
  <c r="H736" i="43" s="1"/>
  <c r="I737" i="43" s="1"/>
  <c r="J738" i="43" s="1"/>
  <c r="K739" i="43" s="1"/>
  <c r="L740" i="43" s="1"/>
  <c r="M741" i="43" s="1"/>
  <c r="N742" i="43" s="1"/>
  <c r="C727" i="43"/>
  <c r="D728" i="43" s="1"/>
  <c r="E729" i="43" s="1"/>
  <c r="F730" i="43" s="1"/>
  <c r="G731" i="43" s="1"/>
  <c r="H732" i="43" s="1"/>
  <c r="I733" i="43" s="1"/>
  <c r="J734" i="43" s="1"/>
  <c r="K735" i="43" s="1"/>
  <c r="L736" i="43" s="1"/>
  <c r="M737" i="43" s="1"/>
  <c r="N738" i="43" s="1"/>
  <c r="C723" i="43"/>
  <c r="D724" i="43" s="1"/>
  <c r="E725" i="43" s="1"/>
  <c r="F726" i="43" s="1"/>
  <c r="G727" i="43" s="1"/>
  <c r="H728" i="43" s="1"/>
  <c r="I729" i="43" s="1"/>
  <c r="J730" i="43" s="1"/>
  <c r="K731" i="43" s="1"/>
  <c r="L732" i="43" s="1"/>
  <c r="M733" i="43" s="1"/>
  <c r="N734" i="43" s="1"/>
  <c r="C719" i="43"/>
  <c r="D720" i="43" s="1"/>
  <c r="E721" i="43" s="1"/>
  <c r="F722" i="43" s="1"/>
  <c r="G723" i="43" s="1"/>
  <c r="H724" i="43" s="1"/>
  <c r="I725" i="43" s="1"/>
  <c r="J726" i="43" s="1"/>
  <c r="K727" i="43" s="1"/>
  <c r="L728" i="43" s="1"/>
  <c r="M729" i="43" s="1"/>
  <c r="N730" i="43" s="1"/>
  <c r="C715" i="43"/>
  <c r="D716" i="43" s="1"/>
  <c r="E717" i="43" s="1"/>
  <c r="F718" i="43" s="1"/>
  <c r="G719" i="43" s="1"/>
  <c r="H720" i="43" s="1"/>
  <c r="I721" i="43" s="1"/>
  <c r="J722" i="43" s="1"/>
  <c r="K723" i="43" s="1"/>
  <c r="L724" i="43" s="1"/>
  <c r="M725" i="43" s="1"/>
  <c r="N726" i="43" s="1"/>
  <c r="C711" i="43"/>
  <c r="D712" i="43" s="1"/>
  <c r="E713" i="43" s="1"/>
  <c r="F714" i="43" s="1"/>
  <c r="G715" i="43" s="1"/>
  <c r="H716" i="43" s="1"/>
  <c r="I717" i="43" s="1"/>
  <c r="J718" i="43" s="1"/>
  <c r="K719" i="43" s="1"/>
  <c r="L720" i="43" s="1"/>
  <c r="M721" i="43" s="1"/>
  <c r="N722" i="43" s="1"/>
  <c r="C707" i="43"/>
  <c r="D708" i="43" s="1"/>
  <c r="E709" i="43" s="1"/>
  <c r="F710" i="43" s="1"/>
  <c r="G711" i="43" s="1"/>
  <c r="H712" i="43" s="1"/>
  <c r="I713" i="43" s="1"/>
  <c r="J714" i="43" s="1"/>
  <c r="K715" i="43" s="1"/>
  <c r="L716" i="43" s="1"/>
  <c r="M717" i="43" s="1"/>
  <c r="N718" i="43" s="1"/>
  <c r="C703" i="43"/>
  <c r="D704" i="43" s="1"/>
  <c r="E705" i="43" s="1"/>
  <c r="F706" i="43" s="1"/>
  <c r="G707" i="43" s="1"/>
  <c r="H708" i="43" s="1"/>
  <c r="I709" i="43" s="1"/>
  <c r="J710" i="43" s="1"/>
  <c r="K711" i="43" s="1"/>
  <c r="L712" i="43" s="1"/>
  <c r="M713" i="43" s="1"/>
  <c r="N714" i="43" s="1"/>
  <c r="C699" i="43"/>
  <c r="D700" i="43" s="1"/>
  <c r="E701" i="43" s="1"/>
  <c r="F702" i="43" s="1"/>
  <c r="G703" i="43" s="1"/>
  <c r="H704" i="43" s="1"/>
  <c r="I705" i="43" s="1"/>
  <c r="J706" i="43" s="1"/>
  <c r="K707" i="43" s="1"/>
  <c r="L708" i="43" s="1"/>
  <c r="M709" i="43" s="1"/>
  <c r="N710" i="43" s="1"/>
  <c r="C695" i="43"/>
  <c r="D696" i="43" s="1"/>
  <c r="E697" i="43" s="1"/>
  <c r="F698" i="43" s="1"/>
  <c r="G699" i="43" s="1"/>
  <c r="H700" i="43" s="1"/>
  <c r="I701" i="43" s="1"/>
  <c r="J702" i="43" s="1"/>
  <c r="K703" i="43" s="1"/>
  <c r="L704" i="43" s="1"/>
  <c r="M705" i="43" s="1"/>
  <c r="N706" i="43" s="1"/>
  <c r="C691" i="43"/>
  <c r="D692" i="43" s="1"/>
  <c r="E693" i="43" s="1"/>
  <c r="F694" i="43" s="1"/>
  <c r="G695" i="43" s="1"/>
  <c r="H696" i="43" s="1"/>
  <c r="I697" i="43" s="1"/>
  <c r="J698" i="43" s="1"/>
  <c r="K699" i="43" s="1"/>
  <c r="L700" i="43" s="1"/>
  <c r="M701" i="43" s="1"/>
  <c r="N702" i="43" s="1"/>
  <c r="C687" i="43"/>
  <c r="D688" i="43" s="1"/>
  <c r="E689" i="43" s="1"/>
  <c r="F690" i="43" s="1"/>
  <c r="G691" i="43" s="1"/>
  <c r="H692" i="43" s="1"/>
  <c r="I693" i="43" s="1"/>
  <c r="J694" i="43" s="1"/>
  <c r="K695" i="43" s="1"/>
  <c r="L696" i="43" s="1"/>
  <c r="M697" i="43" s="1"/>
  <c r="N698" i="43" s="1"/>
  <c r="C683" i="43"/>
  <c r="D684" i="43" s="1"/>
  <c r="E685" i="43" s="1"/>
  <c r="F686" i="43" s="1"/>
  <c r="G687" i="43" s="1"/>
  <c r="H688" i="43" s="1"/>
  <c r="I689" i="43" s="1"/>
  <c r="J690" i="43" s="1"/>
  <c r="K691" i="43" s="1"/>
  <c r="L692" i="43" s="1"/>
  <c r="M693" i="43" s="1"/>
  <c r="N694" i="43" s="1"/>
  <c r="C679" i="43"/>
  <c r="D680" i="43" s="1"/>
  <c r="E681" i="43" s="1"/>
  <c r="F682" i="43" s="1"/>
  <c r="G683" i="43" s="1"/>
  <c r="H684" i="43" s="1"/>
  <c r="I685" i="43" s="1"/>
  <c r="J686" i="43" s="1"/>
  <c r="K687" i="43" s="1"/>
  <c r="L688" i="43" s="1"/>
  <c r="M689" i="43" s="1"/>
  <c r="N690" i="43" s="1"/>
  <c r="C675" i="43"/>
  <c r="D676" i="43" s="1"/>
  <c r="E677" i="43" s="1"/>
  <c r="F678" i="43" s="1"/>
  <c r="G679" i="43" s="1"/>
  <c r="H680" i="43" s="1"/>
  <c r="I681" i="43" s="1"/>
  <c r="J682" i="43" s="1"/>
  <c r="K683" i="43" s="1"/>
  <c r="L684" i="43" s="1"/>
  <c r="M685" i="43" s="1"/>
  <c r="N686" i="43" s="1"/>
  <c r="C671" i="43"/>
  <c r="D672" i="43" s="1"/>
  <c r="E673" i="43" s="1"/>
  <c r="F674" i="43" s="1"/>
  <c r="G675" i="43" s="1"/>
  <c r="H676" i="43" s="1"/>
  <c r="I677" i="43" s="1"/>
  <c r="J678" i="43" s="1"/>
  <c r="K679" i="43" s="1"/>
  <c r="L680" i="43" s="1"/>
  <c r="M681" i="43" s="1"/>
  <c r="N682" i="43" s="1"/>
  <c r="C667" i="43"/>
  <c r="D668" i="43" s="1"/>
  <c r="E669" i="43" s="1"/>
  <c r="F670" i="43" s="1"/>
  <c r="G671" i="43" s="1"/>
  <c r="H672" i="43" s="1"/>
  <c r="I673" i="43" s="1"/>
  <c r="J674" i="43" s="1"/>
  <c r="K675" i="43" s="1"/>
  <c r="L676" i="43" s="1"/>
  <c r="M677" i="43" s="1"/>
  <c r="N678" i="43" s="1"/>
  <c r="C663" i="43"/>
  <c r="D664" i="43" s="1"/>
  <c r="E665" i="43" s="1"/>
  <c r="F666" i="43" s="1"/>
  <c r="G667" i="43" s="1"/>
  <c r="H668" i="43" s="1"/>
  <c r="I669" i="43" s="1"/>
  <c r="J670" i="43" s="1"/>
  <c r="K671" i="43" s="1"/>
  <c r="L672" i="43" s="1"/>
  <c r="M673" i="43" s="1"/>
  <c r="N674" i="43" s="1"/>
  <c r="C659" i="43"/>
  <c r="D660" i="43" s="1"/>
  <c r="E661" i="43" s="1"/>
  <c r="F662" i="43" s="1"/>
  <c r="G663" i="43" s="1"/>
  <c r="H664" i="43" s="1"/>
  <c r="I665" i="43" s="1"/>
  <c r="J666" i="43" s="1"/>
  <c r="K667" i="43" s="1"/>
  <c r="L668" i="43" s="1"/>
  <c r="M669" i="43" s="1"/>
  <c r="N670" i="43" s="1"/>
  <c r="C655" i="43"/>
  <c r="D656" i="43" s="1"/>
  <c r="E657" i="43" s="1"/>
  <c r="F658" i="43" s="1"/>
  <c r="G659" i="43" s="1"/>
  <c r="H660" i="43" s="1"/>
  <c r="I661" i="43" s="1"/>
  <c r="J662" i="43" s="1"/>
  <c r="K663" i="43" s="1"/>
  <c r="L664" i="43" s="1"/>
  <c r="M665" i="43" s="1"/>
  <c r="N666" i="43" s="1"/>
  <c r="C651" i="43"/>
  <c r="D652" i="43" s="1"/>
  <c r="E653" i="43" s="1"/>
  <c r="F654" i="43" s="1"/>
  <c r="G655" i="43" s="1"/>
  <c r="H656" i="43" s="1"/>
  <c r="I657" i="43" s="1"/>
  <c r="J658" i="43" s="1"/>
  <c r="K659" i="43" s="1"/>
  <c r="L660" i="43" s="1"/>
  <c r="M661" i="43" s="1"/>
  <c r="N662" i="43" s="1"/>
  <c r="C647" i="43"/>
  <c r="D648" i="43" s="1"/>
  <c r="E649" i="43" s="1"/>
  <c r="F650" i="43" s="1"/>
  <c r="G651" i="43" s="1"/>
  <c r="H652" i="43" s="1"/>
  <c r="I653" i="43" s="1"/>
  <c r="J654" i="43" s="1"/>
  <c r="K655" i="43" s="1"/>
  <c r="L656" i="43" s="1"/>
  <c r="M657" i="43" s="1"/>
  <c r="N658" i="43" s="1"/>
  <c r="C643" i="43"/>
  <c r="D644" i="43" s="1"/>
  <c r="E645" i="43" s="1"/>
  <c r="F646" i="43" s="1"/>
  <c r="G647" i="43" s="1"/>
  <c r="H648" i="43" s="1"/>
  <c r="I649" i="43" s="1"/>
  <c r="J650" i="43" s="1"/>
  <c r="K651" i="43" s="1"/>
  <c r="L652" i="43" s="1"/>
  <c r="M653" i="43" s="1"/>
  <c r="N654" i="43" s="1"/>
  <c r="C639" i="43"/>
  <c r="D640" i="43" s="1"/>
  <c r="E641" i="43" s="1"/>
  <c r="F642" i="43" s="1"/>
  <c r="G643" i="43" s="1"/>
  <c r="H644" i="43" s="1"/>
  <c r="I645" i="43" s="1"/>
  <c r="J646" i="43" s="1"/>
  <c r="K647" i="43" s="1"/>
  <c r="L648" i="43" s="1"/>
  <c r="M649" i="43" s="1"/>
  <c r="N650" i="43" s="1"/>
  <c r="C635" i="43"/>
  <c r="D636" i="43" s="1"/>
  <c r="E637" i="43" s="1"/>
  <c r="F638" i="43" s="1"/>
  <c r="G639" i="43" s="1"/>
  <c r="H640" i="43" s="1"/>
  <c r="I641" i="43" s="1"/>
  <c r="J642" i="43" s="1"/>
  <c r="K643" i="43" s="1"/>
  <c r="L644" i="43" s="1"/>
  <c r="M645" i="43" s="1"/>
  <c r="N646" i="43" s="1"/>
  <c r="C631" i="43"/>
  <c r="D632" i="43" s="1"/>
  <c r="E633" i="43" s="1"/>
  <c r="F634" i="43" s="1"/>
  <c r="G635" i="43" s="1"/>
  <c r="H636" i="43" s="1"/>
  <c r="I637" i="43" s="1"/>
  <c r="J638" i="43" s="1"/>
  <c r="K639" i="43" s="1"/>
  <c r="L640" i="43" s="1"/>
  <c r="M641" i="43" s="1"/>
  <c r="N642" i="43" s="1"/>
  <c r="C627" i="43"/>
  <c r="D628" i="43" s="1"/>
  <c r="E629" i="43" s="1"/>
  <c r="F630" i="43" s="1"/>
  <c r="G631" i="43" s="1"/>
  <c r="H632" i="43" s="1"/>
  <c r="I633" i="43" s="1"/>
  <c r="J634" i="43" s="1"/>
  <c r="K635" i="43" s="1"/>
  <c r="L636" i="43" s="1"/>
  <c r="M637" i="43" s="1"/>
  <c r="N638" i="43" s="1"/>
  <c r="C623" i="43"/>
  <c r="D624" i="43" s="1"/>
  <c r="E625" i="43" s="1"/>
  <c r="F626" i="43" s="1"/>
  <c r="G627" i="43" s="1"/>
  <c r="H628" i="43" s="1"/>
  <c r="I629" i="43" s="1"/>
  <c r="J630" i="43" s="1"/>
  <c r="K631" i="43" s="1"/>
  <c r="L632" i="43" s="1"/>
  <c r="M633" i="43" s="1"/>
  <c r="N634" i="43" s="1"/>
  <c r="C619" i="43"/>
  <c r="D620" i="43" s="1"/>
  <c r="E621" i="43" s="1"/>
  <c r="F622" i="43" s="1"/>
  <c r="G623" i="43" s="1"/>
  <c r="H624" i="43" s="1"/>
  <c r="I625" i="43" s="1"/>
  <c r="J626" i="43" s="1"/>
  <c r="K627" i="43" s="1"/>
  <c r="L628" i="43" s="1"/>
  <c r="M629" i="43" s="1"/>
  <c r="N630" i="43" s="1"/>
  <c r="C615" i="43"/>
  <c r="D616" i="43" s="1"/>
  <c r="E617" i="43" s="1"/>
  <c r="F618" i="43" s="1"/>
  <c r="G619" i="43" s="1"/>
  <c r="H620" i="43" s="1"/>
  <c r="I621" i="43" s="1"/>
  <c r="J622" i="43" s="1"/>
  <c r="K623" i="43" s="1"/>
  <c r="L624" i="43" s="1"/>
  <c r="M625" i="43" s="1"/>
  <c r="N626" i="43" s="1"/>
  <c r="C611" i="43"/>
  <c r="D612" i="43" s="1"/>
  <c r="E613" i="43" s="1"/>
  <c r="F614" i="43" s="1"/>
  <c r="G615" i="43" s="1"/>
  <c r="H616" i="43" s="1"/>
  <c r="I617" i="43" s="1"/>
  <c r="J618" i="43" s="1"/>
  <c r="K619" i="43" s="1"/>
  <c r="L620" i="43" s="1"/>
  <c r="M621" i="43" s="1"/>
  <c r="N622" i="43" s="1"/>
  <c r="C607" i="43"/>
  <c r="D608" i="43" s="1"/>
  <c r="E609" i="43" s="1"/>
  <c r="F610" i="43" s="1"/>
  <c r="G611" i="43" s="1"/>
  <c r="H612" i="43" s="1"/>
  <c r="I613" i="43" s="1"/>
  <c r="J614" i="43" s="1"/>
  <c r="K615" i="43" s="1"/>
  <c r="L616" i="43" s="1"/>
  <c r="M617" i="43" s="1"/>
  <c r="N618" i="43" s="1"/>
  <c r="C603" i="43"/>
  <c r="D604" i="43" s="1"/>
  <c r="E605" i="43" s="1"/>
  <c r="F606" i="43" s="1"/>
  <c r="G607" i="43" s="1"/>
  <c r="H608" i="43" s="1"/>
  <c r="I609" i="43" s="1"/>
  <c r="J610" i="43" s="1"/>
  <c r="K611" i="43" s="1"/>
  <c r="L612" i="43" s="1"/>
  <c r="M613" i="43" s="1"/>
  <c r="N614" i="43" s="1"/>
  <c r="C599" i="43"/>
  <c r="D600" i="43" s="1"/>
  <c r="E601" i="43" s="1"/>
  <c r="F602" i="43" s="1"/>
  <c r="G603" i="43" s="1"/>
  <c r="H604" i="43" s="1"/>
  <c r="I605" i="43" s="1"/>
  <c r="J606" i="43" s="1"/>
  <c r="K607" i="43" s="1"/>
  <c r="L608" i="43" s="1"/>
  <c r="M609" i="43" s="1"/>
  <c r="N610" i="43" s="1"/>
  <c r="C595" i="43"/>
  <c r="D596" i="43" s="1"/>
  <c r="E597" i="43" s="1"/>
  <c r="F598" i="43" s="1"/>
  <c r="G599" i="43" s="1"/>
  <c r="H600" i="43" s="1"/>
  <c r="I601" i="43" s="1"/>
  <c r="J602" i="43" s="1"/>
  <c r="K603" i="43" s="1"/>
  <c r="L604" i="43" s="1"/>
  <c r="M605" i="43" s="1"/>
  <c r="N606" i="43" s="1"/>
  <c r="C591" i="43"/>
  <c r="D592" i="43" s="1"/>
  <c r="E593" i="43" s="1"/>
  <c r="F594" i="43" s="1"/>
  <c r="G595" i="43" s="1"/>
  <c r="H596" i="43" s="1"/>
  <c r="I597" i="43" s="1"/>
  <c r="J598" i="43" s="1"/>
  <c r="K599" i="43" s="1"/>
  <c r="L600" i="43" s="1"/>
  <c r="M601" i="43" s="1"/>
  <c r="N602" i="43" s="1"/>
  <c r="C587" i="43"/>
  <c r="D588" i="43" s="1"/>
  <c r="E589" i="43" s="1"/>
  <c r="F590" i="43" s="1"/>
  <c r="G591" i="43" s="1"/>
  <c r="H592" i="43" s="1"/>
  <c r="I593" i="43" s="1"/>
  <c r="J594" i="43" s="1"/>
  <c r="K595" i="43" s="1"/>
  <c r="L596" i="43" s="1"/>
  <c r="M597" i="43" s="1"/>
  <c r="N598" i="43" s="1"/>
  <c r="C583" i="43"/>
  <c r="D584" i="43" s="1"/>
  <c r="E585" i="43" s="1"/>
  <c r="F586" i="43" s="1"/>
  <c r="G587" i="43" s="1"/>
  <c r="H588" i="43" s="1"/>
  <c r="I589" i="43" s="1"/>
  <c r="J590" i="43" s="1"/>
  <c r="K591" i="43" s="1"/>
  <c r="L592" i="43" s="1"/>
  <c r="M593" i="43" s="1"/>
  <c r="N594" i="43" s="1"/>
  <c r="C579" i="43"/>
  <c r="D580" i="43" s="1"/>
  <c r="E581" i="43" s="1"/>
  <c r="F582" i="43" s="1"/>
  <c r="G583" i="43" s="1"/>
  <c r="H584" i="43" s="1"/>
  <c r="I585" i="43" s="1"/>
  <c r="J586" i="43" s="1"/>
  <c r="K587" i="43" s="1"/>
  <c r="L588" i="43" s="1"/>
  <c r="M589" i="43" s="1"/>
  <c r="N590" i="43" s="1"/>
  <c r="C575" i="43"/>
  <c r="D576" i="43" s="1"/>
  <c r="E577" i="43" s="1"/>
  <c r="F578" i="43" s="1"/>
  <c r="G579" i="43" s="1"/>
  <c r="H580" i="43" s="1"/>
  <c r="I581" i="43" s="1"/>
  <c r="J582" i="43" s="1"/>
  <c r="K583" i="43" s="1"/>
  <c r="L584" i="43" s="1"/>
  <c r="M585" i="43" s="1"/>
  <c r="N586" i="43" s="1"/>
  <c r="C571" i="43"/>
  <c r="D572" i="43" s="1"/>
  <c r="E573" i="43" s="1"/>
  <c r="F574" i="43" s="1"/>
  <c r="G575" i="43" s="1"/>
  <c r="H576" i="43" s="1"/>
  <c r="I577" i="43" s="1"/>
  <c r="J578" i="43" s="1"/>
  <c r="K579" i="43" s="1"/>
  <c r="L580" i="43" s="1"/>
  <c r="M581" i="43" s="1"/>
  <c r="N582" i="43" s="1"/>
  <c r="C567" i="43"/>
  <c r="D568" i="43" s="1"/>
  <c r="E569" i="43" s="1"/>
  <c r="F570" i="43" s="1"/>
  <c r="G571" i="43" s="1"/>
  <c r="H572" i="43" s="1"/>
  <c r="I573" i="43" s="1"/>
  <c r="J574" i="43" s="1"/>
  <c r="K575" i="43" s="1"/>
  <c r="L576" i="43" s="1"/>
  <c r="M577" i="43" s="1"/>
  <c r="N578" i="43" s="1"/>
  <c r="C563" i="43"/>
  <c r="D564" i="43" s="1"/>
  <c r="E565" i="43" s="1"/>
  <c r="F566" i="43" s="1"/>
  <c r="G567" i="43" s="1"/>
  <c r="H568" i="43" s="1"/>
  <c r="I569" i="43" s="1"/>
  <c r="J570" i="43" s="1"/>
  <c r="K571" i="43" s="1"/>
  <c r="L572" i="43" s="1"/>
  <c r="M573" i="43" s="1"/>
  <c r="N574" i="43" s="1"/>
  <c r="C559" i="43"/>
  <c r="D560" i="43" s="1"/>
  <c r="E561" i="43" s="1"/>
  <c r="F562" i="43" s="1"/>
  <c r="G563" i="43" s="1"/>
  <c r="H564" i="43" s="1"/>
  <c r="I565" i="43" s="1"/>
  <c r="J566" i="43" s="1"/>
  <c r="K567" i="43" s="1"/>
  <c r="L568" i="43" s="1"/>
  <c r="M569" i="43" s="1"/>
  <c r="N570" i="43" s="1"/>
  <c r="C555" i="43"/>
  <c r="D556" i="43" s="1"/>
  <c r="E557" i="43" s="1"/>
  <c r="F558" i="43" s="1"/>
  <c r="G559" i="43" s="1"/>
  <c r="H560" i="43" s="1"/>
  <c r="I561" i="43" s="1"/>
  <c r="J562" i="43" s="1"/>
  <c r="K563" i="43" s="1"/>
  <c r="L564" i="43" s="1"/>
  <c r="M565" i="43" s="1"/>
  <c r="N566" i="43" s="1"/>
  <c r="C551" i="43"/>
  <c r="D552" i="43" s="1"/>
  <c r="E553" i="43" s="1"/>
  <c r="F554" i="43" s="1"/>
  <c r="G555" i="43" s="1"/>
  <c r="H556" i="43" s="1"/>
  <c r="I557" i="43" s="1"/>
  <c r="J558" i="43" s="1"/>
  <c r="K559" i="43" s="1"/>
  <c r="L560" i="43" s="1"/>
  <c r="M561" i="43" s="1"/>
  <c r="N562" i="43" s="1"/>
  <c r="C547" i="43"/>
  <c r="D548" i="43" s="1"/>
  <c r="E549" i="43" s="1"/>
  <c r="F550" i="43" s="1"/>
  <c r="G551" i="43" s="1"/>
  <c r="H552" i="43" s="1"/>
  <c r="I553" i="43" s="1"/>
  <c r="J554" i="43" s="1"/>
  <c r="K555" i="43" s="1"/>
  <c r="L556" i="43" s="1"/>
  <c r="M557" i="43" s="1"/>
  <c r="N558" i="43" s="1"/>
  <c r="C543" i="43"/>
  <c r="D544" i="43" s="1"/>
  <c r="E545" i="43" s="1"/>
  <c r="F546" i="43" s="1"/>
  <c r="G547" i="43" s="1"/>
  <c r="H548" i="43" s="1"/>
  <c r="I549" i="43" s="1"/>
  <c r="J550" i="43" s="1"/>
  <c r="K551" i="43" s="1"/>
  <c r="L552" i="43" s="1"/>
  <c r="M553" i="43" s="1"/>
  <c r="N554" i="43" s="1"/>
  <c r="C539" i="43"/>
  <c r="D540" i="43" s="1"/>
  <c r="E541" i="43" s="1"/>
  <c r="F542" i="43" s="1"/>
  <c r="G543" i="43" s="1"/>
  <c r="H544" i="43" s="1"/>
  <c r="I545" i="43" s="1"/>
  <c r="J546" i="43" s="1"/>
  <c r="K547" i="43" s="1"/>
  <c r="L548" i="43" s="1"/>
  <c r="M549" i="43" s="1"/>
  <c r="N550" i="43" s="1"/>
  <c r="C535" i="43"/>
  <c r="D536" i="43" s="1"/>
  <c r="E537" i="43" s="1"/>
  <c r="F538" i="43" s="1"/>
  <c r="G539" i="43" s="1"/>
  <c r="H540" i="43" s="1"/>
  <c r="I541" i="43" s="1"/>
  <c r="J542" i="43" s="1"/>
  <c r="K543" i="43" s="1"/>
  <c r="L544" i="43" s="1"/>
  <c r="M545" i="43" s="1"/>
  <c r="N546" i="43" s="1"/>
  <c r="C531" i="43"/>
  <c r="D532" i="43" s="1"/>
  <c r="E533" i="43" s="1"/>
  <c r="F534" i="43" s="1"/>
  <c r="G535" i="43" s="1"/>
  <c r="H536" i="43" s="1"/>
  <c r="I537" i="43" s="1"/>
  <c r="J538" i="43" s="1"/>
  <c r="K539" i="43" s="1"/>
  <c r="L540" i="43" s="1"/>
  <c r="M541" i="43" s="1"/>
  <c r="N542" i="43" s="1"/>
  <c r="C527" i="43"/>
  <c r="D528" i="43" s="1"/>
  <c r="E529" i="43" s="1"/>
  <c r="F530" i="43" s="1"/>
  <c r="G531" i="43" s="1"/>
  <c r="H532" i="43" s="1"/>
  <c r="I533" i="43" s="1"/>
  <c r="J534" i="43" s="1"/>
  <c r="K535" i="43" s="1"/>
  <c r="L536" i="43" s="1"/>
  <c r="M537" i="43" s="1"/>
  <c r="N538" i="43" s="1"/>
  <c r="C523" i="43"/>
  <c r="D524" i="43" s="1"/>
  <c r="E525" i="43" s="1"/>
  <c r="F526" i="43" s="1"/>
  <c r="G527" i="43" s="1"/>
  <c r="H528" i="43" s="1"/>
  <c r="I529" i="43" s="1"/>
  <c r="J530" i="43" s="1"/>
  <c r="K531" i="43" s="1"/>
  <c r="L532" i="43" s="1"/>
  <c r="M533" i="43" s="1"/>
  <c r="N534" i="43" s="1"/>
  <c r="C519" i="43"/>
  <c r="D520" i="43" s="1"/>
  <c r="E521" i="43" s="1"/>
  <c r="F522" i="43" s="1"/>
  <c r="G523" i="43" s="1"/>
  <c r="H524" i="43" s="1"/>
  <c r="I525" i="43" s="1"/>
  <c r="J526" i="43" s="1"/>
  <c r="K527" i="43" s="1"/>
  <c r="L528" i="43" s="1"/>
  <c r="M529" i="43" s="1"/>
  <c r="N530" i="43" s="1"/>
  <c r="C515" i="43"/>
  <c r="D516" i="43" s="1"/>
  <c r="E517" i="43" s="1"/>
  <c r="F518" i="43" s="1"/>
  <c r="G519" i="43" s="1"/>
  <c r="H520" i="43" s="1"/>
  <c r="I521" i="43" s="1"/>
  <c r="J522" i="43" s="1"/>
  <c r="K523" i="43" s="1"/>
  <c r="L524" i="43" s="1"/>
  <c r="M525" i="43" s="1"/>
  <c r="N526" i="43" s="1"/>
  <c r="C511" i="43"/>
  <c r="D512" i="43" s="1"/>
  <c r="E513" i="43" s="1"/>
  <c r="F514" i="43" s="1"/>
  <c r="G515" i="43" s="1"/>
  <c r="H516" i="43" s="1"/>
  <c r="I517" i="43" s="1"/>
  <c r="J518" i="43" s="1"/>
  <c r="K519" i="43" s="1"/>
  <c r="L520" i="43" s="1"/>
  <c r="M521" i="43" s="1"/>
  <c r="N522" i="43" s="1"/>
  <c r="C507" i="43"/>
  <c r="D508" i="43" s="1"/>
  <c r="E509" i="43" s="1"/>
  <c r="F510" i="43" s="1"/>
  <c r="G511" i="43" s="1"/>
  <c r="H512" i="43" s="1"/>
  <c r="I513" i="43" s="1"/>
  <c r="J514" i="43" s="1"/>
  <c r="K515" i="43" s="1"/>
  <c r="L516" i="43" s="1"/>
  <c r="M517" i="43" s="1"/>
  <c r="N518" i="43" s="1"/>
  <c r="C503" i="43"/>
  <c r="D504" i="43" s="1"/>
  <c r="E505" i="43" s="1"/>
  <c r="F506" i="43" s="1"/>
  <c r="G507" i="43" s="1"/>
  <c r="H508" i="43" s="1"/>
  <c r="I509" i="43" s="1"/>
  <c r="J510" i="43" s="1"/>
  <c r="K511" i="43" s="1"/>
  <c r="L512" i="43" s="1"/>
  <c r="M513" i="43" s="1"/>
  <c r="N514" i="43" s="1"/>
  <c r="C499" i="43"/>
  <c r="D500" i="43" s="1"/>
  <c r="E501" i="43" s="1"/>
  <c r="F502" i="43" s="1"/>
  <c r="G503" i="43" s="1"/>
  <c r="H504" i="43" s="1"/>
  <c r="I505" i="43" s="1"/>
  <c r="J506" i="43" s="1"/>
  <c r="K507" i="43" s="1"/>
  <c r="L508" i="43" s="1"/>
  <c r="M509" i="43" s="1"/>
  <c r="N510" i="43" s="1"/>
  <c r="C495" i="43"/>
  <c r="D496" i="43" s="1"/>
  <c r="E497" i="43" s="1"/>
  <c r="F498" i="43" s="1"/>
  <c r="G499" i="43" s="1"/>
  <c r="H500" i="43" s="1"/>
  <c r="I501" i="43" s="1"/>
  <c r="J502" i="43" s="1"/>
  <c r="K503" i="43" s="1"/>
  <c r="L504" i="43" s="1"/>
  <c r="M505" i="43" s="1"/>
  <c r="N506" i="43" s="1"/>
  <c r="C491" i="43"/>
  <c r="D492" i="43" s="1"/>
  <c r="E493" i="43" s="1"/>
  <c r="F494" i="43" s="1"/>
  <c r="G495" i="43" s="1"/>
  <c r="H496" i="43" s="1"/>
  <c r="I497" i="43" s="1"/>
  <c r="J498" i="43" s="1"/>
  <c r="K499" i="43" s="1"/>
  <c r="L500" i="43" s="1"/>
  <c r="M501" i="43" s="1"/>
  <c r="N502" i="43" s="1"/>
  <c r="C487" i="43"/>
  <c r="D488" i="43" s="1"/>
  <c r="E489" i="43" s="1"/>
  <c r="F490" i="43" s="1"/>
  <c r="G491" i="43" s="1"/>
  <c r="H492" i="43" s="1"/>
  <c r="I493" i="43" s="1"/>
  <c r="J494" i="43" s="1"/>
  <c r="K495" i="43" s="1"/>
  <c r="L496" i="43" s="1"/>
  <c r="M497" i="43" s="1"/>
  <c r="N498" i="43" s="1"/>
  <c r="C483" i="43"/>
  <c r="D484" i="43" s="1"/>
  <c r="E485" i="43" s="1"/>
  <c r="F486" i="43" s="1"/>
  <c r="G487" i="43" s="1"/>
  <c r="H488" i="43" s="1"/>
  <c r="I489" i="43" s="1"/>
  <c r="J490" i="43" s="1"/>
  <c r="K491" i="43" s="1"/>
  <c r="L492" i="43" s="1"/>
  <c r="M493" i="43" s="1"/>
  <c r="N494" i="43" s="1"/>
  <c r="C479" i="43"/>
  <c r="D480" i="43" s="1"/>
  <c r="E481" i="43" s="1"/>
  <c r="F482" i="43" s="1"/>
  <c r="G483" i="43" s="1"/>
  <c r="H484" i="43" s="1"/>
  <c r="I485" i="43" s="1"/>
  <c r="J486" i="43" s="1"/>
  <c r="K487" i="43" s="1"/>
  <c r="L488" i="43" s="1"/>
  <c r="M489" i="43" s="1"/>
  <c r="N490" i="43" s="1"/>
  <c r="C475" i="43"/>
  <c r="D476" i="43" s="1"/>
  <c r="E477" i="43" s="1"/>
  <c r="F478" i="43" s="1"/>
  <c r="G479" i="43" s="1"/>
  <c r="H480" i="43" s="1"/>
  <c r="I481" i="43" s="1"/>
  <c r="J482" i="43" s="1"/>
  <c r="K483" i="43" s="1"/>
  <c r="L484" i="43" s="1"/>
  <c r="M485" i="43" s="1"/>
  <c r="N486" i="43" s="1"/>
  <c r="C471" i="43"/>
  <c r="D472" i="43" s="1"/>
  <c r="E473" i="43" s="1"/>
  <c r="F474" i="43" s="1"/>
  <c r="G475" i="43" s="1"/>
  <c r="H476" i="43" s="1"/>
  <c r="I477" i="43" s="1"/>
  <c r="J478" i="43" s="1"/>
  <c r="K479" i="43" s="1"/>
  <c r="L480" i="43" s="1"/>
  <c r="M481" i="43" s="1"/>
  <c r="N482" i="43" s="1"/>
  <c r="C467" i="43"/>
  <c r="C463" i="43"/>
  <c r="D464" i="43" s="1"/>
  <c r="E465" i="43" s="1"/>
  <c r="F466" i="43" s="1"/>
  <c r="G467" i="43" s="1"/>
  <c r="H468" i="43" s="1"/>
  <c r="I469" i="43" s="1"/>
  <c r="J470" i="43" s="1"/>
  <c r="K471" i="43" s="1"/>
  <c r="L472" i="43" s="1"/>
  <c r="M473" i="43" s="1"/>
  <c r="N474" i="43" s="1"/>
  <c r="C459" i="43"/>
  <c r="D460" i="43" s="1"/>
  <c r="E461" i="43" s="1"/>
  <c r="F462" i="43" s="1"/>
  <c r="G463" i="43" s="1"/>
  <c r="H464" i="43" s="1"/>
  <c r="I465" i="43" s="1"/>
  <c r="J466" i="43" s="1"/>
  <c r="K467" i="43" s="1"/>
  <c r="L468" i="43" s="1"/>
  <c r="M469" i="43" s="1"/>
  <c r="N470" i="43" s="1"/>
  <c r="C455" i="43"/>
  <c r="D456" i="43" s="1"/>
  <c r="E457" i="43" s="1"/>
  <c r="F458" i="43" s="1"/>
  <c r="G459" i="43" s="1"/>
  <c r="H460" i="43" s="1"/>
  <c r="I461" i="43" s="1"/>
  <c r="J462" i="43" s="1"/>
  <c r="K463" i="43" s="1"/>
  <c r="L464" i="43" s="1"/>
  <c r="M465" i="43" s="1"/>
  <c r="N466" i="43" s="1"/>
  <c r="C451" i="43"/>
  <c r="D452" i="43" s="1"/>
  <c r="E453" i="43" s="1"/>
  <c r="F454" i="43" s="1"/>
  <c r="G455" i="43" s="1"/>
  <c r="H456" i="43" s="1"/>
  <c r="I457" i="43" s="1"/>
  <c r="J458" i="43" s="1"/>
  <c r="K459" i="43" s="1"/>
  <c r="L460" i="43" s="1"/>
  <c r="M461" i="43" s="1"/>
  <c r="N462" i="43" s="1"/>
  <c r="C447" i="43"/>
  <c r="D448" i="43" s="1"/>
  <c r="E449" i="43" s="1"/>
  <c r="F450" i="43" s="1"/>
  <c r="G451" i="43" s="1"/>
  <c r="H452" i="43" s="1"/>
  <c r="I453" i="43" s="1"/>
  <c r="J454" i="43" s="1"/>
  <c r="K455" i="43" s="1"/>
  <c r="L456" i="43" s="1"/>
  <c r="M457" i="43" s="1"/>
  <c r="N458" i="43" s="1"/>
  <c r="C443" i="43"/>
  <c r="D444" i="43" s="1"/>
  <c r="E445" i="43" s="1"/>
  <c r="F446" i="43" s="1"/>
  <c r="G447" i="43" s="1"/>
  <c r="H448" i="43" s="1"/>
  <c r="I449" i="43" s="1"/>
  <c r="J450" i="43" s="1"/>
  <c r="K451" i="43" s="1"/>
  <c r="L452" i="43" s="1"/>
  <c r="M453" i="43" s="1"/>
  <c r="N454" i="43" s="1"/>
  <c r="C439" i="43"/>
  <c r="D440" i="43" s="1"/>
  <c r="E441" i="43" s="1"/>
  <c r="F442" i="43" s="1"/>
  <c r="G443" i="43" s="1"/>
  <c r="H444" i="43" s="1"/>
  <c r="I445" i="43" s="1"/>
  <c r="J446" i="43" s="1"/>
  <c r="K447" i="43" s="1"/>
  <c r="L448" i="43" s="1"/>
  <c r="M449" i="43" s="1"/>
  <c r="N450" i="43" s="1"/>
  <c r="C435" i="43"/>
  <c r="D436" i="43" s="1"/>
  <c r="E437" i="43" s="1"/>
  <c r="F438" i="43" s="1"/>
  <c r="G439" i="43" s="1"/>
  <c r="H440" i="43" s="1"/>
  <c r="I441" i="43" s="1"/>
  <c r="J442" i="43" s="1"/>
  <c r="K443" i="43" s="1"/>
  <c r="L444" i="43" s="1"/>
  <c r="M445" i="43" s="1"/>
  <c r="N446" i="43" s="1"/>
  <c r="C431" i="43"/>
  <c r="D432" i="43" s="1"/>
  <c r="E433" i="43" s="1"/>
  <c r="F434" i="43" s="1"/>
  <c r="G435" i="43" s="1"/>
  <c r="H436" i="43" s="1"/>
  <c r="I437" i="43" s="1"/>
  <c r="J438" i="43" s="1"/>
  <c r="K439" i="43" s="1"/>
  <c r="L440" i="43" s="1"/>
  <c r="M441" i="43" s="1"/>
  <c r="N442" i="43" s="1"/>
  <c r="C427" i="43"/>
  <c r="D428" i="43" s="1"/>
  <c r="E429" i="43" s="1"/>
  <c r="F430" i="43" s="1"/>
  <c r="G431" i="43" s="1"/>
  <c r="H432" i="43" s="1"/>
  <c r="I433" i="43" s="1"/>
  <c r="J434" i="43" s="1"/>
  <c r="K435" i="43" s="1"/>
  <c r="L436" i="43" s="1"/>
  <c r="M437" i="43" s="1"/>
  <c r="N438" i="43" s="1"/>
  <c r="C423" i="43"/>
  <c r="D424" i="43" s="1"/>
  <c r="E425" i="43" s="1"/>
  <c r="F426" i="43" s="1"/>
  <c r="G427" i="43" s="1"/>
  <c r="H428" i="43" s="1"/>
  <c r="I429" i="43" s="1"/>
  <c r="J430" i="43" s="1"/>
  <c r="K431" i="43" s="1"/>
  <c r="L432" i="43" s="1"/>
  <c r="M433" i="43" s="1"/>
  <c r="N434" i="43" s="1"/>
  <c r="C419" i="43"/>
  <c r="D420" i="43" s="1"/>
  <c r="E421" i="43" s="1"/>
  <c r="F422" i="43" s="1"/>
  <c r="G423" i="43" s="1"/>
  <c r="H424" i="43" s="1"/>
  <c r="I425" i="43" s="1"/>
  <c r="J426" i="43" s="1"/>
  <c r="K427" i="43" s="1"/>
  <c r="L428" i="43" s="1"/>
  <c r="M429" i="43" s="1"/>
  <c r="N430" i="43" s="1"/>
  <c r="C415" i="43"/>
  <c r="D416" i="43" s="1"/>
  <c r="E417" i="43" s="1"/>
  <c r="F418" i="43" s="1"/>
  <c r="G419" i="43" s="1"/>
  <c r="H420" i="43" s="1"/>
  <c r="I421" i="43" s="1"/>
  <c r="J422" i="43" s="1"/>
  <c r="K423" i="43" s="1"/>
  <c r="L424" i="43" s="1"/>
  <c r="M425" i="43" s="1"/>
  <c r="N426" i="43" s="1"/>
  <c r="C411" i="43"/>
  <c r="D412" i="43" s="1"/>
  <c r="E413" i="43" s="1"/>
  <c r="F414" i="43" s="1"/>
  <c r="G415" i="43" s="1"/>
  <c r="H416" i="43" s="1"/>
  <c r="I417" i="43" s="1"/>
  <c r="J418" i="43" s="1"/>
  <c r="K419" i="43" s="1"/>
  <c r="L420" i="43" s="1"/>
  <c r="M421" i="43" s="1"/>
  <c r="N422" i="43" s="1"/>
  <c r="C407" i="43"/>
  <c r="D408" i="43" s="1"/>
  <c r="E409" i="43" s="1"/>
  <c r="F410" i="43" s="1"/>
  <c r="G411" i="43" s="1"/>
  <c r="H412" i="43" s="1"/>
  <c r="I413" i="43" s="1"/>
  <c r="J414" i="43" s="1"/>
  <c r="K415" i="43" s="1"/>
  <c r="L416" i="43" s="1"/>
  <c r="M417" i="43" s="1"/>
  <c r="N418" i="43" s="1"/>
  <c r="C403" i="43"/>
  <c r="D404" i="43" s="1"/>
  <c r="E405" i="43" s="1"/>
  <c r="F406" i="43" s="1"/>
  <c r="G407" i="43" s="1"/>
  <c r="H408" i="43" s="1"/>
  <c r="I409" i="43" s="1"/>
  <c r="J410" i="43" s="1"/>
  <c r="K411" i="43" s="1"/>
  <c r="L412" i="43" s="1"/>
  <c r="M413" i="43" s="1"/>
  <c r="N414" i="43" s="1"/>
  <c r="C399" i="43"/>
  <c r="D400" i="43" s="1"/>
  <c r="E401" i="43" s="1"/>
  <c r="F402" i="43" s="1"/>
  <c r="G403" i="43" s="1"/>
  <c r="H404" i="43" s="1"/>
  <c r="I405" i="43" s="1"/>
  <c r="J406" i="43" s="1"/>
  <c r="K407" i="43" s="1"/>
  <c r="L408" i="43" s="1"/>
  <c r="M409" i="43" s="1"/>
  <c r="N410" i="43" s="1"/>
  <c r="C395" i="43"/>
  <c r="D396" i="43" s="1"/>
  <c r="E397" i="43" s="1"/>
  <c r="F398" i="43" s="1"/>
  <c r="G399" i="43" s="1"/>
  <c r="H400" i="43" s="1"/>
  <c r="I401" i="43" s="1"/>
  <c r="J402" i="43" s="1"/>
  <c r="K403" i="43" s="1"/>
  <c r="L404" i="43" s="1"/>
  <c r="M405" i="43" s="1"/>
  <c r="N406" i="43" s="1"/>
  <c r="C391" i="43"/>
  <c r="D392" i="43" s="1"/>
  <c r="E393" i="43" s="1"/>
  <c r="F394" i="43" s="1"/>
  <c r="G395" i="43" s="1"/>
  <c r="H396" i="43" s="1"/>
  <c r="I397" i="43" s="1"/>
  <c r="J398" i="43" s="1"/>
  <c r="K399" i="43" s="1"/>
  <c r="L400" i="43" s="1"/>
  <c r="M401" i="43" s="1"/>
  <c r="N402" i="43" s="1"/>
  <c r="C387" i="43"/>
  <c r="D388" i="43" s="1"/>
  <c r="E389" i="43" s="1"/>
  <c r="F390" i="43" s="1"/>
  <c r="G391" i="43" s="1"/>
  <c r="H392" i="43" s="1"/>
  <c r="I393" i="43" s="1"/>
  <c r="J394" i="43" s="1"/>
  <c r="K395" i="43" s="1"/>
  <c r="L396" i="43" s="1"/>
  <c r="M397" i="43" s="1"/>
  <c r="N398" i="43" s="1"/>
  <c r="C383" i="43"/>
  <c r="D384" i="43" s="1"/>
  <c r="E385" i="43" s="1"/>
  <c r="F386" i="43" s="1"/>
  <c r="G387" i="43" s="1"/>
  <c r="H388" i="43" s="1"/>
  <c r="I389" i="43" s="1"/>
  <c r="J390" i="43" s="1"/>
  <c r="K391" i="43" s="1"/>
  <c r="L392" i="43" s="1"/>
  <c r="M393" i="43" s="1"/>
  <c r="N394" i="43" s="1"/>
  <c r="C379" i="43"/>
  <c r="D380" i="43" s="1"/>
  <c r="E381" i="43" s="1"/>
  <c r="F382" i="43" s="1"/>
  <c r="G383" i="43" s="1"/>
  <c r="H384" i="43" s="1"/>
  <c r="I385" i="43" s="1"/>
  <c r="J386" i="43" s="1"/>
  <c r="K387" i="43" s="1"/>
  <c r="L388" i="43" s="1"/>
  <c r="M389" i="43" s="1"/>
  <c r="N390" i="43" s="1"/>
  <c r="C375" i="43"/>
  <c r="D376" i="43" s="1"/>
  <c r="E377" i="43" s="1"/>
  <c r="F378" i="43" s="1"/>
  <c r="G379" i="43" s="1"/>
  <c r="H380" i="43" s="1"/>
  <c r="I381" i="43" s="1"/>
  <c r="J382" i="43" s="1"/>
  <c r="K383" i="43" s="1"/>
  <c r="L384" i="43" s="1"/>
  <c r="M385" i="43" s="1"/>
  <c r="N386" i="43" s="1"/>
  <c r="C371" i="43"/>
  <c r="D372" i="43" s="1"/>
  <c r="E373" i="43" s="1"/>
  <c r="F374" i="43" s="1"/>
  <c r="G375" i="43" s="1"/>
  <c r="H376" i="43" s="1"/>
  <c r="I377" i="43" s="1"/>
  <c r="J378" i="43" s="1"/>
  <c r="K379" i="43" s="1"/>
  <c r="L380" i="43" s="1"/>
  <c r="M381" i="43" s="1"/>
  <c r="N382" i="43" s="1"/>
  <c r="C367" i="43"/>
  <c r="D368" i="43" s="1"/>
  <c r="E369" i="43" s="1"/>
  <c r="F370" i="43" s="1"/>
  <c r="G371" i="43" s="1"/>
  <c r="H372" i="43" s="1"/>
  <c r="I373" i="43" s="1"/>
  <c r="J374" i="43" s="1"/>
  <c r="K375" i="43" s="1"/>
  <c r="L376" i="43" s="1"/>
  <c r="M377" i="43" s="1"/>
  <c r="N378" i="43" s="1"/>
  <c r="C363" i="43"/>
  <c r="D364" i="43" s="1"/>
  <c r="E365" i="43" s="1"/>
  <c r="F366" i="43" s="1"/>
  <c r="G367" i="43" s="1"/>
  <c r="H368" i="43" s="1"/>
  <c r="I369" i="43" s="1"/>
  <c r="J370" i="43" s="1"/>
  <c r="K371" i="43" s="1"/>
  <c r="L372" i="43" s="1"/>
  <c r="M373" i="43" s="1"/>
  <c r="N374" i="43" s="1"/>
  <c r="C359" i="43"/>
  <c r="D360" i="43" s="1"/>
  <c r="E361" i="43" s="1"/>
  <c r="F362" i="43" s="1"/>
  <c r="G363" i="43" s="1"/>
  <c r="H364" i="43" s="1"/>
  <c r="I365" i="43" s="1"/>
  <c r="J366" i="43" s="1"/>
  <c r="K367" i="43" s="1"/>
  <c r="L368" i="43" s="1"/>
  <c r="M369" i="43" s="1"/>
  <c r="N370" i="43" s="1"/>
  <c r="C355" i="43"/>
  <c r="D356" i="43" s="1"/>
  <c r="E357" i="43" s="1"/>
  <c r="F358" i="43" s="1"/>
  <c r="G359" i="43" s="1"/>
  <c r="H360" i="43" s="1"/>
  <c r="I361" i="43" s="1"/>
  <c r="J362" i="43" s="1"/>
  <c r="K363" i="43" s="1"/>
  <c r="L364" i="43" s="1"/>
  <c r="M365" i="43" s="1"/>
  <c r="N366" i="43" s="1"/>
  <c r="C351" i="43"/>
  <c r="D352" i="43" s="1"/>
  <c r="E353" i="43" s="1"/>
  <c r="F354" i="43" s="1"/>
  <c r="G355" i="43" s="1"/>
  <c r="H356" i="43" s="1"/>
  <c r="I357" i="43" s="1"/>
  <c r="J358" i="43" s="1"/>
  <c r="K359" i="43" s="1"/>
  <c r="L360" i="43" s="1"/>
  <c r="M361" i="43" s="1"/>
  <c r="N362" i="43" s="1"/>
  <c r="C343" i="43"/>
  <c r="D344" i="43" s="1"/>
  <c r="E345" i="43" s="1"/>
  <c r="F346" i="43" s="1"/>
  <c r="G347" i="43" s="1"/>
  <c r="H348" i="43" s="1"/>
  <c r="I349" i="43" s="1"/>
  <c r="J350" i="43" s="1"/>
  <c r="K351" i="43" s="1"/>
  <c r="L352" i="43" s="1"/>
  <c r="M353" i="43" s="1"/>
  <c r="N354" i="43" s="1"/>
  <c r="C339" i="43"/>
  <c r="D340" i="43" s="1"/>
  <c r="E341" i="43" s="1"/>
  <c r="F342" i="43" s="1"/>
  <c r="G343" i="43" s="1"/>
  <c r="H344" i="43" s="1"/>
  <c r="I345" i="43" s="1"/>
  <c r="J346" i="43" s="1"/>
  <c r="K347" i="43" s="1"/>
  <c r="L348" i="43" s="1"/>
  <c r="M349" i="43" s="1"/>
  <c r="N350" i="43" s="1"/>
  <c r="C335" i="43"/>
  <c r="D336" i="43" s="1"/>
  <c r="E337" i="43" s="1"/>
  <c r="F338" i="43" s="1"/>
  <c r="G339" i="43" s="1"/>
  <c r="H340" i="43" s="1"/>
  <c r="I341" i="43" s="1"/>
  <c r="J342" i="43" s="1"/>
  <c r="K343" i="43" s="1"/>
  <c r="L344" i="43" s="1"/>
  <c r="M345" i="43" s="1"/>
  <c r="N346" i="43" s="1"/>
  <c r="C331" i="43"/>
  <c r="D332" i="43" s="1"/>
  <c r="E333" i="43" s="1"/>
  <c r="F334" i="43" s="1"/>
  <c r="G335" i="43" s="1"/>
  <c r="H336" i="43" s="1"/>
  <c r="I337" i="43" s="1"/>
  <c r="J338" i="43" s="1"/>
  <c r="K339" i="43" s="1"/>
  <c r="L340" i="43" s="1"/>
  <c r="M341" i="43" s="1"/>
  <c r="N342" i="43" s="1"/>
  <c r="C327" i="43"/>
  <c r="D328" i="43" s="1"/>
  <c r="E329" i="43" s="1"/>
  <c r="F330" i="43" s="1"/>
  <c r="G331" i="43" s="1"/>
  <c r="H332" i="43" s="1"/>
  <c r="I333" i="43" s="1"/>
  <c r="J334" i="43" s="1"/>
  <c r="K335" i="43" s="1"/>
  <c r="L336" i="43" s="1"/>
  <c r="M337" i="43" s="1"/>
  <c r="N338" i="43" s="1"/>
  <c r="C323" i="43"/>
  <c r="D324" i="43" s="1"/>
  <c r="E325" i="43" s="1"/>
  <c r="F326" i="43" s="1"/>
  <c r="G327" i="43" s="1"/>
  <c r="H328" i="43" s="1"/>
  <c r="I329" i="43" s="1"/>
  <c r="J330" i="43" s="1"/>
  <c r="K331" i="43" s="1"/>
  <c r="L332" i="43" s="1"/>
  <c r="M333" i="43" s="1"/>
  <c r="N334" i="43" s="1"/>
  <c r="C319" i="43"/>
  <c r="D320" i="43" s="1"/>
  <c r="E321" i="43" s="1"/>
  <c r="F322" i="43" s="1"/>
  <c r="G323" i="43" s="1"/>
  <c r="H324" i="43" s="1"/>
  <c r="I325" i="43" s="1"/>
  <c r="J326" i="43" s="1"/>
  <c r="K327" i="43" s="1"/>
  <c r="L328" i="43" s="1"/>
  <c r="M329" i="43" s="1"/>
  <c r="N330" i="43" s="1"/>
  <c r="C315" i="43"/>
  <c r="D316" i="43" s="1"/>
  <c r="E317" i="43" s="1"/>
  <c r="F318" i="43" s="1"/>
  <c r="G319" i="43" s="1"/>
  <c r="H320" i="43" s="1"/>
  <c r="I321" i="43" s="1"/>
  <c r="J322" i="43" s="1"/>
  <c r="K323" i="43" s="1"/>
  <c r="L324" i="43" s="1"/>
  <c r="M325" i="43" s="1"/>
  <c r="N326" i="43" s="1"/>
  <c r="C311" i="43"/>
  <c r="D312" i="43" s="1"/>
  <c r="E313" i="43" s="1"/>
  <c r="F314" i="43" s="1"/>
  <c r="G315" i="43" s="1"/>
  <c r="H316" i="43" s="1"/>
  <c r="I317" i="43" s="1"/>
  <c r="J318" i="43" s="1"/>
  <c r="K319" i="43" s="1"/>
  <c r="L320" i="43" s="1"/>
  <c r="M321" i="43" s="1"/>
  <c r="N322" i="43" s="1"/>
  <c r="C307" i="43"/>
  <c r="D308" i="43" s="1"/>
  <c r="E309" i="43" s="1"/>
  <c r="F310" i="43" s="1"/>
  <c r="G311" i="43" s="1"/>
  <c r="H312" i="43" s="1"/>
  <c r="I313" i="43" s="1"/>
  <c r="J314" i="43" s="1"/>
  <c r="K315" i="43" s="1"/>
  <c r="L316" i="43" s="1"/>
  <c r="M317" i="43" s="1"/>
  <c r="N318" i="43" s="1"/>
  <c r="C303" i="43"/>
  <c r="D304" i="43" s="1"/>
  <c r="E305" i="43" s="1"/>
  <c r="F306" i="43" s="1"/>
  <c r="G307" i="43" s="1"/>
  <c r="H308" i="43" s="1"/>
  <c r="I309" i="43" s="1"/>
  <c r="J310" i="43" s="1"/>
  <c r="K311" i="43" s="1"/>
  <c r="L312" i="43" s="1"/>
  <c r="M313" i="43" s="1"/>
  <c r="N314" i="43" s="1"/>
  <c r="C299" i="43"/>
  <c r="D300" i="43" s="1"/>
  <c r="E301" i="43" s="1"/>
  <c r="F302" i="43" s="1"/>
  <c r="G303" i="43" s="1"/>
  <c r="H304" i="43" s="1"/>
  <c r="I305" i="43" s="1"/>
  <c r="J306" i="43" s="1"/>
  <c r="K307" i="43" s="1"/>
  <c r="L308" i="43" s="1"/>
  <c r="M309" i="43" s="1"/>
  <c r="N310" i="43" s="1"/>
  <c r="C295" i="43"/>
  <c r="D296" i="43" s="1"/>
  <c r="E297" i="43" s="1"/>
  <c r="F298" i="43" s="1"/>
  <c r="G299" i="43" s="1"/>
  <c r="H300" i="43" s="1"/>
  <c r="I301" i="43" s="1"/>
  <c r="J302" i="43" s="1"/>
  <c r="K303" i="43" s="1"/>
  <c r="L304" i="43" s="1"/>
  <c r="M305" i="43" s="1"/>
  <c r="N306" i="43" s="1"/>
  <c r="C291" i="43"/>
  <c r="D292" i="43" s="1"/>
  <c r="E293" i="43" s="1"/>
  <c r="F294" i="43" s="1"/>
  <c r="G295" i="43" s="1"/>
  <c r="H296" i="43" s="1"/>
  <c r="I297" i="43" s="1"/>
  <c r="J298" i="43" s="1"/>
  <c r="K299" i="43" s="1"/>
  <c r="L300" i="43" s="1"/>
  <c r="M301" i="43" s="1"/>
  <c r="N302" i="43" s="1"/>
  <c r="C287" i="43"/>
  <c r="D288" i="43" s="1"/>
  <c r="E289" i="43" s="1"/>
  <c r="F290" i="43" s="1"/>
  <c r="G291" i="43" s="1"/>
  <c r="H292" i="43" s="1"/>
  <c r="I293" i="43" s="1"/>
  <c r="J294" i="43" s="1"/>
  <c r="K295" i="43" s="1"/>
  <c r="L296" i="43" s="1"/>
  <c r="M297" i="43" s="1"/>
  <c r="N298" i="43" s="1"/>
  <c r="C283" i="43"/>
  <c r="D284" i="43" s="1"/>
  <c r="E285" i="43" s="1"/>
  <c r="F286" i="43" s="1"/>
  <c r="G287" i="43" s="1"/>
  <c r="H288" i="43" s="1"/>
  <c r="I289" i="43" s="1"/>
  <c r="J290" i="43" s="1"/>
  <c r="K291" i="43" s="1"/>
  <c r="L292" i="43" s="1"/>
  <c r="M293" i="43" s="1"/>
  <c r="N294" i="43" s="1"/>
  <c r="C279" i="43"/>
  <c r="D280" i="43" s="1"/>
  <c r="E281" i="43" s="1"/>
  <c r="F282" i="43" s="1"/>
  <c r="G283" i="43" s="1"/>
  <c r="H284" i="43" s="1"/>
  <c r="I285" i="43" s="1"/>
  <c r="J286" i="43" s="1"/>
  <c r="K287" i="43" s="1"/>
  <c r="L288" i="43" s="1"/>
  <c r="M289" i="43" s="1"/>
  <c r="N290" i="43" s="1"/>
  <c r="C275" i="43"/>
  <c r="D276" i="43" s="1"/>
  <c r="E277" i="43" s="1"/>
  <c r="F278" i="43" s="1"/>
  <c r="G279" i="43" s="1"/>
  <c r="H280" i="43" s="1"/>
  <c r="I281" i="43" s="1"/>
  <c r="J282" i="43" s="1"/>
  <c r="K283" i="43" s="1"/>
  <c r="L284" i="43" s="1"/>
  <c r="M285" i="43" s="1"/>
  <c r="N286" i="43" s="1"/>
  <c r="C271" i="43"/>
  <c r="D272" i="43" s="1"/>
  <c r="E273" i="43" s="1"/>
  <c r="F274" i="43" s="1"/>
  <c r="G275" i="43" s="1"/>
  <c r="H276" i="43" s="1"/>
  <c r="I277" i="43" s="1"/>
  <c r="J278" i="43" s="1"/>
  <c r="K279" i="43" s="1"/>
  <c r="L280" i="43" s="1"/>
  <c r="M281" i="43" s="1"/>
  <c r="N282" i="43" s="1"/>
  <c r="C267" i="43"/>
  <c r="D268" i="43" s="1"/>
  <c r="E269" i="43" s="1"/>
  <c r="F270" i="43" s="1"/>
  <c r="G271" i="43" s="1"/>
  <c r="H272" i="43" s="1"/>
  <c r="I273" i="43" s="1"/>
  <c r="J274" i="43" s="1"/>
  <c r="K275" i="43" s="1"/>
  <c r="L276" i="43" s="1"/>
  <c r="M277" i="43" s="1"/>
  <c r="N278" i="43" s="1"/>
  <c r="C263" i="43"/>
  <c r="D264" i="43" s="1"/>
  <c r="E265" i="43" s="1"/>
  <c r="F266" i="43" s="1"/>
  <c r="G267" i="43" s="1"/>
  <c r="H268" i="43" s="1"/>
  <c r="I269" i="43" s="1"/>
  <c r="J270" i="43" s="1"/>
  <c r="K271" i="43" s="1"/>
  <c r="L272" i="43" s="1"/>
  <c r="M273" i="43" s="1"/>
  <c r="N274" i="43" s="1"/>
  <c r="C259" i="43"/>
  <c r="D260" i="43" s="1"/>
  <c r="E261" i="43" s="1"/>
  <c r="F262" i="43" s="1"/>
  <c r="G263" i="43" s="1"/>
  <c r="H264" i="43" s="1"/>
  <c r="I265" i="43" s="1"/>
  <c r="J266" i="43" s="1"/>
  <c r="K267" i="43" s="1"/>
  <c r="L268" i="43" s="1"/>
  <c r="M269" i="43" s="1"/>
  <c r="N270" i="43" s="1"/>
  <c r="C255" i="43"/>
  <c r="D256" i="43" s="1"/>
  <c r="E257" i="43" s="1"/>
  <c r="F258" i="43" s="1"/>
  <c r="G259" i="43" s="1"/>
  <c r="H260" i="43" s="1"/>
  <c r="I261" i="43" s="1"/>
  <c r="J262" i="43" s="1"/>
  <c r="K263" i="43" s="1"/>
  <c r="L264" i="43" s="1"/>
  <c r="M265" i="43" s="1"/>
  <c r="N266" i="43" s="1"/>
  <c r="C251" i="43"/>
  <c r="D252" i="43" s="1"/>
  <c r="E253" i="43" s="1"/>
  <c r="F254" i="43" s="1"/>
  <c r="G255" i="43" s="1"/>
  <c r="H256" i="43" s="1"/>
  <c r="I257" i="43" s="1"/>
  <c r="J258" i="43" s="1"/>
  <c r="K259" i="43" s="1"/>
  <c r="L260" i="43" s="1"/>
  <c r="M261" i="43" s="1"/>
  <c r="N262" i="43" s="1"/>
  <c r="C247" i="43"/>
  <c r="D248" i="43" s="1"/>
  <c r="E249" i="43" s="1"/>
  <c r="F250" i="43" s="1"/>
  <c r="G251" i="43" s="1"/>
  <c r="H252" i="43" s="1"/>
  <c r="I253" i="43" s="1"/>
  <c r="J254" i="43" s="1"/>
  <c r="K255" i="43" s="1"/>
  <c r="L256" i="43" s="1"/>
  <c r="M257" i="43" s="1"/>
  <c r="N258" i="43" s="1"/>
  <c r="C243" i="43"/>
  <c r="D244" i="43" s="1"/>
  <c r="E245" i="43" s="1"/>
  <c r="F246" i="43" s="1"/>
  <c r="G247" i="43" s="1"/>
  <c r="H248" i="43" s="1"/>
  <c r="I249" i="43" s="1"/>
  <c r="J250" i="43" s="1"/>
  <c r="K251" i="43" s="1"/>
  <c r="L252" i="43" s="1"/>
  <c r="M253" i="43" s="1"/>
  <c r="N254" i="43" s="1"/>
  <c r="C239" i="43"/>
  <c r="D240" i="43" s="1"/>
  <c r="E241" i="43" s="1"/>
  <c r="F242" i="43" s="1"/>
  <c r="G243" i="43" s="1"/>
  <c r="H244" i="43" s="1"/>
  <c r="I245" i="43" s="1"/>
  <c r="J246" i="43" s="1"/>
  <c r="K247" i="43" s="1"/>
  <c r="L248" i="43" s="1"/>
  <c r="M249" i="43" s="1"/>
  <c r="N250" i="43" s="1"/>
  <c r="C235" i="43"/>
  <c r="D236" i="43" s="1"/>
  <c r="E237" i="43" s="1"/>
  <c r="F238" i="43" s="1"/>
  <c r="G239" i="43" s="1"/>
  <c r="H240" i="43" s="1"/>
  <c r="I241" i="43" s="1"/>
  <c r="J242" i="43" s="1"/>
  <c r="K243" i="43" s="1"/>
  <c r="L244" i="43" s="1"/>
  <c r="M245" i="43" s="1"/>
  <c r="N246" i="43" s="1"/>
  <c r="C231" i="43"/>
  <c r="D232" i="43" s="1"/>
  <c r="E233" i="43" s="1"/>
  <c r="F234" i="43" s="1"/>
  <c r="G235" i="43" s="1"/>
  <c r="H236" i="43" s="1"/>
  <c r="I237" i="43" s="1"/>
  <c r="J238" i="43" s="1"/>
  <c r="K239" i="43" s="1"/>
  <c r="L240" i="43" s="1"/>
  <c r="M241" i="43" s="1"/>
  <c r="N242" i="43" s="1"/>
  <c r="C227" i="43"/>
  <c r="D228" i="43" s="1"/>
  <c r="E229" i="43" s="1"/>
  <c r="F230" i="43" s="1"/>
  <c r="G231" i="43" s="1"/>
  <c r="H232" i="43" s="1"/>
  <c r="I233" i="43" s="1"/>
  <c r="J234" i="43" s="1"/>
  <c r="K235" i="43" s="1"/>
  <c r="L236" i="43" s="1"/>
  <c r="M237" i="43" s="1"/>
  <c r="N238" i="43" s="1"/>
  <c r="C223" i="43"/>
  <c r="D224" i="43" s="1"/>
  <c r="E225" i="43" s="1"/>
  <c r="F226" i="43" s="1"/>
  <c r="G227" i="43" s="1"/>
  <c r="H228" i="43" s="1"/>
  <c r="I229" i="43" s="1"/>
  <c r="J230" i="43" s="1"/>
  <c r="K231" i="43" s="1"/>
  <c r="L232" i="43" s="1"/>
  <c r="M233" i="43" s="1"/>
  <c r="N234" i="43" s="1"/>
  <c r="C219" i="43"/>
  <c r="D220" i="43" s="1"/>
  <c r="E221" i="43" s="1"/>
  <c r="F222" i="43" s="1"/>
  <c r="G223" i="43" s="1"/>
  <c r="H224" i="43" s="1"/>
  <c r="I225" i="43" s="1"/>
  <c r="J226" i="43" s="1"/>
  <c r="K227" i="43" s="1"/>
  <c r="L228" i="43" s="1"/>
  <c r="M229" i="43" s="1"/>
  <c r="N230" i="43" s="1"/>
  <c r="C215" i="43"/>
  <c r="D216" i="43" s="1"/>
  <c r="E217" i="43" s="1"/>
  <c r="F218" i="43" s="1"/>
  <c r="G219" i="43" s="1"/>
  <c r="H220" i="43" s="1"/>
  <c r="I221" i="43" s="1"/>
  <c r="J222" i="43" s="1"/>
  <c r="K223" i="43" s="1"/>
  <c r="L224" i="43" s="1"/>
  <c r="M225" i="43" s="1"/>
  <c r="N226" i="43" s="1"/>
  <c r="C211" i="43"/>
  <c r="D212" i="43" s="1"/>
  <c r="E213" i="43" s="1"/>
  <c r="F214" i="43" s="1"/>
  <c r="G215" i="43" s="1"/>
  <c r="H216" i="43" s="1"/>
  <c r="I217" i="43" s="1"/>
  <c r="J218" i="43" s="1"/>
  <c r="K219" i="43" s="1"/>
  <c r="L220" i="43" s="1"/>
  <c r="M221" i="43" s="1"/>
  <c r="N222" i="43" s="1"/>
  <c r="C207" i="43"/>
  <c r="D208" i="43" s="1"/>
  <c r="E209" i="43" s="1"/>
  <c r="F210" i="43" s="1"/>
  <c r="G211" i="43" s="1"/>
  <c r="H212" i="43" s="1"/>
  <c r="I213" i="43" s="1"/>
  <c r="J214" i="43" s="1"/>
  <c r="K215" i="43" s="1"/>
  <c r="L216" i="43" s="1"/>
  <c r="M217" i="43" s="1"/>
  <c r="N218" i="43" s="1"/>
  <c r="C203" i="43"/>
  <c r="D204" i="43" s="1"/>
  <c r="E205" i="43" s="1"/>
  <c r="F206" i="43" s="1"/>
  <c r="G207" i="43" s="1"/>
  <c r="H208" i="43" s="1"/>
  <c r="I209" i="43" s="1"/>
  <c r="J210" i="43" s="1"/>
  <c r="K211" i="43" s="1"/>
  <c r="L212" i="43" s="1"/>
  <c r="M213" i="43" s="1"/>
  <c r="N214" i="43" s="1"/>
  <c r="C199" i="43"/>
  <c r="D200" i="43" s="1"/>
  <c r="E201" i="43" s="1"/>
  <c r="F202" i="43" s="1"/>
  <c r="G203" i="43" s="1"/>
  <c r="H204" i="43" s="1"/>
  <c r="I205" i="43" s="1"/>
  <c r="J206" i="43" s="1"/>
  <c r="K207" i="43" s="1"/>
  <c r="L208" i="43" s="1"/>
  <c r="M209" i="43" s="1"/>
  <c r="N210" i="43" s="1"/>
  <c r="C195" i="43"/>
  <c r="D196" i="43" s="1"/>
  <c r="E197" i="43" s="1"/>
  <c r="F198" i="43" s="1"/>
  <c r="G199" i="43" s="1"/>
  <c r="H200" i="43" s="1"/>
  <c r="I201" i="43" s="1"/>
  <c r="J202" i="43" s="1"/>
  <c r="K203" i="43" s="1"/>
  <c r="L204" i="43" s="1"/>
  <c r="M205" i="43" s="1"/>
  <c r="N206" i="43" s="1"/>
  <c r="C191" i="43"/>
  <c r="D192" i="43" s="1"/>
  <c r="E193" i="43" s="1"/>
  <c r="F194" i="43" s="1"/>
  <c r="G195" i="43" s="1"/>
  <c r="H196" i="43" s="1"/>
  <c r="I197" i="43" s="1"/>
  <c r="J198" i="43" s="1"/>
  <c r="K199" i="43" s="1"/>
  <c r="L200" i="43" s="1"/>
  <c r="M201" i="43" s="1"/>
  <c r="N202" i="43" s="1"/>
  <c r="C187" i="43"/>
  <c r="D188" i="43" s="1"/>
  <c r="E189" i="43" s="1"/>
  <c r="F190" i="43" s="1"/>
  <c r="G191" i="43" s="1"/>
  <c r="H192" i="43" s="1"/>
  <c r="I193" i="43" s="1"/>
  <c r="J194" i="43" s="1"/>
  <c r="K195" i="43" s="1"/>
  <c r="L196" i="43" s="1"/>
  <c r="M197" i="43" s="1"/>
  <c r="N198" i="43" s="1"/>
  <c r="C183" i="43"/>
  <c r="D184" i="43" s="1"/>
  <c r="E185" i="43" s="1"/>
  <c r="F186" i="43" s="1"/>
  <c r="G187" i="43" s="1"/>
  <c r="H188" i="43" s="1"/>
  <c r="I189" i="43" s="1"/>
  <c r="J190" i="43" s="1"/>
  <c r="K191" i="43" s="1"/>
  <c r="L192" i="43" s="1"/>
  <c r="M193" i="43" s="1"/>
  <c r="N194" i="43" s="1"/>
  <c r="C179" i="43"/>
  <c r="D180" i="43" s="1"/>
  <c r="E181" i="43" s="1"/>
  <c r="F182" i="43" s="1"/>
  <c r="G183" i="43" s="1"/>
  <c r="H184" i="43" s="1"/>
  <c r="I185" i="43" s="1"/>
  <c r="J186" i="43" s="1"/>
  <c r="K187" i="43" s="1"/>
  <c r="L188" i="43" s="1"/>
  <c r="M189" i="43" s="1"/>
  <c r="N190" i="43" s="1"/>
  <c r="C175" i="43"/>
  <c r="D176" i="43" s="1"/>
  <c r="E177" i="43" s="1"/>
  <c r="F178" i="43" s="1"/>
  <c r="G179" i="43" s="1"/>
  <c r="H180" i="43" s="1"/>
  <c r="I181" i="43" s="1"/>
  <c r="J182" i="43" s="1"/>
  <c r="K183" i="43" s="1"/>
  <c r="L184" i="43" s="1"/>
  <c r="M185" i="43" s="1"/>
  <c r="N186" i="43" s="1"/>
  <c r="C171" i="43"/>
  <c r="D172" i="43" s="1"/>
  <c r="E173" i="43" s="1"/>
  <c r="F174" i="43" s="1"/>
  <c r="G175" i="43" s="1"/>
  <c r="H176" i="43" s="1"/>
  <c r="I177" i="43" s="1"/>
  <c r="J178" i="43" s="1"/>
  <c r="K179" i="43" s="1"/>
  <c r="L180" i="43" s="1"/>
  <c r="M181" i="43" s="1"/>
  <c r="N182" i="43" s="1"/>
  <c r="C167" i="43"/>
  <c r="D168" i="43" s="1"/>
  <c r="E169" i="43" s="1"/>
  <c r="F170" i="43" s="1"/>
  <c r="G171" i="43" s="1"/>
  <c r="H172" i="43" s="1"/>
  <c r="I173" i="43" s="1"/>
  <c r="J174" i="43" s="1"/>
  <c r="K175" i="43" s="1"/>
  <c r="L176" i="43" s="1"/>
  <c r="M177" i="43" s="1"/>
  <c r="N178" i="43" s="1"/>
  <c r="C163" i="43"/>
  <c r="D164" i="43" s="1"/>
  <c r="E165" i="43" s="1"/>
  <c r="F166" i="43" s="1"/>
  <c r="G167" i="43" s="1"/>
  <c r="H168" i="43" s="1"/>
  <c r="I169" i="43" s="1"/>
  <c r="J170" i="43" s="1"/>
  <c r="K171" i="43" s="1"/>
  <c r="L172" i="43" s="1"/>
  <c r="M173" i="43" s="1"/>
  <c r="N174" i="43" s="1"/>
  <c r="C159" i="43"/>
  <c r="D160" i="43" s="1"/>
  <c r="E161" i="43" s="1"/>
  <c r="F162" i="43" s="1"/>
  <c r="G163" i="43" s="1"/>
  <c r="H164" i="43" s="1"/>
  <c r="I165" i="43" s="1"/>
  <c r="J166" i="43" s="1"/>
  <c r="K167" i="43" s="1"/>
  <c r="L168" i="43" s="1"/>
  <c r="M169" i="43" s="1"/>
  <c r="N170" i="43" s="1"/>
  <c r="C155" i="43"/>
  <c r="D156" i="43" s="1"/>
  <c r="E157" i="43" s="1"/>
  <c r="F158" i="43" s="1"/>
  <c r="G159" i="43" s="1"/>
  <c r="H160" i="43" s="1"/>
  <c r="I161" i="43" s="1"/>
  <c r="J162" i="43" s="1"/>
  <c r="K163" i="43" s="1"/>
  <c r="L164" i="43" s="1"/>
  <c r="M165" i="43" s="1"/>
  <c r="N166" i="43" s="1"/>
  <c r="C151" i="43"/>
  <c r="D152" i="43" s="1"/>
  <c r="E153" i="43" s="1"/>
  <c r="F154" i="43" s="1"/>
  <c r="G155" i="43" s="1"/>
  <c r="H156" i="43" s="1"/>
  <c r="I157" i="43" s="1"/>
  <c r="J158" i="43" s="1"/>
  <c r="K159" i="43" s="1"/>
  <c r="L160" i="43" s="1"/>
  <c r="M161" i="43" s="1"/>
  <c r="N162" i="43" s="1"/>
  <c r="C95" i="43"/>
  <c r="D96" i="43" s="1"/>
  <c r="E97" i="43" s="1"/>
  <c r="F98" i="43" s="1"/>
  <c r="G99" i="43" s="1"/>
  <c r="H100" i="43" s="1"/>
  <c r="I101" i="43" s="1"/>
  <c r="J102" i="43" s="1"/>
  <c r="K103" i="43" s="1"/>
  <c r="L104" i="43" s="1"/>
  <c r="M105" i="43" s="1"/>
  <c r="N106" i="43" s="1"/>
  <c r="C87" i="43"/>
  <c r="D88" i="43" s="1"/>
  <c r="E89" i="43" s="1"/>
  <c r="F90" i="43" s="1"/>
  <c r="G91" i="43" s="1"/>
  <c r="H92" i="43" s="1"/>
  <c r="I93" i="43" s="1"/>
  <c r="J94" i="43" s="1"/>
  <c r="K95" i="43" s="1"/>
  <c r="L96" i="43" s="1"/>
  <c r="M97" i="43" s="1"/>
  <c r="N98" i="43" s="1"/>
  <c r="C79" i="43"/>
  <c r="D80" i="43" s="1"/>
  <c r="E81" i="43" s="1"/>
  <c r="F82" i="43" s="1"/>
  <c r="G83" i="43" s="1"/>
  <c r="H84" i="43" s="1"/>
  <c r="I85" i="43" s="1"/>
  <c r="J86" i="43" s="1"/>
  <c r="K87" i="43" s="1"/>
  <c r="L88" i="43" s="1"/>
  <c r="M89" i="43" s="1"/>
  <c r="N90" i="43" s="1"/>
  <c r="C71" i="43"/>
  <c r="D72" i="43" s="1"/>
  <c r="E73" i="43" s="1"/>
  <c r="F74" i="43" s="1"/>
  <c r="G75" i="43" s="1"/>
  <c r="H76" i="43" s="1"/>
  <c r="I77" i="43" s="1"/>
  <c r="J78" i="43" s="1"/>
  <c r="K79" i="43" s="1"/>
  <c r="L80" i="43" s="1"/>
  <c r="M81" i="43" s="1"/>
  <c r="N82" i="43" s="1"/>
  <c r="C63" i="43"/>
  <c r="D64" i="43" s="1"/>
  <c r="E65" i="43" s="1"/>
  <c r="F66" i="43" s="1"/>
  <c r="G67" i="43" s="1"/>
  <c r="H68" i="43" s="1"/>
  <c r="I69" i="43" s="1"/>
  <c r="J70" i="43" s="1"/>
  <c r="K71" i="43" s="1"/>
  <c r="L72" i="43" s="1"/>
  <c r="M73" i="43" s="1"/>
  <c r="N74" i="43" s="1"/>
  <c r="C59" i="43"/>
  <c r="D60" i="43" s="1"/>
  <c r="E61" i="43" s="1"/>
  <c r="F62" i="43" s="1"/>
  <c r="G63" i="43" s="1"/>
  <c r="H64" i="43" s="1"/>
  <c r="I65" i="43" s="1"/>
  <c r="J66" i="43" s="1"/>
  <c r="K67" i="43" s="1"/>
  <c r="L68" i="43" s="1"/>
  <c r="M69" i="43" s="1"/>
  <c r="N70" i="43" s="1"/>
  <c r="C55" i="43"/>
  <c r="D56" i="43" s="1"/>
  <c r="E57" i="43" s="1"/>
  <c r="F58" i="43" s="1"/>
  <c r="G59" i="43" s="1"/>
  <c r="H60" i="43" s="1"/>
  <c r="I61" i="43" s="1"/>
  <c r="J62" i="43" s="1"/>
  <c r="K63" i="43" s="1"/>
  <c r="L64" i="43" s="1"/>
  <c r="M65" i="43" s="1"/>
  <c r="N66" i="43" s="1"/>
  <c r="C51" i="43"/>
  <c r="D52" i="43" s="1"/>
  <c r="E53" i="43" s="1"/>
  <c r="F54" i="43" s="1"/>
  <c r="G55" i="43" s="1"/>
  <c r="H56" i="43" s="1"/>
  <c r="I57" i="43" s="1"/>
  <c r="J58" i="43" s="1"/>
  <c r="K59" i="43" s="1"/>
  <c r="L60" i="43" s="1"/>
  <c r="M61" i="43" s="1"/>
  <c r="N62" i="43" s="1"/>
  <c r="C47" i="43"/>
  <c r="D48" i="43" s="1"/>
  <c r="E49" i="43" s="1"/>
  <c r="F50" i="43" s="1"/>
  <c r="G51" i="43" s="1"/>
  <c r="H52" i="43" s="1"/>
  <c r="I53" i="43" s="1"/>
  <c r="J54" i="43" s="1"/>
  <c r="K55" i="43" s="1"/>
  <c r="L56" i="43" s="1"/>
  <c r="M57" i="43" s="1"/>
  <c r="N58" i="43" s="1"/>
  <c r="C43" i="43"/>
  <c r="D44" i="43" s="1"/>
  <c r="E45" i="43" s="1"/>
  <c r="C39" i="43"/>
  <c r="D40" i="43" s="1"/>
  <c r="E41" i="43" s="1"/>
  <c r="F42" i="43" s="1"/>
  <c r="G43" i="43" s="1"/>
  <c r="H44" i="43" s="1"/>
  <c r="I45" i="43" s="1"/>
  <c r="J46" i="43" s="1"/>
  <c r="K47" i="43" s="1"/>
  <c r="L48" i="43" s="1"/>
  <c r="M49" i="43" s="1"/>
  <c r="N50" i="43" s="1"/>
  <c r="C35" i="43"/>
  <c r="D36" i="43" s="1"/>
  <c r="E37" i="43" s="1"/>
  <c r="F38" i="43" s="1"/>
  <c r="G39" i="43" s="1"/>
  <c r="H40" i="43" s="1"/>
  <c r="I41" i="43" s="1"/>
  <c r="J42" i="43" s="1"/>
  <c r="K43" i="43" s="1"/>
  <c r="L44" i="43" s="1"/>
  <c r="M45" i="43" s="1"/>
  <c r="N46" i="43" s="1"/>
  <c r="C31" i="43"/>
  <c r="D32" i="43" s="1"/>
  <c r="E33" i="43" s="1"/>
  <c r="F34" i="43" s="1"/>
  <c r="G35" i="43" s="1"/>
  <c r="H36" i="43" s="1"/>
  <c r="I37" i="43" s="1"/>
  <c r="J38" i="43" s="1"/>
  <c r="K39" i="43" s="1"/>
  <c r="L40" i="43" s="1"/>
  <c r="M41" i="43" s="1"/>
  <c r="N42" i="43" s="1"/>
  <c r="C27" i="43"/>
  <c r="D28" i="43" s="1"/>
  <c r="E29" i="43" s="1"/>
  <c r="F30" i="43" s="1"/>
  <c r="G31" i="43" s="1"/>
  <c r="H32" i="43" s="1"/>
  <c r="I33" i="43" s="1"/>
  <c r="J34" i="43" s="1"/>
  <c r="K35" i="43" s="1"/>
  <c r="L36" i="43" s="1"/>
  <c r="M37" i="43" s="1"/>
  <c r="N38" i="43" s="1"/>
  <c r="C23" i="43"/>
  <c r="D24" i="43" s="1"/>
  <c r="E25" i="43" s="1"/>
  <c r="F26" i="43" s="1"/>
  <c r="G27" i="43" s="1"/>
  <c r="H28" i="43" s="1"/>
  <c r="I29" i="43" s="1"/>
  <c r="J30" i="43" s="1"/>
  <c r="K31" i="43" s="1"/>
  <c r="L32" i="43" s="1"/>
  <c r="M33" i="43" s="1"/>
  <c r="N34" i="43" s="1"/>
  <c r="C19" i="43"/>
  <c r="D20" i="43" s="1"/>
  <c r="E21" i="43" s="1"/>
  <c r="F22" i="43" s="1"/>
  <c r="G23" i="43" s="1"/>
  <c r="H24" i="43" s="1"/>
  <c r="I25" i="43" s="1"/>
  <c r="J26" i="43" s="1"/>
  <c r="K27" i="43" s="1"/>
  <c r="L28" i="43" s="1"/>
  <c r="M29" i="43" s="1"/>
  <c r="N30" i="43" s="1"/>
  <c r="C15" i="43"/>
  <c r="D16" i="43" s="1"/>
  <c r="E17" i="43" s="1"/>
  <c r="F18" i="43" s="1"/>
  <c r="G19" i="43" s="1"/>
  <c r="H20" i="43" s="1"/>
  <c r="I21" i="43" s="1"/>
  <c r="J22" i="43" s="1"/>
  <c r="K23" i="43" s="1"/>
  <c r="L24" i="43" s="1"/>
  <c r="M25" i="43" s="1"/>
  <c r="N26" i="43" s="1"/>
  <c r="C747" i="43"/>
  <c r="C746" i="43"/>
  <c r="D747" i="43" s="1"/>
  <c r="C745" i="43"/>
  <c r="D746" i="43" s="1"/>
  <c r="E747" i="43" s="1"/>
  <c r="C744" i="43"/>
  <c r="D745" i="43" s="1"/>
  <c r="E746" i="43" s="1"/>
  <c r="F747" i="43" s="1"/>
  <c r="C743" i="43"/>
  <c r="D744" i="43" s="1"/>
  <c r="E745" i="43" s="1"/>
  <c r="F746" i="43" s="1"/>
  <c r="G747" i="43" s="1"/>
  <c r="C742" i="43"/>
  <c r="D743" i="43" s="1"/>
  <c r="E744" i="43" s="1"/>
  <c r="F745" i="43" s="1"/>
  <c r="G746" i="43" s="1"/>
  <c r="H747" i="43" s="1"/>
  <c r="C741" i="43"/>
  <c r="D742" i="43" s="1"/>
  <c r="E743" i="43" s="1"/>
  <c r="F744" i="43" s="1"/>
  <c r="G745" i="43" s="1"/>
  <c r="H746" i="43" s="1"/>
  <c r="I747" i="43" s="1"/>
  <c r="D740" i="43"/>
  <c r="E741" i="43" s="1"/>
  <c r="F742" i="43" s="1"/>
  <c r="G743" i="43" s="1"/>
  <c r="H744" i="43" s="1"/>
  <c r="I745" i="43" s="1"/>
  <c r="J746" i="43" s="1"/>
  <c r="K747" i="43" s="1"/>
  <c r="C740" i="43"/>
  <c r="D741" i="43" s="1"/>
  <c r="E742" i="43" s="1"/>
  <c r="F743" i="43" s="1"/>
  <c r="G744" i="43" s="1"/>
  <c r="H745" i="43" s="1"/>
  <c r="I746" i="43" s="1"/>
  <c r="J747" i="43" s="1"/>
  <c r="C738" i="43"/>
  <c r="D739" i="43" s="1"/>
  <c r="E740" i="43" s="1"/>
  <c r="F741" i="43" s="1"/>
  <c r="G742" i="43" s="1"/>
  <c r="H743" i="43" s="1"/>
  <c r="I744" i="43" s="1"/>
  <c r="J745" i="43" s="1"/>
  <c r="K746" i="43" s="1"/>
  <c r="L747" i="43" s="1"/>
  <c r="C737" i="43"/>
  <c r="D738" i="43" s="1"/>
  <c r="E739" i="43" s="1"/>
  <c r="F740" i="43" s="1"/>
  <c r="G741" i="43" s="1"/>
  <c r="H742" i="43" s="1"/>
  <c r="I743" i="43" s="1"/>
  <c r="J744" i="43" s="1"/>
  <c r="K745" i="43" s="1"/>
  <c r="L746" i="43" s="1"/>
  <c r="M747" i="43" s="1"/>
  <c r="C736" i="43"/>
  <c r="D737" i="43" s="1"/>
  <c r="E738" i="43" s="1"/>
  <c r="F739" i="43" s="1"/>
  <c r="G740" i="43" s="1"/>
  <c r="H741" i="43" s="1"/>
  <c r="I742" i="43" s="1"/>
  <c r="J743" i="43" s="1"/>
  <c r="K744" i="43" s="1"/>
  <c r="L745" i="43" s="1"/>
  <c r="M746" i="43" s="1"/>
  <c r="N747" i="43" s="1"/>
  <c r="C734" i="43"/>
  <c r="D735" i="43" s="1"/>
  <c r="E736" i="43" s="1"/>
  <c r="F737" i="43" s="1"/>
  <c r="G738" i="43" s="1"/>
  <c r="H739" i="43" s="1"/>
  <c r="I740" i="43" s="1"/>
  <c r="J741" i="43" s="1"/>
  <c r="K742" i="43" s="1"/>
  <c r="L743" i="43" s="1"/>
  <c r="M744" i="43" s="1"/>
  <c r="N745" i="43" s="1"/>
  <c r="C733" i="43"/>
  <c r="D734" i="43" s="1"/>
  <c r="E735" i="43" s="1"/>
  <c r="F736" i="43" s="1"/>
  <c r="G737" i="43" s="1"/>
  <c r="H738" i="43" s="1"/>
  <c r="I739" i="43" s="1"/>
  <c r="J740" i="43" s="1"/>
  <c r="K741" i="43" s="1"/>
  <c r="L742" i="43" s="1"/>
  <c r="M743" i="43" s="1"/>
  <c r="N744" i="43" s="1"/>
  <c r="C732" i="43"/>
  <c r="D733" i="43" s="1"/>
  <c r="E734" i="43" s="1"/>
  <c r="F735" i="43" s="1"/>
  <c r="G736" i="43" s="1"/>
  <c r="H737" i="43" s="1"/>
  <c r="I738" i="43" s="1"/>
  <c r="J739" i="43" s="1"/>
  <c r="K740" i="43" s="1"/>
  <c r="L741" i="43" s="1"/>
  <c r="M742" i="43" s="1"/>
  <c r="N743" i="43" s="1"/>
  <c r="C730" i="43"/>
  <c r="D731" i="43" s="1"/>
  <c r="E732" i="43" s="1"/>
  <c r="F733" i="43" s="1"/>
  <c r="G734" i="43" s="1"/>
  <c r="H735" i="43" s="1"/>
  <c r="I736" i="43" s="1"/>
  <c r="J737" i="43" s="1"/>
  <c r="K738" i="43" s="1"/>
  <c r="L739" i="43" s="1"/>
  <c r="M740" i="43" s="1"/>
  <c r="N741" i="43" s="1"/>
  <c r="C729" i="43"/>
  <c r="D730" i="43" s="1"/>
  <c r="E731" i="43" s="1"/>
  <c r="F732" i="43" s="1"/>
  <c r="G733" i="43" s="1"/>
  <c r="H734" i="43" s="1"/>
  <c r="I735" i="43" s="1"/>
  <c r="J736" i="43" s="1"/>
  <c r="K737" i="43" s="1"/>
  <c r="L738" i="43" s="1"/>
  <c r="M739" i="43" s="1"/>
  <c r="N740" i="43" s="1"/>
  <c r="C728" i="43"/>
  <c r="D729" i="43" s="1"/>
  <c r="E730" i="43" s="1"/>
  <c r="F731" i="43" s="1"/>
  <c r="G732" i="43" s="1"/>
  <c r="H733" i="43" s="1"/>
  <c r="I734" i="43" s="1"/>
  <c r="J735" i="43" s="1"/>
  <c r="K736" i="43" s="1"/>
  <c r="L737" i="43" s="1"/>
  <c r="M738" i="43" s="1"/>
  <c r="N739" i="43" s="1"/>
  <c r="C726" i="43"/>
  <c r="D727" i="43" s="1"/>
  <c r="E728" i="43" s="1"/>
  <c r="F729" i="43" s="1"/>
  <c r="G730" i="43" s="1"/>
  <c r="H731" i="43" s="1"/>
  <c r="I732" i="43" s="1"/>
  <c r="J733" i="43" s="1"/>
  <c r="K734" i="43" s="1"/>
  <c r="L735" i="43" s="1"/>
  <c r="M736" i="43" s="1"/>
  <c r="N737" i="43" s="1"/>
  <c r="C725" i="43"/>
  <c r="D726" i="43" s="1"/>
  <c r="E727" i="43" s="1"/>
  <c r="F728" i="43" s="1"/>
  <c r="G729" i="43" s="1"/>
  <c r="H730" i="43" s="1"/>
  <c r="I731" i="43" s="1"/>
  <c r="J732" i="43" s="1"/>
  <c r="K733" i="43" s="1"/>
  <c r="L734" i="43" s="1"/>
  <c r="M735" i="43" s="1"/>
  <c r="N736" i="43" s="1"/>
  <c r="C724" i="43"/>
  <c r="D725" i="43" s="1"/>
  <c r="E726" i="43" s="1"/>
  <c r="F727" i="43" s="1"/>
  <c r="G728" i="43" s="1"/>
  <c r="H729" i="43" s="1"/>
  <c r="I730" i="43" s="1"/>
  <c r="J731" i="43" s="1"/>
  <c r="K732" i="43" s="1"/>
  <c r="L733" i="43" s="1"/>
  <c r="M734" i="43" s="1"/>
  <c r="N735" i="43" s="1"/>
  <c r="C722" i="43"/>
  <c r="D723" i="43" s="1"/>
  <c r="E724" i="43" s="1"/>
  <c r="F725" i="43" s="1"/>
  <c r="G726" i="43" s="1"/>
  <c r="H727" i="43" s="1"/>
  <c r="I728" i="43" s="1"/>
  <c r="J729" i="43" s="1"/>
  <c r="K730" i="43" s="1"/>
  <c r="L731" i="43" s="1"/>
  <c r="M732" i="43" s="1"/>
  <c r="N733" i="43" s="1"/>
  <c r="C721" i="43"/>
  <c r="D722" i="43" s="1"/>
  <c r="E723" i="43" s="1"/>
  <c r="F724" i="43" s="1"/>
  <c r="G725" i="43" s="1"/>
  <c r="H726" i="43" s="1"/>
  <c r="I727" i="43" s="1"/>
  <c r="J728" i="43" s="1"/>
  <c r="K729" i="43" s="1"/>
  <c r="L730" i="43" s="1"/>
  <c r="M731" i="43" s="1"/>
  <c r="N732" i="43" s="1"/>
  <c r="C720" i="43"/>
  <c r="D721" i="43" s="1"/>
  <c r="E722" i="43" s="1"/>
  <c r="F723" i="43" s="1"/>
  <c r="G724" i="43" s="1"/>
  <c r="H725" i="43" s="1"/>
  <c r="I726" i="43" s="1"/>
  <c r="J727" i="43" s="1"/>
  <c r="K728" i="43" s="1"/>
  <c r="L729" i="43" s="1"/>
  <c r="M730" i="43" s="1"/>
  <c r="N731" i="43" s="1"/>
  <c r="C718" i="43"/>
  <c r="D719" i="43" s="1"/>
  <c r="E720" i="43" s="1"/>
  <c r="F721" i="43" s="1"/>
  <c r="G722" i="43" s="1"/>
  <c r="H723" i="43" s="1"/>
  <c r="I724" i="43" s="1"/>
  <c r="J725" i="43" s="1"/>
  <c r="K726" i="43" s="1"/>
  <c r="L727" i="43" s="1"/>
  <c r="M728" i="43" s="1"/>
  <c r="N729" i="43" s="1"/>
  <c r="C717" i="43"/>
  <c r="D718" i="43" s="1"/>
  <c r="E719" i="43" s="1"/>
  <c r="F720" i="43" s="1"/>
  <c r="G721" i="43" s="1"/>
  <c r="H722" i="43" s="1"/>
  <c r="I723" i="43" s="1"/>
  <c r="J724" i="43" s="1"/>
  <c r="K725" i="43" s="1"/>
  <c r="L726" i="43" s="1"/>
  <c r="M727" i="43" s="1"/>
  <c r="N728" i="43" s="1"/>
  <c r="C716" i="43"/>
  <c r="D717" i="43" s="1"/>
  <c r="E718" i="43" s="1"/>
  <c r="F719" i="43" s="1"/>
  <c r="G720" i="43" s="1"/>
  <c r="H721" i="43" s="1"/>
  <c r="I722" i="43" s="1"/>
  <c r="J723" i="43" s="1"/>
  <c r="K724" i="43" s="1"/>
  <c r="L725" i="43" s="1"/>
  <c r="M726" i="43" s="1"/>
  <c r="N727" i="43" s="1"/>
  <c r="C714" i="43"/>
  <c r="D715" i="43" s="1"/>
  <c r="E716" i="43" s="1"/>
  <c r="F717" i="43" s="1"/>
  <c r="G718" i="43" s="1"/>
  <c r="H719" i="43" s="1"/>
  <c r="I720" i="43" s="1"/>
  <c r="J721" i="43" s="1"/>
  <c r="K722" i="43" s="1"/>
  <c r="L723" i="43" s="1"/>
  <c r="M724" i="43" s="1"/>
  <c r="N725" i="43" s="1"/>
  <c r="C713" i="43"/>
  <c r="D714" i="43" s="1"/>
  <c r="E715" i="43" s="1"/>
  <c r="F716" i="43" s="1"/>
  <c r="G717" i="43" s="1"/>
  <c r="H718" i="43" s="1"/>
  <c r="I719" i="43" s="1"/>
  <c r="J720" i="43" s="1"/>
  <c r="K721" i="43" s="1"/>
  <c r="L722" i="43" s="1"/>
  <c r="M723" i="43" s="1"/>
  <c r="N724" i="43" s="1"/>
  <c r="C712" i="43"/>
  <c r="D713" i="43" s="1"/>
  <c r="E714" i="43" s="1"/>
  <c r="F715" i="43" s="1"/>
  <c r="G716" i="43" s="1"/>
  <c r="H717" i="43" s="1"/>
  <c r="I718" i="43" s="1"/>
  <c r="J719" i="43" s="1"/>
  <c r="K720" i="43" s="1"/>
  <c r="L721" i="43" s="1"/>
  <c r="M722" i="43" s="1"/>
  <c r="N723" i="43" s="1"/>
  <c r="C710" i="43"/>
  <c r="D711" i="43" s="1"/>
  <c r="E712" i="43" s="1"/>
  <c r="F713" i="43" s="1"/>
  <c r="G714" i="43" s="1"/>
  <c r="H715" i="43" s="1"/>
  <c r="I716" i="43" s="1"/>
  <c r="J717" i="43" s="1"/>
  <c r="K718" i="43" s="1"/>
  <c r="L719" i="43" s="1"/>
  <c r="M720" i="43" s="1"/>
  <c r="N721" i="43" s="1"/>
  <c r="C709" i="43"/>
  <c r="D710" i="43" s="1"/>
  <c r="E711" i="43" s="1"/>
  <c r="F712" i="43" s="1"/>
  <c r="G713" i="43" s="1"/>
  <c r="H714" i="43" s="1"/>
  <c r="I715" i="43" s="1"/>
  <c r="J716" i="43" s="1"/>
  <c r="K717" i="43" s="1"/>
  <c r="L718" i="43" s="1"/>
  <c r="M719" i="43" s="1"/>
  <c r="N720" i="43" s="1"/>
  <c r="E708" i="43"/>
  <c r="F709" i="43" s="1"/>
  <c r="G710" i="43" s="1"/>
  <c r="H711" i="43" s="1"/>
  <c r="I712" i="43" s="1"/>
  <c r="J713" i="43" s="1"/>
  <c r="K714" i="43" s="1"/>
  <c r="L715" i="43" s="1"/>
  <c r="M716" i="43" s="1"/>
  <c r="N717" i="43" s="1"/>
  <c r="C708" i="43"/>
  <c r="D709" i="43" s="1"/>
  <c r="E710" i="43" s="1"/>
  <c r="F711" i="43" s="1"/>
  <c r="G712" i="43" s="1"/>
  <c r="H713" i="43" s="1"/>
  <c r="I714" i="43" s="1"/>
  <c r="J715" i="43" s="1"/>
  <c r="K716" i="43" s="1"/>
  <c r="L717" i="43" s="1"/>
  <c r="M718" i="43" s="1"/>
  <c r="N719" i="43" s="1"/>
  <c r="C706" i="43"/>
  <c r="D707" i="43" s="1"/>
  <c r="C705" i="43"/>
  <c r="D706" i="43" s="1"/>
  <c r="E707" i="43" s="1"/>
  <c r="F708" i="43" s="1"/>
  <c r="G709" i="43" s="1"/>
  <c r="H710" i="43" s="1"/>
  <c r="I711" i="43" s="1"/>
  <c r="J712" i="43" s="1"/>
  <c r="K713" i="43" s="1"/>
  <c r="L714" i="43" s="1"/>
  <c r="M715" i="43" s="1"/>
  <c r="N716" i="43" s="1"/>
  <c r="C704" i="43"/>
  <c r="D705" i="43" s="1"/>
  <c r="E706" i="43" s="1"/>
  <c r="F707" i="43" s="1"/>
  <c r="G708" i="43" s="1"/>
  <c r="H709" i="43" s="1"/>
  <c r="I710" i="43" s="1"/>
  <c r="J711" i="43" s="1"/>
  <c r="K712" i="43" s="1"/>
  <c r="L713" i="43" s="1"/>
  <c r="M714" i="43" s="1"/>
  <c r="N715" i="43" s="1"/>
  <c r="C702" i="43"/>
  <c r="D703" i="43" s="1"/>
  <c r="E704" i="43" s="1"/>
  <c r="F705" i="43" s="1"/>
  <c r="G706" i="43" s="1"/>
  <c r="H707" i="43" s="1"/>
  <c r="I708" i="43" s="1"/>
  <c r="J709" i="43" s="1"/>
  <c r="K710" i="43" s="1"/>
  <c r="L711" i="43" s="1"/>
  <c r="M712" i="43" s="1"/>
  <c r="N713" i="43" s="1"/>
  <c r="C701" i="43"/>
  <c r="D702" i="43" s="1"/>
  <c r="E703" i="43" s="1"/>
  <c r="F704" i="43" s="1"/>
  <c r="G705" i="43" s="1"/>
  <c r="H706" i="43" s="1"/>
  <c r="I707" i="43" s="1"/>
  <c r="J708" i="43" s="1"/>
  <c r="K709" i="43" s="1"/>
  <c r="L710" i="43" s="1"/>
  <c r="M711" i="43" s="1"/>
  <c r="N712" i="43" s="1"/>
  <c r="C700" i="43"/>
  <c r="D701" i="43" s="1"/>
  <c r="E702" i="43" s="1"/>
  <c r="F703" i="43" s="1"/>
  <c r="G704" i="43" s="1"/>
  <c r="H705" i="43" s="1"/>
  <c r="I706" i="43" s="1"/>
  <c r="J707" i="43" s="1"/>
  <c r="K708" i="43" s="1"/>
  <c r="L709" i="43" s="1"/>
  <c r="M710" i="43" s="1"/>
  <c r="N711" i="43" s="1"/>
  <c r="C698" i="43"/>
  <c r="D699" i="43" s="1"/>
  <c r="E700" i="43" s="1"/>
  <c r="F701" i="43" s="1"/>
  <c r="G702" i="43" s="1"/>
  <c r="H703" i="43" s="1"/>
  <c r="I704" i="43" s="1"/>
  <c r="J705" i="43" s="1"/>
  <c r="K706" i="43" s="1"/>
  <c r="L707" i="43" s="1"/>
  <c r="M708" i="43" s="1"/>
  <c r="N709" i="43" s="1"/>
  <c r="C697" i="43"/>
  <c r="D698" i="43" s="1"/>
  <c r="E699" i="43" s="1"/>
  <c r="F700" i="43" s="1"/>
  <c r="G701" i="43" s="1"/>
  <c r="H702" i="43" s="1"/>
  <c r="I703" i="43" s="1"/>
  <c r="J704" i="43" s="1"/>
  <c r="K705" i="43" s="1"/>
  <c r="L706" i="43" s="1"/>
  <c r="M707" i="43" s="1"/>
  <c r="N708" i="43" s="1"/>
  <c r="C696" i="43"/>
  <c r="D697" i="43" s="1"/>
  <c r="E698" i="43" s="1"/>
  <c r="F699" i="43" s="1"/>
  <c r="G700" i="43" s="1"/>
  <c r="H701" i="43" s="1"/>
  <c r="I702" i="43" s="1"/>
  <c r="J703" i="43" s="1"/>
  <c r="K704" i="43" s="1"/>
  <c r="L705" i="43" s="1"/>
  <c r="M706" i="43" s="1"/>
  <c r="N707" i="43" s="1"/>
  <c r="C694" i="43"/>
  <c r="D695" i="43" s="1"/>
  <c r="E696" i="43" s="1"/>
  <c r="F697" i="43" s="1"/>
  <c r="G698" i="43" s="1"/>
  <c r="H699" i="43" s="1"/>
  <c r="I700" i="43" s="1"/>
  <c r="J701" i="43" s="1"/>
  <c r="K702" i="43" s="1"/>
  <c r="L703" i="43" s="1"/>
  <c r="M704" i="43" s="1"/>
  <c r="N705" i="43" s="1"/>
  <c r="C693" i="43"/>
  <c r="D694" i="43" s="1"/>
  <c r="E695" i="43" s="1"/>
  <c r="F696" i="43" s="1"/>
  <c r="G697" i="43" s="1"/>
  <c r="H698" i="43" s="1"/>
  <c r="I699" i="43" s="1"/>
  <c r="J700" i="43" s="1"/>
  <c r="K701" i="43" s="1"/>
  <c r="L702" i="43" s="1"/>
  <c r="M703" i="43" s="1"/>
  <c r="N704" i="43" s="1"/>
  <c r="C692" i="43"/>
  <c r="D693" i="43" s="1"/>
  <c r="E694" i="43" s="1"/>
  <c r="F695" i="43" s="1"/>
  <c r="G696" i="43" s="1"/>
  <c r="H697" i="43" s="1"/>
  <c r="I698" i="43" s="1"/>
  <c r="J699" i="43" s="1"/>
  <c r="K700" i="43" s="1"/>
  <c r="L701" i="43" s="1"/>
  <c r="M702" i="43" s="1"/>
  <c r="N703" i="43" s="1"/>
  <c r="C690" i="43"/>
  <c r="D691" i="43" s="1"/>
  <c r="E692" i="43" s="1"/>
  <c r="F693" i="43" s="1"/>
  <c r="G694" i="43" s="1"/>
  <c r="H695" i="43" s="1"/>
  <c r="I696" i="43" s="1"/>
  <c r="J697" i="43" s="1"/>
  <c r="K698" i="43" s="1"/>
  <c r="L699" i="43" s="1"/>
  <c r="M700" i="43" s="1"/>
  <c r="N701" i="43" s="1"/>
  <c r="C689" i="43"/>
  <c r="D690" i="43" s="1"/>
  <c r="E691" i="43" s="1"/>
  <c r="F692" i="43" s="1"/>
  <c r="G693" i="43" s="1"/>
  <c r="H694" i="43" s="1"/>
  <c r="I695" i="43" s="1"/>
  <c r="J696" i="43" s="1"/>
  <c r="K697" i="43" s="1"/>
  <c r="L698" i="43" s="1"/>
  <c r="M699" i="43" s="1"/>
  <c r="N700" i="43" s="1"/>
  <c r="C688" i="43"/>
  <c r="D689" i="43" s="1"/>
  <c r="E690" i="43" s="1"/>
  <c r="F691" i="43" s="1"/>
  <c r="G692" i="43" s="1"/>
  <c r="H693" i="43" s="1"/>
  <c r="I694" i="43" s="1"/>
  <c r="J695" i="43" s="1"/>
  <c r="K696" i="43" s="1"/>
  <c r="L697" i="43" s="1"/>
  <c r="M698" i="43" s="1"/>
  <c r="N699" i="43" s="1"/>
  <c r="C686" i="43"/>
  <c r="D687" i="43" s="1"/>
  <c r="E688" i="43" s="1"/>
  <c r="F689" i="43" s="1"/>
  <c r="G690" i="43" s="1"/>
  <c r="H691" i="43" s="1"/>
  <c r="I692" i="43" s="1"/>
  <c r="J693" i="43" s="1"/>
  <c r="K694" i="43" s="1"/>
  <c r="L695" i="43" s="1"/>
  <c r="M696" i="43" s="1"/>
  <c r="N697" i="43" s="1"/>
  <c r="C685" i="43"/>
  <c r="D686" i="43" s="1"/>
  <c r="E687" i="43" s="1"/>
  <c r="F688" i="43" s="1"/>
  <c r="G689" i="43" s="1"/>
  <c r="H690" i="43" s="1"/>
  <c r="I691" i="43" s="1"/>
  <c r="J692" i="43" s="1"/>
  <c r="K693" i="43" s="1"/>
  <c r="L694" i="43" s="1"/>
  <c r="M695" i="43" s="1"/>
  <c r="N696" i="43" s="1"/>
  <c r="C684" i="43"/>
  <c r="D685" i="43" s="1"/>
  <c r="E686" i="43" s="1"/>
  <c r="F687" i="43" s="1"/>
  <c r="G688" i="43" s="1"/>
  <c r="H689" i="43" s="1"/>
  <c r="I690" i="43" s="1"/>
  <c r="J691" i="43" s="1"/>
  <c r="K692" i="43" s="1"/>
  <c r="L693" i="43" s="1"/>
  <c r="M694" i="43" s="1"/>
  <c r="N695" i="43" s="1"/>
  <c r="E683" i="43"/>
  <c r="F684" i="43" s="1"/>
  <c r="G685" i="43" s="1"/>
  <c r="H686" i="43" s="1"/>
  <c r="I687" i="43" s="1"/>
  <c r="J688" i="43" s="1"/>
  <c r="K689" i="43" s="1"/>
  <c r="L690" i="43" s="1"/>
  <c r="M691" i="43" s="1"/>
  <c r="N692" i="43" s="1"/>
  <c r="C682" i="43"/>
  <c r="D683" i="43" s="1"/>
  <c r="E684" i="43" s="1"/>
  <c r="F685" i="43" s="1"/>
  <c r="G686" i="43" s="1"/>
  <c r="H687" i="43" s="1"/>
  <c r="I688" i="43" s="1"/>
  <c r="J689" i="43" s="1"/>
  <c r="K690" i="43" s="1"/>
  <c r="L691" i="43" s="1"/>
  <c r="M692" i="43" s="1"/>
  <c r="N693" i="43" s="1"/>
  <c r="C681" i="43"/>
  <c r="D682" i="43" s="1"/>
  <c r="C680" i="43"/>
  <c r="D681" i="43" s="1"/>
  <c r="E682" i="43" s="1"/>
  <c r="F683" i="43" s="1"/>
  <c r="G684" i="43" s="1"/>
  <c r="H685" i="43" s="1"/>
  <c r="I686" i="43" s="1"/>
  <c r="J687" i="43" s="1"/>
  <c r="K688" i="43" s="1"/>
  <c r="L689" i="43" s="1"/>
  <c r="M690" i="43" s="1"/>
  <c r="N691" i="43" s="1"/>
  <c r="C678" i="43"/>
  <c r="D679" i="43" s="1"/>
  <c r="E680" i="43" s="1"/>
  <c r="F681" i="43" s="1"/>
  <c r="G682" i="43" s="1"/>
  <c r="H683" i="43" s="1"/>
  <c r="I684" i="43" s="1"/>
  <c r="J685" i="43" s="1"/>
  <c r="K686" i="43" s="1"/>
  <c r="L687" i="43" s="1"/>
  <c r="M688" i="43" s="1"/>
  <c r="N689" i="43" s="1"/>
  <c r="C677" i="43"/>
  <c r="D678" i="43" s="1"/>
  <c r="E679" i="43" s="1"/>
  <c r="F680" i="43" s="1"/>
  <c r="G681" i="43" s="1"/>
  <c r="H682" i="43" s="1"/>
  <c r="I683" i="43" s="1"/>
  <c r="J684" i="43" s="1"/>
  <c r="K685" i="43" s="1"/>
  <c r="L686" i="43" s="1"/>
  <c r="M687" i="43" s="1"/>
  <c r="N688" i="43" s="1"/>
  <c r="C676" i="43"/>
  <c r="D677" i="43" s="1"/>
  <c r="E678" i="43" s="1"/>
  <c r="F679" i="43" s="1"/>
  <c r="G680" i="43" s="1"/>
  <c r="H681" i="43" s="1"/>
  <c r="I682" i="43" s="1"/>
  <c r="J683" i="43" s="1"/>
  <c r="K684" i="43" s="1"/>
  <c r="L685" i="43" s="1"/>
  <c r="M686" i="43" s="1"/>
  <c r="N687" i="43" s="1"/>
  <c r="C674" i="43"/>
  <c r="D675" i="43" s="1"/>
  <c r="E676" i="43" s="1"/>
  <c r="F677" i="43" s="1"/>
  <c r="G678" i="43" s="1"/>
  <c r="H679" i="43" s="1"/>
  <c r="I680" i="43" s="1"/>
  <c r="J681" i="43" s="1"/>
  <c r="K682" i="43" s="1"/>
  <c r="L683" i="43" s="1"/>
  <c r="M684" i="43" s="1"/>
  <c r="N685" i="43" s="1"/>
  <c r="C673" i="43"/>
  <c r="D674" i="43" s="1"/>
  <c r="E675" i="43" s="1"/>
  <c r="F676" i="43" s="1"/>
  <c r="G677" i="43" s="1"/>
  <c r="H678" i="43" s="1"/>
  <c r="I679" i="43" s="1"/>
  <c r="J680" i="43" s="1"/>
  <c r="K681" i="43" s="1"/>
  <c r="L682" i="43" s="1"/>
  <c r="M683" i="43" s="1"/>
  <c r="N684" i="43" s="1"/>
  <c r="C672" i="43"/>
  <c r="D673" i="43" s="1"/>
  <c r="E674" i="43" s="1"/>
  <c r="F675" i="43" s="1"/>
  <c r="G676" i="43" s="1"/>
  <c r="H677" i="43" s="1"/>
  <c r="I678" i="43" s="1"/>
  <c r="J679" i="43" s="1"/>
  <c r="K680" i="43" s="1"/>
  <c r="L681" i="43" s="1"/>
  <c r="M682" i="43" s="1"/>
  <c r="N683" i="43" s="1"/>
  <c r="C670" i="43"/>
  <c r="D671" i="43" s="1"/>
  <c r="E672" i="43" s="1"/>
  <c r="F673" i="43" s="1"/>
  <c r="G674" i="43" s="1"/>
  <c r="H675" i="43" s="1"/>
  <c r="I676" i="43" s="1"/>
  <c r="J677" i="43" s="1"/>
  <c r="K678" i="43" s="1"/>
  <c r="L679" i="43" s="1"/>
  <c r="M680" i="43" s="1"/>
  <c r="N681" i="43" s="1"/>
  <c r="C669" i="43"/>
  <c r="D670" i="43" s="1"/>
  <c r="E671" i="43" s="1"/>
  <c r="F672" i="43" s="1"/>
  <c r="G673" i="43" s="1"/>
  <c r="H674" i="43" s="1"/>
  <c r="I675" i="43" s="1"/>
  <c r="J676" i="43" s="1"/>
  <c r="K677" i="43" s="1"/>
  <c r="L678" i="43" s="1"/>
  <c r="M679" i="43" s="1"/>
  <c r="N680" i="43" s="1"/>
  <c r="C668" i="43"/>
  <c r="D669" i="43" s="1"/>
  <c r="E670" i="43" s="1"/>
  <c r="F671" i="43" s="1"/>
  <c r="G672" i="43" s="1"/>
  <c r="H673" i="43" s="1"/>
  <c r="I674" i="43" s="1"/>
  <c r="J675" i="43" s="1"/>
  <c r="K676" i="43" s="1"/>
  <c r="L677" i="43" s="1"/>
  <c r="M678" i="43" s="1"/>
  <c r="N679" i="43" s="1"/>
  <c r="C666" i="43"/>
  <c r="D667" i="43" s="1"/>
  <c r="E668" i="43" s="1"/>
  <c r="F669" i="43" s="1"/>
  <c r="G670" i="43" s="1"/>
  <c r="H671" i="43" s="1"/>
  <c r="I672" i="43" s="1"/>
  <c r="J673" i="43" s="1"/>
  <c r="K674" i="43" s="1"/>
  <c r="L675" i="43" s="1"/>
  <c r="M676" i="43" s="1"/>
  <c r="N677" i="43" s="1"/>
  <c r="C665" i="43"/>
  <c r="D666" i="43" s="1"/>
  <c r="E667" i="43" s="1"/>
  <c r="F668" i="43" s="1"/>
  <c r="G669" i="43" s="1"/>
  <c r="H670" i="43" s="1"/>
  <c r="I671" i="43" s="1"/>
  <c r="J672" i="43" s="1"/>
  <c r="K673" i="43" s="1"/>
  <c r="L674" i="43" s="1"/>
  <c r="M675" i="43" s="1"/>
  <c r="N676" i="43" s="1"/>
  <c r="C664" i="43"/>
  <c r="D665" i="43" s="1"/>
  <c r="E666" i="43" s="1"/>
  <c r="F667" i="43" s="1"/>
  <c r="G668" i="43" s="1"/>
  <c r="H669" i="43" s="1"/>
  <c r="I670" i="43" s="1"/>
  <c r="J671" i="43" s="1"/>
  <c r="K672" i="43" s="1"/>
  <c r="L673" i="43" s="1"/>
  <c r="M674" i="43" s="1"/>
  <c r="N675" i="43" s="1"/>
  <c r="C662" i="43"/>
  <c r="D663" i="43" s="1"/>
  <c r="E664" i="43" s="1"/>
  <c r="F665" i="43" s="1"/>
  <c r="G666" i="43" s="1"/>
  <c r="H667" i="43" s="1"/>
  <c r="I668" i="43" s="1"/>
  <c r="J669" i="43" s="1"/>
  <c r="K670" i="43" s="1"/>
  <c r="L671" i="43" s="1"/>
  <c r="M672" i="43" s="1"/>
  <c r="N673" i="43" s="1"/>
  <c r="C661" i="43"/>
  <c r="D662" i="43" s="1"/>
  <c r="E663" i="43" s="1"/>
  <c r="F664" i="43" s="1"/>
  <c r="G665" i="43" s="1"/>
  <c r="H666" i="43" s="1"/>
  <c r="I667" i="43" s="1"/>
  <c r="J668" i="43" s="1"/>
  <c r="K669" i="43" s="1"/>
  <c r="L670" i="43" s="1"/>
  <c r="M671" i="43" s="1"/>
  <c r="N672" i="43" s="1"/>
  <c r="C660" i="43"/>
  <c r="D661" i="43" s="1"/>
  <c r="E662" i="43" s="1"/>
  <c r="F663" i="43" s="1"/>
  <c r="G664" i="43" s="1"/>
  <c r="H665" i="43" s="1"/>
  <c r="I666" i="43" s="1"/>
  <c r="J667" i="43" s="1"/>
  <c r="K668" i="43" s="1"/>
  <c r="L669" i="43" s="1"/>
  <c r="M670" i="43" s="1"/>
  <c r="N671" i="43" s="1"/>
  <c r="C658" i="43"/>
  <c r="D659" i="43" s="1"/>
  <c r="E660" i="43" s="1"/>
  <c r="F661" i="43" s="1"/>
  <c r="G662" i="43" s="1"/>
  <c r="H663" i="43" s="1"/>
  <c r="I664" i="43" s="1"/>
  <c r="J665" i="43" s="1"/>
  <c r="K666" i="43" s="1"/>
  <c r="L667" i="43" s="1"/>
  <c r="M668" i="43" s="1"/>
  <c r="N669" i="43" s="1"/>
  <c r="C657" i="43"/>
  <c r="D658" i="43" s="1"/>
  <c r="E659" i="43" s="1"/>
  <c r="F660" i="43" s="1"/>
  <c r="G661" i="43" s="1"/>
  <c r="H662" i="43" s="1"/>
  <c r="I663" i="43" s="1"/>
  <c r="J664" i="43" s="1"/>
  <c r="K665" i="43" s="1"/>
  <c r="L666" i="43" s="1"/>
  <c r="M667" i="43" s="1"/>
  <c r="N668" i="43" s="1"/>
  <c r="C656" i="43"/>
  <c r="D657" i="43" s="1"/>
  <c r="E658" i="43" s="1"/>
  <c r="F659" i="43" s="1"/>
  <c r="G660" i="43" s="1"/>
  <c r="H661" i="43" s="1"/>
  <c r="I662" i="43" s="1"/>
  <c r="J663" i="43" s="1"/>
  <c r="K664" i="43" s="1"/>
  <c r="L665" i="43" s="1"/>
  <c r="M666" i="43" s="1"/>
  <c r="N667" i="43" s="1"/>
  <c r="C654" i="43"/>
  <c r="D655" i="43" s="1"/>
  <c r="E656" i="43" s="1"/>
  <c r="F657" i="43" s="1"/>
  <c r="G658" i="43" s="1"/>
  <c r="H659" i="43" s="1"/>
  <c r="I660" i="43" s="1"/>
  <c r="J661" i="43" s="1"/>
  <c r="K662" i="43" s="1"/>
  <c r="L663" i="43" s="1"/>
  <c r="M664" i="43" s="1"/>
  <c r="N665" i="43" s="1"/>
  <c r="C653" i="43"/>
  <c r="D654" i="43" s="1"/>
  <c r="E655" i="43" s="1"/>
  <c r="F656" i="43" s="1"/>
  <c r="G657" i="43" s="1"/>
  <c r="H658" i="43" s="1"/>
  <c r="I659" i="43" s="1"/>
  <c r="J660" i="43" s="1"/>
  <c r="K661" i="43" s="1"/>
  <c r="L662" i="43" s="1"/>
  <c r="M663" i="43" s="1"/>
  <c r="N664" i="43" s="1"/>
  <c r="C652" i="43"/>
  <c r="D653" i="43" s="1"/>
  <c r="E654" i="43" s="1"/>
  <c r="F655" i="43" s="1"/>
  <c r="G656" i="43" s="1"/>
  <c r="H657" i="43" s="1"/>
  <c r="I658" i="43" s="1"/>
  <c r="J659" i="43" s="1"/>
  <c r="K660" i="43" s="1"/>
  <c r="L661" i="43" s="1"/>
  <c r="M662" i="43" s="1"/>
  <c r="N663" i="43" s="1"/>
  <c r="C650" i="43"/>
  <c r="D651" i="43" s="1"/>
  <c r="E652" i="43" s="1"/>
  <c r="F653" i="43" s="1"/>
  <c r="G654" i="43" s="1"/>
  <c r="H655" i="43" s="1"/>
  <c r="I656" i="43" s="1"/>
  <c r="J657" i="43" s="1"/>
  <c r="K658" i="43" s="1"/>
  <c r="L659" i="43" s="1"/>
  <c r="M660" i="43" s="1"/>
  <c r="N661" i="43" s="1"/>
  <c r="C649" i="43"/>
  <c r="D650" i="43" s="1"/>
  <c r="E651" i="43" s="1"/>
  <c r="F652" i="43" s="1"/>
  <c r="G653" i="43" s="1"/>
  <c r="H654" i="43" s="1"/>
  <c r="I655" i="43" s="1"/>
  <c r="J656" i="43" s="1"/>
  <c r="K657" i="43" s="1"/>
  <c r="L658" i="43" s="1"/>
  <c r="M659" i="43" s="1"/>
  <c r="N660" i="43" s="1"/>
  <c r="C648" i="43"/>
  <c r="D649" i="43" s="1"/>
  <c r="E650" i="43" s="1"/>
  <c r="F651" i="43" s="1"/>
  <c r="G652" i="43" s="1"/>
  <c r="H653" i="43" s="1"/>
  <c r="I654" i="43" s="1"/>
  <c r="J655" i="43" s="1"/>
  <c r="K656" i="43" s="1"/>
  <c r="L657" i="43" s="1"/>
  <c r="M658" i="43" s="1"/>
  <c r="N659" i="43" s="1"/>
  <c r="C646" i="43"/>
  <c r="D647" i="43" s="1"/>
  <c r="E648" i="43" s="1"/>
  <c r="F649" i="43" s="1"/>
  <c r="G650" i="43" s="1"/>
  <c r="H651" i="43" s="1"/>
  <c r="I652" i="43" s="1"/>
  <c r="J653" i="43" s="1"/>
  <c r="K654" i="43" s="1"/>
  <c r="L655" i="43" s="1"/>
  <c r="M656" i="43" s="1"/>
  <c r="N657" i="43" s="1"/>
  <c r="C645" i="43"/>
  <c r="D646" i="43" s="1"/>
  <c r="E647" i="43" s="1"/>
  <c r="F648" i="43" s="1"/>
  <c r="G649" i="43" s="1"/>
  <c r="H650" i="43" s="1"/>
  <c r="I651" i="43" s="1"/>
  <c r="J652" i="43" s="1"/>
  <c r="K653" i="43" s="1"/>
  <c r="L654" i="43" s="1"/>
  <c r="M655" i="43" s="1"/>
  <c r="N656" i="43" s="1"/>
  <c r="C644" i="43"/>
  <c r="D645" i="43" s="1"/>
  <c r="E646" i="43" s="1"/>
  <c r="F647" i="43" s="1"/>
  <c r="G648" i="43" s="1"/>
  <c r="H649" i="43" s="1"/>
  <c r="I650" i="43" s="1"/>
  <c r="J651" i="43" s="1"/>
  <c r="K652" i="43" s="1"/>
  <c r="L653" i="43" s="1"/>
  <c r="M654" i="43" s="1"/>
  <c r="N655" i="43" s="1"/>
  <c r="C642" i="43"/>
  <c r="D643" i="43" s="1"/>
  <c r="E644" i="43" s="1"/>
  <c r="F645" i="43" s="1"/>
  <c r="G646" i="43" s="1"/>
  <c r="H647" i="43" s="1"/>
  <c r="I648" i="43" s="1"/>
  <c r="J649" i="43" s="1"/>
  <c r="K650" i="43" s="1"/>
  <c r="L651" i="43" s="1"/>
  <c r="M652" i="43" s="1"/>
  <c r="N653" i="43" s="1"/>
  <c r="C641" i="43"/>
  <c r="D642" i="43" s="1"/>
  <c r="E643" i="43" s="1"/>
  <c r="F644" i="43" s="1"/>
  <c r="G645" i="43" s="1"/>
  <c r="H646" i="43" s="1"/>
  <c r="I647" i="43" s="1"/>
  <c r="J648" i="43" s="1"/>
  <c r="K649" i="43" s="1"/>
  <c r="L650" i="43" s="1"/>
  <c r="M651" i="43" s="1"/>
  <c r="N652" i="43" s="1"/>
  <c r="C640" i="43"/>
  <c r="D641" i="43" s="1"/>
  <c r="E642" i="43" s="1"/>
  <c r="F643" i="43" s="1"/>
  <c r="G644" i="43" s="1"/>
  <c r="H645" i="43" s="1"/>
  <c r="I646" i="43" s="1"/>
  <c r="J647" i="43" s="1"/>
  <c r="K648" i="43" s="1"/>
  <c r="L649" i="43" s="1"/>
  <c r="M650" i="43" s="1"/>
  <c r="N651" i="43" s="1"/>
  <c r="C638" i="43"/>
  <c r="D639" i="43" s="1"/>
  <c r="E640" i="43" s="1"/>
  <c r="F641" i="43" s="1"/>
  <c r="G642" i="43" s="1"/>
  <c r="H643" i="43" s="1"/>
  <c r="I644" i="43" s="1"/>
  <c r="J645" i="43" s="1"/>
  <c r="K646" i="43" s="1"/>
  <c r="L647" i="43" s="1"/>
  <c r="M648" i="43" s="1"/>
  <c r="N649" i="43" s="1"/>
  <c r="C637" i="43"/>
  <c r="D638" i="43" s="1"/>
  <c r="E639" i="43" s="1"/>
  <c r="F640" i="43" s="1"/>
  <c r="G641" i="43" s="1"/>
  <c r="H642" i="43" s="1"/>
  <c r="I643" i="43" s="1"/>
  <c r="J644" i="43" s="1"/>
  <c r="K645" i="43" s="1"/>
  <c r="L646" i="43" s="1"/>
  <c r="M647" i="43" s="1"/>
  <c r="N648" i="43" s="1"/>
  <c r="C636" i="43"/>
  <c r="D637" i="43" s="1"/>
  <c r="E638" i="43" s="1"/>
  <c r="F639" i="43" s="1"/>
  <c r="G640" i="43" s="1"/>
  <c r="H641" i="43" s="1"/>
  <c r="I642" i="43" s="1"/>
  <c r="J643" i="43" s="1"/>
  <c r="K644" i="43" s="1"/>
  <c r="L645" i="43" s="1"/>
  <c r="M646" i="43" s="1"/>
  <c r="N647" i="43" s="1"/>
  <c r="D634" i="43"/>
  <c r="E635" i="43" s="1"/>
  <c r="F636" i="43" s="1"/>
  <c r="G637" i="43" s="1"/>
  <c r="H638" i="43" s="1"/>
  <c r="I639" i="43" s="1"/>
  <c r="J640" i="43" s="1"/>
  <c r="K641" i="43" s="1"/>
  <c r="L642" i="43" s="1"/>
  <c r="M643" i="43" s="1"/>
  <c r="N644" i="43" s="1"/>
  <c r="C634" i="43"/>
  <c r="D635" i="43" s="1"/>
  <c r="E636" i="43" s="1"/>
  <c r="F637" i="43" s="1"/>
  <c r="G638" i="43" s="1"/>
  <c r="H639" i="43" s="1"/>
  <c r="I640" i="43" s="1"/>
  <c r="J641" i="43" s="1"/>
  <c r="K642" i="43" s="1"/>
  <c r="L643" i="43" s="1"/>
  <c r="M644" i="43" s="1"/>
  <c r="N645" i="43" s="1"/>
  <c r="C633" i="43"/>
  <c r="C632" i="43"/>
  <c r="D633" i="43" s="1"/>
  <c r="E634" i="43" s="1"/>
  <c r="F635" i="43" s="1"/>
  <c r="G636" i="43" s="1"/>
  <c r="H637" i="43" s="1"/>
  <c r="I638" i="43" s="1"/>
  <c r="J639" i="43" s="1"/>
  <c r="K640" i="43" s="1"/>
  <c r="L641" i="43" s="1"/>
  <c r="M642" i="43" s="1"/>
  <c r="N643" i="43" s="1"/>
  <c r="C630" i="43"/>
  <c r="D631" i="43" s="1"/>
  <c r="E632" i="43" s="1"/>
  <c r="F633" i="43" s="1"/>
  <c r="G634" i="43" s="1"/>
  <c r="H635" i="43" s="1"/>
  <c r="I636" i="43" s="1"/>
  <c r="J637" i="43" s="1"/>
  <c r="K638" i="43" s="1"/>
  <c r="L639" i="43" s="1"/>
  <c r="M640" i="43" s="1"/>
  <c r="N641" i="43" s="1"/>
  <c r="C629" i="43"/>
  <c r="D630" i="43" s="1"/>
  <c r="E631" i="43" s="1"/>
  <c r="F632" i="43" s="1"/>
  <c r="G633" i="43" s="1"/>
  <c r="H634" i="43" s="1"/>
  <c r="I635" i="43" s="1"/>
  <c r="J636" i="43" s="1"/>
  <c r="K637" i="43" s="1"/>
  <c r="L638" i="43" s="1"/>
  <c r="M639" i="43" s="1"/>
  <c r="N640" i="43" s="1"/>
  <c r="C628" i="43"/>
  <c r="D629" i="43" s="1"/>
  <c r="E630" i="43" s="1"/>
  <c r="F631" i="43" s="1"/>
  <c r="G632" i="43" s="1"/>
  <c r="H633" i="43" s="1"/>
  <c r="I634" i="43" s="1"/>
  <c r="J635" i="43" s="1"/>
  <c r="K636" i="43" s="1"/>
  <c r="L637" i="43" s="1"/>
  <c r="M638" i="43" s="1"/>
  <c r="N639" i="43" s="1"/>
  <c r="C626" i="43"/>
  <c r="D627" i="43" s="1"/>
  <c r="E628" i="43" s="1"/>
  <c r="F629" i="43" s="1"/>
  <c r="G630" i="43" s="1"/>
  <c r="H631" i="43" s="1"/>
  <c r="I632" i="43" s="1"/>
  <c r="J633" i="43" s="1"/>
  <c r="K634" i="43" s="1"/>
  <c r="L635" i="43" s="1"/>
  <c r="M636" i="43" s="1"/>
  <c r="N637" i="43" s="1"/>
  <c r="C625" i="43"/>
  <c r="D626" i="43" s="1"/>
  <c r="E627" i="43" s="1"/>
  <c r="F628" i="43" s="1"/>
  <c r="G629" i="43" s="1"/>
  <c r="H630" i="43" s="1"/>
  <c r="I631" i="43" s="1"/>
  <c r="J632" i="43" s="1"/>
  <c r="K633" i="43" s="1"/>
  <c r="L634" i="43" s="1"/>
  <c r="M635" i="43" s="1"/>
  <c r="N636" i="43" s="1"/>
  <c r="C624" i="43"/>
  <c r="D625" i="43" s="1"/>
  <c r="E626" i="43" s="1"/>
  <c r="F627" i="43" s="1"/>
  <c r="G628" i="43" s="1"/>
  <c r="H629" i="43" s="1"/>
  <c r="I630" i="43" s="1"/>
  <c r="J631" i="43" s="1"/>
  <c r="K632" i="43" s="1"/>
  <c r="L633" i="43" s="1"/>
  <c r="M634" i="43" s="1"/>
  <c r="N635" i="43" s="1"/>
  <c r="C622" i="43"/>
  <c r="D623" i="43" s="1"/>
  <c r="E624" i="43" s="1"/>
  <c r="F625" i="43" s="1"/>
  <c r="G626" i="43" s="1"/>
  <c r="H627" i="43" s="1"/>
  <c r="I628" i="43" s="1"/>
  <c r="J629" i="43" s="1"/>
  <c r="K630" i="43" s="1"/>
  <c r="L631" i="43" s="1"/>
  <c r="M632" i="43" s="1"/>
  <c r="N633" i="43" s="1"/>
  <c r="K621" i="43"/>
  <c r="L622" i="43" s="1"/>
  <c r="M623" i="43" s="1"/>
  <c r="N624" i="43" s="1"/>
  <c r="C621" i="43"/>
  <c r="D622" i="43" s="1"/>
  <c r="E623" i="43" s="1"/>
  <c r="F624" i="43" s="1"/>
  <c r="G625" i="43" s="1"/>
  <c r="H626" i="43" s="1"/>
  <c r="I627" i="43" s="1"/>
  <c r="J628" i="43" s="1"/>
  <c r="K629" i="43" s="1"/>
  <c r="L630" i="43" s="1"/>
  <c r="M631" i="43" s="1"/>
  <c r="N632" i="43" s="1"/>
  <c r="C620" i="43"/>
  <c r="D621" i="43" s="1"/>
  <c r="E622" i="43" s="1"/>
  <c r="F623" i="43" s="1"/>
  <c r="G624" i="43" s="1"/>
  <c r="H625" i="43" s="1"/>
  <c r="I626" i="43" s="1"/>
  <c r="J627" i="43" s="1"/>
  <c r="K628" i="43" s="1"/>
  <c r="L629" i="43" s="1"/>
  <c r="M630" i="43" s="1"/>
  <c r="N631" i="43" s="1"/>
  <c r="C618" i="43"/>
  <c r="D619" i="43" s="1"/>
  <c r="E620" i="43" s="1"/>
  <c r="F621" i="43" s="1"/>
  <c r="G622" i="43" s="1"/>
  <c r="H623" i="43" s="1"/>
  <c r="I624" i="43" s="1"/>
  <c r="J625" i="43" s="1"/>
  <c r="K626" i="43" s="1"/>
  <c r="L627" i="43" s="1"/>
  <c r="M628" i="43" s="1"/>
  <c r="N629" i="43" s="1"/>
  <c r="C617" i="43"/>
  <c r="D618" i="43" s="1"/>
  <c r="E619" i="43" s="1"/>
  <c r="F620" i="43" s="1"/>
  <c r="G621" i="43" s="1"/>
  <c r="H622" i="43" s="1"/>
  <c r="I623" i="43" s="1"/>
  <c r="J624" i="43" s="1"/>
  <c r="K625" i="43" s="1"/>
  <c r="L626" i="43" s="1"/>
  <c r="M627" i="43" s="1"/>
  <c r="N628" i="43" s="1"/>
  <c r="C616" i="43"/>
  <c r="D617" i="43" s="1"/>
  <c r="E618" i="43" s="1"/>
  <c r="F619" i="43" s="1"/>
  <c r="G620" i="43" s="1"/>
  <c r="H621" i="43" s="1"/>
  <c r="I622" i="43" s="1"/>
  <c r="J623" i="43" s="1"/>
  <c r="K624" i="43" s="1"/>
  <c r="L625" i="43" s="1"/>
  <c r="M626" i="43" s="1"/>
  <c r="N627" i="43" s="1"/>
  <c r="C614" i="43"/>
  <c r="D615" i="43" s="1"/>
  <c r="E616" i="43" s="1"/>
  <c r="F617" i="43" s="1"/>
  <c r="G618" i="43" s="1"/>
  <c r="H619" i="43" s="1"/>
  <c r="I620" i="43" s="1"/>
  <c r="J621" i="43" s="1"/>
  <c r="K622" i="43" s="1"/>
  <c r="L623" i="43" s="1"/>
  <c r="M624" i="43" s="1"/>
  <c r="N625" i="43" s="1"/>
  <c r="C613" i="43"/>
  <c r="D614" i="43" s="1"/>
  <c r="E615" i="43" s="1"/>
  <c r="F616" i="43" s="1"/>
  <c r="G617" i="43" s="1"/>
  <c r="H618" i="43" s="1"/>
  <c r="I619" i="43" s="1"/>
  <c r="J620" i="43" s="1"/>
  <c r="C612" i="43"/>
  <c r="D613" i="43" s="1"/>
  <c r="E614" i="43" s="1"/>
  <c r="F615" i="43" s="1"/>
  <c r="G616" i="43" s="1"/>
  <c r="H617" i="43" s="1"/>
  <c r="I618" i="43" s="1"/>
  <c r="J619" i="43" s="1"/>
  <c r="K620" i="43" s="1"/>
  <c r="L621" i="43" s="1"/>
  <c r="M622" i="43" s="1"/>
  <c r="N623" i="43" s="1"/>
  <c r="C610" i="43"/>
  <c r="D611" i="43" s="1"/>
  <c r="E612" i="43" s="1"/>
  <c r="F613" i="43" s="1"/>
  <c r="G614" i="43" s="1"/>
  <c r="H615" i="43" s="1"/>
  <c r="I616" i="43" s="1"/>
  <c r="J617" i="43" s="1"/>
  <c r="K618" i="43" s="1"/>
  <c r="L619" i="43" s="1"/>
  <c r="M620" i="43" s="1"/>
  <c r="N621" i="43" s="1"/>
  <c r="C609" i="43"/>
  <c r="D610" i="43" s="1"/>
  <c r="E611" i="43" s="1"/>
  <c r="F612" i="43" s="1"/>
  <c r="G613" i="43" s="1"/>
  <c r="H614" i="43" s="1"/>
  <c r="I615" i="43" s="1"/>
  <c r="J616" i="43" s="1"/>
  <c r="K617" i="43" s="1"/>
  <c r="L618" i="43" s="1"/>
  <c r="M619" i="43" s="1"/>
  <c r="N620" i="43" s="1"/>
  <c r="C608" i="43"/>
  <c r="D609" i="43" s="1"/>
  <c r="E610" i="43" s="1"/>
  <c r="F611" i="43" s="1"/>
  <c r="G612" i="43" s="1"/>
  <c r="H613" i="43" s="1"/>
  <c r="I614" i="43" s="1"/>
  <c r="J615" i="43" s="1"/>
  <c r="K616" i="43" s="1"/>
  <c r="L617" i="43" s="1"/>
  <c r="M618" i="43" s="1"/>
  <c r="N619" i="43" s="1"/>
  <c r="C606" i="43"/>
  <c r="D607" i="43" s="1"/>
  <c r="E608" i="43" s="1"/>
  <c r="F609" i="43" s="1"/>
  <c r="G610" i="43" s="1"/>
  <c r="H611" i="43" s="1"/>
  <c r="I612" i="43" s="1"/>
  <c r="J613" i="43" s="1"/>
  <c r="K614" i="43" s="1"/>
  <c r="L615" i="43" s="1"/>
  <c r="M616" i="43" s="1"/>
  <c r="N617" i="43" s="1"/>
  <c r="C605" i="43"/>
  <c r="D606" i="43" s="1"/>
  <c r="E607" i="43" s="1"/>
  <c r="F608" i="43" s="1"/>
  <c r="G609" i="43" s="1"/>
  <c r="H610" i="43" s="1"/>
  <c r="I611" i="43" s="1"/>
  <c r="J612" i="43" s="1"/>
  <c r="K613" i="43" s="1"/>
  <c r="L614" i="43" s="1"/>
  <c r="M615" i="43" s="1"/>
  <c r="N616" i="43" s="1"/>
  <c r="C604" i="43"/>
  <c r="D605" i="43" s="1"/>
  <c r="E606" i="43" s="1"/>
  <c r="F607" i="43" s="1"/>
  <c r="G608" i="43" s="1"/>
  <c r="H609" i="43" s="1"/>
  <c r="I610" i="43" s="1"/>
  <c r="J611" i="43" s="1"/>
  <c r="K612" i="43" s="1"/>
  <c r="L613" i="43" s="1"/>
  <c r="M614" i="43" s="1"/>
  <c r="N615" i="43" s="1"/>
  <c r="C602" i="43"/>
  <c r="D603" i="43" s="1"/>
  <c r="E604" i="43" s="1"/>
  <c r="F605" i="43" s="1"/>
  <c r="G606" i="43" s="1"/>
  <c r="H607" i="43" s="1"/>
  <c r="I608" i="43" s="1"/>
  <c r="J609" i="43" s="1"/>
  <c r="K610" i="43" s="1"/>
  <c r="L611" i="43" s="1"/>
  <c r="M612" i="43" s="1"/>
  <c r="N613" i="43" s="1"/>
  <c r="C601" i="43"/>
  <c r="D602" i="43" s="1"/>
  <c r="E603" i="43" s="1"/>
  <c r="F604" i="43" s="1"/>
  <c r="G605" i="43" s="1"/>
  <c r="H606" i="43" s="1"/>
  <c r="I607" i="43" s="1"/>
  <c r="J608" i="43" s="1"/>
  <c r="K609" i="43" s="1"/>
  <c r="L610" i="43" s="1"/>
  <c r="M611" i="43" s="1"/>
  <c r="N612" i="43" s="1"/>
  <c r="C600" i="43"/>
  <c r="D601" i="43" s="1"/>
  <c r="E602" i="43" s="1"/>
  <c r="F603" i="43" s="1"/>
  <c r="G604" i="43" s="1"/>
  <c r="H605" i="43" s="1"/>
  <c r="I606" i="43" s="1"/>
  <c r="J607" i="43" s="1"/>
  <c r="K608" i="43" s="1"/>
  <c r="L609" i="43" s="1"/>
  <c r="M610" i="43" s="1"/>
  <c r="N611" i="43" s="1"/>
  <c r="C598" i="43"/>
  <c r="D599" i="43" s="1"/>
  <c r="E600" i="43" s="1"/>
  <c r="F601" i="43" s="1"/>
  <c r="G602" i="43" s="1"/>
  <c r="H603" i="43" s="1"/>
  <c r="I604" i="43" s="1"/>
  <c r="J605" i="43" s="1"/>
  <c r="K606" i="43" s="1"/>
  <c r="L607" i="43" s="1"/>
  <c r="M608" i="43" s="1"/>
  <c r="N609" i="43" s="1"/>
  <c r="C597" i="43"/>
  <c r="D598" i="43" s="1"/>
  <c r="E599" i="43" s="1"/>
  <c r="F600" i="43" s="1"/>
  <c r="G601" i="43" s="1"/>
  <c r="H602" i="43" s="1"/>
  <c r="I603" i="43" s="1"/>
  <c r="J604" i="43" s="1"/>
  <c r="K605" i="43" s="1"/>
  <c r="L606" i="43" s="1"/>
  <c r="M607" i="43" s="1"/>
  <c r="N608" i="43" s="1"/>
  <c r="C596" i="43"/>
  <c r="D597" i="43" s="1"/>
  <c r="E598" i="43" s="1"/>
  <c r="F599" i="43" s="1"/>
  <c r="G600" i="43" s="1"/>
  <c r="H601" i="43" s="1"/>
  <c r="I602" i="43" s="1"/>
  <c r="J603" i="43" s="1"/>
  <c r="K604" i="43" s="1"/>
  <c r="L605" i="43" s="1"/>
  <c r="M606" i="43" s="1"/>
  <c r="N607" i="43" s="1"/>
  <c r="C594" i="43"/>
  <c r="D595" i="43" s="1"/>
  <c r="E596" i="43" s="1"/>
  <c r="F597" i="43" s="1"/>
  <c r="G598" i="43" s="1"/>
  <c r="H599" i="43" s="1"/>
  <c r="I600" i="43" s="1"/>
  <c r="J601" i="43" s="1"/>
  <c r="K602" i="43" s="1"/>
  <c r="L603" i="43" s="1"/>
  <c r="M604" i="43" s="1"/>
  <c r="N605" i="43" s="1"/>
  <c r="C593" i="43"/>
  <c r="D594" i="43" s="1"/>
  <c r="E595" i="43" s="1"/>
  <c r="F596" i="43" s="1"/>
  <c r="G597" i="43" s="1"/>
  <c r="H598" i="43" s="1"/>
  <c r="I599" i="43" s="1"/>
  <c r="J600" i="43" s="1"/>
  <c r="K601" i="43" s="1"/>
  <c r="L602" i="43" s="1"/>
  <c r="M603" i="43" s="1"/>
  <c r="N604" i="43" s="1"/>
  <c r="C592" i="43"/>
  <c r="D593" i="43" s="1"/>
  <c r="E594" i="43" s="1"/>
  <c r="F595" i="43" s="1"/>
  <c r="G596" i="43" s="1"/>
  <c r="H597" i="43" s="1"/>
  <c r="I598" i="43" s="1"/>
  <c r="J599" i="43" s="1"/>
  <c r="K600" i="43" s="1"/>
  <c r="L601" i="43" s="1"/>
  <c r="M602" i="43" s="1"/>
  <c r="N603" i="43" s="1"/>
  <c r="C590" i="43"/>
  <c r="D591" i="43" s="1"/>
  <c r="E592" i="43" s="1"/>
  <c r="F593" i="43" s="1"/>
  <c r="G594" i="43" s="1"/>
  <c r="H595" i="43" s="1"/>
  <c r="I596" i="43" s="1"/>
  <c r="J597" i="43" s="1"/>
  <c r="K598" i="43" s="1"/>
  <c r="L599" i="43" s="1"/>
  <c r="M600" i="43" s="1"/>
  <c r="N601" i="43" s="1"/>
  <c r="C589" i="43"/>
  <c r="D590" i="43" s="1"/>
  <c r="E591" i="43" s="1"/>
  <c r="F592" i="43" s="1"/>
  <c r="G593" i="43" s="1"/>
  <c r="H594" i="43" s="1"/>
  <c r="I595" i="43" s="1"/>
  <c r="J596" i="43" s="1"/>
  <c r="K597" i="43" s="1"/>
  <c r="L598" i="43" s="1"/>
  <c r="M599" i="43" s="1"/>
  <c r="N600" i="43" s="1"/>
  <c r="C588" i="43"/>
  <c r="D589" i="43" s="1"/>
  <c r="E590" i="43" s="1"/>
  <c r="F591" i="43" s="1"/>
  <c r="G592" i="43" s="1"/>
  <c r="H593" i="43" s="1"/>
  <c r="I594" i="43" s="1"/>
  <c r="J595" i="43" s="1"/>
  <c r="K596" i="43" s="1"/>
  <c r="L597" i="43" s="1"/>
  <c r="M598" i="43" s="1"/>
  <c r="N599" i="43" s="1"/>
  <c r="C586" i="43"/>
  <c r="D587" i="43" s="1"/>
  <c r="E588" i="43" s="1"/>
  <c r="F589" i="43" s="1"/>
  <c r="G590" i="43" s="1"/>
  <c r="H591" i="43" s="1"/>
  <c r="I592" i="43" s="1"/>
  <c r="J593" i="43" s="1"/>
  <c r="K594" i="43" s="1"/>
  <c r="L595" i="43" s="1"/>
  <c r="M596" i="43" s="1"/>
  <c r="N597" i="43" s="1"/>
  <c r="C585" i="43"/>
  <c r="D586" i="43" s="1"/>
  <c r="E587" i="43" s="1"/>
  <c r="F588" i="43" s="1"/>
  <c r="G589" i="43" s="1"/>
  <c r="H590" i="43" s="1"/>
  <c r="I591" i="43" s="1"/>
  <c r="J592" i="43" s="1"/>
  <c r="K593" i="43" s="1"/>
  <c r="L594" i="43" s="1"/>
  <c r="M595" i="43" s="1"/>
  <c r="N596" i="43" s="1"/>
  <c r="C584" i="43"/>
  <c r="D585" i="43" s="1"/>
  <c r="E586" i="43" s="1"/>
  <c r="F587" i="43" s="1"/>
  <c r="G588" i="43" s="1"/>
  <c r="H589" i="43" s="1"/>
  <c r="I590" i="43" s="1"/>
  <c r="J591" i="43" s="1"/>
  <c r="K592" i="43" s="1"/>
  <c r="L593" i="43" s="1"/>
  <c r="M594" i="43" s="1"/>
  <c r="N595" i="43" s="1"/>
  <c r="C582" i="43"/>
  <c r="D583" i="43" s="1"/>
  <c r="E584" i="43" s="1"/>
  <c r="F585" i="43" s="1"/>
  <c r="G586" i="43" s="1"/>
  <c r="H587" i="43" s="1"/>
  <c r="I588" i="43" s="1"/>
  <c r="J589" i="43" s="1"/>
  <c r="K590" i="43" s="1"/>
  <c r="L591" i="43" s="1"/>
  <c r="M592" i="43" s="1"/>
  <c r="N593" i="43" s="1"/>
  <c r="C581" i="43"/>
  <c r="D582" i="43" s="1"/>
  <c r="E583" i="43" s="1"/>
  <c r="F584" i="43" s="1"/>
  <c r="G585" i="43" s="1"/>
  <c r="H586" i="43" s="1"/>
  <c r="I587" i="43" s="1"/>
  <c r="J588" i="43" s="1"/>
  <c r="K589" i="43" s="1"/>
  <c r="L590" i="43" s="1"/>
  <c r="M591" i="43" s="1"/>
  <c r="N592" i="43" s="1"/>
  <c r="C580" i="43"/>
  <c r="D581" i="43" s="1"/>
  <c r="E582" i="43" s="1"/>
  <c r="F583" i="43" s="1"/>
  <c r="G584" i="43" s="1"/>
  <c r="H585" i="43" s="1"/>
  <c r="I586" i="43" s="1"/>
  <c r="J587" i="43" s="1"/>
  <c r="K588" i="43" s="1"/>
  <c r="L589" i="43" s="1"/>
  <c r="M590" i="43" s="1"/>
  <c r="N591" i="43" s="1"/>
  <c r="C578" i="43"/>
  <c r="D579" i="43" s="1"/>
  <c r="E580" i="43" s="1"/>
  <c r="F581" i="43" s="1"/>
  <c r="G582" i="43" s="1"/>
  <c r="H583" i="43" s="1"/>
  <c r="I584" i="43" s="1"/>
  <c r="J585" i="43" s="1"/>
  <c r="K586" i="43" s="1"/>
  <c r="L587" i="43" s="1"/>
  <c r="M588" i="43" s="1"/>
  <c r="N589" i="43" s="1"/>
  <c r="C577" i="43"/>
  <c r="D578" i="43" s="1"/>
  <c r="E579" i="43" s="1"/>
  <c r="F580" i="43" s="1"/>
  <c r="G581" i="43" s="1"/>
  <c r="H582" i="43" s="1"/>
  <c r="I583" i="43" s="1"/>
  <c r="J584" i="43" s="1"/>
  <c r="K585" i="43" s="1"/>
  <c r="L586" i="43" s="1"/>
  <c r="M587" i="43" s="1"/>
  <c r="N588" i="43" s="1"/>
  <c r="C576" i="43"/>
  <c r="D577" i="43" s="1"/>
  <c r="E578" i="43" s="1"/>
  <c r="F579" i="43" s="1"/>
  <c r="G580" i="43" s="1"/>
  <c r="H581" i="43" s="1"/>
  <c r="I582" i="43" s="1"/>
  <c r="J583" i="43" s="1"/>
  <c r="K584" i="43" s="1"/>
  <c r="L585" i="43" s="1"/>
  <c r="M586" i="43" s="1"/>
  <c r="N587" i="43" s="1"/>
  <c r="C574" i="43"/>
  <c r="D575" i="43" s="1"/>
  <c r="E576" i="43" s="1"/>
  <c r="F577" i="43" s="1"/>
  <c r="G578" i="43" s="1"/>
  <c r="H579" i="43" s="1"/>
  <c r="I580" i="43" s="1"/>
  <c r="J581" i="43" s="1"/>
  <c r="K582" i="43" s="1"/>
  <c r="L583" i="43" s="1"/>
  <c r="M584" i="43" s="1"/>
  <c r="N585" i="43" s="1"/>
  <c r="C573" i="43"/>
  <c r="D574" i="43" s="1"/>
  <c r="E575" i="43" s="1"/>
  <c r="F576" i="43" s="1"/>
  <c r="G577" i="43" s="1"/>
  <c r="H578" i="43" s="1"/>
  <c r="I579" i="43" s="1"/>
  <c r="J580" i="43" s="1"/>
  <c r="K581" i="43" s="1"/>
  <c r="L582" i="43" s="1"/>
  <c r="M583" i="43" s="1"/>
  <c r="N584" i="43" s="1"/>
  <c r="C572" i="43"/>
  <c r="D573" i="43" s="1"/>
  <c r="E574" i="43" s="1"/>
  <c r="F575" i="43" s="1"/>
  <c r="G576" i="43" s="1"/>
  <c r="H577" i="43" s="1"/>
  <c r="I578" i="43" s="1"/>
  <c r="J579" i="43" s="1"/>
  <c r="K580" i="43" s="1"/>
  <c r="L581" i="43" s="1"/>
  <c r="M582" i="43" s="1"/>
  <c r="N583" i="43" s="1"/>
  <c r="C570" i="43"/>
  <c r="D571" i="43" s="1"/>
  <c r="E572" i="43" s="1"/>
  <c r="F573" i="43" s="1"/>
  <c r="G574" i="43" s="1"/>
  <c r="H575" i="43" s="1"/>
  <c r="I576" i="43" s="1"/>
  <c r="J577" i="43" s="1"/>
  <c r="K578" i="43" s="1"/>
  <c r="L579" i="43" s="1"/>
  <c r="M580" i="43" s="1"/>
  <c r="N581" i="43" s="1"/>
  <c r="C569" i="43"/>
  <c r="D570" i="43" s="1"/>
  <c r="E571" i="43" s="1"/>
  <c r="F572" i="43" s="1"/>
  <c r="G573" i="43" s="1"/>
  <c r="H574" i="43" s="1"/>
  <c r="I575" i="43" s="1"/>
  <c r="J576" i="43" s="1"/>
  <c r="K577" i="43" s="1"/>
  <c r="L578" i="43" s="1"/>
  <c r="M579" i="43" s="1"/>
  <c r="N580" i="43" s="1"/>
  <c r="C568" i="43"/>
  <c r="D569" i="43" s="1"/>
  <c r="E570" i="43" s="1"/>
  <c r="F571" i="43" s="1"/>
  <c r="G572" i="43" s="1"/>
  <c r="H573" i="43" s="1"/>
  <c r="I574" i="43" s="1"/>
  <c r="J575" i="43" s="1"/>
  <c r="K576" i="43" s="1"/>
  <c r="L577" i="43" s="1"/>
  <c r="M578" i="43" s="1"/>
  <c r="N579" i="43" s="1"/>
  <c r="C566" i="43"/>
  <c r="D567" i="43" s="1"/>
  <c r="E568" i="43" s="1"/>
  <c r="F569" i="43" s="1"/>
  <c r="G570" i="43" s="1"/>
  <c r="H571" i="43" s="1"/>
  <c r="I572" i="43" s="1"/>
  <c r="J573" i="43" s="1"/>
  <c r="K574" i="43" s="1"/>
  <c r="L575" i="43" s="1"/>
  <c r="M576" i="43" s="1"/>
  <c r="N577" i="43" s="1"/>
  <c r="C565" i="43"/>
  <c r="D566" i="43" s="1"/>
  <c r="E567" i="43" s="1"/>
  <c r="F568" i="43" s="1"/>
  <c r="G569" i="43" s="1"/>
  <c r="H570" i="43" s="1"/>
  <c r="I571" i="43" s="1"/>
  <c r="J572" i="43" s="1"/>
  <c r="K573" i="43" s="1"/>
  <c r="L574" i="43" s="1"/>
  <c r="M575" i="43" s="1"/>
  <c r="N576" i="43" s="1"/>
  <c r="C564" i="43"/>
  <c r="D565" i="43" s="1"/>
  <c r="E566" i="43" s="1"/>
  <c r="F567" i="43" s="1"/>
  <c r="G568" i="43" s="1"/>
  <c r="H569" i="43" s="1"/>
  <c r="I570" i="43" s="1"/>
  <c r="J571" i="43" s="1"/>
  <c r="K572" i="43" s="1"/>
  <c r="L573" i="43" s="1"/>
  <c r="M574" i="43" s="1"/>
  <c r="N575" i="43" s="1"/>
  <c r="C562" i="43"/>
  <c r="D563" i="43" s="1"/>
  <c r="E564" i="43" s="1"/>
  <c r="F565" i="43" s="1"/>
  <c r="G566" i="43" s="1"/>
  <c r="H567" i="43" s="1"/>
  <c r="I568" i="43" s="1"/>
  <c r="J569" i="43" s="1"/>
  <c r="K570" i="43" s="1"/>
  <c r="L571" i="43" s="1"/>
  <c r="M572" i="43" s="1"/>
  <c r="N573" i="43" s="1"/>
  <c r="C561" i="43"/>
  <c r="D562" i="43" s="1"/>
  <c r="E563" i="43" s="1"/>
  <c r="F564" i="43" s="1"/>
  <c r="G565" i="43" s="1"/>
  <c r="H566" i="43" s="1"/>
  <c r="I567" i="43" s="1"/>
  <c r="J568" i="43" s="1"/>
  <c r="K569" i="43" s="1"/>
  <c r="L570" i="43" s="1"/>
  <c r="M571" i="43" s="1"/>
  <c r="N572" i="43" s="1"/>
  <c r="C560" i="43"/>
  <c r="D561" i="43" s="1"/>
  <c r="E562" i="43" s="1"/>
  <c r="F563" i="43" s="1"/>
  <c r="G564" i="43" s="1"/>
  <c r="H565" i="43" s="1"/>
  <c r="I566" i="43" s="1"/>
  <c r="J567" i="43" s="1"/>
  <c r="K568" i="43" s="1"/>
  <c r="L569" i="43" s="1"/>
  <c r="M570" i="43" s="1"/>
  <c r="N571" i="43" s="1"/>
  <c r="C558" i="43"/>
  <c r="D559" i="43" s="1"/>
  <c r="E560" i="43" s="1"/>
  <c r="F561" i="43" s="1"/>
  <c r="G562" i="43" s="1"/>
  <c r="H563" i="43" s="1"/>
  <c r="I564" i="43" s="1"/>
  <c r="J565" i="43" s="1"/>
  <c r="K566" i="43" s="1"/>
  <c r="L567" i="43" s="1"/>
  <c r="M568" i="43" s="1"/>
  <c r="N569" i="43" s="1"/>
  <c r="C557" i="43"/>
  <c r="D558" i="43" s="1"/>
  <c r="E559" i="43" s="1"/>
  <c r="F560" i="43" s="1"/>
  <c r="G561" i="43" s="1"/>
  <c r="H562" i="43" s="1"/>
  <c r="I563" i="43" s="1"/>
  <c r="J564" i="43" s="1"/>
  <c r="K565" i="43" s="1"/>
  <c r="L566" i="43" s="1"/>
  <c r="M567" i="43" s="1"/>
  <c r="N568" i="43" s="1"/>
  <c r="C556" i="43"/>
  <c r="D557" i="43" s="1"/>
  <c r="E558" i="43" s="1"/>
  <c r="F559" i="43" s="1"/>
  <c r="G560" i="43" s="1"/>
  <c r="H561" i="43" s="1"/>
  <c r="I562" i="43" s="1"/>
  <c r="J563" i="43" s="1"/>
  <c r="K564" i="43" s="1"/>
  <c r="L565" i="43" s="1"/>
  <c r="M566" i="43" s="1"/>
  <c r="N567" i="43" s="1"/>
  <c r="C554" i="43"/>
  <c r="D555" i="43" s="1"/>
  <c r="E556" i="43" s="1"/>
  <c r="F557" i="43" s="1"/>
  <c r="G558" i="43" s="1"/>
  <c r="H559" i="43" s="1"/>
  <c r="I560" i="43" s="1"/>
  <c r="J561" i="43" s="1"/>
  <c r="K562" i="43" s="1"/>
  <c r="L563" i="43" s="1"/>
  <c r="M564" i="43" s="1"/>
  <c r="N565" i="43" s="1"/>
  <c r="C553" i="43"/>
  <c r="D554" i="43" s="1"/>
  <c r="E555" i="43" s="1"/>
  <c r="F556" i="43" s="1"/>
  <c r="G557" i="43" s="1"/>
  <c r="H558" i="43" s="1"/>
  <c r="I559" i="43" s="1"/>
  <c r="J560" i="43" s="1"/>
  <c r="K561" i="43" s="1"/>
  <c r="L562" i="43" s="1"/>
  <c r="M563" i="43" s="1"/>
  <c r="N564" i="43" s="1"/>
  <c r="C552" i="43"/>
  <c r="D553" i="43" s="1"/>
  <c r="E554" i="43" s="1"/>
  <c r="F555" i="43" s="1"/>
  <c r="G556" i="43" s="1"/>
  <c r="H557" i="43" s="1"/>
  <c r="I558" i="43" s="1"/>
  <c r="J559" i="43" s="1"/>
  <c r="K560" i="43" s="1"/>
  <c r="L561" i="43" s="1"/>
  <c r="M562" i="43" s="1"/>
  <c r="N563" i="43" s="1"/>
  <c r="C550" i="43"/>
  <c r="D551" i="43" s="1"/>
  <c r="E552" i="43" s="1"/>
  <c r="F553" i="43" s="1"/>
  <c r="G554" i="43" s="1"/>
  <c r="H555" i="43" s="1"/>
  <c r="I556" i="43" s="1"/>
  <c r="J557" i="43" s="1"/>
  <c r="K558" i="43" s="1"/>
  <c r="L559" i="43" s="1"/>
  <c r="M560" i="43" s="1"/>
  <c r="N561" i="43" s="1"/>
  <c r="C549" i="43"/>
  <c r="D550" i="43" s="1"/>
  <c r="E551" i="43" s="1"/>
  <c r="F552" i="43" s="1"/>
  <c r="G553" i="43" s="1"/>
  <c r="H554" i="43" s="1"/>
  <c r="I555" i="43" s="1"/>
  <c r="J556" i="43" s="1"/>
  <c r="K557" i="43" s="1"/>
  <c r="L558" i="43" s="1"/>
  <c r="M559" i="43" s="1"/>
  <c r="N560" i="43" s="1"/>
  <c r="C548" i="43"/>
  <c r="D549" i="43" s="1"/>
  <c r="E550" i="43" s="1"/>
  <c r="F551" i="43" s="1"/>
  <c r="G552" i="43" s="1"/>
  <c r="H553" i="43" s="1"/>
  <c r="I554" i="43" s="1"/>
  <c r="J555" i="43" s="1"/>
  <c r="K556" i="43" s="1"/>
  <c r="L557" i="43" s="1"/>
  <c r="M558" i="43" s="1"/>
  <c r="N559" i="43" s="1"/>
  <c r="C546" i="43"/>
  <c r="D547" i="43" s="1"/>
  <c r="E548" i="43" s="1"/>
  <c r="F549" i="43" s="1"/>
  <c r="G550" i="43" s="1"/>
  <c r="H551" i="43" s="1"/>
  <c r="I552" i="43" s="1"/>
  <c r="J553" i="43" s="1"/>
  <c r="K554" i="43" s="1"/>
  <c r="L555" i="43" s="1"/>
  <c r="M556" i="43" s="1"/>
  <c r="N557" i="43" s="1"/>
  <c r="C545" i="43"/>
  <c r="D546" i="43" s="1"/>
  <c r="E547" i="43" s="1"/>
  <c r="F548" i="43" s="1"/>
  <c r="G549" i="43" s="1"/>
  <c r="H550" i="43" s="1"/>
  <c r="I551" i="43" s="1"/>
  <c r="J552" i="43" s="1"/>
  <c r="K553" i="43" s="1"/>
  <c r="L554" i="43" s="1"/>
  <c r="M555" i="43" s="1"/>
  <c r="N556" i="43" s="1"/>
  <c r="C544" i="43"/>
  <c r="D545" i="43" s="1"/>
  <c r="E546" i="43" s="1"/>
  <c r="F547" i="43" s="1"/>
  <c r="G548" i="43" s="1"/>
  <c r="H549" i="43" s="1"/>
  <c r="I550" i="43" s="1"/>
  <c r="J551" i="43" s="1"/>
  <c r="K552" i="43" s="1"/>
  <c r="L553" i="43" s="1"/>
  <c r="M554" i="43" s="1"/>
  <c r="N555" i="43" s="1"/>
  <c r="C542" i="43"/>
  <c r="D543" i="43" s="1"/>
  <c r="E544" i="43" s="1"/>
  <c r="F545" i="43" s="1"/>
  <c r="G546" i="43" s="1"/>
  <c r="H547" i="43" s="1"/>
  <c r="I548" i="43" s="1"/>
  <c r="J549" i="43" s="1"/>
  <c r="K550" i="43" s="1"/>
  <c r="L551" i="43" s="1"/>
  <c r="M552" i="43" s="1"/>
  <c r="N553" i="43" s="1"/>
  <c r="C541" i="43"/>
  <c r="D542" i="43" s="1"/>
  <c r="E543" i="43" s="1"/>
  <c r="F544" i="43" s="1"/>
  <c r="G545" i="43" s="1"/>
  <c r="H546" i="43" s="1"/>
  <c r="I547" i="43" s="1"/>
  <c r="J548" i="43" s="1"/>
  <c r="K549" i="43" s="1"/>
  <c r="L550" i="43" s="1"/>
  <c r="M551" i="43" s="1"/>
  <c r="N552" i="43" s="1"/>
  <c r="C540" i="43"/>
  <c r="D541" i="43" s="1"/>
  <c r="E542" i="43" s="1"/>
  <c r="F543" i="43" s="1"/>
  <c r="G544" i="43" s="1"/>
  <c r="H545" i="43" s="1"/>
  <c r="I546" i="43" s="1"/>
  <c r="J547" i="43" s="1"/>
  <c r="K548" i="43" s="1"/>
  <c r="L549" i="43" s="1"/>
  <c r="M550" i="43" s="1"/>
  <c r="N551" i="43" s="1"/>
  <c r="C538" i="43"/>
  <c r="D539" i="43" s="1"/>
  <c r="E540" i="43" s="1"/>
  <c r="F541" i="43" s="1"/>
  <c r="G542" i="43" s="1"/>
  <c r="H543" i="43" s="1"/>
  <c r="I544" i="43" s="1"/>
  <c r="J545" i="43" s="1"/>
  <c r="K546" i="43" s="1"/>
  <c r="L547" i="43" s="1"/>
  <c r="M548" i="43" s="1"/>
  <c r="N549" i="43" s="1"/>
  <c r="C537" i="43"/>
  <c r="D538" i="43" s="1"/>
  <c r="E539" i="43" s="1"/>
  <c r="F540" i="43" s="1"/>
  <c r="G541" i="43" s="1"/>
  <c r="H542" i="43" s="1"/>
  <c r="I543" i="43" s="1"/>
  <c r="J544" i="43" s="1"/>
  <c r="K545" i="43" s="1"/>
  <c r="L546" i="43" s="1"/>
  <c r="M547" i="43" s="1"/>
  <c r="N548" i="43" s="1"/>
  <c r="C536" i="43"/>
  <c r="D537" i="43" s="1"/>
  <c r="E538" i="43" s="1"/>
  <c r="F539" i="43" s="1"/>
  <c r="G540" i="43" s="1"/>
  <c r="H541" i="43" s="1"/>
  <c r="I542" i="43" s="1"/>
  <c r="J543" i="43" s="1"/>
  <c r="K544" i="43" s="1"/>
  <c r="L545" i="43" s="1"/>
  <c r="M546" i="43" s="1"/>
  <c r="N547" i="43" s="1"/>
  <c r="E535" i="43"/>
  <c r="F536" i="43" s="1"/>
  <c r="G537" i="43" s="1"/>
  <c r="H538" i="43" s="1"/>
  <c r="I539" i="43" s="1"/>
  <c r="J540" i="43" s="1"/>
  <c r="K541" i="43" s="1"/>
  <c r="L542" i="43" s="1"/>
  <c r="M543" i="43" s="1"/>
  <c r="N544" i="43" s="1"/>
  <c r="C534" i="43"/>
  <c r="D535" i="43" s="1"/>
  <c r="E536" i="43" s="1"/>
  <c r="F537" i="43" s="1"/>
  <c r="G538" i="43" s="1"/>
  <c r="H539" i="43" s="1"/>
  <c r="I540" i="43" s="1"/>
  <c r="J541" i="43" s="1"/>
  <c r="K542" i="43" s="1"/>
  <c r="L543" i="43" s="1"/>
  <c r="M544" i="43" s="1"/>
  <c r="N545" i="43" s="1"/>
  <c r="C533" i="43"/>
  <c r="D534" i="43" s="1"/>
  <c r="C532" i="43"/>
  <c r="D533" i="43" s="1"/>
  <c r="E534" i="43" s="1"/>
  <c r="F535" i="43" s="1"/>
  <c r="G536" i="43" s="1"/>
  <c r="H537" i="43" s="1"/>
  <c r="I538" i="43" s="1"/>
  <c r="J539" i="43" s="1"/>
  <c r="K540" i="43" s="1"/>
  <c r="L541" i="43" s="1"/>
  <c r="M542" i="43" s="1"/>
  <c r="N543" i="43" s="1"/>
  <c r="E531" i="43"/>
  <c r="F532" i="43" s="1"/>
  <c r="G533" i="43" s="1"/>
  <c r="H534" i="43" s="1"/>
  <c r="I535" i="43" s="1"/>
  <c r="J536" i="43" s="1"/>
  <c r="K537" i="43" s="1"/>
  <c r="L538" i="43" s="1"/>
  <c r="M539" i="43" s="1"/>
  <c r="N540" i="43" s="1"/>
  <c r="C530" i="43"/>
  <c r="D531" i="43" s="1"/>
  <c r="E532" i="43" s="1"/>
  <c r="F533" i="43" s="1"/>
  <c r="G534" i="43" s="1"/>
  <c r="H535" i="43" s="1"/>
  <c r="I536" i="43" s="1"/>
  <c r="J537" i="43" s="1"/>
  <c r="K538" i="43" s="1"/>
  <c r="L539" i="43" s="1"/>
  <c r="M540" i="43" s="1"/>
  <c r="N541" i="43" s="1"/>
  <c r="C529" i="43"/>
  <c r="D530" i="43" s="1"/>
  <c r="C528" i="43"/>
  <c r="D529" i="43" s="1"/>
  <c r="E530" i="43" s="1"/>
  <c r="F531" i="43" s="1"/>
  <c r="G532" i="43" s="1"/>
  <c r="H533" i="43" s="1"/>
  <c r="I534" i="43" s="1"/>
  <c r="J535" i="43" s="1"/>
  <c r="K536" i="43" s="1"/>
  <c r="L537" i="43" s="1"/>
  <c r="M538" i="43" s="1"/>
  <c r="N539" i="43" s="1"/>
  <c r="C526" i="43"/>
  <c r="D527" i="43" s="1"/>
  <c r="E528" i="43" s="1"/>
  <c r="F529" i="43" s="1"/>
  <c r="G530" i="43" s="1"/>
  <c r="H531" i="43" s="1"/>
  <c r="I532" i="43" s="1"/>
  <c r="J533" i="43" s="1"/>
  <c r="K534" i="43" s="1"/>
  <c r="L535" i="43" s="1"/>
  <c r="M536" i="43" s="1"/>
  <c r="N537" i="43" s="1"/>
  <c r="C525" i="43"/>
  <c r="D526" i="43" s="1"/>
  <c r="E527" i="43" s="1"/>
  <c r="F528" i="43" s="1"/>
  <c r="G529" i="43" s="1"/>
  <c r="H530" i="43" s="1"/>
  <c r="I531" i="43" s="1"/>
  <c r="J532" i="43" s="1"/>
  <c r="K533" i="43" s="1"/>
  <c r="L534" i="43" s="1"/>
  <c r="M535" i="43" s="1"/>
  <c r="N536" i="43" s="1"/>
  <c r="C524" i="43"/>
  <c r="D525" i="43" s="1"/>
  <c r="E526" i="43" s="1"/>
  <c r="F527" i="43" s="1"/>
  <c r="G528" i="43" s="1"/>
  <c r="H529" i="43" s="1"/>
  <c r="I530" i="43" s="1"/>
  <c r="J531" i="43" s="1"/>
  <c r="K532" i="43" s="1"/>
  <c r="L533" i="43" s="1"/>
  <c r="M534" i="43" s="1"/>
  <c r="N535" i="43" s="1"/>
  <c r="C522" i="43"/>
  <c r="D523" i="43" s="1"/>
  <c r="E524" i="43" s="1"/>
  <c r="F525" i="43" s="1"/>
  <c r="G526" i="43" s="1"/>
  <c r="H527" i="43" s="1"/>
  <c r="I528" i="43" s="1"/>
  <c r="J529" i="43" s="1"/>
  <c r="K530" i="43" s="1"/>
  <c r="L531" i="43" s="1"/>
  <c r="M532" i="43" s="1"/>
  <c r="N533" i="43" s="1"/>
  <c r="C521" i="43"/>
  <c r="D522" i="43" s="1"/>
  <c r="E523" i="43" s="1"/>
  <c r="F524" i="43" s="1"/>
  <c r="G525" i="43" s="1"/>
  <c r="H526" i="43" s="1"/>
  <c r="I527" i="43" s="1"/>
  <c r="J528" i="43" s="1"/>
  <c r="K529" i="43" s="1"/>
  <c r="L530" i="43" s="1"/>
  <c r="M531" i="43" s="1"/>
  <c r="N532" i="43" s="1"/>
  <c r="C520" i="43"/>
  <c r="D521" i="43" s="1"/>
  <c r="E522" i="43" s="1"/>
  <c r="F523" i="43" s="1"/>
  <c r="G524" i="43" s="1"/>
  <c r="H525" i="43" s="1"/>
  <c r="I526" i="43" s="1"/>
  <c r="J527" i="43" s="1"/>
  <c r="K528" i="43" s="1"/>
  <c r="L529" i="43" s="1"/>
  <c r="M530" i="43" s="1"/>
  <c r="N531" i="43" s="1"/>
  <c r="C518" i="43"/>
  <c r="D519" i="43" s="1"/>
  <c r="E520" i="43" s="1"/>
  <c r="F521" i="43" s="1"/>
  <c r="G522" i="43" s="1"/>
  <c r="H523" i="43" s="1"/>
  <c r="I524" i="43" s="1"/>
  <c r="J525" i="43" s="1"/>
  <c r="K526" i="43" s="1"/>
  <c r="L527" i="43" s="1"/>
  <c r="M528" i="43" s="1"/>
  <c r="N529" i="43" s="1"/>
  <c r="C517" i="43"/>
  <c r="D518" i="43" s="1"/>
  <c r="E519" i="43" s="1"/>
  <c r="F520" i="43" s="1"/>
  <c r="G521" i="43" s="1"/>
  <c r="H522" i="43" s="1"/>
  <c r="I523" i="43" s="1"/>
  <c r="J524" i="43" s="1"/>
  <c r="K525" i="43" s="1"/>
  <c r="L526" i="43" s="1"/>
  <c r="M527" i="43" s="1"/>
  <c r="N528" i="43" s="1"/>
  <c r="C516" i="43"/>
  <c r="D517" i="43" s="1"/>
  <c r="E518" i="43" s="1"/>
  <c r="F519" i="43" s="1"/>
  <c r="G520" i="43" s="1"/>
  <c r="H521" i="43" s="1"/>
  <c r="I522" i="43" s="1"/>
  <c r="J523" i="43" s="1"/>
  <c r="K524" i="43" s="1"/>
  <c r="L525" i="43" s="1"/>
  <c r="M526" i="43" s="1"/>
  <c r="N527" i="43" s="1"/>
  <c r="C514" i="43"/>
  <c r="D515" i="43" s="1"/>
  <c r="E516" i="43" s="1"/>
  <c r="F517" i="43" s="1"/>
  <c r="G518" i="43" s="1"/>
  <c r="H519" i="43" s="1"/>
  <c r="I520" i="43" s="1"/>
  <c r="J521" i="43" s="1"/>
  <c r="K522" i="43" s="1"/>
  <c r="L523" i="43" s="1"/>
  <c r="M524" i="43" s="1"/>
  <c r="N525" i="43" s="1"/>
  <c r="C513" i="43"/>
  <c r="D514" i="43" s="1"/>
  <c r="E515" i="43" s="1"/>
  <c r="F516" i="43" s="1"/>
  <c r="G517" i="43" s="1"/>
  <c r="H518" i="43" s="1"/>
  <c r="I519" i="43" s="1"/>
  <c r="J520" i="43" s="1"/>
  <c r="K521" i="43" s="1"/>
  <c r="L522" i="43" s="1"/>
  <c r="M523" i="43" s="1"/>
  <c r="N524" i="43" s="1"/>
  <c r="C512" i="43"/>
  <c r="D513" i="43" s="1"/>
  <c r="E514" i="43" s="1"/>
  <c r="F515" i="43" s="1"/>
  <c r="G516" i="43" s="1"/>
  <c r="H517" i="43" s="1"/>
  <c r="I518" i="43" s="1"/>
  <c r="J519" i="43" s="1"/>
  <c r="K520" i="43" s="1"/>
  <c r="L521" i="43" s="1"/>
  <c r="M522" i="43" s="1"/>
  <c r="N523" i="43" s="1"/>
  <c r="C510" i="43"/>
  <c r="D511" i="43" s="1"/>
  <c r="E512" i="43" s="1"/>
  <c r="F513" i="43" s="1"/>
  <c r="G514" i="43" s="1"/>
  <c r="H515" i="43" s="1"/>
  <c r="I516" i="43" s="1"/>
  <c r="J517" i="43" s="1"/>
  <c r="K518" i="43" s="1"/>
  <c r="L519" i="43" s="1"/>
  <c r="M520" i="43" s="1"/>
  <c r="N521" i="43" s="1"/>
  <c r="C509" i="43"/>
  <c r="D510" i="43" s="1"/>
  <c r="E511" i="43" s="1"/>
  <c r="F512" i="43" s="1"/>
  <c r="G513" i="43" s="1"/>
  <c r="H514" i="43" s="1"/>
  <c r="I515" i="43" s="1"/>
  <c r="J516" i="43" s="1"/>
  <c r="K517" i="43" s="1"/>
  <c r="L518" i="43" s="1"/>
  <c r="M519" i="43" s="1"/>
  <c r="N520" i="43" s="1"/>
  <c r="C508" i="43"/>
  <c r="D509" i="43" s="1"/>
  <c r="E510" i="43" s="1"/>
  <c r="F511" i="43" s="1"/>
  <c r="G512" i="43" s="1"/>
  <c r="H513" i="43" s="1"/>
  <c r="I514" i="43" s="1"/>
  <c r="J515" i="43" s="1"/>
  <c r="K516" i="43" s="1"/>
  <c r="L517" i="43" s="1"/>
  <c r="M518" i="43" s="1"/>
  <c r="N519" i="43" s="1"/>
  <c r="C506" i="43"/>
  <c r="D507" i="43" s="1"/>
  <c r="E508" i="43" s="1"/>
  <c r="F509" i="43" s="1"/>
  <c r="G510" i="43" s="1"/>
  <c r="H511" i="43" s="1"/>
  <c r="I512" i="43" s="1"/>
  <c r="J513" i="43" s="1"/>
  <c r="K514" i="43" s="1"/>
  <c r="L515" i="43" s="1"/>
  <c r="M516" i="43" s="1"/>
  <c r="N517" i="43" s="1"/>
  <c r="C505" i="43"/>
  <c r="D506" i="43" s="1"/>
  <c r="E507" i="43" s="1"/>
  <c r="F508" i="43" s="1"/>
  <c r="G509" i="43" s="1"/>
  <c r="H510" i="43" s="1"/>
  <c r="I511" i="43" s="1"/>
  <c r="J512" i="43" s="1"/>
  <c r="K513" i="43" s="1"/>
  <c r="L514" i="43" s="1"/>
  <c r="M515" i="43" s="1"/>
  <c r="N516" i="43" s="1"/>
  <c r="C504" i="43"/>
  <c r="D505" i="43" s="1"/>
  <c r="E506" i="43" s="1"/>
  <c r="F507" i="43" s="1"/>
  <c r="G508" i="43" s="1"/>
  <c r="H509" i="43" s="1"/>
  <c r="I510" i="43" s="1"/>
  <c r="J511" i="43" s="1"/>
  <c r="K512" i="43" s="1"/>
  <c r="L513" i="43" s="1"/>
  <c r="M514" i="43" s="1"/>
  <c r="N515" i="43" s="1"/>
  <c r="C502" i="43"/>
  <c r="D503" i="43" s="1"/>
  <c r="E504" i="43" s="1"/>
  <c r="F505" i="43" s="1"/>
  <c r="G506" i="43" s="1"/>
  <c r="H507" i="43" s="1"/>
  <c r="I508" i="43" s="1"/>
  <c r="J509" i="43" s="1"/>
  <c r="K510" i="43" s="1"/>
  <c r="L511" i="43" s="1"/>
  <c r="M512" i="43" s="1"/>
  <c r="N513" i="43" s="1"/>
  <c r="C501" i="43"/>
  <c r="D502" i="43" s="1"/>
  <c r="E503" i="43" s="1"/>
  <c r="F504" i="43" s="1"/>
  <c r="G505" i="43" s="1"/>
  <c r="H506" i="43" s="1"/>
  <c r="I507" i="43" s="1"/>
  <c r="J508" i="43" s="1"/>
  <c r="K509" i="43" s="1"/>
  <c r="L510" i="43" s="1"/>
  <c r="M511" i="43" s="1"/>
  <c r="N512" i="43" s="1"/>
  <c r="C500" i="43"/>
  <c r="D501" i="43" s="1"/>
  <c r="E502" i="43" s="1"/>
  <c r="F503" i="43" s="1"/>
  <c r="G504" i="43" s="1"/>
  <c r="H505" i="43" s="1"/>
  <c r="I506" i="43" s="1"/>
  <c r="J507" i="43" s="1"/>
  <c r="K508" i="43" s="1"/>
  <c r="L509" i="43" s="1"/>
  <c r="M510" i="43" s="1"/>
  <c r="N511" i="43" s="1"/>
  <c r="C498" i="43"/>
  <c r="D499" i="43" s="1"/>
  <c r="E500" i="43" s="1"/>
  <c r="F501" i="43" s="1"/>
  <c r="G502" i="43" s="1"/>
  <c r="H503" i="43" s="1"/>
  <c r="I504" i="43" s="1"/>
  <c r="J505" i="43" s="1"/>
  <c r="K506" i="43" s="1"/>
  <c r="L507" i="43" s="1"/>
  <c r="M508" i="43" s="1"/>
  <c r="N509" i="43" s="1"/>
  <c r="C497" i="43"/>
  <c r="D498" i="43" s="1"/>
  <c r="E499" i="43" s="1"/>
  <c r="F500" i="43" s="1"/>
  <c r="G501" i="43" s="1"/>
  <c r="H502" i="43" s="1"/>
  <c r="I503" i="43" s="1"/>
  <c r="J504" i="43" s="1"/>
  <c r="K505" i="43" s="1"/>
  <c r="L506" i="43" s="1"/>
  <c r="M507" i="43" s="1"/>
  <c r="N508" i="43" s="1"/>
  <c r="C496" i="43"/>
  <c r="D497" i="43" s="1"/>
  <c r="E498" i="43" s="1"/>
  <c r="F499" i="43" s="1"/>
  <c r="G500" i="43" s="1"/>
  <c r="H501" i="43" s="1"/>
  <c r="I502" i="43" s="1"/>
  <c r="J503" i="43" s="1"/>
  <c r="K504" i="43" s="1"/>
  <c r="L505" i="43" s="1"/>
  <c r="M506" i="43" s="1"/>
  <c r="N507" i="43" s="1"/>
  <c r="C494" i="43"/>
  <c r="D495" i="43" s="1"/>
  <c r="E496" i="43" s="1"/>
  <c r="F497" i="43" s="1"/>
  <c r="G498" i="43" s="1"/>
  <c r="H499" i="43" s="1"/>
  <c r="I500" i="43" s="1"/>
  <c r="J501" i="43" s="1"/>
  <c r="K502" i="43" s="1"/>
  <c r="L503" i="43" s="1"/>
  <c r="M504" i="43" s="1"/>
  <c r="N505" i="43" s="1"/>
  <c r="C493" i="43"/>
  <c r="D494" i="43" s="1"/>
  <c r="E495" i="43" s="1"/>
  <c r="F496" i="43" s="1"/>
  <c r="G497" i="43" s="1"/>
  <c r="H498" i="43" s="1"/>
  <c r="I499" i="43" s="1"/>
  <c r="J500" i="43" s="1"/>
  <c r="K501" i="43" s="1"/>
  <c r="L502" i="43" s="1"/>
  <c r="M503" i="43" s="1"/>
  <c r="N504" i="43" s="1"/>
  <c r="C492" i="43"/>
  <c r="D493" i="43" s="1"/>
  <c r="E494" i="43" s="1"/>
  <c r="F495" i="43" s="1"/>
  <c r="G496" i="43" s="1"/>
  <c r="H497" i="43" s="1"/>
  <c r="I498" i="43" s="1"/>
  <c r="J499" i="43" s="1"/>
  <c r="K500" i="43" s="1"/>
  <c r="L501" i="43" s="1"/>
  <c r="M502" i="43" s="1"/>
  <c r="N503" i="43" s="1"/>
  <c r="C490" i="43"/>
  <c r="D491" i="43" s="1"/>
  <c r="E492" i="43" s="1"/>
  <c r="F493" i="43" s="1"/>
  <c r="G494" i="43" s="1"/>
  <c r="H495" i="43" s="1"/>
  <c r="I496" i="43" s="1"/>
  <c r="J497" i="43" s="1"/>
  <c r="K498" i="43" s="1"/>
  <c r="L499" i="43" s="1"/>
  <c r="M500" i="43" s="1"/>
  <c r="N501" i="43" s="1"/>
  <c r="C489" i="43"/>
  <c r="D490" i="43" s="1"/>
  <c r="E491" i="43" s="1"/>
  <c r="F492" i="43" s="1"/>
  <c r="G493" i="43" s="1"/>
  <c r="H494" i="43" s="1"/>
  <c r="I495" i="43" s="1"/>
  <c r="J496" i="43" s="1"/>
  <c r="K497" i="43" s="1"/>
  <c r="L498" i="43" s="1"/>
  <c r="M499" i="43" s="1"/>
  <c r="N500" i="43" s="1"/>
  <c r="F488" i="43"/>
  <c r="G489" i="43" s="1"/>
  <c r="H490" i="43" s="1"/>
  <c r="I491" i="43" s="1"/>
  <c r="J492" i="43" s="1"/>
  <c r="K493" i="43" s="1"/>
  <c r="L494" i="43" s="1"/>
  <c r="M495" i="43" s="1"/>
  <c r="N496" i="43" s="1"/>
  <c r="C488" i="43"/>
  <c r="D489" i="43" s="1"/>
  <c r="E490" i="43" s="1"/>
  <c r="F491" i="43" s="1"/>
  <c r="G492" i="43" s="1"/>
  <c r="H493" i="43" s="1"/>
  <c r="I494" i="43" s="1"/>
  <c r="J495" i="43" s="1"/>
  <c r="K496" i="43" s="1"/>
  <c r="L497" i="43" s="1"/>
  <c r="M498" i="43" s="1"/>
  <c r="N499" i="43" s="1"/>
  <c r="C486" i="43"/>
  <c r="D487" i="43" s="1"/>
  <c r="E488" i="43" s="1"/>
  <c r="F489" i="43" s="1"/>
  <c r="G490" i="43" s="1"/>
  <c r="H491" i="43" s="1"/>
  <c r="I492" i="43" s="1"/>
  <c r="J493" i="43" s="1"/>
  <c r="K494" i="43" s="1"/>
  <c r="L495" i="43" s="1"/>
  <c r="M496" i="43" s="1"/>
  <c r="N497" i="43" s="1"/>
  <c r="C485" i="43"/>
  <c r="D486" i="43" s="1"/>
  <c r="E487" i="43" s="1"/>
  <c r="C484" i="43"/>
  <c r="D485" i="43" s="1"/>
  <c r="E486" i="43" s="1"/>
  <c r="F487" i="43" s="1"/>
  <c r="G488" i="43" s="1"/>
  <c r="H489" i="43" s="1"/>
  <c r="I490" i="43" s="1"/>
  <c r="J491" i="43" s="1"/>
  <c r="K492" i="43" s="1"/>
  <c r="L493" i="43" s="1"/>
  <c r="M494" i="43" s="1"/>
  <c r="N495" i="43" s="1"/>
  <c r="C482" i="43"/>
  <c r="D483" i="43" s="1"/>
  <c r="E484" i="43" s="1"/>
  <c r="F485" i="43" s="1"/>
  <c r="G486" i="43" s="1"/>
  <c r="H487" i="43" s="1"/>
  <c r="I488" i="43" s="1"/>
  <c r="J489" i="43" s="1"/>
  <c r="K490" i="43" s="1"/>
  <c r="L491" i="43" s="1"/>
  <c r="M492" i="43" s="1"/>
  <c r="N493" i="43" s="1"/>
  <c r="C481" i="43"/>
  <c r="D482" i="43" s="1"/>
  <c r="E483" i="43" s="1"/>
  <c r="F484" i="43" s="1"/>
  <c r="G485" i="43" s="1"/>
  <c r="H486" i="43" s="1"/>
  <c r="I487" i="43" s="1"/>
  <c r="J488" i="43" s="1"/>
  <c r="K489" i="43" s="1"/>
  <c r="L490" i="43" s="1"/>
  <c r="M491" i="43" s="1"/>
  <c r="N492" i="43" s="1"/>
  <c r="C480" i="43"/>
  <c r="D481" i="43" s="1"/>
  <c r="E482" i="43" s="1"/>
  <c r="F483" i="43" s="1"/>
  <c r="G484" i="43" s="1"/>
  <c r="H485" i="43" s="1"/>
  <c r="I486" i="43" s="1"/>
  <c r="J487" i="43" s="1"/>
  <c r="K488" i="43" s="1"/>
  <c r="L489" i="43" s="1"/>
  <c r="M490" i="43" s="1"/>
  <c r="N491" i="43" s="1"/>
  <c r="C478" i="43"/>
  <c r="D479" i="43" s="1"/>
  <c r="E480" i="43" s="1"/>
  <c r="F481" i="43" s="1"/>
  <c r="G482" i="43" s="1"/>
  <c r="H483" i="43" s="1"/>
  <c r="I484" i="43" s="1"/>
  <c r="J485" i="43" s="1"/>
  <c r="K486" i="43" s="1"/>
  <c r="L487" i="43" s="1"/>
  <c r="M488" i="43" s="1"/>
  <c r="N489" i="43" s="1"/>
  <c r="C477" i="43"/>
  <c r="D478" i="43" s="1"/>
  <c r="E479" i="43" s="1"/>
  <c r="F480" i="43" s="1"/>
  <c r="G481" i="43" s="1"/>
  <c r="H482" i="43" s="1"/>
  <c r="I483" i="43" s="1"/>
  <c r="J484" i="43" s="1"/>
  <c r="K485" i="43" s="1"/>
  <c r="L486" i="43" s="1"/>
  <c r="M487" i="43" s="1"/>
  <c r="N488" i="43" s="1"/>
  <c r="C476" i="43"/>
  <c r="D477" i="43" s="1"/>
  <c r="E478" i="43" s="1"/>
  <c r="F479" i="43" s="1"/>
  <c r="G480" i="43" s="1"/>
  <c r="H481" i="43" s="1"/>
  <c r="I482" i="43" s="1"/>
  <c r="J483" i="43" s="1"/>
  <c r="K484" i="43" s="1"/>
  <c r="L485" i="43" s="1"/>
  <c r="M486" i="43" s="1"/>
  <c r="N487" i="43" s="1"/>
  <c r="C474" i="43"/>
  <c r="D475" i="43" s="1"/>
  <c r="E476" i="43" s="1"/>
  <c r="F477" i="43" s="1"/>
  <c r="G478" i="43" s="1"/>
  <c r="H479" i="43" s="1"/>
  <c r="I480" i="43" s="1"/>
  <c r="J481" i="43" s="1"/>
  <c r="K482" i="43" s="1"/>
  <c r="L483" i="43" s="1"/>
  <c r="M484" i="43" s="1"/>
  <c r="N485" i="43" s="1"/>
  <c r="C473" i="43"/>
  <c r="D474" i="43" s="1"/>
  <c r="E475" i="43" s="1"/>
  <c r="F476" i="43" s="1"/>
  <c r="G477" i="43" s="1"/>
  <c r="H478" i="43" s="1"/>
  <c r="I479" i="43" s="1"/>
  <c r="J480" i="43" s="1"/>
  <c r="K481" i="43" s="1"/>
  <c r="L482" i="43" s="1"/>
  <c r="M483" i="43" s="1"/>
  <c r="N484" i="43" s="1"/>
  <c r="C472" i="43"/>
  <c r="D473" i="43" s="1"/>
  <c r="E474" i="43" s="1"/>
  <c r="F475" i="43" s="1"/>
  <c r="G476" i="43" s="1"/>
  <c r="H477" i="43" s="1"/>
  <c r="I478" i="43" s="1"/>
  <c r="J479" i="43" s="1"/>
  <c r="K480" i="43" s="1"/>
  <c r="L481" i="43" s="1"/>
  <c r="M482" i="43" s="1"/>
  <c r="N483" i="43" s="1"/>
  <c r="C470" i="43"/>
  <c r="D471" i="43" s="1"/>
  <c r="E472" i="43" s="1"/>
  <c r="F473" i="43" s="1"/>
  <c r="G474" i="43" s="1"/>
  <c r="H475" i="43" s="1"/>
  <c r="I476" i="43" s="1"/>
  <c r="J477" i="43" s="1"/>
  <c r="K478" i="43" s="1"/>
  <c r="L479" i="43" s="1"/>
  <c r="M480" i="43" s="1"/>
  <c r="N481" i="43" s="1"/>
  <c r="C469" i="43"/>
  <c r="D470" i="43" s="1"/>
  <c r="E471" i="43" s="1"/>
  <c r="F472" i="43" s="1"/>
  <c r="G473" i="43" s="1"/>
  <c r="H474" i="43" s="1"/>
  <c r="I475" i="43" s="1"/>
  <c r="J476" i="43" s="1"/>
  <c r="K477" i="43" s="1"/>
  <c r="L478" i="43" s="1"/>
  <c r="M479" i="43" s="1"/>
  <c r="N480" i="43" s="1"/>
  <c r="D468" i="43"/>
  <c r="E469" i="43" s="1"/>
  <c r="F470" i="43" s="1"/>
  <c r="G471" i="43" s="1"/>
  <c r="H472" i="43" s="1"/>
  <c r="I473" i="43" s="1"/>
  <c r="J474" i="43" s="1"/>
  <c r="K475" i="43" s="1"/>
  <c r="L476" i="43" s="1"/>
  <c r="M477" i="43" s="1"/>
  <c r="N478" i="43" s="1"/>
  <c r="C468" i="43"/>
  <c r="D469" i="43" s="1"/>
  <c r="E470" i="43" s="1"/>
  <c r="F471" i="43" s="1"/>
  <c r="G472" i="43" s="1"/>
  <c r="H473" i="43" s="1"/>
  <c r="I474" i="43" s="1"/>
  <c r="J475" i="43" s="1"/>
  <c r="K476" i="43" s="1"/>
  <c r="L477" i="43" s="1"/>
  <c r="M478" i="43" s="1"/>
  <c r="N479" i="43" s="1"/>
  <c r="C466" i="43"/>
  <c r="D467" i="43" s="1"/>
  <c r="E468" i="43" s="1"/>
  <c r="F469" i="43" s="1"/>
  <c r="G470" i="43" s="1"/>
  <c r="H471" i="43" s="1"/>
  <c r="I472" i="43" s="1"/>
  <c r="J473" i="43" s="1"/>
  <c r="K474" i="43" s="1"/>
  <c r="L475" i="43" s="1"/>
  <c r="M476" i="43" s="1"/>
  <c r="N477" i="43" s="1"/>
  <c r="C465" i="43"/>
  <c r="D466" i="43" s="1"/>
  <c r="E467" i="43" s="1"/>
  <c r="F468" i="43" s="1"/>
  <c r="G469" i="43" s="1"/>
  <c r="H470" i="43" s="1"/>
  <c r="I471" i="43" s="1"/>
  <c r="J472" i="43" s="1"/>
  <c r="K473" i="43" s="1"/>
  <c r="L474" i="43" s="1"/>
  <c r="M475" i="43" s="1"/>
  <c r="N476" i="43" s="1"/>
  <c r="C464" i="43"/>
  <c r="D465" i="43" s="1"/>
  <c r="E466" i="43" s="1"/>
  <c r="F467" i="43" s="1"/>
  <c r="G468" i="43" s="1"/>
  <c r="H469" i="43" s="1"/>
  <c r="I470" i="43" s="1"/>
  <c r="J471" i="43" s="1"/>
  <c r="K472" i="43" s="1"/>
  <c r="L473" i="43" s="1"/>
  <c r="M474" i="43" s="1"/>
  <c r="N475" i="43" s="1"/>
  <c r="C462" i="43"/>
  <c r="D463" i="43" s="1"/>
  <c r="E464" i="43" s="1"/>
  <c r="F465" i="43" s="1"/>
  <c r="G466" i="43" s="1"/>
  <c r="H467" i="43" s="1"/>
  <c r="I468" i="43" s="1"/>
  <c r="J469" i="43" s="1"/>
  <c r="K470" i="43" s="1"/>
  <c r="L471" i="43" s="1"/>
  <c r="M472" i="43" s="1"/>
  <c r="N473" i="43" s="1"/>
  <c r="C461" i="43"/>
  <c r="D462" i="43" s="1"/>
  <c r="E463" i="43" s="1"/>
  <c r="F464" i="43" s="1"/>
  <c r="G465" i="43" s="1"/>
  <c r="H466" i="43" s="1"/>
  <c r="I467" i="43" s="1"/>
  <c r="J468" i="43" s="1"/>
  <c r="K469" i="43" s="1"/>
  <c r="L470" i="43" s="1"/>
  <c r="M471" i="43" s="1"/>
  <c r="N472" i="43" s="1"/>
  <c r="C460" i="43"/>
  <c r="D461" i="43" s="1"/>
  <c r="E462" i="43" s="1"/>
  <c r="F463" i="43" s="1"/>
  <c r="G464" i="43" s="1"/>
  <c r="H465" i="43" s="1"/>
  <c r="I466" i="43" s="1"/>
  <c r="J467" i="43" s="1"/>
  <c r="K468" i="43" s="1"/>
  <c r="L469" i="43" s="1"/>
  <c r="M470" i="43" s="1"/>
  <c r="N471" i="43" s="1"/>
  <c r="C458" i="43"/>
  <c r="D459" i="43" s="1"/>
  <c r="E460" i="43" s="1"/>
  <c r="F461" i="43" s="1"/>
  <c r="G462" i="43" s="1"/>
  <c r="H463" i="43" s="1"/>
  <c r="I464" i="43" s="1"/>
  <c r="J465" i="43" s="1"/>
  <c r="K466" i="43" s="1"/>
  <c r="L467" i="43" s="1"/>
  <c r="M468" i="43" s="1"/>
  <c r="N469" i="43" s="1"/>
  <c r="C457" i="43"/>
  <c r="D458" i="43" s="1"/>
  <c r="E459" i="43" s="1"/>
  <c r="F460" i="43" s="1"/>
  <c r="G461" i="43" s="1"/>
  <c r="H462" i="43" s="1"/>
  <c r="I463" i="43" s="1"/>
  <c r="J464" i="43" s="1"/>
  <c r="K465" i="43" s="1"/>
  <c r="L466" i="43" s="1"/>
  <c r="M467" i="43" s="1"/>
  <c r="N468" i="43" s="1"/>
  <c r="C456" i="43"/>
  <c r="D457" i="43" s="1"/>
  <c r="E458" i="43" s="1"/>
  <c r="F459" i="43" s="1"/>
  <c r="G460" i="43" s="1"/>
  <c r="H461" i="43" s="1"/>
  <c r="I462" i="43" s="1"/>
  <c r="J463" i="43" s="1"/>
  <c r="K464" i="43" s="1"/>
  <c r="L465" i="43" s="1"/>
  <c r="M466" i="43" s="1"/>
  <c r="N467" i="43" s="1"/>
  <c r="C454" i="43"/>
  <c r="D455" i="43" s="1"/>
  <c r="E456" i="43" s="1"/>
  <c r="F457" i="43" s="1"/>
  <c r="G458" i="43" s="1"/>
  <c r="H459" i="43" s="1"/>
  <c r="I460" i="43" s="1"/>
  <c r="J461" i="43" s="1"/>
  <c r="K462" i="43" s="1"/>
  <c r="L463" i="43" s="1"/>
  <c r="M464" i="43" s="1"/>
  <c r="N465" i="43" s="1"/>
  <c r="C453" i="43"/>
  <c r="D454" i="43" s="1"/>
  <c r="E455" i="43" s="1"/>
  <c r="F456" i="43" s="1"/>
  <c r="G457" i="43" s="1"/>
  <c r="H458" i="43" s="1"/>
  <c r="I459" i="43" s="1"/>
  <c r="J460" i="43" s="1"/>
  <c r="K461" i="43" s="1"/>
  <c r="L462" i="43" s="1"/>
  <c r="M463" i="43" s="1"/>
  <c r="N464" i="43" s="1"/>
  <c r="C452" i="43"/>
  <c r="D453" i="43" s="1"/>
  <c r="E454" i="43" s="1"/>
  <c r="F455" i="43" s="1"/>
  <c r="G456" i="43" s="1"/>
  <c r="H457" i="43" s="1"/>
  <c r="I458" i="43" s="1"/>
  <c r="J459" i="43" s="1"/>
  <c r="K460" i="43" s="1"/>
  <c r="L461" i="43" s="1"/>
  <c r="M462" i="43" s="1"/>
  <c r="N463" i="43" s="1"/>
  <c r="L451" i="43"/>
  <c r="M452" i="43" s="1"/>
  <c r="N453" i="43" s="1"/>
  <c r="C450" i="43"/>
  <c r="D451" i="43" s="1"/>
  <c r="E452" i="43" s="1"/>
  <c r="F453" i="43" s="1"/>
  <c r="G454" i="43" s="1"/>
  <c r="H455" i="43" s="1"/>
  <c r="I456" i="43" s="1"/>
  <c r="J457" i="43" s="1"/>
  <c r="K458" i="43" s="1"/>
  <c r="L459" i="43" s="1"/>
  <c r="M460" i="43" s="1"/>
  <c r="N461" i="43" s="1"/>
  <c r="C449" i="43"/>
  <c r="D450" i="43" s="1"/>
  <c r="E451" i="43" s="1"/>
  <c r="F452" i="43" s="1"/>
  <c r="G453" i="43" s="1"/>
  <c r="H454" i="43" s="1"/>
  <c r="I455" i="43" s="1"/>
  <c r="J456" i="43" s="1"/>
  <c r="K457" i="43" s="1"/>
  <c r="L458" i="43" s="1"/>
  <c r="M459" i="43" s="1"/>
  <c r="N460" i="43" s="1"/>
  <c r="C448" i="43"/>
  <c r="D449" i="43" s="1"/>
  <c r="E450" i="43" s="1"/>
  <c r="F451" i="43" s="1"/>
  <c r="G452" i="43" s="1"/>
  <c r="H453" i="43" s="1"/>
  <c r="I454" i="43" s="1"/>
  <c r="J455" i="43" s="1"/>
  <c r="K456" i="43" s="1"/>
  <c r="L457" i="43" s="1"/>
  <c r="M458" i="43" s="1"/>
  <c r="N459" i="43" s="1"/>
  <c r="C446" i="43"/>
  <c r="D447" i="43" s="1"/>
  <c r="E448" i="43" s="1"/>
  <c r="F449" i="43" s="1"/>
  <c r="G450" i="43" s="1"/>
  <c r="H451" i="43" s="1"/>
  <c r="I452" i="43" s="1"/>
  <c r="J453" i="43" s="1"/>
  <c r="K454" i="43" s="1"/>
  <c r="L455" i="43" s="1"/>
  <c r="M456" i="43" s="1"/>
  <c r="N457" i="43" s="1"/>
  <c r="C445" i="43"/>
  <c r="D446" i="43" s="1"/>
  <c r="E447" i="43" s="1"/>
  <c r="F448" i="43" s="1"/>
  <c r="G449" i="43" s="1"/>
  <c r="H450" i="43" s="1"/>
  <c r="I451" i="43" s="1"/>
  <c r="J452" i="43" s="1"/>
  <c r="K453" i="43" s="1"/>
  <c r="L454" i="43" s="1"/>
  <c r="M455" i="43" s="1"/>
  <c r="N456" i="43" s="1"/>
  <c r="C444" i="43"/>
  <c r="D445" i="43" s="1"/>
  <c r="E446" i="43" s="1"/>
  <c r="F447" i="43" s="1"/>
  <c r="G448" i="43" s="1"/>
  <c r="H449" i="43" s="1"/>
  <c r="I450" i="43" s="1"/>
  <c r="J451" i="43" s="1"/>
  <c r="K452" i="43" s="1"/>
  <c r="L453" i="43" s="1"/>
  <c r="M454" i="43" s="1"/>
  <c r="N455" i="43" s="1"/>
  <c r="C442" i="43"/>
  <c r="D443" i="43" s="1"/>
  <c r="E444" i="43" s="1"/>
  <c r="F445" i="43" s="1"/>
  <c r="G446" i="43" s="1"/>
  <c r="H447" i="43" s="1"/>
  <c r="I448" i="43" s="1"/>
  <c r="J449" i="43" s="1"/>
  <c r="K450" i="43" s="1"/>
  <c r="C441" i="43"/>
  <c r="D442" i="43" s="1"/>
  <c r="E443" i="43" s="1"/>
  <c r="F444" i="43" s="1"/>
  <c r="G445" i="43" s="1"/>
  <c r="H446" i="43" s="1"/>
  <c r="I447" i="43" s="1"/>
  <c r="J448" i="43" s="1"/>
  <c r="K449" i="43" s="1"/>
  <c r="L450" i="43" s="1"/>
  <c r="M451" i="43" s="1"/>
  <c r="N452" i="43" s="1"/>
  <c r="C440" i="43"/>
  <c r="D441" i="43" s="1"/>
  <c r="E442" i="43" s="1"/>
  <c r="F443" i="43" s="1"/>
  <c r="G444" i="43" s="1"/>
  <c r="H445" i="43" s="1"/>
  <c r="I446" i="43" s="1"/>
  <c r="J447" i="43" s="1"/>
  <c r="K448" i="43" s="1"/>
  <c r="L449" i="43" s="1"/>
  <c r="M450" i="43" s="1"/>
  <c r="N451" i="43" s="1"/>
  <c r="C438" i="43"/>
  <c r="D439" i="43" s="1"/>
  <c r="E440" i="43" s="1"/>
  <c r="F441" i="43" s="1"/>
  <c r="G442" i="43" s="1"/>
  <c r="H443" i="43" s="1"/>
  <c r="I444" i="43" s="1"/>
  <c r="J445" i="43" s="1"/>
  <c r="K446" i="43" s="1"/>
  <c r="L447" i="43" s="1"/>
  <c r="M448" i="43" s="1"/>
  <c r="N449" i="43" s="1"/>
  <c r="C437" i="43"/>
  <c r="D438" i="43" s="1"/>
  <c r="E439" i="43" s="1"/>
  <c r="F440" i="43" s="1"/>
  <c r="G441" i="43" s="1"/>
  <c r="H442" i="43" s="1"/>
  <c r="I443" i="43" s="1"/>
  <c r="J444" i="43" s="1"/>
  <c r="K445" i="43" s="1"/>
  <c r="L446" i="43" s="1"/>
  <c r="M447" i="43" s="1"/>
  <c r="N448" i="43" s="1"/>
  <c r="C436" i="43"/>
  <c r="D437" i="43" s="1"/>
  <c r="E438" i="43" s="1"/>
  <c r="F439" i="43" s="1"/>
  <c r="G440" i="43" s="1"/>
  <c r="H441" i="43" s="1"/>
  <c r="I442" i="43" s="1"/>
  <c r="J443" i="43" s="1"/>
  <c r="K444" i="43" s="1"/>
  <c r="L445" i="43" s="1"/>
  <c r="M446" i="43" s="1"/>
  <c r="N447" i="43" s="1"/>
  <c r="D435" i="43"/>
  <c r="E436" i="43" s="1"/>
  <c r="F437" i="43" s="1"/>
  <c r="G438" i="43" s="1"/>
  <c r="H439" i="43" s="1"/>
  <c r="I440" i="43" s="1"/>
  <c r="J441" i="43" s="1"/>
  <c r="K442" i="43" s="1"/>
  <c r="L443" i="43" s="1"/>
  <c r="M444" i="43" s="1"/>
  <c r="N445" i="43" s="1"/>
  <c r="C434" i="43"/>
  <c r="C433" i="43"/>
  <c r="D434" i="43" s="1"/>
  <c r="E435" i="43" s="1"/>
  <c r="F436" i="43" s="1"/>
  <c r="G437" i="43" s="1"/>
  <c r="H438" i="43" s="1"/>
  <c r="I439" i="43" s="1"/>
  <c r="J440" i="43" s="1"/>
  <c r="K441" i="43" s="1"/>
  <c r="L442" i="43" s="1"/>
  <c r="M443" i="43" s="1"/>
  <c r="N444" i="43" s="1"/>
  <c r="C432" i="43"/>
  <c r="D433" i="43" s="1"/>
  <c r="E434" i="43" s="1"/>
  <c r="F435" i="43" s="1"/>
  <c r="G436" i="43" s="1"/>
  <c r="H437" i="43" s="1"/>
  <c r="I438" i="43" s="1"/>
  <c r="J439" i="43" s="1"/>
  <c r="K440" i="43" s="1"/>
  <c r="L441" i="43" s="1"/>
  <c r="M442" i="43" s="1"/>
  <c r="N443" i="43" s="1"/>
  <c r="C430" i="43"/>
  <c r="D431" i="43" s="1"/>
  <c r="E432" i="43" s="1"/>
  <c r="F433" i="43" s="1"/>
  <c r="G434" i="43" s="1"/>
  <c r="H435" i="43" s="1"/>
  <c r="I436" i="43" s="1"/>
  <c r="J437" i="43" s="1"/>
  <c r="K438" i="43" s="1"/>
  <c r="L439" i="43" s="1"/>
  <c r="M440" i="43" s="1"/>
  <c r="N441" i="43" s="1"/>
  <c r="C429" i="43"/>
  <c r="D430" i="43" s="1"/>
  <c r="E431" i="43" s="1"/>
  <c r="F432" i="43" s="1"/>
  <c r="G433" i="43" s="1"/>
  <c r="H434" i="43" s="1"/>
  <c r="I435" i="43" s="1"/>
  <c r="J436" i="43" s="1"/>
  <c r="K437" i="43" s="1"/>
  <c r="L438" i="43" s="1"/>
  <c r="M439" i="43" s="1"/>
  <c r="N440" i="43" s="1"/>
  <c r="C428" i="43"/>
  <c r="D429" i="43" s="1"/>
  <c r="E430" i="43" s="1"/>
  <c r="F431" i="43" s="1"/>
  <c r="G432" i="43" s="1"/>
  <c r="H433" i="43" s="1"/>
  <c r="I434" i="43" s="1"/>
  <c r="J435" i="43" s="1"/>
  <c r="K436" i="43" s="1"/>
  <c r="L437" i="43" s="1"/>
  <c r="M438" i="43" s="1"/>
  <c r="N439" i="43" s="1"/>
  <c r="C426" i="43"/>
  <c r="D427" i="43" s="1"/>
  <c r="E428" i="43" s="1"/>
  <c r="F429" i="43" s="1"/>
  <c r="G430" i="43" s="1"/>
  <c r="H431" i="43" s="1"/>
  <c r="I432" i="43" s="1"/>
  <c r="J433" i="43" s="1"/>
  <c r="K434" i="43" s="1"/>
  <c r="L435" i="43" s="1"/>
  <c r="M436" i="43" s="1"/>
  <c r="N437" i="43" s="1"/>
  <c r="C425" i="43"/>
  <c r="D426" i="43" s="1"/>
  <c r="E427" i="43" s="1"/>
  <c r="F428" i="43" s="1"/>
  <c r="G429" i="43" s="1"/>
  <c r="H430" i="43" s="1"/>
  <c r="I431" i="43" s="1"/>
  <c r="J432" i="43" s="1"/>
  <c r="K433" i="43" s="1"/>
  <c r="L434" i="43" s="1"/>
  <c r="M435" i="43" s="1"/>
  <c r="N436" i="43" s="1"/>
  <c r="C424" i="43"/>
  <c r="D425" i="43" s="1"/>
  <c r="E426" i="43" s="1"/>
  <c r="F427" i="43" s="1"/>
  <c r="G428" i="43" s="1"/>
  <c r="H429" i="43" s="1"/>
  <c r="I430" i="43" s="1"/>
  <c r="J431" i="43" s="1"/>
  <c r="K432" i="43" s="1"/>
  <c r="L433" i="43" s="1"/>
  <c r="M434" i="43" s="1"/>
  <c r="N435" i="43" s="1"/>
  <c r="C422" i="43"/>
  <c r="D423" i="43" s="1"/>
  <c r="E424" i="43" s="1"/>
  <c r="F425" i="43" s="1"/>
  <c r="G426" i="43" s="1"/>
  <c r="H427" i="43" s="1"/>
  <c r="I428" i="43" s="1"/>
  <c r="J429" i="43" s="1"/>
  <c r="K430" i="43" s="1"/>
  <c r="L431" i="43" s="1"/>
  <c r="M432" i="43" s="1"/>
  <c r="N433" i="43" s="1"/>
  <c r="C421" i="43"/>
  <c r="D422" i="43" s="1"/>
  <c r="E423" i="43" s="1"/>
  <c r="F424" i="43" s="1"/>
  <c r="G425" i="43" s="1"/>
  <c r="H426" i="43" s="1"/>
  <c r="I427" i="43" s="1"/>
  <c r="J428" i="43" s="1"/>
  <c r="K429" i="43" s="1"/>
  <c r="L430" i="43" s="1"/>
  <c r="M431" i="43" s="1"/>
  <c r="N432" i="43" s="1"/>
  <c r="C420" i="43"/>
  <c r="D421" i="43" s="1"/>
  <c r="E422" i="43" s="1"/>
  <c r="F423" i="43" s="1"/>
  <c r="G424" i="43" s="1"/>
  <c r="H425" i="43" s="1"/>
  <c r="I426" i="43" s="1"/>
  <c r="J427" i="43" s="1"/>
  <c r="K428" i="43" s="1"/>
  <c r="L429" i="43" s="1"/>
  <c r="M430" i="43" s="1"/>
  <c r="N431" i="43" s="1"/>
  <c r="L419" i="43"/>
  <c r="M420" i="43" s="1"/>
  <c r="N421" i="43" s="1"/>
  <c r="C418" i="43"/>
  <c r="D419" i="43" s="1"/>
  <c r="E420" i="43" s="1"/>
  <c r="F421" i="43" s="1"/>
  <c r="G422" i="43" s="1"/>
  <c r="H423" i="43" s="1"/>
  <c r="I424" i="43" s="1"/>
  <c r="J425" i="43" s="1"/>
  <c r="K426" i="43" s="1"/>
  <c r="L427" i="43" s="1"/>
  <c r="M428" i="43" s="1"/>
  <c r="N429" i="43" s="1"/>
  <c r="C417" i="43"/>
  <c r="D418" i="43" s="1"/>
  <c r="E419" i="43" s="1"/>
  <c r="F420" i="43" s="1"/>
  <c r="G421" i="43" s="1"/>
  <c r="H422" i="43" s="1"/>
  <c r="I423" i="43" s="1"/>
  <c r="J424" i="43" s="1"/>
  <c r="K425" i="43" s="1"/>
  <c r="L426" i="43" s="1"/>
  <c r="M427" i="43" s="1"/>
  <c r="N428" i="43" s="1"/>
  <c r="C416" i="43"/>
  <c r="D417" i="43" s="1"/>
  <c r="E418" i="43" s="1"/>
  <c r="F419" i="43" s="1"/>
  <c r="G420" i="43" s="1"/>
  <c r="H421" i="43" s="1"/>
  <c r="I422" i="43" s="1"/>
  <c r="J423" i="43" s="1"/>
  <c r="K424" i="43" s="1"/>
  <c r="L425" i="43" s="1"/>
  <c r="M426" i="43" s="1"/>
  <c r="N427" i="43" s="1"/>
  <c r="C414" i="43"/>
  <c r="D415" i="43" s="1"/>
  <c r="E416" i="43" s="1"/>
  <c r="F417" i="43" s="1"/>
  <c r="G418" i="43" s="1"/>
  <c r="H419" i="43" s="1"/>
  <c r="I420" i="43" s="1"/>
  <c r="J421" i="43" s="1"/>
  <c r="K422" i="43" s="1"/>
  <c r="L423" i="43" s="1"/>
  <c r="M424" i="43" s="1"/>
  <c r="N425" i="43" s="1"/>
  <c r="C413" i="43"/>
  <c r="D414" i="43" s="1"/>
  <c r="E415" i="43" s="1"/>
  <c r="F416" i="43" s="1"/>
  <c r="G417" i="43" s="1"/>
  <c r="H418" i="43" s="1"/>
  <c r="I419" i="43" s="1"/>
  <c r="J420" i="43" s="1"/>
  <c r="K421" i="43" s="1"/>
  <c r="L422" i="43" s="1"/>
  <c r="M423" i="43" s="1"/>
  <c r="N424" i="43" s="1"/>
  <c r="C412" i="43"/>
  <c r="D413" i="43" s="1"/>
  <c r="E414" i="43" s="1"/>
  <c r="F415" i="43" s="1"/>
  <c r="G416" i="43" s="1"/>
  <c r="H417" i="43" s="1"/>
  <c r="I418" i="43" s="1"/>
  <c r="J419" i="43" s="1"/>
  <c r="K420" i="43" s="1"/>
  <c r="L421" i="43" s="1"/>
  <c r="M422" i="43" s="1"/>
  <c r="N423" i="43" s="1"/>
  <c r="C410" i="43"/>
  <c r="D411" i="43" s="1"/>
  <c r="E412" i="43" s="1"/>
  <c r="F413" i="43" s="1"/>
  <c r="G414" i="43" s="1"/>
  <c r="H415" i="43" s="1"/>
  <c r="I416" i="43" s="1"/>
  <c r="J417" i="43" s="1"/>
  <c r="K418" i="43" s="1"/>
  <c r="C409" i="43"/>
  <c r="D410" i="43" s="1"/>
  <c r="E411" i="43" s="1"/>
  <c r="F412" i="43" s="1"/>
  <c r="G413" i="43" s="1"/>
  <c r="H414" i="43" s="1"/>
  <c r="I415" i="43" s="1"/>
  <c r="J416" i="43" s="1"/>
  <c r="K417" i="43" s="1"/>
  <c r="L418" i="43" s="1"/>
  <c r="M419" i="43" s="1"/>
  <c r="N420" i="43" s="1"/>
  <c r="C408" i="43"/>
  <c r="D409" i="43" s="1"/>
  <c r="E410" i="43" s="1"/>
  <c r="F411" i="43" s="1"/>
  <c r="G412" i="43" s="1"/>
  <c r="H413" i="43" s="1"/>
  <c r="I414" i="43" s="1"/>
  <c r="J415" i="43" s="1"/>
  <c r="K416" i="43" s="1"/>
  <c r="L417" i="43" s="1"/>
  <c r="M418" i="43" s="1"/>
  <c r="N419" i="43" s="1"/>
  <c r="C406" i="43"/>
  <c r="D407" i="43" s="1"/>
  <c r="E408" i="43" s="1"/>
  <c r="F409" i="43" s="1"/>
  <c r="G410" i="43" s="1"/>
  <c r="H411" i="43" s="1"/>
  <c r="I412" i="43" s="1"/>
  <c r="J413" i="43" s="1"/>
  <c r="K414" i="43" s="1"/>
  <c r="L415" i="43" s="1"/>
  <c r="M416" i="43" s="1"/>
  <c r="N417" i="43" s="1"/>
  <c r="C405" i="43"/>
  <c r="D406" i="43" s="1"/>
  <c r="E407" i="43" s="1"/>
  <c r="F408" i="43" s="1"/>
  <c r="G409" i="43" s="1"/>
  <c r="H410" i="43" s="1"/>
  <c r="I411" i="43" s="1"/>
  <c r="J412" i="43" s="1"/>
  <c r="K413" i="43" s="1"/>
  <c r="L414" i="43" s="1"/>
  <c r="M415" i="43" s="1"/>
  <c r="N416" i="43" s="1"/>
  <c r="C404" i="43"/>
  <c r="D405" i="43" s="1"/>
  <c r="E406" i="43" s="1"/>
  <c r="F407" i="43" s="1"/>
  <c r="G408" i="43" s="1"/>
  <c r="H409" i="43" s="1"/>
  <c r="I410" i="43" s="1"/>
  <c r="J411" i="43" s="1"/>
  <c r="K412" i="43" s="1"/>
  <c r="L413" i="43" s="1"/>
  <c r="M414" i="43" s="1"/>
  <c r="N415" i="43" s="1"/>
  <c r="D403" i="43"/>
  <c r="E404" i="43" s="1"/>
  <c r="F405" i="43" s="1"/>
  <c r="G406" i="43" s="1"/>
  <c r="H407" i="43" s="1"/>
  <c r="I408" i="43" s="1"/>
  <c r="J409" i="43" s="1"/>
  <c r="K410" i="43" s="1"/>
  <c r="L411" i="43" s="1"/>
  <c r="M412" i="43" s="1"/>
  <c r="N413" i="43" s="1"/>
  <c r="C402" i="43"/>
  <c r="C401" i="43"/>
  <c r="D402" i="43" s="1"/>
  <c r="E403" i="43" s="1"/>
  <c r="F404" i="43" s="1"/>
  <c r="G405" i="43" s="1"/>
  <c r="H406" i="43" s="1"/>
  <c r="I407" i="43" s="1"/>
  <c r="J408" i="43" s="1"/>
  <c r="K409" i="43" s="1"/>
  <c r="L410" i="43" s="1"/>
  <c r="M411" i="43" s="1"/>
  <c r="N412" i="43" s="1"/>
  <c r="C400" i="43"/>
  <c r="D401" i="43" s="1"/>
  <c r="E402" i="43" s="1"/>
  <c r="F403" i="43" s="1"/>
  <c r="G404" i="43" s="1"/>
  <c r="H405" i="43" s="1"/>
  <c r="I406" i="43" s="1"/>
  <c r="J407" i="43" s="1"/>
  <c r="K408" i="43" s="1"/>
  <c r="L409" i="43" s="1"/>
  <c r="M410" i="43" s="1"/>
  <c r="N411" i="43" s="1"/>
  <c r="C398" i="43"/>
  <c r="D399" i="43" s="1"/>
  <c r="E400" i="43" s="1"/>
  <c r="F401" i="43" s="1"/>
  <c r="G402" i="43" s="1"/>
  <c r="H403" i="43" s="1"/>
  <c r="I404" i="43" s="1"/>
  <c r="J405" i="43" s="1"/>
  <c r="K406" i="43" s="1"/>
  <c r="L407" i="43" s="1"/>
  <c r="M408" i="43" s="1"/>
  <c r="N409" i="43" s="1"/>
  <c r="C397" i="43"/>
  <c r="D398" i="43" s="1"/>
  <c r="E399" i="43" s="1"/>
  <c r="F400" i="43" s="1"/>
  <c r="G401" i="43" s="1"/>
  <c r="H402" i="43" s="1"/>
  <c r="I403" i="43" s="1"/>
  <c r="J404" i="43" s="1"/>
  <c r="K405" i="43" s="1"/>
  <c r="L406" i="43" s="1"/>
  <c r="M407" i="43" s="1"/>
  <c r="N408" i="43" s="1"/>
  <c r="C396" i="43"/>
  <c r="D397" i="43" s="1"/>
  <c r="E398" i="43" s="1"/>
  <c r="F399" i="43" s="1"/>
  <c r="G400" i="43" s="1"/>
  <c r="H401" i="43" s="1"/>
  <c r="I402" i="43" s="1"/>
  <c r="J403" i="43" s="1"/>
  <c r="K404" i="43" s="1"/>
  <c r="L405" i="43" s="1"/>
  <c r="M406" i="43" s="1"/>
  <c r="N407" i="43" s="1"/>
  <c r="C394" i="43"/>
  <c r="D395" i="43" s="1"/>
  <c r="E396" i="43" s="1"/>
  <c r="F397" i="43" s="1"/>
  <c r="G398" i="43" s="1"/>
  <c r="H399" i="43" s="1"/>
  <c r="I400" i="43" s="1"/>
  <c r="J401" i="43" s="1"/>
  <c r="K402" i="43" s="1"/>
  <c r="L403" i="43" s="1"/>
  <c r="M404" i="43" s="1"/>
  <c r="N405" i="43" s="1"/>
  <c r="C393" i="43"/>
  <c r="D394" i="43" s="1"/>
  <c r="E395" i="43" s="1"/>
  <c r="F396" i="43" s="1"/>
  <c r="G397" i="43" s="1"/>
  <c r="H398" i="43" s="1"/>
  <c r="I399" i="43" s="1"/>
  <c r="J400" i="43" s="1"/>
  <c r="K401" i="43" s="1"/>
  <c r="L402" i="43" s="1"/>
  <c r="M403" i="43" s="1"/>
  <c r="N404" i="43" s="1"/>
  <c r="C392" i="43"/>
  <c r="D393" i="43" s="1"/>
  <c r="E394" i="43" s="1"/>
  <c r="F395" i="43" s="1"/>
  <c r="G396" i="43" s="1"/>
  <c r="H397" i="43" s="1"/>
  <c r="I398" i="43" s="1"/>
  <c r="J399" i="43" s="1"/>
  <c r="K400" i="43" s="1"/>
  <c r="L401" i="43" s="1"/>
  <c r="M402" i="43" s="1"/>
  <c r="N403" i="43" s="1"/>
  <c r="C390" i="43"/>
  <c r="D391" i="43" s="1"/>
  <c r="E392" i="43" s="1"/>
  <c r="F393" i="43" s="1"/>
  <c r="G394" i="43" s="1"/>
  <c r="H395" i="43" s="1"/>
  <c r="I396" i="43" s="1"/>
  <c r="J397" i="43" s="1"/>
  <c r="K398" i="43" s="1"/>
  <c r="L399" i="43" s="1"/>
  <c r="M400" i="43" s="1"/>
  <c r="N401" i="43" s="1"/>
  <c r="C389" i="43"/>
  <c r="D390" i="43" s="1"/>
  <c r="E391" i="43" s="1"/>
  <c r="F392" i="43" s="1"/>
  <c r="G393" i="43" s="1"/>
  <c r="H394" i="43" s="1"/>
  <c r="I395" i="43" s="1"/>
  <c r="J396" i="43" s="1"/>
  <c r="K397" i="43" s="1"/>
  <c r="L398" i="43" s="1"/>
  <c r="M399" i="43" s="1"/>
  <c r="N400" i="43" s="1"/>
  <c r="C388" i="43"/>
  <c r="D389" i="43" s="1"/>
  <c r="E390" i="43" s="1"/>
  <c r="F391" i="43" s="1"/>
  <c r="G392" i="43" s="1"/>
  <c r="H393" i="43" s="1"/>
  <c r="I394" i="43" s="1"/>
  <c r="J395" i="43" s="1"/>
  <c r="K396" i="43" s="1"/>
  <c r="L397" i="43" s="1"/>
  <c r="M398" i="43" s="1"/>
  <c r="N399" i="43" s="1"/>
  <c r="L387" i="43"/>
  <c r="M388" i="43" s="1"/>
  <c r="N389" i="43" s="1"/>
  <c r="C386" i="43"/>
  <c r="D387" i="43" s="1"/>
  <c r="E388" i="43" s="1"/>
  <c r="F389" i="43" s="1"/>
  <c r="G390" i="43" s="1"/>
  <c r="H391" i="43" s="1"/>
  <c r="I392" i="43" s="1"/>
  <c r="J393" i="43" s="1"/>
  <c r="K394" i="43" s="1"/>
  <c r="L395" i="43" s="1"/>
  <c r="M396" i="43" s="1"/>
  <c r="N397" i="43" s="1"/>
  <c r="C385" i="43"/>
  <c r="D386" i="43" s="1"/>
  <c r="E387" i="43" s="1"/>
  <c r="F388" i="43" s="1"/>
  <c r="G389" i="43" s="1"/>
  <c r="H390" i="43" s="1"/>
  <c r="I391" i="43" s="1"/>
  <c r="J392" i="43" s="1"/>
  <c r="K393" i="43" s="1"/>
  <c r="L394" i="43" s="1"/>
  <c r="M395" i="43" s="1"/>
  <c r="N396" i="43" s="1"/>
  <c r="C384" i="43"/>
  <c r="D385" i="43" s="1"/>
  <c r="E386" i="43" s="1"/>
  <c r="F387" i="43" s="1"/>
  <c r="G388" i="43" s="1"/>
  <c r="H389" i="43" s="1"/>
  <c r="I390" i="43" s="1"/>
  <c r="J391" i="43" s="1"/>
  <c r="K392" i="43" s="1"/>
  <c r="L393" i="43" s="1"/>
  <c r="M394" i="43" s="1"/>
  <c r="N395" i="43" s="1"/>
  <c r="C382" i="43"/>
  <c r="D383" i="43" s="1"/>
  <c r="E384" i="43" s="1"/>
  <c r="F385" i="43" s="1"/>
  <c r="G386" i="43" s="1"/>
  <c r="H387" i="43" s="1"/>
  <c r="I388" i="43" s="1"/>
  <c r="J389" i="43" s="1"/>
  <c r="K390" i="43" s="1"/>
  <c r="L391" i="43" s="1"/>
  <c r="M392" i="43" s="1"/>
  <c r="N393" i="43" s="1"/>
  <c r="C381" i="43"/>
  <c r="D382" i="43" s="1"/>
  <c r="E383" i="43" s="1"/>
  <c r="F384" i="43" s="1"/>
  <c r="G385" i="43" s="1"/>
  <c r="H386" i="43" s="1"/>
  <c r="I387" i="43" s="1"/>
  <c r="J388" i="43" s="1"/>
  <c r="K389" i="43" s="1"/>
  <c r="L390" i="43" s="1"/>
  <c r="M391" i="43" s="1"/>
  <c r="N392" i="43" s="1"/>
  <c r="C380" i="43"/>
  <c r="D381" i="43" s="1"/>
  <c r="E382" i="43" s="1"/>
  <c r="F383" i="43" s="1"/>
  <c r="G384" i="43" s="1"/>
  <c r="H385" i="43" s="1"/>
  <c r="I386" i="43" s="1"/>
  <c r="J387" i="43" s="1"/>
  <c r="K388" i="43" s="1"/>
  <c r="L389" i="43" s="1"/>
  <c r="M390" i="43" s="1"/>
  <c r="N391" i="43" s="1"/>
  <c r="C378" i="43"/>
  <c r="D379" i="43" s="1"/>
  <c r="E380" i="43" s="1"/>
  <c r="F381" i="43" s="1"/>
  <c r="G382" i="43" s="1"/>
  <c r="H383" i="43" s="1"/>
  <c r="I384" i="43" s="1"/>
  <c r="J385" i="43" s="1"/>
  <c r="K386" i="43" s="1"/>
  <c r="C377" i="43"/>
  <c r="D378" i="43" s="1"/>
  <c r="E379" i="43" s="1"/>
  <c r="F380" i="43" s="1"/>
  <c r="G381" i="43" s="1"/>
  <c r="H382" i="43" s="1"/>
  <c r="I383" i="43" s="1"/>
  <c r="J384" i="43" s="1"/>
  <c r="K385" i="43" s="1"/>
  <c r="L386" i="43" s="1"/>
  <c r="M387" i="43" s="1"/>
  <c r="N388" i="43" s="1"/>
  <c r="C376" i="43"/>
  <c r="D377" i="43" s="1"/>
  <c r="E378" i="43" s="1"/>
  <c r="F379" i="43" s="1"/>
  <c r="G380" i="43" s="1"/>
  <c r="H381" i="43" s="1"/>
  <c r="I382" i="43" s="1"/>
  <c r="J383" i="43" s="1"/>
  <c r="K384" i="43" s="1"/>
  <c r="L385" i="43" s="1"/>
  <c r="M386" i="43" s="1"/>
  <c r="N387" i="43" s="1"/>
  <c r="C374" i="43"/>
  <c r="D375" i="43" s="1"/>
  <c r="E376" i="43" s="1"/>
  <c r="F377" i="43" s="1"/>
  <c r="G378" i="43" s="1"/>
  <c r="H379" i="43" s="1"/>
  <c r="I380" i="43" s="1"/>
  <c r="J381" i="43" s="1"/>
  <c r="K382" i="43" s="1"/>
  <c r="L383" i="43" s="1"/>
  <c r="M384" i="43" s="1"/>
  <c r="N385" i="43" s="1"/>
  <c r="C373" i="43"/>
  <c r="D374" i="43" s="1"/>
  <c r="E375" i="43" s="1"/>
  <c r="F376" i="43" s="1"/>
  <c r="G377" i="43" s="1"/>
  <c r="H378" i="43" s="1"/>
  <c r="I379" i="43" s="1"/>
  <c r="J380" i="43" s="1"/>
  <c r="K381" i="43" s="1"/>
  <c r="L382" i="43" s="1"/>
  <c r="M383" i="43" s="1"/>
  <c r="N384" i="43" s="1"/>
  <c r="C372" i="43"/>
  <c r="D373" i="43" s="1"/>
  <c r="E374" i="43" s="1"/>
  <c r="F375" i="43" s="1"/>
  <c r="G376" i="43" s="1"/>
  <c r="H377" i="43" s="1"/>
  <c r="I378" i="43" s="1"/>
  <c r="J379" i="43" s="1"/>
  <c r="K380" i="43" s="1"/>
  <c r="L381" i="43" s="1"/>
  <c r="M382" i="43" s="1"/>
  <c r="N383" i="43" s="1"/>
  <c r="C370" i="43"/>
  <c r="D371" i="43" s="1"/>
  <c r="E372" i="43" s="1"/>
  <c r="F373" i="43" s="1"/>
  <c r="G374" i="43" s="1"/>
  <c r="H375" i="43" s="1"/>
  <c r="I376" i="43" s="1"/>
  <c r="J377" i="43" s="1"/>
  <c r="K378" i="43" s="1"/>
  <c r="L379" i="43" s="1"/>
  <c r="M380" i="43" s="1"/>
  <c r="N381" i="43" s="1"/>
  <c r="C369" i="43"/>
  <c r="D370" i="43" s="1"/>
  <c r="E371" i="43" s="1"/>
  <c r="F372" i="43" s="1"/>
  <c r="G373" i="43" s="1"/>
  <c r="H374" i="43" s="1"/>
  <c r="I375" i="43" s="1"/>
  <c r="J376" i="43" s="1"/>
  <c r="K377" i="43" s="1"/>
  <c r="L378" i="43" s="1"/>
  <c r="M379" i="43" s="1"/>
  <c r="N380" i="43" s="1"/>
  <c r="C368" i="43"/>
  <c r="D369" i="43" s="1"/>
  <c r="E370" i="43" s="1"/>
  <c r="F371" i="43" s="1"/>
  <c r="G372" i="43" s="1"/>
  <c r="H373" i="43" s="1"/>
  <c r="I374" i="43" s="1"/>
  <c r="J375" i="43" s="1"/>
  <c r="K376" i="43" s="1"/>
  <c r="L377" i="43" s="1"/>
  <c r="M378" i="43" s="1"/>
  <c r="N379" i="43" s="1"/>
  <c r="C366" i="43"/>
  <c r="D367" i="43" s="1"/>
  <c r="E368" i="43" s="1"/>
  <c r="F369" i="43" s="1"/>
  <c r="G370" i="43" s="1"/>
  <c r="H371" i="43" s="1"/>
  <c r="I372" i="43" s="1"/>
  <c r="J373" i="43" s="1"/>
  <c r="K374" i="43" s="1"/>
  <c r="L375" i="43" s="1"/>
  <c r="M376" i="43" s="1"/>
  <c r="N377" i="43" s="1"/>
  <c r="C365" i="43"/>
  <c r="D366" i="43" s="1"/>
  <c r="E367" i="43" s="1"/>
  <c r="F368" i="43" s="1"/>
  <c r="G369" i="43" s="1"/>
  <c r="H370" i="43" s="1"/>
  <c r="I371" i="43" s="1"/>
  <c r="J372" i="43" s="1"/>
  <c r="K373" i="43" s="1"/>
  <c r="L374" i="43" s="1"/>
  <c r="M375" i="43" s="1"/>
  <c r="N376" i="43" s="1"/>
  <c r="C364" i="43"/>
  <c r="D365" i="43" s="1"/>
  <c r="E366" i="43" s="1"/>
  <c r="F367" i="43" s="1"/>
  <c r="G368" i="43" s="1"/>
  <c r="H369" i="43" s="1"/>
  <c r="I370" i="43" s="1"/>
  <c r="J371" i="43" s="1"/>
  <c r="K372" i="43" s="1"/>
  <c r="L373" i="43" s="1"/>
  <c r="M374" i="43" s="1"/>
  <c r="N375" i="43" s="1"/>
  <c r="C362" i="43"/>
  <c r="D363" i="43" s="1"/>
  <c r="E364" i="43" s="1"/>
  <c r="F365" i="43" s="1"/>
  <c r="G366" i="43" s="1"/>
  <c r="H367" i="43" s="1"/>
  <c r="I368" i="43" s="1"/>
  <c r="J369" i="43" s="1"/>
  <c r="K370" i="43" s="1"/>
  <c r="L371" i="43" s="1"/>
  <c r="M372" i="43" s="1"/>
  <c r="N373" i="43" s="1"/>
  <c r="C361" i="43"/>
  <c r="D362" i="43" s="1"/>
  <c r="E363" i="43" s="1"/>
  <c r="F364" i="43" s="1"/>
  <c r="G365" i="43" s="1"/>
  <c r="H366" i="43" s="1"/>
  <c r="I367" i="43" s="1"/>
  <c r="J368" i="43" s="1"/>
  <c r="K369" i="43" s="1"/>
  <c r="L370" i="43" s="1"/>
  <c r="M371" i="43" s="1"/>
  <c r="N372" i="43" s="1"/>
  <c r="C360" i="43"/>
  <c r="D361" i="43" s="1"/>
  <c r="E362" i="43" s="1"/>
  <c r="F363" i="43" s="1"/>
  <c r="G364" i="43" s="1"/>
  <c r="H365" i="43" s="1"/>
  <c r="I366" i="43" s="1"/>
  <c r="J367" i="43" s="1"/>
  <c r="K368" i="43" s="1"/>
  <c r="L369" i="43" s="1"/>
  <c r="M370" i="43" s="1"/>
  <c r="N371" i="43" s="1"/>
  <c r="D359" i="43"/>
  <c r="E360" i="43" s="1"/>
  <c r="F361" i="43" s="1"/>
  <c r="G362" i="43" s="1"/>
  <c r="H363" i="43" s="1"/>
  <c r="I364" i="43" s="1"/>
  <c r="J365" i="43" s="1"/>
  <c r="K366" i="43" s="1"/>
  <c r="L367" i="43" s="1"/>
  <c r="M368" i="43" s="1"/>
  <c r="N369" i="43" s="1"/>
  <c r="C358" i="43"/>
  <c r="C357" i="43"/>
  <c r="D358" i="43" s="1"/>
  <c r="E359" i="43" s="1"/>
  <c r="F360" i="43" s="1"/>
  <c r="G361" i="43" s="1"/>
  <c r="H362" i="43" s="1"/>
  <c r="I363" i="43" s="1"/>
  <c r="J364" i="43" s="1"/>
  <c r="K365" i="43" s="1"/>
  <c r="L366" i="43" s="1"/>
  <c r="M367" i="43" s="1"/>
  <c r="N368" i="43" s="1"/>
  <c r="C356" i="43"/>
  <c r="D357" i="43" s="1"/>
  <c r="E358" i="43" s="1"/>
  <c r="F359" i="43" s="1"/>
  <c r="G360" i="43" s="1"/>
  <c r="H361" i="43" s="1"/>
  <c r="I362" i="43" s="1"/>
  <c r="J363" i="43" s="1"/>
  <c r="K364" i="43" s="1"/>
  <c r="L365" i="43" s="1"/>
  <c r="M366" i="43" s="1"/>
  <c r="N367" i="43" s="1"/>
  <c r="C354" i="43"/>
  <c r="D355" i="43" s="1"/>
  <c r="E356" i="43" s="1"/>
  <c r="F357" i="43" s="1"/>
  <c r="G358" i="43" s="1"/>
  <c r="H359" i="43" s="1"/>
  <c r="I360" i="43" s="1"/>
  <c r="J361" i="43" s="1"/>
  <c r="K362" i="43" s="1"/>
  <c r="L363" i="43" s="1"/>
  <c r="M364" i="43" s="1"/>
  <c r="N365" i="43" s="1"/>
  <c r="C353" i="43"/>
  <c r="D354" i="43" s="1"/>
  <c r="E355" i="43" s="1"/>
  <c r="F356" i="43" s="1"/>
  <c r="G357" i="43" s="1"/>
  <c r="H358" i="43" s="1"/>
  <c r="I359" i="43" s="1"/>
  <c r="J360" i="43" s="1"/>
  <c r="K361" i="43" s="1"/>
  <c r="L362" i="43" s="1"/>
  <c r="M363" i="43" s="1"/>
  <c r="N364" i="43" s="1"/>
  <c r="C352" i="43"/>
  <c r="D353" i="43" s="1"/>
  <c r="E354" i="43" s="1"/>
  <c r="F355" i="43" s="1"/>
  <c r="G356" i="43" s="1"/>
  <c r="H357" i="43" s="1"/>
  <c r="I358" i="43" s="1"/>
  <c r="J359" i="43" s="1"/>
  <c r="K360" i="43" s="1"/>
  <c r="L361" i="43" s="1"/>
  <c r="M362" i="43" s="1"/>
  <c r="N363" i="43" s="1"/>
  <c r="C350" i="43"/>
  <c r="D351" i="43" s="1"/>
  <c r="E352" i="43" s="1"/>
  <c r="F353" i="43" s="1"/>
  <c r="G354" i="43" s="1"/>
  <c r="H355" i="43" s="1"/>
  <c r="I356" i="43" s="1"/>
  <c r="J357" i="43" s="1"/>
  <c r="K358" i="43" s="1"/>
  <c r="L359" i="43" s="1"/>
  <c r="M360" i="43" s="1"/>
  <c r="N361" i="43" s="1"/>
  <c r="C349" i="43"/>
  <c r="D350" i="43" s="1"/>
  <c r="E351" i="43" s="1"/>
  <c r="F352" i="43" s="1"/>
  <c r="G353" i="43" s="1"/>
  <c r="H354" i="43" s="1"/>
  <c r="I355" i="43" s="1"/>
  <c r="J356" i="43" s="1"/>
  <c r="K357" i="43" s="1"/>
  <c r="L358" i="43" s="1"/>
  <c r="M359" i="43" s="1"/>
  <c r="N360" i="43" s="1"/>
  <c r="C348" i="43"/>
  <c r="D349" i="43" s="1"/>
  <c r="E350" i="43" s="1"/>
  <c r="F351" i="43" s="1"/>
  <c r="G352" i="43" s="1"/>
  <c r="H353" i="43" s="1"/>
  <c r="I354" i="43" s="1"/>
  <c r="J355" i="43" s="1"/>
  <c r="K356" i="43" s="1"/>
  <c r="L357" i="43" s="1"/>
  <c r="M358" i="43" s="1"/>
  <c r="N359" i="43" s="1"/>
  <c r="C347" i="43"/>
  <c r="D348" i="43" s="1"/>
  <c r="E349" i="43" s="1"/>
  <c r="F350" i="43" s="1"/>
  <c r="G351" i="43" s="1"/>
  <c r="H352" i="43" s="1"/>
  <c r="I353" i="43" s="1"/>
  <c r="J354" i="43" s="1"/>
  <c r="K355" i="43" s="1"/>
  <c r="L356" i="43" s="1"/>
  <c r="M357" i="43" s="1"/>
  <c r="N358" i="43" s="1"/>
  <c r="C346" i="43"/>
  <c r="D347" i="43" s="1"/>
  <c r="E348" i="43" s="1"/>
  <c r="F349" i="43" s="1"/>
  <c r="G350" i="43" s="1"/>
  <c r="H351" i="43" s="1"/>
  <c r="I352" i="43" s="1"/>
  <c r="J353" i="43" s="1"/>
  <c r="K354" i="43" s="1"/>
  <c r="L355" i="43" s="1"/>
  <c r="M356" i="43" s="1"/>
  <c r="N357" i="43" s="1"/>
  <c r="C345" i="43"/>
  <c r="D346" i="43" s="1"/>
  <c r="E347" i="43" s="1"/>
  <c r="F348" i="43" s="1"/>
  <c r="G349" i="43" s="1"/>
  <c r="H350" i="43" s="1"/>
  <c r="I351" i="43" s="1"/>
  <c r="J352" i="43" s="1"/>
  <c r="K353" i="43" s="1"/>
  <c r="L354" i="43" s="1"/>
  <c r="M355" i="43" s="1"/>
  <c r="N356" i="43" s="1"/>
  <c r="C344" i="43"/>
  <c r="D345" i="43" s="1"/>
  <c r="E346" i="43" s="1"/>
  <c r="F347" i="43" s="1"/>
  <c r="G348" i="43" s="1"/>
  <c r="H349" i="43" s="1"/>
  <c r="I350" i="43" s="1"/>
  <c r="J351" i="43" s="1"/>
  <c r="K352" i="43" s="1"/>
  <c r="L353" i="43" s="1"/>
  <c r="M354" i="43" s="1"/>
  <c r="N355" i="43" s="1"/>
  <c r="C342" i="43"/>
  <c r="D343" i="43" s="1"/>
  <c r="E344" i="43" s="1"/>
  <c r="F345" i="43" s="1"/>
  <c r="G346" i="43" s="1"/>
  <c r="H347" i="43" s="1"/>
  <c r="I348" i="43" s="1"/>
  <c r="J349" i="43" s="1"/>
  <c r="K350" i="43" s="1"/>
  <c r="L351" i="43" s="1"/>
  <c r="M352" i="43" s="1"/>
  <c r="N353" i="43" s="1"/>
  <c r="C341" i="43"/>
  <c r="D342" i="43" s="1"/>
  <c r="E343" i="43" s="1"/>
  <c r="F344" i="43" s="1"/>
  <c r="G345" i="43" s="1"/>
  <c r="H346" i="43" s="1"/>
  <c r="I347" i="43" s="1"/>
  <c r="J348" i="43" s="1"/>
  <c r="K349" i="43" s="1"/>
  <c r="L350" i="43" s="1"/>
  <c r="M351" i="43" s="1"/>
  <c r="N352" i="43" s="1"/>
  <c r="C340" i="43"/>
  <c r="D341" i="43" s="1"/>
  <c r="E342" i="43" s="1"/>
  <c r="F343" i="43" s="1"/>
  <c r="G344" i="43" s="1"/>
  <c r="H345" i="43" s="1"/>
  <c r="I346" i="43" s="1"/>
  <c r="J347" i="43" s="1"/>
  <c r="K348" i="43" s="1"/>
  <c r="L349" i="43" s="1"/>
  <c r="M350" i="43" s="1"/>
  <c r="N351" i="43" s="1"/>
  <c r="C338" i="43"/>
  <c r="D339" i="43" s="1"/>
  <c r="E340" i="43" s="1"/>
  <c r="F341" i="43" s="1"/>
  <c r="G342" i="43" s="1"/>
  <c r="H343" i="43" s="1"/>
  <c r="I344" i="43" s="1"/>
  <c r="J345" i="43" s="1"/>
  <c r="K346" i="43" s="1"/>
  <c r="L347" i="43" s="1"/>
  <c r="M348" i="43" s="1"/>
  <c r="N349" i="43" s="1"/>
  <c r="C337" i="43"/>
  <c r="D338" i="43" s="1"/>
  <c r="E339" i="43" s="1"/>
  <c r="F340" i="43" s="1"/>
  <c r="G341" i="43" s="1"/>
  <c r="H342" i="43" s="1"/>
  <c r="I343" i="43" s="1"/>
  <c r="J344" i="43" s="1"/>
  <c r="K345" i="43" s="1"/>
  <c r="L346" i="43" s="1"/>
  <c r="M347" i="43" s="1"/>
  <c r="N348" i="43" s="1"/>
  <c r="C336" i="43"/>
  <c r="D337" i="43" s="1"/>
  <c r="E338" i="43" s="1"/>
  <c r="F339" i="43" s="1"/>
  <c r="G340" i="43" s="1"/>
  <c r="H341" i="43" s="1"/>
  <c r="I342" i="43" s="1"/>
  <c r="J343" i="43" s="1"/>
  <c r="K344" i="43" s="1"/>
  <c r="L345" i="43" s="1"/>
  <c r="M346" i="43" s="1"/>
  <c r="N347" i="43" s="1"/>
  <c r="C334" i="43"/>
  <c r="D335" i="43" s="1"/>
  <c r="E336" i="43" s="1"/>
  <c r="F337" i="43" s="1"/>
  <c r="G338" i="43" s="1"/>
  <c r="H339" i="43" s="1"/>
  <c r="I340" i="43" s="1"/>
  <c r="J341" i="43" s="1"/>
  <c r="K342" i="43" s="1"/>
  <c r="L343" i="43" s="1"/>
  <c r="M344" i="43" s="1"/>
  <c r="N345" i="43" s="1"/>
  <c r="C333" i="43"/>
  <c r="D334" i="43" s="1"/>
  <c r="E335" i="43" s="1"/>
  <c r="F336" i="43" s="1"/>
  <c r="G337" i="43" s="1"/>
  <c r="H338" i="43" s="1"/>
  <c r="I339" i="43" s="1"/>
  <c r="J340" i="43" s="1"/>
  <c r="K341" i="43" s="1"/>
  <c r="L342" i="43" s="1"/>
  <c r="M343" i="43" s="1"/>
  <c r="N344" i="43" s="1"/>
  <c r="C332" i="43"/>
  <c r="D333" i="43" s="1"/>
  <c r="E334" i="43" s="1"/>
  <c r="F335" i="43" s="1"/>
  <c r="G336" i="43" s="1"/>
  <c r="H337" i="43" s="1"/>
  <c r="I338" i="43" s="1"/>
  <c r="J339" i="43" s="1"/>
  <c r="K340" i="43" s="1"/>
  <c r="L341" i="43" s="1"/>
  <c r="M342" i="43" s="1"/>
  <c r="N343" i="43" s="1"/>
  <c r="C330" i="43"/>
  <c r="D331" i="43" s="1"/>
  <c r="E332" i="43" s="1"/>
  <c r="F333" i="43" s="1"/>
  <c r="G334" i="43" s="1"/>
  <c r="H335" i="43" s="1"/>
  <c r="I336" i="43" s="1"/>
  <c r="J337" i="43" s="1"/>
  <c r="K338" i="43" s="1"/>
  <c r="L339" i="43" s="1"/>
  <c r="M340" i="43" s="1"/>
  <c r="N341" i="43" s="1"/>
  <c r="C329" i="43"/>
  <c r="D330" i="43" s="1"/>
  <c r="E331" i="43" s="1"/>
  <c r="F332" i="43" s="1"/>
  <c r="G333" i="43" s="1"/>
  <c r="H334" i="43" s="1"/>
  <c r="I335" i="43" s="1"/>
  <c r="J336" i="43" s="1"/>
  <c r="K337" i="43" s="1"/>
  <c r="L338" i="43" s="1"/>
  <c r="M339" i="43" s="1"/>
  <c r="N340" i="43" s="1"/>
  <c r="C328" i="43"/>
  <c r="D329" i="43" s="1"/>
  <c r="E330" i="43" s="1"/>
  <c r="F331" i="43" s="1"/>
  <c r="G332" i="43" s="1"/>
  <c r="H333" i="43" s="1"/>
  <c r="I334" i="43" s="1"/>
  <c r="J335" i="43" s="1"/>
  <c r="K336" i="43" s="1"/>
  <c r="L337" i="43" s="1"/>
  <c r="M338" i="43" s="1"/>
  <c r="N339" i="43" s="1"/>
  <c r="C326" i="43"/>
  <c r="D327" i="43" s="1"/>
  <c r="E328" i="43" s="1"/>
  <c r="F329" i="43" s="1"/>
  <c r="G330" i="43" s="1"/>
  <c r="H331" i="43" s="1"/>
  <c r="I332" i="43" s="1"/>
  <c r="J333" i="43" s="1"/>
  <c r="K334" i="43" s="1"/>
  <c r="L335" i="43" s="1"/>
  <c r="M336" i="43" s="1"/>
  <c r="N337" i="43" s="1"/>
  <c r="C325" i="43"/>
  <c r="D326" i="43" s="1"/>
  <c r="E327" i="43" s="1"/>
  <c r="F328" i="43" s="1"/>
  <c r="G329" i="43" s="1"/>
  <c r="H330" i="43" s="1"/>
  <c r="I331" i="43" s="1"/>
  <c r="J332" i="43" s="1"/>
  <c r="K333" i="43" s="1"/>
  <c r="L334" i="43" s="1"/>
  <c r="M335" i="43" s="1"/>
  <c r="N336" i="43" s="1"/>
  <c r="C324" i="43"/>
  <c r="D325" i="43" s="1"/>
  <c r="E326" i="43" s="1"/>
  <c r="F327" i="43" s="1"/>
  <c r="G328" i="43" s="1"/>
  <c r="H329" i="43" s="1"/>
  <c r="I330" i="43" s="1"/>
  <c r="J331" i="43" s="1"/>
  <c r="K332" i="43" s="1"/>
  <c r="L333" i="43" s="1"/>
  <c r="M334" i="43" s="1"/>
  <c r="N335" i="43" s="1"/>
  <c r="C322" i="43"/>
  <c r="D323" i="43" s="1"/>
  <c r="E324" i="43" s="1"/>
  <c r="F325" i="43" s="1"/>
  <c r="G326" i="43" s="1"/>
  <c r="H327" i="43" s="1"/>
  <c r="I328" i="43" s="1"/>
  <c r="J329" i="43" s="1"/>
  <c r="K330" i="43" s="1"/>
  <c r="L331" i="43" s="1"/>
  <c r="M332" i="43" s="1"/>
  <c r="N333" i="43" s="1"/>
  <c r="C321" i="43"/>
  <c r="D322" i="43" s="1"/>
  <c r="E323" i="43" s="1"/>
  <c r="F324" i="43" s="1"/>
  <c r="G325" i="43" s="1"/>
  <c r="H326" i="43" s="1"/>
  <c r="I327" i="43" s="1"/>
  <c r="J328" i="43" s="1"/>
  <c r="K329" i="43" s="1"/>
  <c r="L330" i="43" s="1"/>
  <c r="M331" i="43" s="1"/>
  <c r="N332" i="43" s="1"/>
  <c r="C320" i="43"/>
  <c r="D321" i="43" s="1"/>
  <c r="E322" i="43" s="1"/>
  <c r="F323" i="43" s="1"/>
  <c r="G324" i="43" s="1"/>
  <c r="H325" i="43" s="1"/>
  <c r="I326" i="43" s="1"/>
  <c r="J327" i="43" s="1"/>
  <c r="K328" i="43" s="1"/>
  <c r="L329" i="43" s="1"/>
  <c r="M330" i="43" s="1"/>
  <c r="N331" i="43" s="1"/>
  <c r="D318" i="43"/>
  <c r="E319" i="43" s="1"/>
  <c r="F320" i="43" s="1"/>
  <c r="G321" i="43" s="1"/>
  <c r="H322" i="43" s="1"/>
  <c r="I323" i="43" s="1"/>
  <c r="J324" i="43" s="1"/>
  <c r="K325" i="43" s="1"/>
  <c r="L326" i="43" s="1"/>
  <c r="M327" i="43" s="1"/>
  <c r="N328" i="43" s="1"/>
  <c r="C318" i="43"/>
  <c r="D319" i="43" s="1"/>
  <c r="E320" i="43" s="1"/>
  <c r="F321" i="43" s="1"/>
  <c r="G322" i="43" s="1"/>
  <c r="H323" i="43" s="1"/>
  <c r="I324" i="43" s="1"/>
  <c r="J325" i="43" s="1"/>
  <c r="K326" i="43" s="1"/>
  <c r="L327" i="43" s="1"/>
  <c r="M328" i="43" s="1"/>
  <c r="N329" i="43" s="1"/>
  <c r="C317" i="43"/>
  <c r="C316" i="43"/>
  <c r="D317" i="43" s="1"/>
  <c r="E318" i="43" s="1"/>
  <c r="F319" i="43" s="1"/>
  <c r="G320" i="43" s="1"/>
  <c r="H321" i="43" s="1"/>
  <c r="I322" i="43" s="1"/>
  <c r="J323" i="43" s="1"/>
  <c r="K324" i="43" s="1"/>
  <c r="L325" i="43" s="1"/>
  <c r="M326" i="43" s="1"/>
  <c r="N327" i="43" s="1"/>
  <c r="D315" i="43"/>
  <c r="E316" i="43" s="1"/>
  <c r="F317" i="43" s="1"/>
  <c r="G318" i="43" s="1"/>
  <c r="H319" i="43" s="1"/>
  <c r="I320" i="43" s="1"/>
  <c r="J321" i="43" s="1"/>
  <c r="K322" i="43" s="1"/>
  <c r="L323" i="43" s="1"/>
  <c r="M324" i="43" s="1"/>
  <c r="N325" i="43" s="1"/>
  <c r="C314" i="43"/>
  <c r="C313" i="43"/>
  <c r="D314" i="43" s="1"/>
  <c r="E315" i="43" s="1"/>
  <c r="F316" i="43" s="1"/>
  <c r="G317" i="43" s="1"/>
  <c r="H318" i="43" s="1"/>
  <c r="I319" i="43" s="1"/>
  <c r="J320" i="43" s="1"/>
  <c r="K321" i="43" s="1"/>
  <c r="L322" i="43" s="1"/>
  <c r="M323" i="43" s="1"/>
  <c r="N324" i="43" s="1"/>
  <c r="C312" i="43"/>
  <c r="D313" i="43" s="1"/>
  <c r="E314" i="43" s="1"/>
  <c r="F315" i="43" s="1"/>
  <c r="G316" i="43" s="1"/>
  <c r="H317" i="43" s="1"/>
  <c r="I318" i="43" s="1"/>
  <c r="J319" i="43" s="1"/>
  <c r="K320" i="43" s="1"/>
  <c r="L321" i="43" s="1"/>
  <c r="M322" i="43" s="1"/>
  <c r="N323" i="43" s="1"/>
  <c r="D311" i="43"/>
  <c r="E312" i="43" s="1"/>
  <c r="F313" i="43" s="1"/>
  <c r="G314" i="43" s="1"/>
  <c r="H315" i="43" s="1"/>
  <c r="I316" i="43" s="1"/>
  <c r="J317" i="43" s="1"/>
  <c r="K318" i="43" s="1"/>
  <c r="L319" i="43" s="1"/>
  <c r="M320" i="43" s="1"/>
  <c r="N321" i="43" s="1"/>
  <c r="C310" i="43"/>
  <c r="C309" i="43"/>
  <c r="D310" i="43" s="1"/>
  <c r="E311" i="43" s="1"/>
  <c r="F312" i="43" s="1"/>
  <c r="G313" i="43" s="1"/>
  <c r="H314" i="43" s="1"/>
  <c r="I315" i="43" s="1"/>
  <c r="J316" i="43" s="1"/>
  <c r="K317" i="43" s="1"/>
  <c r="L318" i="43" s="1"/>
  <c r="M319" i="43" s="1"/>
  <c r="N320" i="43" s="1"/>
  <c r="C308" i="43"/>
  <c r="D309" i="43" s="1"/>
  <c r="E310" i="43" s="1"/>
  <c r="F311" i="43" s="1"/>
  <c r="G312" i="43" s="1"/>
  <c r="H313" i="43" s="1"/>
  <c r="I314" i="43" s="1"/>
  <c r="J315" i="43" s="1"/>
  <c r="K316" i="43" s="1"/>
  <c r="L317" i="43" s="1"/>
  <c r="M318" i="43" s="1"/>
  <c r="N319" i="43" s="1"/>
  <c r="C306" i="43"/>
  <c r="D307" i="43" s="1"/>
  <c r="E308" i="43" s="1"/>
  <c r="F309" i="43" s="1"/>
  <c r="G310" i="43" s="1"/>
  <c r="H311" i="43" s="1"/>
  <c r="I312" i="43" s="1"/>
  <c r="J313" i="43" s="1"/>
  <c r="K314" i="43" s="1"/>
  <c r="L315" i="43" s="1"/>
  <c r="M316" i="43" s="1"/>
  <c r="N317" i="43" s="1"/>
  <c r="C305" i="43"/>
  <c r="D306" i="43" s="1"/>
  <c r="E307" i="43" s="1"/>
  <c r="F308" i="43" s="1"/>
  <c r="G309" i="43" s="1"/>
  <c r="H310" i="43" s="1"/>
  <c r="I311" i="43" s="1"/>
  <c r="J312" i="43" s="1"/>
  <c r="K313" i="43" s="1"/>
  <c r="L314" i="43" s="1"/>
  <c r="M315" i="43" s="1"/>
  <c r="N316" i="43" s="1"/>
  <c r="C304" i="43"/>
  <c r="D305" i="43" s="1"/>
  <c r="E306" i="43" s="1"/>
  <c r="F307" i="43" s="1"/>
  <c r="G308" i="43" s="1"/>
  <c r="H309" i="43" s="1"/>
  <c r="I310" i="43" s="1"/>
  <c r="J311" i="43" s="1"/>
  <c r="K312" i="43" s="1"/>
  <c r="L313" i="43" s="1"/>
  <c r="M314" i="43" s="1"/>
  <c r="N315" i="43" s="1"/>
  <c r="D302" i="43"/>
  <c r="E303" i="43" s="1"/>
  <c r="F304" i="43" s="1"/>
  <c r="G305" i="43" s="1"/>
  <c r="H306" i="43" s="1"/>
  <c r="I307" i="43" s="1"/>
  <c r="J308" i="43" s="1"/>
  <c r="K309" i="43" s="1"/>
  <c r="L310" i="43" s="1"/>
  <c r="M311" i="43" s="1"/>
  <c r="N312" i="43" s="1"/>
  <c r="C302" i="43"/>
  <c r="D303" i="43" s="1"/>
  <c r="E304" i="43" s="1"/>
  <c r="F305" i="43" s="1"/>
  <c r="G306" i="43" s="1"/>
  <c r="H307" i="43" s="1"/>
  <c r="I308" i="43" s="1"/>
  <c r="J309" i="43" s="1"/>
  <c r="K310" i="43" s="1"/>
  <c r="L311" i="43" s="1"/>
  <c r="M312" i="43" s="1"/>
  <c r="N313" i="43" s="1"/>
  <c r="C301" i="43"/>
  <c r="C300" i="43"/>
  <c r="D301" i="43" s="1"/>
  <c r="E302" i="43" s="1"/>
  <c r="F303" i="43" s="1"/>
  <c r="G304" i="43" s="1"/>
  <c r="H305" i="43" s="1"/>
  <c r="I306" i="43" s="1"/>
  <c r="J307" i="43" s="1"/>
  <c r="K308" i="43" s="1"/>
  <c r="L309" i="43" s="1"/>
  <c r="M310" i="43" s="1"/>
  <c r="N311" i="43" s="1"/>
  <c r="C298" i="43"/>
  <c r="D299" i="43" s="1"/>
  <c r="E300" i="43" s="1"/>
  <c r="F301" i="43" s="1"/>
  <c r="G302" i="43" s="1"/>
  <c r="H303" i="43" s="1"/>
  <c r="I304" i="43" s="1"/>
  <c r="J305" i="43" s="1"/>
  <c r="K306" i="43" s="1"/>
  <c r="L307" i="43" s="1"/>
  <c r="M308" i="43" s="1"/>
  <c r="N309" i="43" s="1"/>
  <c r="C297" i="43"/>
  <c r="D298" i="43" s="1"/>
  <c r="E299" i="43" s="1"/>
  <c r="F300" i="43" s="1"/>
  <c r="G301" i="43" s="1"/>
  <c r="H302" i="43" s="1"/>
  <c r="I303" i="43" s="1"/>
  <c r="J304" i="43" s="1"/>
  <c r="K305" i="43" s="1"/>
  <c r="L306" i="43" s="1"/>
  <c r="M307" i="43" s="1"/>
  <c r="N308" i="43" s="1"/>
  <c r="C296" i="43"/>
  <c r="D297" i="43" s="1"/>
  <c r="E298" i="43" s="1"/>
  <c r="F299" i="43" s="1"/>
  <c r="G300" i="43" s="1"/>
  <c r="H301" i="43" s="1"/>
  <c r="I302" i="43" s="1"/>
  <c r="J303" i="43" s="1"/>
  <c r="K304" i="43" s="1"/>
  <c r="L305" i="43" s="1"/>
  <c r="M306" i="43" s="1"/>
  <c r="N307" i="43" s="1"/>
  <c r="C294" i="43"/>
  <c r="D295" i="43" s="1"/>
  <c r="E296" i="43" s="1"/>
  <c r="F297" i="43" s="1"/>
  <c r="G298" i="43" s="1"/>
  <c r="H299" i="43" s="1"/>
  <c r="I300" i="43" s="1"/>
  <c r="J301" i="43" s="1"/>
  <c r="K302" i="43" s="1"/>
  <c r="L303" i="43" s="1"/>
  <c r="M304" i="43" s="1"/>
  <c r="N305" i="43" s="1"/>
  <c r="C293" i="43"/>
  <c r="D294" i="43" s="1"/>
  <c r="E295" i="43" s="1"/>
  <c r="F296" i="43" s="1"/>
  <c r="G297" i="43" s="1"/>
  <c r="H298" i="43" s="1"/>
  <c r="I299" i="43" s="1"/>
  <c r="J300" i="43" s="1"/>
  <c r="K301" i="43" s="1"/>
  <c r="L302" i="43" s="1"/>
  <c r="M303" i="43" s="1"/>
  <c r="N304" i="43" s="1"/>
  <c r="C292" i="43"/>
  <c r="D293" i="43" s="1"/>
  <c r="E294" i="43" s="1"/>
  <c r="F295" i="43" s="1"/>
  <c r="G296" i="43" s="1"/>
  <c r="H297" i="43" s="1"/>
  <c r="I298" i="43" s="1"/>
  <c r="J299" i="43" s="1"/>
  <c r="K300" i="43" s="1"/>
  <c r="L301" i="43" s="1"/>
  <c r="M302" i="43" s="1"/>
  <c r="N303" i="43" s="1"/>
  <c r="C290" i="43"/>
  <c r="D291" i="43" s="1"/>
  <c r="E292" i="43" s="1"/>
  <c r="F293" i="43" s="1"/>
  <c r="G294" i="43" s="1"/>
  <c r="H295" i="43" s="1"/>
  <c r="I296" i="43" s="1"/>
  <c r="J297" i="43" s="1"/>
  <c r="K298" i="43" s="1"/>
  <c r="L299" i="43" s="1"/>
  <c r="M300" i="43" s="1"/>
  <c r="N301" i="43" s="1"/>
  <c r="C289" i="43"/>
  <c r="D290" i="43" s="1"/>
  <c r="E291" i="43" s="1"/>
  <c r="F292" i="43" s="1"/>
  <c r="G293" i="43" s="1"/>
  <c r="H294" i="43" s="1"/>
  <c r="I295" i="43" s="1"/>
  <c r="J296" i="43" s="1"/>
  <c r="K297" i="43" s="1"/>
  <c r="L298" i="43" s="1"/>
  <c r="M299" i="43" s="1"/>
  <c r="N300" i="43" s="1"/>
  <c r="C288" i="43"/>
  <c r="D289" i="43" s="1"/>
  <c r="E290" i="43" s="1"/>
  <c r="F291" i="43" s="1"/>
  <c r="G292" i="43" s="1"/>
  <c r="H293" i="43" s="1"/>
  <c r="I294" i="43" s="1"/>
  <c r="J295" i="43" s="1"/>
  <c r="K296" i="43" s="1"/>
  <c r="L297" i="43" s="1"/>
  <c r="M298" i="43" s="1"/>
  <c r="N299" i="43" s="1"/>
  <c r="C286" i="43"/>
  <c r="D287" i="43" s="1"/>
  <c r="E288" i="43" s="1"/>
  <c r="F289" i="43" s="1"/>
  <c r="G290" i="43" s="1"/>
  <c r="H291" i="43" s="1"/>
  <c r="I292" i="43" s="1"/>
  <c r="J293" i="43" s="1"/>
  <c r="K294" i="43" s="1"/>
  <c r="L295" i="43" s="1"/>
  <c r="M296" i="43" s="1"/>
  <c r="N297" i="43" s="1"/>
  <c r="C285" i="43"/>
  <c r="D286" i="43" s="1"/>
  <c r="E287" i="43" s="1"/>
  <c r="F288" i="43" s="1"/>
  <c r="G289" i="43" s="1"/>
  <c r="H290" i="43" s="1"/>
  <c r="I291" i="43" s="1"/>
  <c r="J292" i="43" s="1"/>
  <c r="K293" i="43" s="1"/>
  <c r="L294" i="43" s="1"/>
  <c r="M295" i="43" s="1"/>
  <c r="N296" i="43" s="1"/>
  <c r="C284" i="43"/>
  <c r="D285" i="43" s="1"/>
  <c r="E286" i="43" s="1"/>
  <c r="F287" i="43" s="1"/>
  <c r="G288" i="43" s="1"/>
  <c r="H289" i="43" s="1"/>
  <c r="I290" i="43" s="1"/>
  <c r="J291" i="43" s="1"/>
  <c r="K292" i="43" s="1"/>
  <c r="L293" i="43" s="1"/>
  <c r="M294" i="43" s="1"/>
  <c r="N295" i="43" s="1"/>
  <c r="C282" i="43"/>
  <c r="D283" i="43" s="1"/>
  <c r="E284" i="43" s="1"/>
  <c r="F285" i="43" s="1"/>
  <c r="G286" i="43" s="1"/>
  <c r="H287" i="43" s="1"/>
  <c r="I288" i="43" s="1"/>
  <c r="J289" i="43" s="1"/>
  <c r="K290" i="43" s="1"/>
  <c r="L291" i="43" s="1"/>
  <c r="M292" i="43" s="1"/>
  <c r="N293" i="43" s="1"/>
  <c r="C281" i="43"/>
  <c r="D282" i="43" s="1"/>
  <c r="E283" i="43" s="1"/>
  <c r="F284" i="43" s="1"/>
  <c r="G285" i="43" s="1"/>
  <c r="H286" i="43" s="1"/>
  <c r="I287" i="43" s="1"/>
  <c r="J288" i="43" s="1"/>
  <c r="K289" i="43" s="1"/>
  <c r="L290" i="43" s="1"/>
  <c r="M291" i="43" s="1"/>
  <c r="N292" i="43" s="1"/>
  <c r="C280" i="43"/>
  <c r="D281" i="43" s="1"/>
  <c r="E282" i="43" s="1"/>
  <c r="F283" i="43" s="1"/>
  <c r="G284" i="43" s="1"/>
  <c r="H285" i="43" s="1"/>
  <c r="I286" i="43" s="1"/>
  <c r="J287" i="43" s="1"/>
  <c r="K288" i="43" s="1"/>
  <c r="L289" i="43" s="1"/>
  <c r="M290" i="43" s="1"/>
  <c r="N291" i="43" s="1"/>
  <c r="C278" i="43"/>
  <c r="D279" i="43" s="1"/>
  <c r="E280" i="43" s="1"/>
  <c r="F281" i="43" s="1"/>
  <c r="G282" i="43" s="1"/>
  <c r="H283" i="43" s="1"/>
  <c r="I284" i="43" s="1"/>
  <c r="J285" i="43" s="1"/>
  <c r="K286" i="43" s="1"/>
  <c r="L287" i="43" s="1"/>
  <c r="M288" i="43" s="1"/>
  <c r="N289" i="43" s="1"/>
  <c r="C277" i="43"/>
  <c r="D278" i="43" s="1"/>
  <c r="E279" i="43" s="1"/>
  <c r="F280" i="43" s="1"/>
  <c r="G281" i="43" s="1"/>
  <c r="H282" i="43" s="1"/>
  <c r="I283" i="43" s="1"/>
  <c r="J284" i="43" s="1"/>
  <c r="K285" i="43" s="1"/>
  <c r="L286" i="43" s="1"/>
  <c r="M287" i="43" s="1"/>
  <c r="N288" i="43" s="1"/>
  <c r="C276" i="43"/>
  <c r="D277" i="43" s="1"/>
  <c r="E278" i="43" s="1"/>
  <c r="F279" i="43" s="1"/>
  <c r="G280" i="43" s="1"/>
  <c r="H281" i="43" s="1"/>
  <c r="I282" i="43" s="1"/>
  <c r="J283" i="43" s="1"/>
  <c r="K284" i="43" s="1"/>
  <c r="L285" i="43" s="1"/>
  <c r="M286" i="43" s="1"/>
  <c r="N287" i="43" s="1"/>
  <c r="C274" i="43"/>
  <c r="D275" i="43" s="1"/>
  <c r="E276" i="43" s="1"/>
  <c r="F277" i="43" s="1"/>
  <c r="G278" i="43" s="1"/>
  <c r="H279" i="43" s="1"/>
  <c r="I280" i="43" s="1"/>
  <c r="J281" i="43" s="1"/>
  <c r="K282" i="43" s="1"/>
  <c r="L283" i="43" s="1"/>
  <c r="M284" i="43" s="1"/>
  <c r="N285" i="43" s="1"/>
  <c r="C273" i="43"/>
  <c r="D274" i="43" s="1"/>
  <c r="E275" i="43" s="1"/>
  <c r="F276" i="43" s="1"/>
  <c r="G277" i="43" s="1"/>
  <c r="H278" i="43" s="1"/>
  <c r="I279" i="43" s="1"/>
  <c r="J280" i="43" s="1"/>
  <c r="K281" i="43" s="1"/>
  <c r="L282" i="43" s="1"/>
  <c r="M283" i="43" s="1"/>
  <c r="N284" i="43" s="1"/>
  <c r="C272" i="43"/>
  <c r="D273" i="43" s="1"/>
  <c r="E274" i="43" s="1"/>
  <c r="F275" i="43" s="1"/>
  <c r="G276" i="43" s="1"/>
  <c r="H277" i="43" s="1"/>
  <c r="I278" i="43" s="1"/>
  <c r="J279" i="43" s="1"/>
  <c r="K280" i="43" s="1"/>
  <c r="L281" i="43" s="1"/>
  <c r="M282" i="43" s="1"/>
  <c r="N283" i="43" s="1"/>
  <c r="C270" i="43"/>
  <c r="D271" i="43" s="1"/>
  <c r="E272" i="43" s="1"/>
  <c r="F273" i="43" s="1"/>
  <c r="G274" i="43" s="1"/>
  <c r="H275" i="43" s="1"/>
  <c r="I276" i="43" s="1"/>
  <c r="J277" i="43" s="1"/>
  <c r="K278" i="43" s="1"/>
  <c r="L279" i="43" s="1"/>
  <c r="M280" i="43" s="1"/>
  <c r="N281" i="43" s="1"/>
  <c r="C269" i="43"/>
  <c r="D270" i="43" s="1"/>
  <c r="E271" i="43" s="1"/>
  <c r="F272" i="43" s="1"/>
  <c r="G273" i="43" s="1"/>
  <c r="H274" i="43" s="1"/>
  <c r="I275" i="43" s="1"/>
  <c r="J276" i="43" s="1"/>
  <c r="K277" i="43" s="1"/>
  <c r="L278" i="43" s="1"/>
  <c r="M279" i="43" s="1"/>
  <c r="N280" i="43" s="1"/>
  <c r="C268" i="43"/>
  <c r="D269" i="43" s="1"/>
  <c r="E270" i="43" s="1"/>
  <c r="F271" i="43" s="1"/>
  <c r="G272" i="43" s="1"/>
  <c r="H273" i="43" s="1"/>
  <c r="I274" i="43" s="1"/>
  <c r="J275" i="43" s="1"/>
  <c r="K276" i="43" s="1"/>
  <c r="L277" i="43" s="1"/>
  <c r="M278" i="43" s="1"/>
  <c r="N279" i="43" s="1"/>
  <c r="C266" i="43"/>
  <c r="D267" i="43" s="1"/>
  <c r="E268" i="43" s="1"/>
  <c r="F269" i="43" s="1"/>
  <c r="G270" i="43" s="1"/>
  <c r="H271" i="43" s="1"/>
  <c r="I272" i="43" s="1"/>
  <c r="J273" i="43" s="1"/>
  <c r="K274" i="43" s="1"/>
  <c r="L275" i="43" s="1"/>
  <c r="M276" i="43" s="1"/>
  <c r="N277" i="43" s="1"/>
  <c r="C265" i="43"/>
  <c r="D266" i="43" s="1"/>
  <c r="E267" i="43" s="1"/>
  <c r="F268" i="43" s="1"/>
  <c r="G269" i="43" s="1"/>
  <c r="H270" i="43" s="1"/>
  <c r="I271" i="43" s="1"/>
  <c r="J272" i="43" s="1"/>
  <c r="K273" i="43" s="1"/>
  <c r="L274" i="43" s="1"/>
  <c r="M275" i="43" s="1"/>
  <c r="N276" i="43" s="1"/>
  <c r="C264" i="43"/>
  <c r="D265" i="43" s="1"/>
  <c r="E266" i="43" s="1"/>
  <c r="F267" i="43" s="1"/>
  <c r="G268" i="43" s="1"/>
  <c r="H269" i="43" s="1"/>
  <c r="I270" i="43" s="1"/>
  <c r="J271" i="43" s="1"/>
  <c r="K272" i="43" s="1"/>
  <c r="L273" i="43" s="1"/>
  <c r="M274" i="43" s="1"/>
  <c r="N275" i="43" s="1"/>
  <c r="C262" i="43"/>
  <c r="D263" i="43" s="1"/>
  <c r="E264" i="43" s="1"/>
  <c r="F265" i="43" s="1"/>
  <c r="G266" i="43" s="1"/>
  <c r="H267" i="43" s="1"/>
  <c r="I268" i="43" s="1"/>
  <c r="J269" i="43" s="1"/>
  <c r="K270" i="43" s="1"/>
  <c r="L271" i="43" s="1"/>
  <c r="M272" i="43" s="1"/>
  <c r="N273" i="43" s="1"/>
  <c r="C261" i="43"/>
  <c r="D262" i="43" s="1"/>
  <c r="E263" i="43" s="1"/>
  <c r="F264" i="43" s="1"/>
  <c r="G265" i="43" s="1"/>
  <c r="H266" i="43" s="1"/>
  <c r="I267" i="43" s="1"/>
  <c r="J268" i="43" s="1"/>
  <c r="K269" i="43" s="1"/>
  <c r="L270" i="43" s="1"/>
  <c r="M271" i="43" s="1"/>
  <c r="N272" i="43" s="1"/>
  <c r="C260" i="43"/>
  <c r="D261" i="43" s="1"/>
  <c r="E262" i="43" s="1"/>
  <c r="F263" i="43" s="1"/>
  <c r="G264" i="43" s="1"/>
  <c r="H265" i="43" s="1"/>
  <c r="I266" i="43" s="1"/>
  <c r="J267" i="43" s="1"/>
  <c r="K268" i="43" s="1"/>
  <c r="L269" i="43" s="1"/>
  <c r="M270" i="43" s="1"/>
  <c r="N271" i="43" s="1"/>
  <c r="C258" i="43"/>
  <c r="D259" i="43" s="1"/>
  <c r="E260" i="43" s="1"/>
  <c r="F261" i="43" s="1"/>
  <c r="G262" i="43" s="1"/>
  <c r="H263" i="43" s="1"/>
  <c r="I264" i="43" s="1"/>
  <c r="J265" i="43" s="1"/>
  <c r="K266" i="43" s="1"/>
  <c r="L267" i="43" s="1"/>
  <c r="M268" i="43" s="1"/>
  <c r="N269" i="43" s="1"/>
  <c r="C257" i="43"/>
  <c r="D258" i="43" s="1"/>
  <c r="E259" i="43" s="1"/>
  <c r="F260" i="43" s="1"/>
  <c r="G261" i="43" s="1"/>
  <c r="H262" i="43" s="1"/>
  <c r="I263" i="43" s="1"/>
  <c r="J264" i="43" s="1"/>
  <c r="K265" i="43" s="1"/>
  <c r="L266" i="43" s="1"/>
  <c r="M267" i="43" s="1"/>
  <c r="N268" i="43" s="1"/>
  <c r="C256" i="43"/>
  <c r="D257" i="43" s="1"/>
  <c r="E258" i="43" s="1"/>
  <c r="F259" i="43" s="1"/>
  <c r="G260" i="43" s="1"/>
  <c r="H261" i="43" s="1"/>
  <c r="I262" i="43" s="1"/>
  <c r="J263" i="43" s="1"/>
  <c r="K264" i="43" s="1"/>
  <c r="L265" i="43" s="1"/>
  <c r="M266" i="43" s="1"/>
  <c r="N267" i="43" s="1"/>
  <c r="C254" i="43"/>
  <c r="D255" i="43" s="1"/>
  <c r="E256" i="43" s="1"/>
  <c r="F257" i="43" s="1"/>
  <c r="G258" i="43" s="1"/>
  <c r="H259" i="43" s="1"/>
  <c r="I260" i="43" s="1"/>
  <c r="J261" i="43" s="1"/>
  <c r="K262" i="43" s="1"/>
  <c r="L263" i="43" s="1"/>
  <c r="M264" i="43" s="1"/>
  <c r="N265" i="43" s="1"/>
  <c r="C253" i="43"/>
  <c r="D254" i="43" s="1"/>
  <c r="E255" i="43" s="1"/>
  <c r="F256" i="43" s="1"/>
  <c r="G257" i="43" s="1"/>
  <c r="H258" i="43" s="1"/>
  <c r="I259" i="43" s="1"/>
  <c r="J260" i="43" s="1"/>
  <c r="K261" i="43" s="1"/>
  <c r="L262" i="43" s="1"/>
  <c r="M263" i="43" s="1"/>
  <c r="N264" i="43" s="1"/>
  <c r="C252" i="43"/>
  <c r="D253" i="43" s="1"/>
  <c r="E254" i="43" s="1"/>
  <c r="F255" i="43" s="1"/>
  <c r="G256" i="43" s="1"/>
  <c r="H257" i="43" s="1"/>
  <c r="I258" i="43" s="1"/>
  <c r="J259" i="43" s="1"/>
  <c r="K260" i="43" s="1"/>
  <c r="L261" i="43" s="1"/>
  <c r="M262" i="43" s="1"/>
  <c r="N263" i="43" s="1"/>
  <c r="C250" i="43"/>
  <c r="D251" i="43" s="1"/>
  <c r="E252" i="43" s="1"/>
  <c r="F253" i="43" s="1"/>
  <c r="G254" i="43" s="1"/>
  <c r="H255" i="43" s="1"/>
  <c r="I256" i="43" s="1"/>
  <c r="J257" i="43" s="1"/>
  <c r="K258" i="43" s="1"/>
  <c r="L259" i="43" s="1"/>
  <c r="M260" i="43" s="1"/>
  <c r="N261" i="43" s="1"/>
  <c r="C249" i="43"/>
  <c r="D250" i="43" s="1"/>
  <c r="E251" i="43" s="1"/>
  <c r="F252" i="43" s="1"/>
  <c r="G253" i="43" s="1"/>
  <c r="H254" i="43" s="1"/>
  <c r="I255" i="43" s="1"/>
  <c r="J256" i="43" s="1"/>
  <c r="K257" i="43" s="1"/>
  <c r="L258" i="43" s="1"/>
  <c r="M259" i="43" s="1"/>
  <c r="N260" i="43" s="1"/>
  <c r="C248" i="43"/>
  <c r="D249" i="43" s="1"/>
  <c r="E250" i="43" s="1"/>
  <c r="F251" i="43" s="1"/>
  <c r="G252" i="43" s="1"/>
  <c r="H253" i="43" s="1"/>
  <c r="I254" i="43" s="1"/>
  <c r="J255" i="43" s="1"/>
  <c r="K256" i="43" s="1"/>
  <c r="L257" i="43" s="1"/>
  <c r="M258" i="43" s="1"/>
  <c r="N259" i="43" s="1"/>
  <c r="C246" i="43"/>
  <c r="D247" i="43" s="1"/>
  <c r="E248" i="43" s="1"/>
  <c r="F249" i="43" s="1"/>
  <c r="G250" i="43" s="1"/>
  <c r="H251" i="43" s="1"/>
  <c r="I252" i="43" s="1"/>
  <c r="J253" i="43" s="1"/>
  <c r="K254" i="43" s="1"/>
  <c r="L255" i="43" s="1"/>
  <c r="M256" i="43" s="1"/>
  <c r="N257" i="43" s="1"/>
  <c r="C245" i="43"/>
  <c r="D246" i="43" s="1"/>
  <c r="E247" i="43" s="1"/>
  <c r="F248" i="43" s="1"/>
  <c r="G249" i="43" s="1"/>
  <c r="H250" i="43" s="1"/>
  <c r="I251" i="43" s="1"/>
  <c r="J252" i="43" s="1"/>
  <c r="K253" i="43" s="1"/>
  <c r="L254" i="43" s="1"/>
  <c r="M255" i="43" s="1"/>
  <c r="N256" i="43" s="1"/>
  <c r="C244" i="43"/>
  <c r="D245" i="43" s="1"/>
  <c r="E246" i="43" s="1"/>
  <c r="F247" i="43" s="1"/>
  <c r="G248" i="43" s="1"/>
  <c r="H249" i="43" s="1"/>
  <c r="I250" i="43" s="1"/>
  <c r="J251" i="43" s="1"/>
  <c r="K252" i="43" s="1"/>
  <c r="L253" i="43" s="1"/>
  <c r="M254" i="43" s="1"/>
  <c r="N255" i="43" s="1"/>
  <c r="D242" i="43"/>
  <c r="E243" i="43" s="1"/>
  <c r="F244" i="43" s="1"/>
  <c r="G245" i="43" s="1"/>
  <c r="H246" i="43" s="1"/>
  <c r="I247" i="43" s="1"/>
  <c r="J248" i="43" s="1"/>
  <c r="K249" i="43" s="1"/>
  <c r="L250" i="43" s="1"/>
  <c r="M251" i="43" s="1"/>
  <c r="N252" i="43" s="1"/>
  <c r="C242" i="43"/>
  <c r="D243" i="43" s="1"/>
  <c r="E244" i="43" s="1"/>
  <c r="F245" i="43" s="1"/>
  <c r="G246" i="43" s="1"/>
  <c r="H247" i="43" s="1"/>
  <c r="I248" i="43" s="1"/>
  <c r="J249" i="43" s="1"/>
  <c r="K250" i="43" s="1"/>
  <c r="L251" i="43" s="1"/>
  <c r="M252" i="43" s="1"/>
  <c r="N253" i="43" s="1"/>
  <c r="C241" i="43"/>
  <c r="C240" i="43"/>
  <c r="D241" i="43" s="1"/>
  <c r="E242" i="43" s="1"/>
  <c r="F243" i="43" s="1"/>
  <c r="G244" i="43" s="1"/>
  <c r="H245" i="43" s="1"/>
  <c r="I246" i="43" s="1"/>
  <c r="J247" i="43" s="1"/>
  <c r="K248" i="43" s="1"/>
  <c r="L249" i="43" s="1"/>
  <c r="M250" i="43" s="1"/>
  <c r="N251" i="43" s="1"/>
  <c r="D238" i="43"/>
  <c r="E239" i="43" s="1"/>
  <c r="F240" i="43" s="1"/>
  <c r="G241" i="43" s="1"/>
  <c r="H242" i="43" s="1"/>
  <c r="I243" i="43" s="1"/>
  <c r="J244" i="43" s="1"/>
  <c r="K245" i="43" s="1"/>
  <c r="L246" i="43" s="1"/>
  <c r="M247" i="43" s="1"/>
  <c r="N248" i="43" s="1"/>
  <c r="C238" i="43"/>
  <c r="D239" i="43" s="1"/>
  <c r="E240" i="43" s="1"/>
  <c r="F241" i="43" s="1"/>
  <c r="G242" i="43" s="1"/>
  <c r="H243" i="43" s="1"/>
  <c r="I244" i="43" s="1"/>
  <c r="J245" i="43" s="1"/>
  <c r="K246" i="43" s="1"/>
  <c r="L247" i="43" s="1"/>
  <c r="M248" i="43" s="1"/>
  <c r="N249" i="43" s="1"/>
  <c r="C237" i="43"/>
  <c r="C236" i="43"/>
  <c r="D237" i="43" s="1"/>
  <c r="E238" i="43" s="1"/>
  <c r="F239" i="43" s="1"/>
  <c r="G240" i="43" s="1"/>
  <c r="H241" i="43" s="1"/>
  <c r="I242" i="43" s="1"/>
  <c r="J243" i="43" s="1"/>
  <c r="K244" i="43" s="1"/>
  <c r="L245" i="43" s="1"/>
  <c r="M246" i="43" s="1"/>
  <c r="N247" i="43" s="1"/>
  <c r="C234" i="43"/>
  <c r="D235" i="43" s="1"/>
  <c r="E236" i="43" s="1"/>
  <c r="F237" i="43" s="1"/>
  <c r="G238" i="43" s="1"/>
  <c r="H239" i="43" s="1"/>
  <c r="I240" i="43" s="1"/>
  <c r="J241" i="43" s="1"/>
  <c r="K242" i="43" s="1"/>
  <c r="L243" i="43" s="1"/>
  <c r="M244" i="43" s="1"/>
  <c r="N245" i="43" s="1"/>
  <c r="C233" i="43"/>
  <c r="D234" i="43" s="1"/>
  <c r="E235" i="43" s="1"/>
  <c r="F236" i="43" s="1"/>
  <c r="G237" i="43" s="1"/>
  <c r="H238" i="43" s="1"/>
  <c r="I239" i="43" s="1"/>
  <c r="J240" i="43" s="1"/>
  <c r="K241" i="43" s="1"/>
  <c r="L242" i="43" s="1"/>
  <c r="M243" i="43" s="1"/>
  <c r="N244" i="43" s="1"/>
  <c r="C232" i="43"/>
  <c r="D233" i="43" s="1"/>
  <c r="E234" i="43" s="1"/>
  <c r="F235" i="43" s="1"/>
  <c r="G236" i="43" s="1"/>
  <c r="H237" i="43" s="1"/>
  <c r="I238" i="43" s="1"/>
  <c r="J239" i="43" s="1"/>
  <c r="K240" i="43" s="1"/>
  <c r="L241" i="43" s="1"/>
  <c r="M242" i="43" s="1"/>
  <c r="N243" i="43" s="1"/>
  <c r="C230" i="43"/>
  <c r="D231" i="43" s="1"/>
  <c r="E232" i="43" s="1"/>
  <c r="F233" i="43" s="1"/>
  <c r="G234" i="43" s="1"/>
  <c r="H235" i="43" s="1"/>
  <c r="I236" i="43" s="1"/>
  <c r="J237" i="43" s="1"/>
  <c r="K238" i="43" s="1"/>
  <c r="L239" i="43" s="1"/>
  <c r="M240" i="43" s="1"/>
  <c r="N241" i="43" s="1"/>
  <c r="C229" i="43"/>
  <c r="D230" i="43" s="1"/>
  <c r="E231" i="43" s="1"/>
  <c r="F232" i="43" s="1"/>
  <c r="G233" i="43" s="1"/>
  <c r="H234" i="43" s="1"/>
  <c r="I235" i="43" s="1"/>
  <c r="J236" i="43" s="1"/>
  <c r="K237" i="43" s="1"/>
  <c r="L238" i="43" s="1"/>
  <c r="M239" i="43" s="1"/>
  <c r="N240" i="43" s="1"/>
  <c r="C228" i="43"/>
  <c r="D229" i="43" s="1"/>
  <c r="E230" i="43" s="1"/>
  <c r="F231" i="43" s="1"/>
  <c r="G232" i="43" s="1"/>
  <c r="H233" i="43" s="1"/>
  <c r="I234" i="43" s="1"/>
  <c r="J235" i="43" s="1"/>
  <c r="K236" i="43" s="1"/>
  <c r="L237" i="43" s="1"/>
  <c r="M238" i="43" s="1"/>
  <c r="N239" i="43" s="1"/>
  <c r="C226" i="43"/>
  <c r="D227" i="43" s="1"/>
  <c r="E228" i="43" s="1"/>
  <c r="F229" i="43" s="1"/>
  <c r="G230" i="43" s="1"/>
  <c r="H231" i="43" s="1"/>
  <c r="I232" i="43" s="1"/>
  <c r="J233" i="43" s="1"/>
  <c r="K234" i="43" s="1"/>
  <c r="L235" i="43" s="1"/>
  <c r="M236" i="43" s="1"/>
  <c r="N237" i="43" s="1"/>
  <c r="C225" i="43"/>
  <c r="D226" i="43" s="1"/>
  <c r="E227" i="43" s="1"/>
  <c r="F228" i="43" s="1"/>
  <c r="G229" i="43" s="1"/>
  <c r="H230" i="43" s="1"/>
  <c r="I231" i="43" s="1"/>
  <c r="J232" i="43" s="1"/>
  <c r="K233" i="43" s="1"/>
  <c r="L234" i="43" s="1"/>
  <c r="M235" i="43" s="1"/>
  <c r="N236" i="43" s="1"/>
  <c r="C224" i="43"/>
  <c r="D225" i="43" s="1"/>
  <c r="E226" i="43" s="1"/>
  <c r="F227" i="43" s="1"/>
  <c r="G228" i="43" s="1"/>
  <c r="H229" i="43" s="1"/>
  <c r="I230" i="43" s="1"/>
  <c r="J231" i="43" s="1"/>
  <c r="K232" i="43" s="1"/>
  <c r="L233" i="43" s="1"/>
  <c r="M234" i="43" s="1"/>
  <c r="N235" i="43" s="1"/>
  <c r="C222" i="43"/>
  <c r="D223" i="43" s="1"/>
  <c r="E224" i="43" s="1"/>
  <c r="F225" i="43" s="1"/>
  <c r="G226" i="43" s="1"/>
  <c r="H227" i="43" s="1"/>
  <c r="I228" i="43" s="1"/>
  <c r="J229" i="43" s="1"/>
  <c r="K230" i="43" s="1"/>
  <c r="L231" i="43" s="1"/>
  <c r="M232" i="43" s="1"/>
  <c r="N233" i="43" s="1"/>
  <c r="C221" i="43"/>
  <c r="D222" i="43" s="1"/>
  <c r="E223" i="43" s="1"/>
  <c r="F224" i="43" s="1"/>
  <c r="G225" i="43" s="1"/>
  <c r="H226" i="43" s="1"/>
  <c r="I227" i="43" s="1"/>
  <c r="J228" i="43" s="1"/>
  <c r="K229" i="43" s="1"/>
  <c r="L230" i="43" s="1"/>
  <c r="M231" i="43" s="1"/>
  <c r="N232" i="43" s="1"/>
  <c r="C220" i="43"/>
  <c r="D221" i="43" s="1"/>
  <c r="E222" i="43" s="1"/>
  <c r="F223" i="43" s="1"/>
  <c r="G224" i="43" s="1"/>
  <c r="H225" i="43" s="1"/>
  <c r="I226" i="43" s="1"/>
  <c r="J227" i="43" s="1"/>
  <c r="K228" i="43" s="1"/>
  <c r="L229" i="43" s="1"/>
  <c r="M230" i="43" s="1"/>
  <c r="N231" i="43" s="1"/>
  <c r="C218" i="43"/>
  <c r="D219" i="43" s="1"/>
  <c r="E220" i="43" s="1"/>
  <c r="F221" i="43" s="1"/>
  <c r="G222" i="43" s="1"/>
  <c r="H223" i="43" s="1"/>
  <c r="I224" i="43" s="1"/>
  <c r="J225" i="43" s="1"/>
  <c r="K226" i="43" s="1"/>
  <c r="L227" i="43" s="1"/>
  <c r="M228" i="43" s="1"/>
  <c r="N229" i="43" s="1"/>
  <c r="C217" i="43"/>
  <c r="D218" i="43" s="1"/>
  <c r="E219" i="43" s="1"/>
  <c r="F220" i="43" s="1"/>
  <c r="G221" i="43" s="1"/>
  <c r="H222" i="43" s="1"/>
  <c r="I223" i="43" s="1"/>
  <c r="J224" i="43" s="1"/>
  <c r="K225" i="43" s="1"/>
  <c r="L226" i="43" s="1"/>
  <c r="M227" i="43" s="1"/>
  <c r="N228" i="43" s="1"/>
  <c r="C216" i="43"/>
  <c r="D217" i="43" s="1"/>
  <c r="E218" i="43" s="1"/>
  <c r="F219" i="43" s="1"/>
  <c r="G220" i="43" s="1"/>
  <c r="H221" i="43" s="1"/>
  <c r="I222" i="43" s="1"/>
  <c r="J223" i="43" s="1"/>
  <c r="K224" i="43" s="1"/>
  <c r="L225" i="43" s="1"/>
  <c r="M226" i="43" s="1"/>
  <c r="N227" i="43" s="1"/>
  <c r="C214" i="43"/>
  <c r="D215" i="43" s="1"/>
  <c r="E216" i="43" s="1"/>
  <c r="F217" i="43" s="1"/>
  <c r="G218" i="43" s="1"/>
  <c r="H219" i="43" s="1"/>
  <c r="I220" i="43" s="1"/>
  <c r="J221" i="43" s="1"/>
  <c r="K222" i="43" s="1"/>
  <c r="L223" i="43" s="1"/>
  <c r="M224" i="43" s="1"/>
  <c r="N225" i="43" s="1"/>
  <c r="C213" i="43"/>
  <c r="D214" i="43" s="1"/>
  <c r="E215" i="43" s="1"/>
  <c r="F216" i="43" s="1"/>
  <c r="G217" i="43" s="1"/>
  <c r="H218" i="43" s="1"/>
  <c r="I219" i="43" s="1"/>
  <c r="J220" i="43" s="1"/>
  <c r="K221" i="43" s="1"/>
  <c r="L222" i="43" s="1"/>
  <c r="M223" i="43" s="1"/>
  <c r="N224" i="43" s="1"/>
  <c r="C212" i="43"/>
  <c r="D213" i="43" s="1"/>
  <c r="E214" i="43" s="1"/>
  <c r="F215" i="43" s="1"/>
  <c r="G216" i="43" s="1"/>
  <c r="H217" i="43" s="1"/>
  <c r="I218" i="43" s="1"/>
  <c r="J219" i="43" s="1"/>
  <c r="K220" i="43" s="1"/>
  <c r="L221" i="43" s="1"/>
  <c r="M222" i="43" s="1"/>
  <c r="N223" i="43" s="1"/>
  <c r="C210" i="43"/>
  <c r="D211" i="43" s="1"/>
  <c r="E212" i="43" s="1"/>
  <c r="F213" i="43" s="1"/>
  <c r="G214" i="43" s="1"/>
  <c r="H215" i="43" s="1"/>
  <c r="I216" i="43" s="1"/>
  <c r="J217" i="43" s="1"/>
  <c r="K218" i="43" s="1"/>
  <c r="L219" i="43" s="1"/>
  <c r="M220" i="43" s="1"/>
  <c r="N221" i="43" s="1"/>
  <c r="C209" i="43"/>
  <c r="D210" i="43" s="1"/>
  <c r="E211" i="43" s="1"/>
  <c r="F212" i="43" s="1"/>
  <c r="G213" i="43" s="1"/>
  <c r="H214" i="43" s="1"/>
  <c r="I215" i="43" s="1"/>
  <c r="J216" i="43" s="1"/>
  <c r="K217" i="43" s="1"/>
  <c r="L218" i="43" s="1"/>
  <c r="M219" i="43" s="1"/>
  <c r="N220" i="43" s="1"/>
  <c r="C208" i="43"/>
  <c r="D209" i="43" s="1"/>
  <c r="E210" i="43" s="1"/>
  <c r="F211" i="43" s="1"/>
  <c r="G212" i="43" s="1"/>
  <c r="H213" i="43" s="1"/>
  <c r="I214" i="43" s="1"/>
  <c r="J215" i="43" s="1"/>
  <c r="K216" i="43" s="1"/>
  <c r="L217" i="43" s="1"/>
  <c r="M218" i="43" s="1"/>
  <c r="N219" i="43" s="1"/>
  <c r="C206" i="43"/>
  <c r="D207" i="43" s="1"/>
  <c r="E208" i="43" s="1"/>
  <c r="F209" i="43" s="1"/>
  <c r="G210" i="43" s="1"/>
  <c r="H211" i="43" s="1"/>
  <c r="I212" i="43" s="1"/>
  <c r="J213" i="43" s="1"/>
  <c r="K214" i="43" s="1"/>
  <c r="L215" i="43" s="1"/>
  <c r="M216" i="43" s="1"/>
  <c r="N217" i="43" s="1"/>
  <c r="C205" i="43"/>
  <c r="D206" i="43" s="1"/>
  <c r="E207" i="43" s="1"/>
  <c r="F208" i="43" s="1"/>
  <c r="G209" i="43" s="1"/>
  <c r="H210" i="43" s="1"/>
  <c r="I211" i="43" s="1"/>
  <c r="J212" i="43" s="1"/>
  <c r="K213" i="43" s="1"/>
  <c r="L214" i="43" s="1"/>
  <c r="M215" i="43" s="1"/>
  <c r="N216" i="43" s="1"/>
  <c r="C204" i="43"/>
  <c r="D205" i="43" s="1"/>
  <c r="E206" i="43" s="1"/>
  <c r="F207" i="43" s="1"/>
  <c r="G208" i="43" s="1"/>
  <c r="H209" i="43" s="1"/>
  <c r="I210" i="43" s="1"/>
  <c r="J211" i="43" s="1"/>
  <c r="K212" i="43" s="1"/>
  <c r="L213" i="43" s="1"/>
  <c r="M214" i="43" s="1"/>
  <c r="N215" i="43" s="1"/>
  <c r="C202" i="43"/>
  <c r="D203" i="43" s="1"/>
  <c r="E204" i="43" s="1"/>
  <c r="F205" i="43" s="1"/>
  <c r="G206" i="43" s="1"/>
  <c r="H207" i="43" s="1"/>
  <c r="I208" i="43" s="1"/>
  <c r="J209" i="43" s="1"/>
  <c r="K210" i="43" s="1"/>
  <c r="L211" i="43" s="1"/>
  <c r="M212" i="43" s="1"/>
  <c r="N213" i="43" s="1"/>
  <c r="C201" i="43"/>
  <c r="D202" i="43" s="1"/>
  <c r="E203" i="43" s="1"/>
  <c r="F204" i="43" s="1"/>
  <c r="G205" i="43" s="1"/>
  <c r="H206" i="43" s="1"/>
  <c r="I207" i="43" s="1"/>
  <c r="J208" i="43" s="1"/>
  <c r="K209" i="43" s="1"/>
  <c r="L210" i="43" s="1"/>
  <c r="M211" i="43" s="1"/>
  <c r="N212" i="43" s="1"/>
  <c r="C200" i="43"/>
  <c r="D201" i="43" s="1"/>
  <c r="E202" i="43" s="1"/>
  <c r="F203" i="43" s="1"/>
  <c r="G204" i="43" s="1"/>
  <c r="H205" i="43" s="1"/>
  <c r="I206" i="43" s="1"/>
  <c r="J207" i="43" s="1"/>
  <c r="K208" i="43" s="1"/>
  <c r="L209" i="43" s="1"/>
  <c r="M210" i="43" s="1"/>
  <c r="N211" i="43" s="1"/>
  <c r="C198" i="43"/>
  <c r="D199" i="43" s="1"/>
  <c r="E200" i="43" s="1"/>
  <c r="F201" i="43" s="1"/>
  <c r="G202" i="43" s="1"/>
  <c r="H203" i="43" s="1"/>
  <c r="I204" i="43" s="1"/>
  <c r="J205" i="43" s="1"/>
  <c r="K206" i="43" s="1"/>
  <c r="L207" i="43" s="1"/>
  <c r="M208" i="43" s="1"/>
  <c r="N209" i="43" s="1"/>
  <c r="C197" i="43"/>
  <c r="D198" i="43" s="1"/>
  <c r="E199" i="43" s="1"/>
  <c r="F200" i="43" s="1"/>
  <c r="G201" i="43" s="1"/>
  <c r="H202" i="43" s="1"/>
  <c r="I203" i="43" s="1"/>
  <c r="J204" i="43" s="1"/>
  <c r="K205" i="43" s="1"/>
  <c r="L206" i="43" s="1"/>
  <c r="M207" i="43" s="1"/>
  <c r="N208" i="43" s="1"/>
  <c r="C196" i="43"/>
  <c r="D197" i="43" s="1"/>
  <c r="E198" i="43" s="1"/>
  <c r="F199" i="43" s="1"/>
  <c r="G200" i="43" s="1"/>
  <c r="H201" i="43" s="1"/>
  <c r="I202" i="43" s="1"/>
  <c r="J203" i="43" s="1"/>
  <c r="K204" i="43" s="1"/>
  <c r="L205" i="43" s="1"/>
  <c r="M206" i="43" s="1"/>
  <c r="N207" i="43" s="1"/>
  <c r="C194" i="43"/>
  <c r="D195" i="43" s="1"/>
  <c r="E196" i="43" s="1"/>
  <c r="F197" i="43" s="1"/>
  <c r="G198" i="43" s="1"/>
  <c r="H199" i="43" s="1"/>
  <c r="I200" i="43" s="1"/>
  <c r="J201" i="43" s="1"/>
  <c r="K202" i="43" s="1"/>
  <c r="L203" i="43" s="1"/>
  <c r="M204" i="43" s="1"/>
  <c r="N205" i="43" s="1"/>
  <c r="C193" i="43"/>
  <c r="D194" i="43" s="1"/>
  <c r="E195" i="43" s="1"/>
  <c r="F196" i="43" s="1"/>
  <c r="G197" i="43" s="1"/>
  <c r="H198" i="43" s="1"/>
  <c r="I199" i="43" s="1"/>
  <c r="J200" i="43" s="1"/>
  <c r="K201" i="43" s="1"/>
  <c r="L202" i="43" s="1"/>
  <c r="M203" i="43" s="1"/>
  <c r="N204" i="43" s="1"/>
  <c r="C192" i="43"/>
  <c r="D193" i="43" s="1"/>
  <c r="E194" i="43" s="1"/>
  <c r="F195" i="43" s="1"/>
  <c r="G196" i="43" s="1"/>
  <c r="H197" i="43" s="1"/>
  <c r="I198" i="43" s="1"/>
  <c r="J199" i="43" s="1"/>
  <c r="K200" i="43" s="1"/>
  <c r="L201" i="43" s="1"/>
  <c r="M202" i="43" s="1"/>
  <c r="N203" i="43" s="1"/>
  <c r="C190" i="43"/>
  <c r="D191" i="43" s="1"/>
  <c r="E192" i="43" s="1"/>
  <c r="F193" i="43" s="1"/>
  <c r="G194" i="43" s="1"/>
  <c r="H195" i="43" s="1"/>
  <c r="I196" i="43" s="1"/>
  <c r="J197" i="43" s="1"/>
  <c r="K198" i="43" s="1"/>
  <c r="L199" i="43" s="1"/>
  <c r="M200" i="43" s="1"/>
  <c r="N201" i="43" s="1"/>
  <c r="C189" i="43"/>
  <c r="D190" i="43" s="1"/>
  <c r="E191" i="43" s="1"/>
  <c r="F192" i="43" s="1"/>
  <c r="G193" i="43" s="1"/>
  <c r="H194" i="43" s="1"/>
  <c r="I195" i="43" s="1"/>
  <c r="J196" i="43" s="1"/>
  <c r="K197" i="43" s="1"/>
  <c r="L198" i="43" s="1"/>
  <c r="M199" i="43" s="1"/>
  <c r="N200" i="43" s="1"/>
  <c r="C188" i="43"/>
  <c r="D189" i="43" s="1"/>
  <c r="E190" i="43" s="1"/>
  <c r="F191" i="43" s="1"/>
  <c r="G192" i="43" s="1"/>
  <c r="H193" i="43" s="1"/>
  <c r="I194" i="43" s="1"/>
  <c r="J195" i="43" s="1"/>
  <c r="K196" i="43" s="1"/>
  <c r="L197" i="43" s="1"/>
  <c r="M198" i="43" s="1"/>
  <c r="N199" i="43" s="1"/>
  <c r="C186" i="43"/>
  <c r="D187" i="43" s="1"/>
  <c r="E188" i="43" s="1"/>
  <c r="F189" i="43" s="1"/>
  <c r="G190" i="43" s="1"/>
  <c r="H191" i="43" s="1"/>
  <c r="I192" i="43" s="1"/>
  <c r="J193" i="43" s="1"/>
  <c r="K194" i="43" s="1"/>
  <c r="L195" i="43" s="1"/>
  <c r="M196" i="43" s="1"/>
  <c r="N197" i="43" s="1"/>
  <c r="C185" i="43"/>
  <c r="D186" i="43" s="1"/>
  <c r="E187" i="43" s="1"/>
  <c r="F188" i="43" s="1"/>
  <c r="G189" i="43" s="1"/>
  <c r="H190" i="43" s="1"/>
  <c r="I191" i="43" s="1"/>
  <c r="J192" i="43" s="1"/>
  <c r="K193" i="43" s="1"/>
  <c r="L194" i="43" s="1"/>
  <c r="M195" i="43" s="1"/>
  <c r="N196" i="43" s="1"/>
  <c r="C184" i="43"/>
  <c r="D185" i="43" s="1"/>
  <c r="E186" i="43" s="1"/>
  <c r="F187" i="43" s="1"/>
  <c r="G188" i="43" s="1"/>
  <c r="H189" i="43" s="1"/>
  <c r="I190" i="43" s="1"/>
  <c r="J191" i="43" s="1"/>
  <c r="K192" i="43" s="1"/>
  <c r="L193" i="43" s="1"/>
  <c r="M194" i="43" s="1"/>
  <c r="N195" i="43" s="1"/>
  <c r="C182" i="43"/>
  <c r="D183" i="43" s="1"/>
  <c r="E184" i="43" s="1"/>
  <c r="F185" i="43" s="1"/>
  <c r="G186" i="43" s="1"/>
  <c r="H187" i="43" s="1"/>
  <c r="I188" i="43" s="1"/>
  <c r="J189" i="43" s="1"/>
  <c r="K190" i="43" s="1"/>
  <c r="L191" i="43" s="1"/>
  <c r="M192" i="43" s="1"/>
  <c r="N193" i="43" s="1"/>
  <c r="C181" i="43"/>
  <c r="D182" i="43" s="1"/>
  <c r="E183" i="43" s="1"/>
  <c r="F184" i="43" s="1"/>
  <c r="G185" i="43" s="1"/>
  <c r="H186" i="43" s="1"/>
  <c r="I187" i="43" s="1"/>
  <c r="J188" i="43" s="1"/>
  <c r="K189" i="43" s="1"/>
  <c r="L190" i="43" s="1"/>
  <c r="M191" i="43" s="1"/>
  <c r="N192" i="43" s="1"/>
  <c r="C180" i="43"/>
  <c r="D181" i="43" s="1"/>
  <c r="E182" i="43" s="1"/>
  <c r="F183" i="43" s="1"/>
  <c r="G184" i="43" s="1"/>
  <c r="H185" i="43" s="1"/>
  <c r="I186" i="43" s="1"/>
  <c r="J187" i="43" s="1"/>
  <c r="K188" i="43" s="1"/>
  <c r="L189" i="43" s="1"/>
  <c r="M190" i="43" s="1"/>
  <c r="N191" i="43" s="1"/>
  <c r="C178" i="43"/>
  <c r="D179" i="43" s="1"/>
  <c r="E180" i="43" s="1"/>
  <c r="F181" i="43" s="1"/>
  <c r="G182" i="43" s="1"/>
  <c r="H183" i="43" s="1"/>
  <c r="I184" i="43" s="1"/>
  <c r="J185" i="43" s="1"/>
  <c r="K186" i="43" s="1"/>
  <c r="L187" i="43" s="1"/>
  <c r="M188" i="43" s="1"/>
  <c r="N189" i="43" s="1"/>
  <c r="C177" i="43"/>
  <c r="D178" i="43" s="1"/>
  <c r="E179" i="43" s="1"/>
  <c r="F180" i="43" s="1"/>
  <c r="G181" i="43" s="1"/>
  <c r="H182" i="43" s="1"/>
  <c r="I183" i="43" s="1"/>
  <c r="J184" i="43" s="1"/>
  <c r="K185" i="43" s="1"/>
  <c r="L186" i="43" s="1"/>
  <c r="M187" i="43" s="1"/>
  <c r="N188" i="43" s="1"/>
  <c r="C176" i="43"/>
  <c r="D177" i="43" s="1"/>
  <c r="E178" i="43" s="1"/>
  <c r="F179" i="43" s="1"/>
  <c r="G180" i="43" s="1"/>
  <c r="H181" i="43" s="1"/>
  <c r="I182" i="43" s="1"/>
  <c r="J183" i="43" s="1"/>
  <c r="K184" i="43" s="1"/>
  <c r="L185" i="43" s="1"/>
  <c r="M186" i="43" s="1"/>
  <c r="N187" i="43" s="1"/>
  <c r="C174" i="43"/>
  <c r="D175" i="43" s="1"/>
  <c r="E176" i="43" s="1"/>
  <c r="F177" i="43" s="1"/>
  <c r="G178" i="43" s="1"/>
  <c r="H179" i="43" s="1"/>
  <c r="I180" i="43" s="1"/>
  <c r="J181" i="43" s="1"/>
  <c r="K182" i="43" s="1"/>
  <c r="L183" i="43" s="1"/>
  <c r="M184" i="43" s="1"/>
  <c r="N185" i="43" s="1"/>
  <c r="C173" i="43"/>
  <c r="D174" i="43" s="1"/>
  <c r="E175" i="43" s="1"/>
  <c r="F176" i="43" s="1"/>
  <c r="G177" i="43" s="1"/>
  <c r="H178" i="43" s="1"/>
  <c r="I179" i="43" s="1"/>
  <c r="J180" i="43" s="1"/>
  <c r="K181" i="43" s="1"/>
  <c r="L182" i="43" s="1"/>
  <c r="M183" i="43" s="1"/>
  <c r="N184" i="43" s="1"/>
  <c r="C172" i="43"/>
  <c r="D173" i="43" s="1"/>
  <c r="E174" i="43" s="1"/>
  <c r="F175" i="43" s="1"/>
  <c r="G176" i="43" s="1"/>
  <c r="H177" i="43" s="1"/>
  <c r="I178" i="43" s="1"/>
  <c r="J179" i="43" s="1"/>
  <c r="K180" i="43" s="1"/>
  <c r="L181" i="43" s="1"/>
  <c r="M182" i="43" s="1"/>
  <c r="N183" i="43" s="1"/>
  <c r="C170" i="43"/>
  <c r="D171" i="43" s="1"/>
  <c r="E172" i="43" s="1"/>
  <c r="F173" i="43" s="1"/>
  <c r="G174" i="43" s="1"/>
  <c r="H175" i="43" s="1"/>
  <c r="I176" i="43" s="1"/>
  <c r="J177" i="43" s="1"/>
  <c r="K178" i="43" s="1"/>
  <c r="L179" i="43" s="1"/>
  <c r="M180" i="43" s="1"/>
  <c r="N181" i="43" s="1"/>
  <c r="C169" i="43"/>
  <c r="D170" i="43" s="1"/>
  <c r="E171" i="43" s="1"/>
  <c r="F172" i="43" s="1"/>
  <c r="G173" i="43" s="1"/>
  <c r="H174" i="43" s="1"/>
  <c r="I175" i="43" s="1"/>
  <c r="J176" i="43" s="1"/>
  <c r="K177" i="43" s="1"/>
  <c r="L178" i="43" s="1"/>
  <c r="M179" i="43" s="1"/>
  <c r="N180" i="43" s="1"/>
  <c r="C168" i="43"/>
  <c r="D169" i="43" s="1"/>
  <c r="E170" i="43" s="1"/>
  <c r="F171" i="43" s="1"/>
  <c r="G172" i="43" s="1"/>
  <c r="H173" i="43" s="1"/>
  <c r="I174" i="43" s="1"/>
  <c r="J175" i="43" s="1"/>
  <c r="K176" i="43" s="1"/>
  <c r="L177" i="43" s="1"/>
  <c r="M178" i="43" s="1"/>
  <c r="N179" i="43" s="1"/>
  <c r="C166" i="43"/>
  <c r="D167" i="43" s="1"/>
  <c r="E168" i="43" s="1"/>
  <c r="F169" i="43" s="1"/>
  <c r="G170" i="43" s="1"/>
  <c r="H171" i="43" s="1"/>
  <c r="I172" i="43" s="1"/>
  <c r="J173" i="43" s="1"/>
  <c r="K174" i="43" s="1"/>
  <c r="L175" i="43" s="1"/>
  <c r="M176" i="43" s="1"/>
  <c r="N177" i="43" s="1"/>
  <c r="C165" i="43"/>
  <c r="D166" i="43" s="1"/>
  <c r="E167" i="43" s="1"/>
  <c r="F168" i="43" s="1"/>
  <c r="G169" i="43" s="1"/>
  <c r="H170" i="43" s="1"/>
  <c r="I171" i="43" s="1"/>
  <c r="J172" i="43" s="1"/>
  <c r="K173" i="43" s="1"/>
  <c r="L174" i="43" s="1"/>
  <c r="M175" i="43" s="1"/>
  <c r="N176" i="43" s="1"/>
  <c r="C164" i="43"/>
  <c r="D165" i="43" s="1"/>
  <c r="E166" i="43" s="1"/>
  <c r="F167" i="43" s="1"/>
  <c r="G168" i="43" s="1"/>
  <c r="H169" i="43" s="1"/>
  <c r="I170" i="43" s="1"/>
  <c r="J171" i="43" s="1"/>
  <c r="K172" i="43" s="1"/>
  <c r="L173" i="43" s="1"/>
  <c r="M174" i="43" s="1"/>
  <c r="N175" i="43" s="1"/>
  <c r="C162" i="43"/>
  <c r="D163" i="43" s="1"/>
  <c r="E164" i="43" s="1"/>
  <c r="F165" i="43" s="1"/>
  <c r="G166" i="43" s="1"/>
  <c r="H167" i="43" s="1"/>
  <c r="I168" i="43" s="1"/>
  <c r="J169" i="43" s="1"/>
  <c r="K170" i="43" s="1"/>
  <c r="L171" i="43" s="1"/>
  <c r="M172" i="43" s="1"/>
  <c r="N173" i="43" s="1"/>
  <c r="C161" i="43"/>
  <c r="D162" i="43" s="1"/>
  <c r="E163" i="43" s="1"/>
  <c r="F164" i="43" s="1"/>
  <c r="G165" i="43" s="1"/>
  <c r="H166" i="43" s="1"/>
  <c r="I167" i="43" s="1"/>
  <c r="J168" i="43" s="1"/>
  <c r="K169" i="43" s="1"/>
  <c r="L170" i="43" s="1"/>
  <c r="M171" i="43" s="1"/>
  <c r="N172" i="43" s="1"/>
  <c r="C160" i="43"/>
  <c r="D161" i="43" s="1"/>
  <c r="E162" i="43" s="1"/>
  <c r="F163" i="43" s="1"/>
  <c r="G164" i="43" s="1"/>
  <c r="H165" i="43" s="1"/>
  <c r="I166" i="43" s="1"/>
  <c r="J167" i="43" s="1"/>
  <c r="K168" i="43" s="1"/>
  <c r="L169" i="43" s="1"/>
  <c r="M170" i="43" s="1"/>
  <c r="N171" i="43" s="1"/>
  <c r="C158" i="43"/>
  <c r="D159" i="43" s="1"/>
  <c r="E160" i="43" s="1"/>
  <c r="F161" i="43" s="1"/>
  <c r="G162" i="43" s="1"/>
  <c r="H163" i="43" s="1"/>
  <c r="I164" i="43" s="1"/>
  <c r="J165" i="43" s="1"/>
  <c r="K166" i="43" s="1"/>
  <c r="L167" i="43" s="1"/>
  <c r="M168" i="43" s="1"/>
  <c r="N169" i="43" s="1"/>
  <c r="C157" i="43"/>
  <c r="D158" i="43" s="1"/>
  <c r="E159" i="43" s="1"/>
  <c r="F160" i="43" s="1"/>
  <c r="G161" i="43" s="1"/>
  <c r="H162" i="43" s="1"/>
  <c r="I163" i="43" s="1"/>
  <c r="J164" i="43" s="1"/>
  <c r="K165" i="43" s="1"/>
  <c r="L166" i="43" s="1"/>
  <c r="M167" i="43" s="1"/>
  <c r="N168" i="43" s="1"/>
  <c r="C156" i="43"/>
  <c r="D157" i="43" s="1"/>
  <c r="E158" i="43" s="1"/>
  <c r="F159" i="43" s="1"/>
  <c r="G160" i="43" s="1"/>
  <c r="H161" i="43" s="1"/>
  <c r="I162" i="43" s="1"/>
  <c r="J163" i="43" s="1"/>
  <c r="K164" i="43" s="1"/>
  <c r="L165" i="43" s="1"/>
  <c r="M166" i="43" s="1"/>
  <c r="N167" i="43" s="1"/>
  <c r="D155" i="43"/>
  <c r="E156" i="43" s="1"/>
  <c r="F157" i="43" s="1"/>
  <c r="G158" i="43" s="1"/>
  <c r="H159" i="43" s="1"/>
  <c r="I160" i="43" s="1"/>
  <c r="J161" i="43" s="1"/>
  <c r="K162" i="43" s="1"/>
  <c r="L163" i="43" s="1"/>
  <c r="M164" i="43" s="1"/>
  <c r="N165" i="43" s="1"/>
  <c r="C154" i="43"/>
  <c r="C153" i="43"/>
  <c r="D154" i="43" s="1"/>
  <c r="E155" i="43" s="1"/>
  <c r="F156" i="43" s="1"/>
  <c r="G157" i="43" s="1"/>
  <c r="H158" i="43" s="1"/>
  <c r="I159" i="43" s="1"/>
  <c r="J160" i="43" s="1"/>
  <c r="K161" i="43" s="1"/>
  <c r="L162" i="43" s="1"/>
  <c r="M163" i="43" s="1"/>
  <c r="N164" i="43" s="1"/>
  <c r="C152" i="43"/>
  <c r="D153" i="43" s="1"/>
  <c r="E154" i="43" s="1"/>
  <c r="F155" i="43" s="1"/>
  <c r="G156" i="43" s="1"/>
  <c r="H157" i="43" s="1"/>
  <c r="I158" i="43" s="1"/>
  <c r="J159" i="43" s="1"/>
  <c r="K160" i="43" s="1"/>
  <c r="L161" i="43" s="1"/>
  <c r="M162" i="43" s="1"/>
  <c r="N163" i="43" s="1"/>
  <c r="D151" i="43"/>
  <c r="E152" i="43" s="1"/>
  <c r="F153" i="43" s="1"/>
  <c r="G154" i="43" s="1"/>
  <c r="H155" i="43" s="1"/>
  <c r="I156" i="43" s="1"/>
  <c r="J157" i="43" s="1"/>
  <c r="K158" i="43" s="1"/>
  <c r="L159" i="43" s="1"/>
  <c r="M160" i="43" s="1"/>
  <c r="N161" i="43" s="1"/>
  <c r="C150" i="43"/>
  <c r="C149" i="43"/>
  <c r="D150" i="43" s="1"/>
  <c r="E151" i="43" s="1"/>
  <c r="F152" i="43" s="1"/>
  <c r="G153" i="43" s="1"/>
  <c r="H154" i="43" s="1"/>
  <c r="I155" i="43" s="1"/>
  <c r="J156" i="43" s="1"/>
  <c r="K157" i="43" s="1"/>
  <c r="L158" i="43" s="1"/>
  <c r="M159" i="43" s="1"/>
  <c r="N160" i="43" s="1"/>
  <c r="C148" i="43"/>
  <c r="D149" i="43" s="1"/>
  <c r="E150" i="43" s="1"/>
  <c r="F151" i="43" s="1"/>
  <c r="G152" i="43" s="1"/>
  <c r="H153" i="43" s="1"/>
  <c r="I154" i="43" s="1"/>
  <c r="J155" i="43" s="1"/>
  <c r="K156" i="43" s="1"/>
  <c r="L157" i="43" s="1"/>
  <c r="M158" i="43" s="1"/>
  <c r="N159" i="43" s="1"/>
  <c r="C147" i="43"/>
  <c r="D148" i="43" s="1"/>
  <c r="E149" i="43" s="1"/>
  <c r="F150" i="43" s="1"/>
  <c r="G151" i="43" s="1"/>
  <c r="H152" i="43" s="1"/>
  <c r="I153" i="43" s="1"/>
  <c r="J154" i="43" s="1"/>
  <c r="K155" i="43" s="1"/>
  <c r="L156" i="43" s="1"/>
  <c r="M157" i="43" s="1"/>
  <c r="N158" i="43" s="1"/>
  <c r="C146" i="43"/>
  <c r="D147" i="43" s="1"/>
  <c r="E148" i="43" s="1"/>
  <c r="F149" i="43" s="1"/>
  <c r="G150" i="43" s="1"/>
  <c r="H151" i="43" s="1"/>
  <c r="I152" i="43" s="1"/>
  <c r="J153" i="43" s="1"/>
  <c r="K154" i="43" s="1"/>
  <c r="L155" i="43" s="1"/>
  <c r="M156" i="43" s="1"/>
  <c r="N157" i="43" s="1"/>
  <c r="C145" i="43"/>
  <c r="D146" i="43" s="1"/>
  <c r="E147" i="43" s="1"/>
  <c r="F148" i="43" s="1"/>
  <c r="G149" i="43" s="1"/>
  <c r="H150" i="43" s="1"/>
  <c r="I151" i="43" s="1"/>
  <c r="J152" i="43" s="1"/>
  <c r="K153" i="43" s="1"/>
  <c r="L154" i="43" s="1"/>
  <c r="M155" i="43" s="1"/>
  <c r="N156" i="43" s="1"/>
  <c r="C144" i="43"/>
  <c r="D145" i="43" s="1"/>
  <c r="E146" i="43" s="1"/>
  <c r="F147" i="43" s="1"/>
  <c r="G148" i="43" s="1"/>
  <c r="H149" i="43" s="1"/>
  <c r="I150" i="43" s="1"/>
  <c r="J151" i="43" s="1"/>
  <c r="K152" i="43" s="1"/>
  <c r="L153" i="43" s="1"/>
  <c r="M154" i="43" s="1"/>
  <c r="N155" i="43" s="1"/>
  <c r="C143" i="43"/>
  <c r="D144" i="43" s="1"/>
  <c r="E145" i="43" s="1"/>
  <c r="F146" i="43" s="1"/>
  <c r="G147" i="43" s="1"/>
  <c r="H148" i="43" s="1"/>
  <c r="I149" i="43" s="1"/>
  <c r="J150" i="43" s="1"/>
  <c r="K151" i="43" s="1"/>
  <c r="L152" i="43" s="1"/>
  <c r="M153" i="43" s="1"/>
  <c r="N154" i="43" s="1"/>
  <c r="C142" i="43"/>
  <c r="D143" i="43" s="1"/>
  <c r="E144" i="43" s="1"/>
  <c r="F145" i="43" s="1"/>
  <c r="G146" i="43" s="1"/>
  <c r="H147" i="43" s="1"/>
  <c r="I148" i="43" s="1"/>
  <c r="J149" i="43" s="1"/>
  <c r="K150" i="43" s="1"/>
  <c r="L151" i="43" s="1"/>
  <c r="M152" i="43" s="1"/>
  <c r="N153" i="43" s="1"/>
  <c r="C141" i="43"/>
  <c r="D142" i="43" s="1"/>
  <c r="E143" i="43" s="1"/>
  <c r="F144" i="43" s="1"/>
  <c r="G145" i="43" s="1"/>
  <c r="H146" i="43" s="1"/>
  <c r="I147" i="43" s="1"/>
  <c r="J148" i="43" s="1"/>
  <c r="K149" i="43" s="1"/>
  <c r="L150" i="43" s="1"/>
  <c r="M151" i="43" s="1"/>
  <c r="N152" i="43" s="1"/>
  <c r="C140" i="43"/>
  <c r="D141" i="43" s="1"/>
  <c r="E142" i="43" s="1"/>
  <c r="F143" i="43" s="1"/>
  <c r="G144" i="43" s="1"/>
  <c r="H145" i="43" s="1"/>
  <c r="I146" i="43" s="1"/>
  <c r="J147" i="43" s="1"/>
  <c r="K148" i="43" s="1"/>
  <c r="L149" i="43" s="1"/>
  <c r="M150" i="43" s="1"/>
  <c r="N151" i="43" s="1"/>
  <c r="C139" i="43"/>
  <c r="D140" i="43" s="1"/>
  <c r="E141" i="43" s="1"/>
  <c r="F142" i="43" s="1"/>
  <c r="G143" i="43" s="1"/>
  <c r="H144" i="43" s="1"/>
  <c r="I145" i="43" s="1"/>
  <c r="J146" i="43" s="1"/>
  <c r="K147" i="43" s="1"/>
  <c r="L148" i="43" s="1"/>
  <c r="M149" i="43" s="1"/>
  <c r="N150" i="43" s="1"/>
  <c r="C138" i="43"/>
  <c r="D139" i="43" s="1"/>
  <c r="E140" i="43" s="1"/>
  <c r="F141" i="43" s="1"/>
  <c r="G142" i="43" s="1"/>
  <c r="H143" i="43" s="1"/>
  <c r="I144" i="43" s="1"/>
  <c r="J145" i="43" s="1"/>
  <c r="K146" i="43" s="1"/>
  <c r="L147" i="43" s="1"/>
  <c r="M148" i="43" s="1"/>
  <c r="N149" i="43" s="1"/>
  <c r="C137" i="43"/>
  <c r="D138" i="43" s="1"/>
  <c r="E139" i="43" s="1"/>
  <c r="F140" i="43" s="1"/>
  <c r="G141" i="43" s="1"/>
  <c r="H142" i="43" s="1"/>
  <c r="I143" i="43" s="1"/>
  <c r="J144" i="43" s="1"/>
  <c r="K145" i="43" s="1"/>
  <c r="L146" i="43" s="1"/>
  <c r="M147" i="43" s="1"/>
  <c r="N148" i="43" s="1"/>
  <c r="C136" i="43"/>
  <c r="D137" i="43" s="1"/>
  <c r="E138" i="43" s="1"/>
  <c r="F139" i="43" s="1"/>
  <c r="G140" i="43" s="1"/>
  <c r="H141" i="43" s="1"/>
  <c r="I142" i="43" s="1"/>
  <c r="J143" i="43" s="1"/>
  <c r="K144" i="43" s="1"/>
  <c r="L145" i="43" s="1"/>
  <c r="M146" i="43" s="1"/>
  <c r="N147" i="43" s="1"/>
  <c r="C135" i="43"/>
  <c r="D136" i="43" s="1"/>
  <c r="E137" i="43" s="1"/>
  <c r="F138" i="43" s="1"/>
  <c r="G139" i="43" s="1"/>
  <c r="H140" i="43" s="1"/>
  <c r="I141" i="43" s="1"/>
  <c r="J142" i="43" s="1"/>
  <c r="K143" i="43" s="1"/>
  <c r="L144" i="43" s="1"/>
  <c r="M145" i="43" s="1"/>
  <c r="N146" i="43" s="1"/>
  <c r="C134" i="43"/>
  <c r="D135" i="43" s="1"/>
  <c r="E136" i="43" s="1"/>
  <c r="F137" i="43" s="1"/>
  <c r="G138" i="43" s="1"/>
  <c r="H139" i="43" s="1"/>
  <c r="I140" i="43" s="1"/>
  <c r="J141" i="43" s="1"/>
  <c r="K142" i="43" s="1"/>
  <c r="L143" i="43" s="1"/>
  <c r="M144" i="43" s="1"/>
  <c r="N145" i="43" s="1"/>
  <c r="C133" i="43"/>
  <c r="D134" i="43" s="1"/>
  <c r="E135" i="43" s="1"/>
  <c r="F136" i="43" s="1"/>
  <c r="G137" i="43" s="1"/>
  <c r="H138" i="43" s="1"/>
  <c r="I139" i="43" s="1"/>
  <c r="J140" i="43" s="1"/>
  <c r="K141" i="43" s="1"/>
  <c r="L142" i="43" s="1"/>
  <c r="M143" i="43" s="1"/>
  <c r="N144" i="43" s="1"/>
  <c r="C132" i="43"/>
  <c r="D133" i="43" s="1"/>
  <c r="E134" i="43" s="1"/>
  <c r="F135" i="43" s="1"/>
  <c r="G136" i="43" s="1"/>
  <c r="H137" i="43" s="1"/>
  <c r="I138" i="43" s="1"/>
  <c r="J139" i="43" s="1"/>
  <c r="K140" i="43" s="1"/>
  <c r="L141" i="43" s="1"/>
  <c r="M142" i="43" s="1"/>
  <c r="N143" i="43" s="1"/>
  <c r="C131" i="43"/>
  <c r="D132" i="43" s="1"/>
  <c r="E133" i="43" s="1"/>
  <c r="F134" i="43" s="1"/>
  <c r="G135" i="43" s="1"/>
  <c r="H136" i="43" s="1"/>
  <c r="I137" i="43" s="1"/>
  <c r="J138" i="43" s="1"/>
  <c r="K139" i="43" s="1"/>
  <c r="L140" i="43" s="1"/>
  <c r="M141" i="43" s="1"/>
  <c r="N142" i="43" s="1"/>
  <c r="C130" i="43"/>
  <c r="D131" i="43" s="1"/>
  <c r="E132" i="43" s="1"/>
  <c r="F133" i="43" s="1"/>
  <c r="G134" i="43" s="1"/>
  <c r="H135" i="43" s="1"/>
  <c r="I136" i="43" s="1"/>
  <c r="J137" i="43" s="1"/>
  <c r="K138" i="43" s="1"/>
  <c r="L139" i="43" s="1"/>
  <c r="M140" i="43" s="1"/>
  <c r="N141" i="43" s="1"/>
  <c r="C129" i="43"/>
  <c r="D130" i="43" s="1"/>
  <c r="E131" i="43" s="1"/>
  <c r="F132" i="43" s="1"/>
  <c r="G133" i="43" s="1"/>
  <c r="H134" i="43" s="1"/>
  <c r="I135" i="43" s="1"/>
  <c r="J136" i="43" s="1"/>
  <c r="K137" i="43" s="1"/>
  <c r="L138" i="43" s="1"/>
  <c r="M139" i="43" s="1"/>
  <c r="N140" i="43" s="1"/>
  <c r="C128" i="43"/>
  <c r="D129" i="43" s="1"/>
  <c r="E130" i="43" s="1"/>
  <c r="F131" i="43" s="1"/>
  <c r="G132" i="43" s="1"/>
  <c r="H133" i="43" s="1"/>
  <c r="I134" i="43" s="1"/>
  <c r="J135" i="43" s="1"/>
  <c r="K136" i="43" s="1"/>
  <c r="L137" i="43" s="1"/>
  <c r="M138" i="43" s="1"/>
  <c r="N139" i="43" s="1"/>
  <c r="C127" i="43"/>
  <c r="D128" i="43" s="1"/>
  <c r="E129" i="43" s="1"/>
  <c r="F130" i="43" s="1"/>
  <c r="G131" i="43" s="1"/>
  <c r="H132" i="43" s="1"/>
  <c r="I133" i="43" s="1"/>
  <c r="J134" i="43" s="1"/>
  <c r="K135" i="43" s="1"/>
  <c r="L136" i="43" s="1"/>
  <c r="M137" i="43" s="1"/>
  <c r="N138" i="43" s="1"/>
  <c r="C126" i="43"/>
  <c r="D127" i="43" s="1"/>
  <c r="E128" i="43" s="1"/>
  <c r="F129" i="43" s="1"/>
  <c r="G130" i="43" s="1"/>
  <c r="H131" i="43" s="1"/>
  <c r="I132" i="43" s="1"/>
  <c r="J133" i="43" s="1"/>
  <c r="K134" i="43" s="1"/>
  <c r="L135" i="43" s="1"/>
  <c r="M136" i="43" s="1"/>
  <c r="N137" i="43" s="1"/>
  <c r="D125" i="43"/>
  <c r="E126" i="43" s="1"/>
  <c r="F127" i="43" s="1"/>
  <c r="G128" i="43" s="1"/>
  <c r="H129" i="43" s="1"/>
  <c r="I130" i="43" s="1"/>
  <c r="J131" i="43" s="1"/>
  <c r="K132" i="43" s="1"/>
  <c r="L133" i="43" s="1"/>
  <c r="M134" i="43" s="1"/>
  <c r="N135" i="43" s="1"/>
  <c r="C125" i="43"/>
  <c r="D126" i="43" s="1"/>
  <c r="E127" i="43" s="1"/>
  <c r="F128" i="43" s="1"/>
  <c r="G129" i="43" s="1"/>
  <c r="H130" i="43" s="1"/>
  <c r="I131" i="43" s="1"/>
  <c r="J132" i="43" s="1"/>
  <c r="K133" i="43" s="1"/>
  <c r="L134" i="43" s="1"/>
  <c r="M135" i="43" s="1"/>
  <c r="N136" i="43" s="1"/>
  <c r="C124" i="43"/>
  <c r="C123" i="43"/>
  <c r="D124" i="43" s="1"/>
  <c r="E125" i="43" s="1"/>
  <c r="F126" i="43" s="1"/>
  <c r="G127" i="43" s="1"/>
  <c r="H128" i="43" s="1"/>
  <c r="I129" i="43" s="1"/>
  <c r="J130" i="43" s="1"/>
  <c r="K131" i="43" s="1"/>
  <c r="L132" i="43" s="1"/>
  <c r="M133" i="43" s="1"/>
  <c r="N134" i="43" s="1"/>
  <c r="C122" i="43"/>
  <c r="D123" i="43" s="1"/>
  <c r="E124" i="43" s="1"/>
  <c r="F125" i="43" s="1"/>
  <c r="G126" i="43" s="1"/>
  <c r="H127" i="43" s="1"/>
  <c r="I128" i="43" s="1"/>
  <c r="J129" i="43" s="1"/>
  <c r="K130" i="43" s="1"/>
  <c r="L131" i="43" s="1"/>
  <c r="M132" i="43" s="1"/>
  <c r="N133" i="43" s="1"/>
  <c r="C121" i="43"/>
  <c r="D122" i="43" s="1"/>
  <c r="E123" i="43" s="1"/>
  <c r="F124" i="43" s="1"/>
  <c r="G125" i="43" s="1"/>
  <c r="H126" i="43" s="1"/>
  <c r="I127" i="43" s="1"/>
  <c r="J128" i="43" s="1"/>
  <c r="K129" i="43" s="1"/>
  <c r="L130" i="43" s="1"/>
  <c r="M131" i="43" s="1"/>
  <c r="N132" i="43" s="1"/>
  <c r="C120" i="43"/>
  <c r="D121" i="43" s="1"/>
  <c r="E122" i="43" s="1"/>
  <c r="F123" i="43" s="1"/>
  <c r="G124" i="43" s="1"/>
  <c r="H125" i="43" s="1"/>
  <c r="I126" i="43" s="1"/>
  <c r="J127" i="43" s="1"/>
  <c r="K128" i="43" s="1"/>
  <c r="L129" i="43" s="1"/>
  <c r="M130" i="43" s="1"/>
  <c r="N131" i="43" s="1"/>
  <c r="C119" i="43"/>
  <c r="D120" i="43" s="1"/>
  <c r="E121" i="43" s="1"/>
  <c r="F122" i="43" s="1"/>
  <c r="G123" i="43" s="1"/>
  <c r="H124" i="43" s="1"/>
  <c r="I125" i="43" s="1"/>
  <c r="J126" i="43" s="1"/>
  <c r="K127" i="43" s="1"/>
  <c r="L128" i="43" s="1"/>
  <c r="M129" i="43" s="1"/>
  <c r="N130" i="43" s="1"/>
  <c r="C118" i="43"/>
  <c r="D119" i="43" s="1"/>
  <c r="E120" i="43" s="1"/>
  <c r="F121" i="43" s="1"/>
  <c r="G122" i="43" s="1"/>
  <c r="H123" i="43" s="1"/>
  <c r="I124" i="43" s="1"/>
  <c r="J125" i="43" s="1"/>
  <c r="K126" i="43" s="1"/>
  <c r="L127" i="43" s="1"/>
  <c r="M128" i="43" s="1"/>
  <c r="N129" i="43" s="1"/>
  <c r="C117" i="43"/>
  <c r="D118" i="43" s="1"/>
  <c r="E119" i="43" s="1"/>
  <c r="F120" i="43" s="1"/>
  <c r="G121" i="43" s="1"/>
  <c r="H122" i="43" s="1"/>
  <c r="I123" i="43" s="1"/>
  <c r="J124" i="43" s="1"/>
  <c r="K125" i="43" s="1"/>
  <c r="L126" i="43" s="1"/>
  <c r="M127" i="43" s="1"/>
  <c r="N128" i="43" s="1"/>
  <c r="C116" i="43"/>
  <c r="D117" i="43" s="1"/>
  <c r="E118" i="43" s="1"/>
  <c r="F119" i="43" s="1"/>
  <c r="G120" i="43" s="1"/>
  <c r="H121" i="43" s="1"/>
  <c r="I122" i="43" s="1"/>
  <c r="J123" i="43" s="1"/>
  <c r="K124" i="43" s="1"/>
  <c r="L125" i="43" s="1"/>
  <c r="M126" i="43" s="1"/>
  <c r="N127" i="43" s="1"/>
  <c r="C115" i="43"/>
  <c r="D116" i="43" s="1"/>
  <c r="E117" i="43" s="1"/>
  <c r="F118" i="43" s="1"/>
  <c r="G119" i="43" s="1"/>
  <c r="H120" i="43" s="1"/>
  <c r="I121" i="43" s="1"/>
  <c r="J122" i="43" s="1"/>
  <c r="K123" i="43" s="1"/>
  <c r="L124" i="43" s="1"/>
  <c r="M125" i="43" s="1"/>
  <c r="N126" i="43" s="1"/>
  <c r="C114" i="43"/>
  <c r="D115" i="43" s="1"/>
  <c r="E116" i="43" s="1"/>
  <c r="F117" i="43" s="1"/>
  <c r="G118" i="43" s="1"/>
  <c r="H119" i="43" s="1"/>
  <c r="I120" i="43" s="1"/>
  <c r="J121" i="43" s="1"/>
  <c r="K122" i="43" s="1"/>
  <c r="L123" i="43" s="1"/>
  <c r="M124" i="43" s="1"/>
  <c r="N125" i="43" s="1"/>
  <c r="C113" i="43"/>
  <c r="D114" i="43" s="1"/>
  <c r="E115" i="43" s="1"/>
  <c r="F116" i="43" s="1"/>
  <c r="G117" i="43" s="1"/>
  <c r="H118" i="43" s="1"/>
  <c r="I119" i="43" s="1"/>
  <c r="J120" i="43" s="1"/>
  <c r="K121" i="43" s="1"/>
  <c r="L122" i="43" s="1"/>
  <c r="M123" i="43" s="1"/>
  <c r="N124" i="43" s="1"/>
  <c r="C112" i="43"/>
  <c r="D113" i="43" s="1"/>
  <c r="E114" i="43" s="1"/>
  <c r="F115" i="43" s="1"/>
  <c r="G116" i="43" s="1"/>
  <c r="H117" i="43" s="1"/>
  <c r="I118" i="43" s="1"/>
  <c r="J119" i="43" s="1"/>
  <c r="K120" i="43" s="1"/>
  <c r="L121" i="43" s="1"/>
  <c r="M122" i="43" s="1"/>
  <c r="N123" i="43" s="1"/>
  <c r="C111" i="43"/>
  <c r="D112" i="43" s="1"/>
  <c r="E113" i="43" s="1"/>
  <c r="F114" i="43" s="1"/>
  <c r="G115" i="43" s="1"/>
  <c r="H116" i="43" s="1"/>
  <c r="I117" i="43" s="1"/>
  <c r="J118" i="43" s="1"/>
  <c r="K119" i="43" s="1"/>
  <c r="L120" i="43" s="1"/>
  <c r="M121" i="43" s="1"/>
  <c r="N122" i="43" s="1"/>
  <c r="C110" i="43"/>
  <c r="D111" i="43" s="1"/>
  <c r="E112" i="43" s="1"/>
  <c r="F113" i="43" s="1"/>
  <c r="G114" i="43" s="1"/>
  <c r="H115" i="43" s="1"/>
  <c r="I116" i="43" s="1"/>
  <c r="J117" i="43" s="1"/>
  <c r="K118" i="43" s="1"/>
  <c r="L119" i="43" s="1"/>
  <c r="M120" i="43" s="1"/>
  <c r="N121" i="43" s="1"/>
  <c r="D109" i="43"/>
  <c r="E110" i="43" s="1"/>
  <c r="F111" i="43" s="1"/>
  <c r="G112" i="43" s="1"/>
  <c r="H113" i="43" s="1"/>
  <c r="I114" i="43" s="1"/>
  <c r="J115" i="43" s="1"/>
  <c r="K116" i="43" s="1"/>
  <c r="L117" i="43" s="1"/>
  <c r="M118" i="43" s="1"/>
  <c r="N119" i="43" s="1"/>
  <c r="C109" i="43"/>
  <c r="D110" i="43" s="1"/>
  <c r="E111" i="43" s="1"/>
  <c r="F112" i="43" s="1"/>
  <c r="G113" i="43" s="1"/>
  <c r="H114" i="43" s="1"/>
  <c r="I115" i="43" s="1"/>
  <c r="J116" i="43" s="1"/>
  <c r="K117" i="43" s="1"/>
  <c r="L118" i="43" s="1"/>
  <c r="M119" i="43" s="1"/>
  <c r="N120" i="43" s="1"/>
  <c r="C108" i="43"/>
  <c r="C107" i="43"/>
  <c r="D108" i="43" s="1"/>
  <c r="E109" i="43" s="1"/>
  <c r="F110" i="43" s="1"/>
  <c r="G111" i="43" s="1"/>
  <c r="H112" i="43" s="1"/>
  <c r="I113" i="43" s="1"/>
  <c r="J114" i="43" s="1"/>
  <c r="K115" i="43" s="1"/>
  <c r="L116" i="43" s="1"/>
  <c r="M117" i="43" s="1"/>
  <c r="N118" i="43" s="1"/>
  <c r="C106" i="43"/>
  <c r="D107" i="43" s="1"/>
  <c r="E108" i="43" s="1"/>
  <c r="F109" i="43" s="1"/>
  <c r="G110" i="43" s="1"/>
  <c r="H111" i="43" s="1"/>
  <c r="I112" i="43" s="1"/>
  <c r="J113" i="43" s="1"/>
  <c r="K114" i="43" s="1"/>
  <c r="L115" i="43" s="1"/>
  <c r="M116" i="43" s="1"/>
  <c r="N117" i="43" s="1"/>
  <c r="C105" i="43"/>
  <c r="D106" i="43" s="1"/>
  <c r="E107" i="43" s="1"/>
  <c r="F108" i="43" s="1"/>
  <c r="G109" i="43" s="1"/>
  <c r="H110" i="43" s="1"/>
  <c r="I111" i="43" s="1"/>
  <c r="J112" i="43" s="1"/>
  <c r="K113" i="43" s="1"/>
  <c r="L114" i="43" s="1"/>
  <c r="M115" i="43" s="1"/>
  <c r="N116" i="43" s="1"/>
  <c r="C104" i="43"/>
  <c r="D105" i="43" s="1"/>
  <c r="E106" i="43" s="1"/>
  <c r="F107" i="43" s="1"/>
  <c r="G108" i="43" s="1"/>
  <c r="H109" i="43" s="1"/>
  <c r="I110" i="43" s="1"/>
  <c r="J111" i="43" s="1"/>
  <c r="K112" i="43" s="1"/>
  <c r="L113" i="43" s="1"/>
  <c r="M114" i="43" s="1"/>
  <c r="N115" i="43" s="1"/>
  <c r="C103" i="43"/>
  <c r="D104" i="43" s="1"/>
  <c r="E105" i="43" s="1"/>
  <c r="F106" i="43" s="1"/>
  <c r="G107" i="43" s="1"/>
  <c r="H108" i="43" s="1"/>
  <c r="I109" i="43" s="1"/>
  <c r="J110" i="43" s="1"/>
  <c r="K111" i="43" s="1"/>
  <c r="L112" i="43" s="1"/>
  <c r="M113" i="43" s="1"/>
  <c r="N114" i="43" s="1"/>
  <c r="C102" i="43"/>
  <c r="D103" i="43" s="1"/>
  <c r="E104" i="43" s="1"/>
  <c r="F105" i="43" s="1"/>
  <c r="G106" i="43" s="1"/>
  <c r="H107" i="43" s="1"/>
  <c r="I108" i="43" s="1"/>
  <c r="J109" i="43" s="1"/>
  <c r="K110" i="43" s="1"/>
  <c r="L111" i="43" s="1"/>
  <c r="M112" i="43" s="1"/>
  <c r="N113" i="43" s="1"/>
  <c r="C101" i="43"/>
  <c r="D102" i="43" s="1"/>
  <c r="E103" i="43" s="1"/>
  <c r="F104" i="43" s="1"/>
  <c r="G105" i="43" s="1"/>
  <c r="H106" i="43" s="1"/>
  <c r="I107" i="43" s="1"/>
  <c r="J108" i="43" s="1"/>
  <c r="K109" i="43" s="1"/>
  <c r="L110" i="43" s="1"/>
  <c r="M111" i="43" s="1"/>
  <c r="N112" i="43" s="1"/>
  <c r="C100" i="43"/>
  <c r="D101" i="43" s="1"/>
  <c r="E102" i="43" s="1"/>
  <c r="F103" i="43" s="1"/>
  <c r="G104" i="43" s="1"/>
  <c r="H105" i="43" s="1"/>
  <c r="I106" i="43" s="1"/>
  <c r="J107" i="43" s="1"/>
  <c r="K108" i="43" s="1"/>
  <c r="L109" i="43" s="1"/>
  <c r="M110" i="43" s="1"/>
  <c r="N111" i="43" s="1"/>
  <c r="C99" i="43"/>
  <c r="D100" i="43" s="1"/>
  <c r="E101" i="43" s="1"/>
  <c r="F102" i="43" s="1"/>
  <c r="G103" i="43" s="1"/>
  <c r="H104" i="43" s="1"/>
  <c r="I105" i="43" s="1"/>
  <c r="J106" i="43" s="1"/>
  <c r="K107" i="43" s="1"/>
  <c r="L108" i="43" s="1"/>
  <c r="M109" i="43" s="1"/>
  <c r="N110" i="43" s="1"/>
  <c r="C98" i="43"/>
  <c r="D99" i="43" s="1"/>
  <c r="E100" i="43" s="1"/>
  <c r="F101" i="43" s="1"/>
  <c r="G102" i="43" s="1"/>
  <c r="H103" i="43" s="1"/>
  <c r="I104" i="43" s="1"/>
  <c r="J105" i="43" s="1"/>
  <c r="K106" i="43" s="1"/>
  <c r="L107" i="43" s="1"/>
  <c r="M108" i="43" s="1"/>
  <c r="N109" i="43" s="1"/>
  <c r="C97" i="43"/>
  <c r="D98" i="43" s="1"/>
  <c r="E99" i="43" s="1"/>
  <c r="F100" i="43" s="1"/>
  <c r="G101" i="43" s="1"/>
  <c r="H102" i="43" s="1"/>
  <c r="I103" i="43" s="1"/>
  <c r="J104" i="43" s="1"/>
  <c r="K105" i="43" s="1"/>
  <c r="L106" i="43" s="1"/>
  <c r="M107" i="43" s="1"/>
  <c r="N108" i="43" s="1"/>
  <c r="C96" i="43"/>
  <c r="D97" i="43" s="1"/>
  <c r="E98" i="43" s="1"/>
  <c r="F99" i="43" s="1"/>
  <c r="G100" i="43" s="1"/>
  <c r="H101" i="43" s="1"/>
  <c r="I102" i="43" s="1"/>
  <c r="J103" i="43" s="1"/>
  <c r="K104" i="43" s="1"/>
  <c r="L105" i="43" s="1"/>
  <c r="M106" i="43" s="1"/>
  <c r="N107" i="43" s="1"/>
  <c r="C94" i="43"/>
  <c r="D95" i="43" s="1"/>
  <c r="E96" i="43" s="1"/>
  <c r="F97" i="43" s="1"/>
  <c r="G98" i="43" s="1"/>
  <c r="H99" i="43" s="1"/>
  <c r="I100" i="43" s="1"/>
  <c r="J101" i="43" s="1"/>
  <c r="K102" i="43" s="1"/>
  <c r="L103" i="43" s="1"/>
  <c r="M104" i="43" s="1"/>
  <c r="N105" i="43" s="1"/>
  <c r="C93" i="43"/>
  <c r="D94" i="43" s="1"/>
  <c r="E95" i="43" s="1"/>
  <c r="F96" i="43" s="1"/>
  <c r="G97" i="43" s="1"/>
  <c r="H98" i="43" s="1"/>
  <c r="I99" i="43" s="1"/>
  <c r="J100" i="43" s="1"/>
  <c r="K101" i="43" s="1"/>
  <c r="L102" i="43" s="1"/>
  <c r="M103" i="43" s="1"/>
  <c r="N104" i="43" s="1"/>
  <c r="C92" i="43"/>
  <c r="D93" i="43" s="1"/>
  <c r="E94" i="43" s="1"/>
  <c r="F95" i="43" s="1"/>
  <c r="G96" i="43" s="1"/>
  <c r="H97" i="43" s="1"/>
  <c r="I98" i="43" s="1"/>
  <c r="J99" i="43" s="1"/>
  <c r="K100" i="43" s="1"/>
  <c r="L101" i="43" s="1"/>
  <c r="M102" i="43" s="1"/>
  <c r="N103" i="43" s="1"/>
  <c r="C91" i="43"/>
  <c r="D92" i="43" s="1"/>
  <c r="E93" i="43" s="1"/>
  <c r="F94" i="43" s="1"/>
  <c r="G95" i="43" s="1"/>
  <c r="H96" i="43" s="1"/>
  <c r="I97" i="43" s="1"/>
  <c r="J98" i="43" s="1"/>
  <c r="K99" i="43" s="1"/>
  <c r="L100" i="43" s="1"/>
  <c r="M101" i="43" s="1"/>
  <c r="N102" i="43" s="1"/>
  <c r="C90" i="43"/>
  <c r="D91" i="43" s="1"/>
  <c r="E92" i="43" s="1"/>
  <c r="F93" i="43" s="1"/>
  <c r="G94" i="43" s="1"/>
  <c r="H95" i="43" s="1"/>
  <c r="I96" i="43" s="1"/>
  <c r="J97" i="43" s="1"/>
  <c r="K98" i="43" s="1"/>
  <c r="L99" i="43" s="1"/>
  <c r="M100" i="43" s="1"/>
  <c r="N101" i="43" s="1"/>
  <c r="C89" i="43"/>
  <c r="D90" i="43" s="1"/>
  <c r="E91" i="43" s="1"/>
  <c r="F92" i="43" s="1"/>
  <c r="G93" i="43" s="1"/>
  <c r="H94" i="43" s="1"/>
  <c r="I95" i="43" s="1"/>
  <c r="J96" i="43" s="1"/>
  <c r="K97" i="43" s="1"/>
  <c r="L98" i="43" s="1"/>
  <c r="M99" i="43" s="1"/>
  <c r="N100" i="43" s="1"/>
  <c r="C88" i="43"/>
  <c r="D89" i="43" s="1"/>
  <c r="E90" i="43" s="1"/>
  <c r="F91" i="43" s="1"/>
  <c r="G92" i="43" s="1"/>
  <c r="H93" i="43" s="1"/>
  <c r="I94" i="43" s="1"/>
  <c r="J95" i="43" s="1"/>
  <c r="K96" i="43" s="1"/>
  <c r="L97" i="43" s="1"/>
  <c r="M98" i="43" s="1"/>
  <c r="N99" i="43" s="1"/>
  <c r="C86" i="43"/>
  <c r="D87" i="43" s="1"/>
  <c r="E88" i="43" s="1"/>
  <c r="F89" i="43" s="1"/>
  <c r="G90" i="43" s="1"/>
  <c r="H91" i="43" s="1"/>
  <c r="I92" i="43" s="1"/>
  <c r="J93" i="43" s="1"/>
  <c r="K94" i="43" s="1"/>
  <c r="L95" i="43" s="1"/>
  <c r="M96" i="43" s="1"/>
  <c r="N97" i="43" s="1"/>
  <c r="C85" i="43"/>
  <c r="D86" i="43" s="1"/>
  <c r="E87" i="43" s="1"/>
  <c r="F88" i="43" s="1"/>
  <c r="G89" i="43" s="1"/>
  <c r="H90" i="43" s="1"/>
  <c r="I91" i="43" s="1"/>
  <c r="J92" i="43" s="1"/>
  <c r="K93" i="43" s="1"/>
  <c r="L94" i="43" s="1"/>
  <c r="M95" i="43" s="1"/>
  <c r="N96" i="43" s="1"/>
  <c r="C84" i="43"/>
  <c r="D85" i="43" s="1"/>
  <c r="E86" i="43" s="1"/>
  <c r="F87" i="43" s="1"/>
  <c r="G88" i="43" s="1"/>
  <c r="H89" i="43" s="1"/>
  <c r="I90" i="43" s="1"/>
  <c r="J91" i="43" s="1"/>
  <c r="K92" i="43" s="1"/>
  <c r="L93" i="43" s="1"/>
  <c r="M94" i="43" s="1"/>
  <c r="N95" i="43" s="1"/>
  <c r="C83" i="43"/>
  <c r="D84" i="43" s="1"/>
  <c r="E85" i="43" s="1"/>
  <c r="F86" i="43" s="1"/>
  <c r="G87" i="43" s="1"/>
  <c r="H88" i="43" s="1"/>
  <c r="I89" i="43" s="1"/>
  <c r="J90" i="43" s="1"/>
  <c r="K91" i="43" s="1"/>
  <c r="L92" i="43" s="1"/>
  <c r="M93" i="43" s="1"/>
  <c r="N94" i="43" s="1"/>
  <c r="C82" i="43"/>
  <c r="D83" i="43" s="1"/>
  <c r="E84" i="43" s="1"/>
  <c r="F85" i="43" s="1"/>
  <c r="G86" i="43" s="1"/>
  <c r="H87" i="43" s="1"/>
  <c r="I88" i="43" s="1"/>
  <c r="J89" i="43" s="1"/>
  <c r="K90" i="43" s="1"/>
  <c r="L91" i="43" s="1"/>
  <c r="M92" i="43" s="1"/>
  <c r="N93" i="43" s="1"/>
  <c r="C81" i="43"/>
  <c r="D82" i="43" s="1"/>
  <c r="E83" i="43" s="1"/>
  <c r="F84" i="43" s="1"/>
  <c r="G85" i="43" s="1"/>
  <c r="H86" i="43" s="1"/>
  <c r="I87" i="43" s="1"/>
  <c r="J88" i="43" s="1"/>
  <c r="K89" i="43" s="1"/>
  <c r="L90" i="43" s="1"/>
  <c r="M91" i="43" s="1"/>
  <c r="N92" i="43" s="1"/>
  <c r="C80" i="43"/>
  <c r="D81" i="43" s="1"/>
  <c r="E82" i="43" s="1"/>
  <c r="F83" i="43" s="1"/>
  <c r="G84" i="43" s="1"/>
  <c r="H85" i="43" s="1"/>
  <c r="I86" i="43" s="1"/>
  <c r="J87" i="43" s="1"/>
  <c r="K88" i="43" s="1"/>
  <c r="L89" i="43" s="1"/>
  <c r="M90" i="43" s="1"/>
  <c r="N91" i="43" s="1"/>
  <c r="C78" i="43"/>
  <c r="D79" i="43" s="1"/>
  <c r="E80" i="43" s="1"/>
  <c r="F81" i="43" s="1"/>
  <c r="G82" i="43" s="1"/>
  <c r="H83" i="43" s="1"/>
  <c r="I84" i="43" s="1"/>
  <c r="J85" i="43" s="1"/>
  <c r="K86" i="43" s="1"/>
  <c r="L87" i="43" s="1"/>
  <c r="M88" i="43" s="1"/>
  <c r="N89" i="43" s="1"/>
  <c r="C77" i="43"/>
  <c r="D78" i="43" s="1"/>
  <c r="E79" i="43" s="1"/>
  <c r="F80" i="43" s="1"/>
  <c r="G81" i="43" s="1"/>
  <c r="H82" i="43" s="1"/>
  <c r="I83" i="43" s="1"/>
  <c r="J84" i="43" s="1"/>
  <c r="K85" i="43" s="1"/>
  <c r="L86" i="43" s="1"/>
  <c r="M87" i="43" s="1"/>
  <c r="N88" i="43" s="1"/>
  <c r="C76" i="43"/>
  <c r="D77" i="43" s="1"/>
  <c r="E78" i="43" s="1"/>
  <c r="F79" i="43" s="1"/>
  <c r="G80" i="43" s="1"/>
  <c r="H81" i="43" s="1"/>
  <c r="I82" i="43" s="1"/>
  <c r="J83" i="43" s="1"/>
  <c r="K84" i="43" s="1"/>
  <c r="L85" i="43" s="1"/>
  <c r="M86" i="43" s="1"/>
  <c r="N87" i="43" s="1"/>
  <c r="C75" i="43"/>
  <c r="D76" i="43" s="1"/>
  <c r="E77" i="43" s="1"/>
  <c r="F78" i="43" s="1"/>
  <c r="G79" i="43" s="1"/>
  <c r="H80" i="43" s="1"/>
  <c r="I81" i="43" s="1"/>
  <c r="J82" i="43" s="1"/>
  <c r="K83" i="43" s="1"/>
  <c r="L84" i="43" s="1"/>
  <c r="M85" i="43" s="1"/>
  <c r="N86" i="43" s="1"/>
  <c r="C74" i="43"/>
  <c r="D75" i="43" s="1"/>
  <c r="E76" i="43" s="1"/>
  <c r="F77" i="43" s="1"/>
  <c r="G78" i="43" s="1"/>
  <c r="H79" i="43" s="1"/>
  <c r="I80" i="43" s="1"/>
  <c r="J81" i="43" s="1"/>
  <c r="K82" i="43" s="1"/>
  <c r="L83" i="43" s="1"/>
  <c r="M84" i="43" s="1"/>
  <c r="N85" i="43" s="1"/>
  <c r="C73" i="43"/>
  <c r="D74" i="43" s="1"/>
  <c r="E75" i="43" s="1"/>
  <c r="F76" i="43" s="1"/>
  <c r="G77" i="43" s="1"/>
  <c r="H78" i="43" s="1"/>
  <c r="I79" i="43" s="1"/>
  <c r="J80" i="43" s="1"/>
  <c r="K81" i="43" s="1"/>
  <c r="L82" i="43" s="1"/>
  <c r="M83" i="43" s="1"/>
  <c r="N84" i="43" s="1"/>
  <c r="C72" i="43"/>
  <c r="D73" i="43" s="1"/>
  <c r="E74" i="43" s="1"/>
  <c r="F75" i="43" s="1"/>
  <c r="G76" i="43" s="1"/>
  <c r="H77" i="43" s="1"/>
  <c r="I78" i="43" s="1"/>
  <c r="J79" i="43" s="1"/>
  <c r="K80" i="43" s="1"/>
  <c r="L81" i="43" s="1"/>
  <c r="M82" i="43" s="1"/>
  <c r="N83" i="43" s="1"/>
  <c r="C70" i="43"/>
  <c r="D71" i="43" s="1"/>
  <c r="E72" i="43" s="1"/>
  <c r="F73" i="43" s="1"/>
  <c r="G74" i="43" s="1"/>
  <c r="H75" i="43" s="1"/>
  <c r="I76" i="43" s="1"/>
  <c r="J77" i="43" s="1"/>
  <c r="K78" i="43" s="1"/>
  <c r="L79" i="43" s="1"/>
  <c r="M80" i="43" s="1"/>
  <c r="N81" i="43" s="1"/>
  <c r="C69" i="43"/>
  <c r="D70" i="43" s="1"/>
  <c r="E71" i="43" s="1"/>
  <c r="F72" i="43" s="1"/>
  <c r="G73" i="43" s="1"/>
  <c r="H74" i="43" s="1"/>
  <c r="I75" i="43" s="1"/>
  <c r="J76" i="43" s="1"/>
  <c r="K77" i="43" s="1"/>
  <c r="L78" i="43" s="1"/>
  <c r="M79" i="43" s="1"/>
  <c r="N80" i="43" s="1"/>
  <c r="C68" i="43"/>
  <c r="D69" i="43" s="1"/>
  <c r="E70" i="43" s="1"/>
  <c r="F71" i="43" s="1"/>
  <c r="G72" i="43" s="1"/>
  <c r="H73" i="43" s="1"/>
  <c r="I74" i="43" s="1"/>
  <c r="J75" i="43" s="1"/>
  <c r="K76" i="43" s="1"/>
  <c r="L77" i="43" s="1"/>
  <c r="M78" i="43" s="1"/>
  <c r="N79" i="43" s="1"/>
  <c r="C67" i="43"/>
  <c r="D68" i="43" s="1"/>
  <c r="E69" i="43" s="1"/>
  <c r="F70" i="43" s="1"/>
  <c r="G71" i="43" s="1"/>
  <c r="H72" i="43" s="1"/>
  <c r="I73" i="43" s="1"/>
  <c r="J74" i="43" s="1"/>
  <c r="K75" i="43" s="1"/>
  <c r="L76" i="43" s="1"/>
  <c r="M77" i="43" s="1"/>
  <c r="N78" i="43" s="1"/>
  <c r="C66" i="43"/>
  <c r="D67" i="43" s="1"/>
  <c r="E68" i="43" s="1"/>
  <c r="F69" i="43" s="1"/>
  <c r="G70" i="43" s="1"/>
  <c r="H71" i="43" s="1"/>
  <c r="I72" i="43" s="1"/>
  <c r="J73" i="43" s="1"/>
  <c r="K74" i="43" s="1"/>
  <c r="L75" i="43" s="1"/>
  <c r="M76" i="43" s="1"/>
  <c r="N77" i="43" s="1"/>
  <c r="C65" i="43"/>
  <c r="D66" i="43" s="1"/>
  <c r="E67" i="43" s="1"/>
  <c r="F68" i="43" s="1"/>
  <c r="G69" i="43" s="1"/>
  <c r="H70" i="43" s="1"/>
  <c r="I71" i="43" s="1"/>
  <c r="J72" i="43" s="1"/>
  <c r="K73" i="43" s="1"/>
  <c r="L74" i="43" s="1"/>
  <c r="M75" i="43" s="1"/>
  <c r="N76" i="43" s="1"/>
  <c r="C64" i="43"/>
  <c r="D65" i="43" s="1"/>
  <c r="E66" i="43" s="1"/>
  <c r="F67" i="43" s="1"/>
  <c r="G68" i="43" s="1"/>
  <c r="H69" i="43" s="1"/>
  <c r="I70" i="43" s="1"/>
  <c r="J71" i="43" s="1"/>
  <c r="K72" i="43" s="1"/>
  <c r="L73" i="43" s="1"/>
  <c r="M74" i="43" s="1"/>
  <c r="N75" i="43" s="1"/>
  <c r="C62" i="43"/>
  <c r="D63" i="43" s="1"/>
  <c r="E64" i="43" s="1"/>
  <c r="F65" i="43" s="1"/>
  <c r="G66" i="43" s="1"/>
  <c r="H67" i="43" s="1"/>
  <c r="I68" i="43" s="1"/>
  <c r="J69" i="43" s="1"/>
  <c r="K70" i="43" s="1"/>
  <c r="L71" i="43" s="1"/>
  <c r="M72" i="43" s="1"/>
  <c r="N73" i="43" s="1"/>
  <c r="C61" i="43"/>
  <c r="D62" i="43" s="1"/>
  <c r="E63" i="43" s="1"/>
  <c r="F64" i="43" s="1"/>
  <c r="G65" i="43" s="1"/>
  <c r="H66" i="43" s="1"/>
  <c r="I67" i="43" s="1"/>
  <c r="J68" i="43" s="1"/>
  <c r="K69" i="43" s="1"/>
  <c r="L70" i="43" s="1"/>
  <c r="M71" i="43" s="1"/>
  <c r="N72" i="43" s="1"/>
  <c r="C60" i="43"/>
  <c r="D61" i="43" s="1"/>
  <c r="E62" i="43" s="1"/>
  <c r="F63" i="43" s="1"/>
  <c r="G64" i="43" s="1"/>
  <c r="H65" i="43" s="1"/>
  <c r="I66" i="43" s="1"/>
  <c r="J67" i="43" s="1"/>
  <c r="K68" i="43" s="1"/>
  <c r="L69" i="43" s="1"/>
  <c r="M70" i="43" s="1"/>
  <c r="N71" i="43" s="1"/>
  <c r="C58" i="43"/>
  <c r="D59" i="43" s="1"/>
  <c r="E60" i="43" s="1"/>
  <c r="F61" i="43" s="1"/>
  <c r="G62" i="43" s="1"/>
  <c r="H63" i="43" s="1"/>
  <c r="I64" i="43" s="1"/>
  <c r="J65" i="43" s="1"/>
  <c r="K66" i="43" s="1"/>
  <c r="L67" i="43" s="1"/>
  <c r="M68" i="43" s="1"/>
  <c r="N69" i="43" s="1"/>
  <c r="C57" i="43"/>
  <c r="D58" i="43" s="1"/>
  <c r="E59" i="43" s="1"/>
  <c r="F60" i="43" s="1"/>
  <c r="G61" i="43" s="1"/>
  <c r="H62" i="43" s="1"/>
  <c r="I63" i="43" s="1"/>
  <c r="J64" i="43" s="1"/>
  <c r="K65" i="43" s="1"/>
  <c r="L66" i="43" s="1"/>
  <c r="M67" i="43" s="1"/>
  <c r="N68" i="43" s="1"/>
  <c r="C56" i="43"/>
  <c r="D57" i="43" s="1"/>
  <c r="E58" i="43" s="1"/>
  <c r="F59" i="43" s="1"/>
  <c r="G60" i="43" s="1"/>
  <c r="H61" i="43" s="1"/>
  <c r="I62" i="43" s="1"/>
  <c r="J63" i="43" s="1"/>
  <c r="K64" i="43" s="1"/>
  <c r="L65" i="43" s="1"/>
  <c r="M66" i="43" s="1"/>
  <c r="N67" i="43" s="1"/>
  <c r="C54" i="43"/>
  <c r="D55" i="43" s="1"/>
  <c r="E56" i="43" s="1"/>
  <c r="F57" i="43" s="1"/>
  <c r="G58" i="43" s="1"/>
  <c r="H59" i="43" s="1"/>
  <c r="I60" i="43" s="1"/>
  <c r="J61" i="43" s="1"/>
  <c r="K62" i="43" s="1"/>
  <c r="L63" i="43" s="1"/>
  <c r="M64" i="43" s="1"/>
  <c r="N65" i="43" s="1"/>
  <c r="C53" i="43"/>
  <c r="D54" i="43" s="1"/>
  <c r="E55" i="43" s="1"/>
  <c r="F56" i="43" s="1"/>
  <c r="G57" i="43" s="1"/>
  <c r="H58" i="43" s="1"/>
  <c r="I59" i="43" s="1"/>
  <c r="J60" i="43" s="1"/>
  <c r="K61" i="43" s="1"/>
  <c r="L62" i="43" s="1"/>
  <c r="M63" i="43" s="1"/>
  <c r="N64" i="43" s="1"/>
  <c r="C52" i="43"/>
  <c r="D53" i="43" s="1"/>
  <c r="E54" i="43" s="1"/>
  <c r="F55" i="43" s="1"/>
  <c r="G56" i="43" s="1"/>
  <c r="H57" i="43" s="1"/>
  <c r="I58" i="43" s="1"/>
  <c r="J59" i="43" s="1"/>
  <c r="K60" i="43" s="1"/>
  <c r="L61" i="43" s="1"/>
  <c r="M62" i="43" s="1"/>
  <c r="N63" i="43" s="1"/>
  <c r="C50" i="43"/>
  <c r="D51" i="43" s="1"/>
  <c r="E52" i="43" s="1"/>
  <c r="F53" i="43" s="1"/>
  <c r="G54" i="43" s="1"/>
  <c r="H55" i="43" s="1"/>
  <c r="I56" i="43" s="1"/>
  <c r="J57" i="43" s="1"/>
  <c r="K58" i="43" s="1"/>
  <c r="L59" i="43" s="1"/>
  <c r="M60" i="43" s="1"/>
  <c r="N61" i="43" s="1"/>
  <c r="C49" i="43"/>
  <c r="D50" i="43" s="1"/>
  <c r="E51" i="43" s="1"/>
  <c r="F52" i="43" s="1"/>
  <c r="G53" i="43" s="1"/>
  <c r="H54" i="43" s="1"/>
  <c r="I55" i="43" s="1"/>
  <c r="J56" i="43" s="1"/>
  <c r="K57" i="43" s="1"/>
  <c r="L58" i="43" s="1"/>
  <c r="M59" i="43" s="1"/>
  <c r="N60" i="43" s="1"/>
  <c r="C48" i="43"/>
  <c r="D49" i="43" s="1"/>
  <c r="E50" i="43" s="1"/>
  <c r="F51" i="43" s="1"/>
  <c r="G52" i="43" s="1"/>
  <c r="H53" i="43" s="1"/>
  <c r="I54" i="43" s="1"/>
  <c r="J55" i="43" s="1"/>
  <c r="K56" i="43" s="1"/>
  <c r="L57" i="43" s="1"/>
  <c r="M58" i="43" s="1"/>
  <c r="N59" i="43" s="1"/>
  <c r="F46" i="43"/>
  <c r="G47" i="43" s="1"/>
  <c r="H48" i="43" s="1"/>
  <c r="I49" i="43" s="1"/>
  <c r="J50" i="43" s="1"/>
  <c r="K51" i="43" s="1"/>
  <c r="L52" i="43" s="1"/>
  <c r="M53" i="43" s="1"/>
  <c r="N54" i="43" s="1"/>
  <c r="C46" i="43"/>
  <c r="D47" i="43" s="1"/>
  <c r="E48" i="43" s="1"/>
  <c r="F49" i="43" s="1"/>
  <c r="G50" i="43" s="1"/>
  <c r="H51" i="43" s="1"/>
  <c r="I52" i="43" s="1"/>
  <c r="J53" i="43" s="1"/>
  <c r="K54" i="43" s="1"/>
  <c r="L55" i="43" s="1"/>
  <c r="M56" i="43" s="1"/>
  <c r="N57" i="43" s="1"/>
  <c r="C45" i="43"/>
  <c r="D46" i="43" s="1"/>
  <c r="E47" i="43" s="1"/>
  <c r="F48" i="43" s="1"/>
  <c r="G49" i="43" s="1"/>
  <c r="H50" i="43" s="1"/>
  <c r="I51" i="43" s="1"/>
  <c r="J52" i="43" s="1"/>
  <c r="K53" i="43" s="1"/>
  <c r="L54" i="43" s="1"/>
  <c r="M55" i="43" s="1"/>
  <c r="N56" i="43" s="1"/>
  <c r="C44" i="43"/>
  <c r="D45" i="43" s="1"/>
  <c r="E46" i="43" s="1"/>
  <c r="F47" i="43" s="1"/>
  <c r="G48" i="43" s="1"/>
  <c r="H49" i="43" s="1"/>
  <c r="I50" i="43" s="1"/>
  <c r="J51" i="43" s="1"/>
  <c r="K52" i="43" s="1"/>
  <c r="L53" i="43" s="1"/>
  <c r="M54" i="43" s="1"/>
  <c r="N55" i="43" s="1"/>
  <c r="C42" i="43"/>
  <c r="D43" i="43" s="1"/>
  <c r="E44" i="43" s="1"/>
  <c r="F45" i="43" s="1"/>
  <c r="G46" i="43" s="1"/>
  <c r="H47" i="43" s="1"/>
  <c r="I48" i="43" s="1"/>
  <c r="J49" i="43" s="1"/>
  <c r="K50" i="43" s="1"/>
  <c r="L51" i="43" s="1"/>
  <c r="M52" i="43" s="1"/>
  <c r="N53" i="43" s="1"/>
  <c r="C41" i="43"/>
  <c r="D42" i="43" s="1"/>
  <c r="E43" i="43" s="1"/>
  <c r="F44" i="43" s="1"/>
  <c r="G45" i="43" s="1"/>
  <c r="H46" i="43" s="1"/>
  <c r="I47" i="43" s="1"/>
  <c r="J48" i="43" s="1"/>
  <c r="K49" i="43" s="1"/>
  <c r="L50" i="43" s="1"/>
  <c r="M51" i="43" s="1"/>
  <c r="N52" i="43" s="1"/>
  <c r="C40" i="43"/>
  <c r="D41" i="43" s="1"/>
  <c r="E42" i="43" s="1"/>
  <c r="F43" i="43" s="1"/>
  <c r="G44" i="43" s="1"/>
  <c r="H45" i="43" s="1"/>
  <c r="I46" i="43" s="1"/>
  <c r="J47" i="43" s="1"/>
  <c r="K48" i="43" s="1"/>
  <c r="L49" i="43" s="1"/>
  <c r="M50" i="43" s="1"/>
  <c r="N51" i="43" s="1"/>
  <c r="C38" i="43"/>
  <c r="D39" i="43" s="1"/>
  <c r="E40" i="43" s="1"/>
  <c r="F41" i="43" s="1"/>
  <c r="G42" i="43" s="1"/>
  <c r="H43" i="43" s="1"/>
  <c r="I44" i="43" s="1"/>
  <c r="J45" i="43" s="1"/>
  <c r="K46" i="43" s="1"/>
  <c r="L47" i="43" s="1"/>
  <c r="M48" i="43" s="1"/>
  <c r="N49" i="43" s="1"/>
  <c r="C37" i="43"/>
  <c r="D38" i="43" s="1"/>
  <c r="E39" i="43" s="1"/>
  <c r="F40" i="43" s="1"/>
  <c r="G41" i="43" s="1"/>
  <c r="H42" i="43" s="1"/>
  <c r="I43" i="43" s="1"/>
  <c r="J44" i="43" s="1"/>
  <c r="K45" i="43" s="1"/>
  <c r="L46" i="43" s="1"/>
  <c r="M47" i="43" s="1"/>
  <c r="N48" i="43" s="1"/>
  <c r="C36" i="43"/>
  <c r="D37" i="43" s="1"/>
  <c r="E38" i="43" s="1"/>
  <c r="F39" i="43" s="1"/>
  <c r="G40" i="43" s="1"/>
  <c r="H41" i="43" s="1"/>
  <c r="I42" i="43" s="1"/>
  <c r="J43" i="43" s="1"/>
  <c r="K44" i="43" s="1"/>
  <c r="L45" i="43" s="1"/>
  <c r="M46" i="43" s="1"/>
  <c r="N47" i="43" s="1"/>
  <c r="C34" i="43"/>
  <c r="D35" i="43" s="1"/>
  <c r="E36" i="43" s="1"/>
  <c r="F37" i="43" s="1"/>
  <c r="G38" i="43" s="1"/>
  <c r="H39" i="43" s="1"/>
  <c r="I40" i="43" s="1"/>
  <c r="J41" i="43" s="1"/>
  <c r="K42" i="43" s="1"/>
  <c r="L43" i="43" s="1"/>
  <c r="M44" i="43" s="1"/>
  <c r="N45" i="43" s="1"/>
  <c r="C33" i="43"/>
  <c r="D34" i="43" s="1"/>
  <c r="E35" i="43" s="1"/>
  <c r="F36" i="43" s="1"/>
  <c r="G37" i="43" s="1"/>
  <c r="H38" i="43" s="1"/>
  <c r="I39" i="43" s="1"/>
  <c r="J40" i="43" s="1"/>
  <c r="K41" i="43" s="1"/>
  <c r="L42" i="43" s="1"/>
  <c r="M43" i="43" s="1"/>
  <c r="N44" i="43" s="1"/>
  <c r="C32" i="43"/>
  <c r="D33" i="43" s="1"/>
  <c r="E34" i="43" s="1"/>
  <c r="F35" i="43" s="1"/>
  <c r="G36" i="43" s="1"/>
  <c r="H37" i="43" s="1"/>
  <c r="I38" i="43" s="1"/>
  <c r="J39" i="43" s="1"/>
  <c r="K40" i="43" s="1"/>
  <c r="L41" i="43" s="1"/>
  <c r="M42" i="43" s="1"/>
  <c r="N43" i="43" s="1"/>
  <c r="C30" i="43"/>
  <c r="D31" i="43" s="1"/>
  <c r="E32" i="43" s="1"/>
  <c r="F33" i="43" s="1"/>
  <c r="G34" i="43" s="1"/>
  <c r="H35" i="43" s="1"/>
  <c r="I36" i="43" s="1"/>
  <c r="J37" i="43" s="1"/>
  <c r="K38" i="43" s="1"/>
  <c r="L39" i="43" s="1"/>
  <c r="M40" i="43" s="1"/>
  <c r="N41" i="43" s="1"/>
  <c r="C29" i="43"/>
  <c r="D30" i="43" s="1"/>
  <c r="E31" i="43" s="1"/>
  <c r="F32" i="43" s="1"/>
  <c r="G33" i="43" s="1"/>
  <c r="H34" i="43" s="1"/>
  <c r="I35" i="43" s="1"/>
  <c r="J36" i="43" s="1"/>
  <c r="K37" i="43" s="1"/>
  <c r="L38" i="43" s="1"/>
  <c r="M39" i="43" s="1"/>
  <c r="N40" i="43" s="1"/>
  <c r="C28" i="43"/>
  <c r="D29" i="43" s="1"/>
  <c r="E30" i="43" s="1"/>
  <c r="F31" i="43" s="1"/>
  <c r="G32" i="43" s="1"/>
  <c r="H33" i="43" s="1"/>
  <c r="I34" i="43" s="1"/>
  <c r="J35" i="43" s="1"/>
  <c r="K36" i="43" s="1"/>
  <c r="L37" i="43" s="1"/>
  <c r="M38" i="43" s="1"/>
  <c r="N39" i="43" s="1"/>
  <c r="C26" i="43"/>
  <c r="D27" i="43" s="1"/>
  <c r="E28" i="43" s="1"/>
  <c r="F29" i="43" s="1"/>
  <c r="G30" i="43" s="1"/>
  <c r="H31" i="43" s="1"/>
  <c r="I32" i="43" s="1"/>
  <c r="J33" i="43" s="1"/>
  <c r="K34" i="43" s="1"/>
  <c r="L35" i="43" s="1"/>
  <c r="M36" i="43" s="1"/>
  <c r="N37" i="43" s="1"/>
  <c r="C25" i="43"/>
  <c r="D26" i="43" s="1"/>
  <c r="E27" i="43" s="1"/>
  <c r="F28" i="43" s="1"/>
  <c r="G29" i="43" s="1"/>
  <c r="H30" i="43" s="1"/>
  <c r="I31" i="43" s="1"/>
  <c r="J32" i="43" s="1"/>
  <c r="K33" i="43" s="1"/>
  <c r="L34" i="43" s="1"/>
  <c r="M35" i="43" s="1"/>
  <c r="N36" i="43" s="1"/>
  <c r="C24" i="43"/>
  <c r="D25" i="43" s="1"/>
  <c r="E26" i="43" s="1"/>
  <c r="F27" i="43" s="1"/>
  <c r="G28" i="43" s="1"/>
  <c r="H29" i="43" s="1"/>
  <c r="I30" i="43" s="1"/>
  <c r="J31" i="43" s="1"/>
  <c r="K32" i="43" s="1"/>
  <c r="L33" i="43" s="1"/>
  <c r="M34" i="43" s="1"/>
  <c r="N35" i="43" s="1"/>
  <c r="C22" i="43"/>
  <c r="D23" i="43" s="1"/>
  <c r="E24" i="43" s="1"/>
  <c r="F25" i="43" s="1"/>
  <c r="G26" i="43" s="1"/>
  <c r="H27" i="43" s="1"/>
  <c r="I28" i="43" s="1"/>
  <c r="J29" i="43" s="1"/>
  <c r="K30" i="43" s="1"/>
  <c r="L31" i="43" s="1"/>
  <c r="M32" i="43" s="1"/>
  <c r="N33" i="43" s="1"/>
  <c r="C21" i="43"/>
  <c r="D22" i="43" s="1"/>
  <c r="E23" i="43" s="1"/>
  <c r="F24" i="43" s="1"/>
  <c r="G25" i="43" s="1"/>
  <c r="H26" i="43" s="1"/>
  <c r="I27" i="43" s="1"/>
  <c r="J28" i="43" s="1"/>
  <c r="K29" i="43" s="1"/>
  <c r="L30" i="43" s="1"/>
  <c r="M31" i="43" s="1"/>
  <c r="N32" i="43" s="1"/>
  <c r="C20" i="43"/>
  <c r="D21" i="43" s="1"/>
  <c r="E22" i="43" s="1"/>
  <c r="F23" i="43" s="1"/>
  <c r="G24" i="43" s="1"/>
  <c r="H25" i="43" s="1"/>
  <c r="I26" i="43" s="1"/>
  <c r="J27" i="43" s="1"/>
  <c r="K28" i="43" s="1"/>
  <c r="L29" i="43" s="1"/>
  <c r="M30" i="43" s="1"/>
  <c r="N31" i="43" s="1"/>
  <c r="D18" i="43"/>
  <c r="E19" i="43" s="1"/>
  <c r="F20" i="43" s="1"/>
  <c r="G21" i="43" s="1"/>
  <c r="H22" i="43" s="1"/>
  <c r="I23" i="43" s="1"/>
  <c r="J24" i="43" s="1"/>
  <c r="K25" i="43" s="1"/>
  <c r="L26" i="43" s="1"/>
  <c r="M27" i="43" s="1"/>
  <c r="N28" i="43" s="1"/>
  <c r="C18" i="43"/>
  <c r="D19" i="43" s="1"/>
  <c r="E20" i="43" s="1"/>
  <c r="F21" i="43" s="1"/>
  <c r="G22" i="43" s="1"/>
  <c r="H23" i="43" s="1"/>
  <c r="I24" i="43" s="1"/>
  <c r="J25" i="43" s="1"/>
  <c r="K26" i="43" s="1"/>
  <c r="L27" i="43" s="1"/>
  <c r="M28" i="43" s="1"/>
  <c r="N29" i="43" s="1"/>
  <c r="Q17" i="43" a="1"/>
  <c r="AB29" i="43" s="1"/>
  <c r="C17" i="43"/>
  <c r="C16" i="43"/>
  <c r="D17" i="43" s="1"/>
  <c r="E18" i="43" s="1"/>
  <c r="F19" i="43" s="1"/>
  <c r="G20" i="43" s="1"/>
  <c r="H21" i="43" s="1"/>
  <c r="I22" i="43" s="1"/>
  <c r="J23" i="43" s="1"/>
  <c r="K24" i="43" s="1"/>
  <c r="L25" i="43" s="1"/>
  <c r="M26" i="43" s="1"/>
  <c r="N27" i="43" s="1"/>
  <c r="D14" i="43"/>
  <c r="E15" i="43" s="1"/>
  <c r="F16" i="43" s="1"/>
  <c r="G17" i="43" s="1"/>
  <c r="H18" i="43" s="1"/>
  <c r="I19" i="43" s="1"/>
  <c r="J20" i="43" s="1"/>
  <c r="K21" i="43" s="1"/>
  <c r="L22" i="43" s="1"/>
  <c r="M23" i="43" s="1"/>
  <c r="N24" i="43" s="1"/>
  <c r="C14" i="43"/>
  <c r="D15" i="43" s="1"/>
  <c r="E16" i="43" s="1"/>
  <c r="F17" i="43" s="1"/>
  <c r="G18" i="43" s="1"/>
  <c r="H19" i="43" s="1"/>
  <c r="I20" i="43" s="1"/>
  <c r="J21" i="43" s="1"/>
  <c r="K22" i="43" s="1"/>
  <c r="L23" i="43" s="1"/>
  <c r="M24" i="43" s="1"/>
  <c r="N25" i="43" s="1"/>
  <c r="C13" i="43"/>
  <c r="C12" i="43"/>
  <c r="D13" i="43" s="1"/>
  <c r="E14" i="43" s="1"/>
  <c r="F15" i="43" s="1"/>
  <c r="G16" i="43" s="1"/>
  <c r="H17" i="43" s="1"/>
  <c r="I18" i="43" s="1"/>
  <c r="J19" i="43" s="1"/>
  <c r="K20" i="43" s="1"/>
  <c r="L21" i="43" s="1"/>
  <c r="M22" i="43" s="1"/>
  <c r="N23" i="43" s="1"/>
  <c r="C11" i="43"/>
  <c r="D12" i="43" s="1"/>
  <c r="E13" i="43" s="1"/>
  <c r="F14" i="43" s="1"/>
  <c r="G15" i="43" s="1"/>
  <c r="H16" i="43" s="1"/>
  <c r="I17" i="43" s="1"/>
  <c r="J18" i="43" s="1"/>
  <c r="K19" i="43" s="1"/>
  <c r="L20" i="43" s="1"/>
  <c r="M21" i="43" s="1"/>
  <c r="N22" i="43" s="1"/>
  <c r="C10" i="43"/>
  <c r="D11" i="43" s="1"/>
  <c r="E12" i="43" s="1"/>
  <c r="F13" i="43" s="1"/>
  <c r="G14" i="43" s="1"/>
  <c r="H15" i="43" s="1"/>
  <c r="I16" i="43" s="1"/>
  <c r="J17" i="43" s="1"/>
  <c r="K18" i="43" s="1"/>
  <c r="L19" i="43" s="1"/>
  <c r="M20" i="43" s="1"/>
  <c r="N21" i="43" s="1"/>
  <c r="C9" i="43"/>
  <c r="D10" i="43" s="1"/>
  <c r="E11" i="43" s="1"/>
  <c r="F12" i="43" s="1"/>
  <c r="G13" i="43" s="1"/>
  <c r="H14" i="43" s="1"/>
  <c r="I15" i="43" s="1"/>
  <c r="J16" i="43" s="1"/>
  <c r="K17" i="43" s="1"/>
  <c r="L18" i="43" s="1"/>
  <c r="M19" i="43" s="1"/>
  <c r="N20" i="43" s="1"/>
  <c r="D8" i="43"/>
  <c r="E9" i="43" s="1"/>
  <c r="F10" i="43" s="1"/>
  <c r="G11" i="43" s="1"/>
  <c r="H12" i="43" s="1"/>
  <c r="I13" i="43" s="1"/>
  <c r="J14" i="43" s="1"/>
  <c r="K15" i="43" s="1"/>
  <c r="L16" i="43" s="1"/>
  <c r="M17" i="43" s="1"/>
  <c r="N18" i="43" s="1"/>
  <c r="C8" i="43"/>
  <c r="D9" i="43" s="1"/>
  <c r="E10" i="43" s="1"/>
  <c r="F11" i="43" s="1"/>
  <c r="G12" i="43" s="1"/>
  <c r="H13" i="43" s="1"/>
  <c r="I14" i="43" s="1"/>
  <c r="J15" i="43" s="1"/>
  <c r="K16" i="43" s="1"/>
  <c r="L17" i="43" s="1"/>
  <c r="M18" i="43" s="1"/>
  <c r="N19" i="43" s="1"/>
  <c r="J7" i="43"/>
  <c r="K8" i="43" s="1"/>
  <c r="L9" i="43" s="1"/>
  <c r="M10" i="43" s="1"/>
  <c r="N11" i="43" s="1"/>
  <c r="C7" i="43"/>
  <c r="N6" i="43"/>
  <c r="M6" i="43"/>
  <c r="N7" i="43" s="1"/>
  <c r="I6" i="43"/>
  <c r="C6" i="43"/>
  <c r="D7" i="43" s="1"/>
  <c r="E8" i="43" s="1"/>
  <c r="F9" i="43" s="1"/>
  <c r="G10" i="43" s="1"/>
  <c r="H11" i="43" s="1"/>
  <c r="I12" i="43" s="1"/>
  <c r="J13" i="43" s="1"/>
  <c r="K14" i="43" s="1"/>
  <c r="L15" i="43" s="1"/>
  <c r="M16" i="43" s="1"/>
  <c r="N17" i="43" s="1"/>
  <c r="M5" i="43"/>
  <c r="L5" i="43"/>
  <c r="H5" i="43"/>
  <c r="C5" i="43"/>
  <c r="D6" i="43" s="1"/>
  <c r="E7" i="43" s="1"/>
  <c r="F8" i="43" s="1"/>
  <c r="G9" i="43" s="1"/>
  <c r="H10" i="43" s="1"/>
  <c r="I11" i="43" s="1"/>
  <c r="J12" i="43" s="1"/>
  <c r="K13" i="43" s="1"/>
  <c r="L14" i="43" s="1"/>
  <c r="M15" i="43" s="1"/>
  <c r="N16" i="43" s="1"/>
  <c r="N4" i="43"/>
  <c r="M4" i="43"/>
  <c r="N5" i="43" s="1"/>
  <c r="L4" i="43"/>
  <c r="H4" i="43"/>
  <c r="I5" i="43" s="1"/>
  <c r="J6" i="43" s="1"/>
  <c r="K7" i="43" s="1"/>
  <c r="L8" i="43" s="1"/>
  <c r="M9" i="43" s="1"/>
  <c r="N10" i="43" s="1"/>
  <c r="C4" i="43"/>
  <c r="D5" i="43" s="1"/>
  <c r="E6" i="43" s="1"/>
  <c r="F7" i="43" s="1"/>
  <c r="G8" i="43" s="1"/>
  <c r="H9" i="43" s="1"/>
  <c r="I10" i="43" s="1"/>
  <c r="J11" i="43" s="1"/>
  <c r="K12" i="43" s="1"/>
  <c r="L13" i="43" s="1"/>
  <c r="M14" i="43" s="1"/>
  <c r="N15" i="43" s="1"/>
  <c r="N3" i="43"/>
  <c r="M3" i="43"/>
  <c r="L3" i="43"/>
  <c r="K3" i="43"/>
  <c r="J3" i="43"/>
  <c r="K4" i="43" s="1"/>
  <c r="I3" i="43"/>
  <c r="J4" i="43" s="1"/>
  <c r="K5" i="43" s="1"/>
  <c r="L6" i="43" s="1"/>
  <c r="M7" i="43" s="1"/>
  <c r="N8" i="43" s="1"/>
  <c r="H3" i="43"/>
  <c r="I4" i="43" s="1"/>
  <c r="J5" i="43" s="1"/>
  <c r="K6" i="43" s="1"/>
  <c r="L7" i="43" s="1"/>
  <c r="M8" i="43" s="1"/>
  <c r="N9" i="43" s="1"/>
  <c r="G3" i="43"/>
  <c r="F3" i="43"/>
  <c r="G4" i="43" s="1"/>
  <c r="E3" i="43"/>
  <c r="F4" i="43" s="1"/>
  <c r="G5" i="43" s="1"/>
  <c r="H6" i="43" s="1"/>
  <c r="I7" i="43" s="1"/>
  <c r="J8" i="43" s="1"/>
  <c r="K9" i="43" s="1"/>
  <c r="L10" i="43" s="1"/>
  <c r="M11" i="43" s="1"/>
  <c r="N12" i="43" s="1"/>
  <c r="D3" i="43"/>
  <c r="E4" i="43" s="1"/>
  <c r="F5" i="43" s="1"/>
  <c r="G6" i="43" s="1"/>
  <c r="H7" i="43" s="1"/>
  <c r="I8" i="43" s="1"/>
  <c r="J9" i="43" s="1"/>
  <c r="K10" i="43" s="1"/>
  <c r="L11" i="43" s="1"/>
  <c r="M12" i="43" s="1"/>
  <c r="N13" i="43" s="1"/>
  <c r="C3" i="43"/>
  <c r="D4" i="43" s="1"/>
  <c r="E5" i="43" s="1"/>
  <c r="F6" i="43" s="1"/>
  <c r="G7" i="43" s="1"/>
  <c r="H8" i="43" s="1"/>
  <c r="I9" i="43" s="1"/>
  <c r="J10" i="43" s="1"/>
  <c r="K11" i="43" s="1"/>
  <c r="L12" i="43" s="1"/>
  <c r="M13" i="43" s="1"/>
  <c r="N14" i="43" s="1"/>
  <c r="C740" i="42"/>
  <c r="D741" i="42" s="1"/>
  <c r="E742" i="42" s="1"/>
  <c r="F743" i="42" s="1"/>
  <c r="G744" i="42" s="1"/>
  <c r="H745" i="42" s="1"/>
  <c r="I746" i="42" s="1"/>
  <c r="J747" i="42" s="1"/>
  <c r="C739" i="42"/>
  <c r="D740" i="42" s="1"/>
  <c r="E741" i="42" s="1"/>
  <c r="F742" i="42" s="1"/>
  <c r="G743" i="42" s="1"/>
  <c r="H744" i="42" s="1"/>
  <c r="I745" i="42" s="1"/>
  <c r="J746" i="42" s="1"/>
  <c r="K747" i="42" s="1"/>
  <c r="C736" i="42"/>
  <c r="D737" i="42" s="1"/>
  <c r="E738" i="42" s="1"/>
  <c r="F739" i="42" s="1"/>
  <c r="C735" i="42"/>
  <c r="D736" i="42" s="1"/>
  <c r="E737" i="42" s="1"/>
  <c r="F738" i="42" s="1"/>
  <c r="G739" i="42" s="1"/>
  <c r="H740" i="42" s="1"/>
  <c r="I741" i="42" s="1"/>
  <c r="J742" i="42" s="1"/>
  <c r="K743" i="42" s="1"/>
  <c r="L744" i="42" s="1"/>
  <c r="M745" i="42" s="1"/>
  <c r="N746" i="42" s="1"/>
  <c r="C732" i="42"/>
  <c r="D733" i="42" s="1"/>
  <c r="E734" i="42" s="1"/>
  <c r="F735" i="42" s="1"/>
  <c r="G736" i="42" s="1"/>
  <c r="H737" i="42" s="1"/>
  <c r="I738" i="42" s="1"/>
  <c r="J739" i="42" s="1"/>
  <c r="K740" i="42" s="1"/>
  <c r="L741" i="42" s="1"/>
  <c r="M742" i="42" s="1"/>
  <c r="N743" i="42" s="1"/>
  <c r="C731" i="42"/>
  <c r="D732" i="42" s="1"/>
  <c r="E733" i="42" s="1"/>
  <c r="F734" i="42" s="1"/>
  <c r="G735" i="42" s="1"/>
  <c r="H736" i="42" s="1"/>
  <c r="I737" i="42" s="1"/>
  <c r="J738" i="42" s="1"/>
  <c r="K739" i="42" s="1"/>
  <c r="L740" i="42" s="1"/>
  <c r="M741" i="42" s="1"/>
  <c r="N742" i="42" s="1"/>
  <c r="C728" i="42"/>
  <c r="D729" i="42" s="1"/>
  <c r="E730" i="42" s="1"/>
  <c r="F731" i="42" s="1"/>
  <c r="G732" i="42" s="1"/>
  <c r="H733" i="42" s="1"/>
  <c r="I734" i="42" s="1"/>
  <c r="J735" i="42" s="1"/>
  <c r="K736" i="42" s="1"/>
  <c r="L737" i="42" s="1"/>
  <c r="M738" i="42" s="1"/>
  <c r="N739" i="42" s="1"/>
  <c r="C727" i="42"/>
  <c r="D728" i="42" s="1"/>
  <c r="E729" i="42" s="1"/>
  <c r="F730" i="42" s="1"/>
  <c r="G731" i="42" s="1"/>
  <c r="H732" i="42" s="1"/>
  <c r="I733" i="42" s="1"/>
  <c r="J734" i="42" s="1"/>
  <c r="K735" i="42" s="1"/>
  <c r="L736" i="42" s="1"/>
  <c r="M737" i="42" s="1"/>
  <c r="N738" i="42" s="1"/>
  <c r="C724" i="42"/>
  <c r="D725" i="42" s="1"/>
  <c r="E726" i="42" s="1"/>
  <c r="F727" i="42" s="1"/>
  <c r="G728" i="42" s="1"/>
  <c r="H729" i="42" s="1"/>
  <c r="I730" i="42" s="1"/>
  <c r="J731" i="42" s="1"/>
  <c r="K732" i="42" s="1"/>
  <c r="L733" i="42" s="1"/>
  <c r="M734" i="42" s="1"/>
  <c r="N735" i="42" s="1"/>
  <c r="C723" i="42"/>
  <c r="D724" i="42" s="1"/>
  <c r="E725" i="42" s="1"/>
  <c r="F726" i="42" s="1"/>
  <c r="G727" i="42" s="1"/>
  <c r="H728" i="42" s="1"/>
  <c r="I729" i="42" s="1"/>
  <c r="J730" i="42" s="1"/>
  <c r="K731" i="42" s="1"/>
  <c r="L732" i="42" s="1"/>
  <c r="M733" i="42" s="1"/>
  <c r="N734" i="42" s="1"/>
  <c r="C720" i="42"/>
  <c r="D721" i="42" s="1"/>
  <c r="E722" i="42" s="1"/>
  <c r="F723" i="42" s="1"/>
  <c r="G724" i="42" s="1"/>
  <c r="H725" i="42" s="1"/>
  <c r="I726" i="42" s="1"/>
  <c r="J727" i="42" s="1"/>
  <c r="K728" i="42" s="1"/>
  <c r="L729" i="42" s="1"/>
  <c r="M730" i="42" s="1"/>
  <c r="N731" i="42" s="1"/>
  <c r="C719" i="42"/>
  <c r="D720" i="42" s="1"/>
  <c r="E721" i="42" s="1"/>
  <c r="F722" i="42" s="1"/>
  <c r="G723" i="42" s="1"/>
  <c r="H724" i="42" s="1"/>
  <c r="I725" i="42" s="1"/>
  <c r="J726" i="42" s="1"/>
  <c r="K727" i="42" s="1"/>
  <c r="L728" i="42" s="1"/>
  <c r="M729" i="42" s="1"/>
  <c r="N730" i="42" s="1"/>
  <c r="C716" i="42"/>
  <c r="D717" i="42" s="1"/>
  <c r="E718" i="42" s="1"/>
  <c r="F719" i="42" s="1"/>
  <c r="G720" i="42" s="1"/>
  <c r="H721" i="42" s="1"/>
  <c r="I722" i="42" s="1"/>
  <c r="J723" i="42" s="1"/>
  <c r="K724" i="42" s="1"/>
  <c r="L725" i="42" s="1"/>
  <c r="M726" i="42" s="1"/>
  <c r="N727" i="42" s="1"/>
  <c r="C715" i="42"/>
  <c r="D716" i="42" s="1"/>
  <c r="E717" i="42" s="1"/>
  <c r="F718" i="42" s="1"/>
  <c r="G719" i="42" s="1"/>
  <c r="H720" i="42" s="1"/>
  <c r="I721" i="42" s="1"/>
  <c r="J722" i="42" s="1"/>
  <c r="K723" i="42" s="1"/>
  <c r="L724" i="42" s="1"/>
  <c r="M725" i="42" s="1"/>
  <c r="N726" i="42" s="1"/>
  <c r="C712" i="42"/>
  <c r="D713" i="42" s="1"/>
  <c r="E714" i="42" s="1"/>
  <c r="F715" i="42" s="1"/>
  <c r="G716" i="42" s="1"/>
  <c r="H717" i="42" s="1"/>
  <c r="I718" i="42" s="1"/>
  <c r="J719" i="42" s="1"/>
  <c r="K720" i="42" s="1"/>
  <c r="L721" i="42" s="1"/>
  <c r="M722" i="42" s="1"/>
  <c r="N723" i="42" s="1"/>
  <c r="C711" i="42"/>
  <c r="D712" i="42" s="1"/>
  <c r="E713" i="42" s="1"/>
  <c r="F714" i="42" s="1"/>
  <c r="G715" i="42" s="1"/>
  <c r="H716" i="42" s="1"/>
  <c r="I717" i="42" s="1"/>
  <c r="J718" i="42" s="1"/>
  <c r="K719" i="42" s="1"/>
  <c r="L720" i="42" s="1"/>
  <c r="M721" i="42" s="1"/>
  <c r="N722" i="42" s="1"/>
  <c r="C708" i="42"/>
  <c r="D709" i="42" s="1"/>
  <c r="E710" i="42" s="1"/>
  <c r="F711" i="42" s="1"/>
  <c r="G712" i="42" s="1"/>
  <c r="H713" i="42" s="1"/>
  <c r="I714" i="42" s="1"/>
  <c r="J715" i="42" s="1"/>
  <c r="K716" i="42" s="1"/>
  <c r="L717" i="42" s="1"/>
  <c r="M718" i="42" s="1"/>
  <c r="N719" i="42" s="1"/>
  <c r="C707" i="42"/>
  <c r="D708" i="42" s="1"/>
  <c r="E709" i="42" s="1"/>
  <c r="F710" i="42" s="1"/>
  <c r="G711" i="42" s="1"/>
  <c r="H712" i="42" s="1"/>
  <c r="I713" i="42" s="1"/>
  <c r="J714" i="42" s="1"/>
  <c r="K715" i="42" s="1"/>
  <c r="L716" i="42" s="1"/>
  <c r="M717" i="42" s="1"/>
  <c r="N718" i="42" s="1"/>
  <c r="C704" i="42"/>
  <c r="D705" i="42" s="1"/>
  <c r="E706" i="42" s="1"/>
  <c r="F707" i="42" s="1"/>
  <c r="G708" i="42" s="1"/>
  <c r="H709" i="42" s="1"/>
  <c r="I710" i="42" s="1"/>
  <c r="J711" i="42" s="1"/>
  <c r="K712" i="42" s="1"/>
  <c r="L713" i="42" s="1"/>
  <c r="M714" i="42" s="1"/>
  <c r="N715" i="42" s="1"/>
  <c r="C703" i="42"/>
  <c r="D704" i="42" s="1"/>
  <c r="E705" i="42" s="1"/>
  <c r="F706" i="42" s="1"/>
  <c r="G707" i="42" s="1"/>
  <c r="H708" i="42" s="1"/>
  <c r="I709" i="42" s="1"/>
  <c r="J710" i="42" s="1"/>
  <c r="K711" i="42" s="1"/>
  <c r="L712" i="42" s="1"/>
  <c r="M713" i="42" s="1"/>
  <c r="N714" i="42" s="1"/>
  <c r="C700" i="42"/>
  <c r="D701" i="42" s="1"/>
  <c r="E702" i="42" s="1"/>
  <c r="F703" i="42" s="1"/>
  <c r="G704" i="42" s="1"/>
  <c r="H705" i="42" s="1"/>
  <c r="I706" i="42" s="1"/>
  <c r="J707" i="42" s="1"/>
  <c r="K708" i="42" s="1"/>
  <c r="L709" i="42" s="1"/>
  <c r="M710" i="42" s="1"/>
  <c r="N711" i="42" s="1"/>
  <c r="C699" i="42"/>
  <c r="D700" i="42" s="1"/>
  <c r="E701" i="42" s="1"/>
  <c r="F702" i="42" s="1"/>
  <c r="G703" i="42" s="1"/>
  <c r="H704" i="42" s="1"/>
  <c r="I705" i="42" s="1"/>
  <c r="J706" i="42" s="1"/>
  <c r="K707" i="42" s="1"/>
  <c r="L708" i="42" s="1"/>
  <c r="M709" i="42" s="1"/>
  <c r="N710" i="42" s="1"/>
  <c r="C696" i="42"/>
  <c r="D697" i="42" s="1"/>
  <c r="E698" i="42" s="1"/>
  <c r="F699" i="42" s="1"/>
  <c r="G700" i="42" s="1"/>
  <c r="H701" i="42" s="1"/>
  <c r="I702" i="42" s="1"/>
  <c r="J703" i="42" s="1"/>
  <c r="K704" i="42" s="1"/>
  <c r="L705" i="42" s="1"/>
  <c r="M706" i="42" s="1"/>
  <c r="N707" i="42" s="1"/>
  <c r="C695" i="42"/>
  <c r="D696" i="42" s="1"/>
  <c r="E697" i="42" s="1"/>
  <c r="F698" i="42" s="1"/>
  <c r="G699" i="42" s="1"/>
  <c r="H700" i="42" s="1"/>
  <c r="I701" i="42" s="1"/>
  <c r="J702" i="42" s="1"/>
  <c r="K703" i="42" s="1"/>
  <c r="L704" i="42" s="1"/>
  <c r="M705" i="42" s="1"/>
  <c r="N706" i="42" s="1"/>
  <c r="C692" i="42"/>
  <c r="D693" i="42" s="1"/>
  <c r="E694" i="42" s="1"/>
  <c r="F695" i="42" s="1"/>
  <c r="G696" i="42" s="1"/>
  <c r="H697" i="42" s="1"/>
  <c r="I698" i="42" s="1"/>
  <c r="J699" i="42" s="1"/>
  <c r="K700" i="42" s="1"/>
  <c r="L701" i="42" s="1"/>
  <c r="M702" i="42" s="1"/>
  <c r="N703" i="42" s="1"/>
  <c r="C691" i="42"/>
  <c r="D692" i="42" s="1"/>
  <c r="E693" i="42" s="1"/>
  <c r="F694" i="42" s="1"/>
  <c r="G695" i="42" s="1"/>
  <c r="H696" i="42" s="1"/>
  <c r="I697" i="42" s="1"/>
  <c r="J698" i="42" s="1"/>
  <c r="K699" i="42" s="1"/>
  <c r="L700" i="42" s="1"/>
  <c r="M701" i="42" s="1"/>
  <c r="N702" i="42" s="1"/>
  <c r="C688" i="42"/>
  <c r="D689" i="42" s="1"/>
  <c r="E690" i="42" s="1"/>
  <c r="F691" i="42" s="1"/>
  <c r="G692" i="42" s="1"/>
  <c r="H693" i="42" s="1"/>
  <c r="I694" i="42" s="1"/>
  <c r="J695" i="42" s="1"/>
  <c r="K696" i="42" s="1"/>
  <c r="L697" i="42" s="1"/>
  <c r="M698" i="42" s="1"/>
  <c r="N699" i="42" s="1"/>
  <c r="C687" i="42"/>
  <c r="D688" i="42" s="1"/>
  <c r="E689" i="42" s="1"/>
  <c r="F690" i="42" s="1"/>
  <c r="G691" i="42" s="1"/>
  <c r="H692" i="42" s="1"/>
  <c r="I693" i="42" s="1"/>
  <c r="J694" i="42" s="1"/>
  <c r="K695" i="42" s="1"/>
  <c r="L696" i="42" s="1"/>
  <c r="M697" i="42" s="1"/>
  <c r="N698" i="42" s="1"/>
  <c r="C684" i="42"/>
  <c r="D685" i="42" s="1"/>
  <c r="E686" i="42" s="1"/>
  <c r="F687" i="42" s="1"/>
  <c r="G688" i="42" s="1"/>
  <c r="H689" i="42" s="1"/>
  <c r="I690" i="42" s="1"/>
  <c r="J691" i="42" s="1"/>
  <c r="K692" i="42" s="1"/>
  <c r="L693" i="42" s="1"/>
  <c r="M694" i="42" s="1"/>
  <c r="N695" i="42" s="1"/>
  <c r="C683" i="42"/>
  <c r="D684" i="42" s="1"/>
  <c r="E685" i="42" s="1"/>
  <c r="F686" i="42" s="1"/>
  <c r="G687" i="42" s="1"/>
  <c r="H688" i="42" s="1"/>
  <c r="I689" i="42" s="1"/>
  <c r="J690" i="42" s="1"/>
  <c r="K691" i="42" s="1"/>
  <c r="L692" i="42" s="1"/>
  <c r="M693" i="42" s="1"/>
  <c r="N694" i="42" s="1"/>
  <c r="C680" i="42"/>
  <c r="D681" i="42" s="1"/>
  <c r="E682" i="42" s="1"/>
  <c r="F683" i="42" s="1"/>
  <c r="G684" i="42" s="1"/>
  <c r="H685" i="42" s="1"/>
  <c r="I686" i="42" s="1"/>
  <c r="J687" i="42" s="1"/>
  <c r="K688" i="42" s="1"/>
  <c r="L689" i="42" s="1"/>
  <c r="M690" i="42" s="1"/>
  <c r="N691" i="42" s="1"/>
  <c r="C679" i="42"/>
  <c r="D680" i="42" s="1"/>
  <c r="E681" i="42" s="1"/>
  <c r="F682" i="42" s="1"/>
  <c r="G683" i="42" s="1"/>
  <c r="H684" i="42" s="1"/>
  <c r="I685" i="42" s="1"/>
  <c r="J686" i="42" s="1"/>
  <c r="K687" i="42" s="1"/>
  <c r="L688" i="42" s="1"/>
  <c r="M689" i="42" s="1"/>
  <c r="N690" i="42" s="1"/>
  <c r="C676" i="42"/>
  <c r="D677" i="42" s="1"/>
  <c r="E678" i="42" s="1"/>
  <c r="F679" i="42" s="1"/>
  <c r="G680" i="42" s="1"/>
  <c r="H681" i="42" s="1"/>
  <c r="I682" i="42" s="1"/>
  <c r="J683" i="42" s="1"/>
  <c r="K684" i="42" s="1"/>
  <c r="L685" i="42" s="1"/>
  <c r="M686" i="42" s="1"/>
  <c r="N687" i="42" s="1"/>
  <c r="C675" i="42"/>
  <c r="D676" i="42" s="1"/>
  <c r="E677" i="42" s="1"/>
  <c r="F678" i="42" s="1"/>
  <c r="G679" i="42" s="1"/>
  <c r="H680" i="42" s="1"/>
  <c r="I681" i="42" s="1"/>
  <c r="J682" i="42" s="1"/>
  <c r="K683" i="42" s="1"/>
  <c r="L684" i="42" s="1"/>
  <c r="M685" i="42" s="1"/>
  <c r="N686" i="42" s="1"/>
  <c r="C672" i="42"/>
  <c r="D673" i="42" s="1"/>
  <c r="E674" i="42" s="1"/>
  <c r="F675" i="42" s="1"/>
  <c r="G676" i="42" s="1"/>
  <c r="H677" i="42" s="1"/>
  <c r="I678" i="42" s="1"/>
  <c r="J679" i="42" s="1"/>
  <c r="K680" i="42" s="1"/>
  <c r="L681" i="42" s="1"/>
  <c r="M682" i="42" s="1"/>
  <c r="N683" i="42" s="1"/>
  <c r="C671" i="42"/>
  <c r="D672" i="42" s="1"/>
  <c r="E673" i="42" s="1"/>
  <c r="F674" i="42" s="1"/>
  <c r="G675" i="42" s="1"/>
  <c r="H676" i="42" s="1"/>
  <c r="I677" i="42" s="1"/>
  <c r="J678" i="42" s="1"/>
  <c r="K679" i="42" s="1"/>
  <c r="L680" i="42" s="1"/>
  <c r="M681" i="42" s="1"/>
  <c r="N682" i="42" s="1"/>
  <c r="C668" i="42"/>
  <c r="D669" i="42" s="1"/>
  <c r="E670" i="42" s="1"/>
  <c r="F671" i="42" s="1"/>
  <c r="G672" i="42" s="1"/>
  <c r="H673" i="42" s="1"/>
  <c r="I674" i="42" s="1"/>
  <c r="J675" i="42" s="1"/>
  <c r="K676" i="42" s="1"/>
  <c r="L677" i="42" s="1"/>
  <c r="M678" i="42" s="1"/>
  <c r="N679" i="42" s="1"/>
  <c r="C667" i="42"/>
  <c r="D668" i="42" s="1"/>
  <c r="E669" i="42" s="1"/>
  <c r="F670" i="42" s="1"/>
  <c r="G671" i="42" s="1"/>
  <c r="H672" i="42" s="1"/>
  <c r="I673" i="42" s="1"/>
  <c r="J674" i="42" s="1"/>
  <c r="K675" i="42" s="1"/>
  <c r="L676" i="42" s="1"/>
  <c r="M677" i="42" s="1"/>
  <c r="N678" i="42" s="1"/>
  <c r="C664" i="42"/>
  <c r="D665" i="42" s="1"/>
  <c r="E666" i="42" s="1"/>
  <c r="F667" i="42" s="1"/>
  <c r="G668" i="42" s="1"/>
  <c r="H669" i="42" s="1"/>
  <c r="I670" i="42" s="1"/>
  <c r="J671" i="42" s="1"/>
  <c r="K672" i="42" s="1"/>
  <c r="L673" i="42" s="1"/>
  <c r="M674" i="42" s="1"/>
  <c r="N675" i="42" s="1"/>
  <c r="C663" i="42"/>
  <c r="D664" i="42" s="1"/>
  <c r="E665" i="42" s="1"/>
  <c r="F666" i="42" s="1"/>
  <c r="G667" i="42" s="1"/>
  <c r="H668" i="42" s="1"/>
  <c r="I669" i="42" s="1"/>
  <c r="J670" i="42" s="1"/>
  <c r="K671" i="42" s="1"/>
  <c r="L672" i="42" s="1"/>
  <c r="M673" i="42" s="1"/>
  <c r="N674" i="42" s="1"/>
  <c r="C660" i="42"/>
  <c r="D661" i="42" s="1"/>
  <c r="E662" i="42" s="1"/>
  <c r="F663" i="42" s="1"/>
  <c r="G664" i="42" s="1"/>
  <c r="H665" i="42" s="1"/>
  <c r="I666" i="42" s="1"/>
  <c r="J667" i="42" s="1"/>
  <c r="K668" i="42" s="1"/>
  <c r="L669" i="42" s="1"/>
  <c r="M670" i="42" s="1"/>
  <c r="N671" i="42" s="1"/>
  <c r="C659" i="42"/>
  <c r="D660" i="42" s="1"/>
  <c r="E661" i="42" s="1"/>
  <c r="F662" i="42" s="1"/>
  <c r="G663" i="42" s="1"/>
  <c r="H664" i="42" s="1"/>
  <c r="I665" i="42" s="1"/>
  <c r="J666" i="42" s="1"/>
  <c r="K667" i="42" s="1"/>
  <c r="L668" i="42" s="1"/>
  <c r="M669" i="42" s="1"/>
  <c r="N670" i="42" s="1"/>
  <c r="C656" i="42"/>
  <c r="D657" i="42" s="1"/>
  <c r="E658" i="42" s="1"/>
  <c r="F659" i="42" s="1"/>
  <c r="G660" i="42" s="1"/>
  <c r="H661" i="42" s="1"/>
  <c r="I662" i="42" s="1"/>
  <c r="J663" i="42" s="1"/>
  <c r="K664" i="42" s="1"/>
  <c r="L665" i="42" s="1"/>
  <c r="M666" i="42" s="1"/>
  <c r="N667" i="42" s="1"/>
  <c r="C655" i="42"/>
  <c r="D656" i="42" s="1"/>
  <c r="E657" i="42" s="1"/>
  <c r="F658" i="42" s="1"/>
  <c r="G659" i="42" s="1"/>
  <c r="H660" i="42" s="1"/>
  <c r="I661" i="42" s="1"/>
  <c r="J662" i="42" s="1"/>
  <c r="K663" i="42" s="1"/>
  <c r="L664" i="42" s="1"/>
  <c r="M665" i="42" s="1"/>
  <c r="N666" i="42" s="1"/>
  <c r="C651" i="42"/>
  <c r="D652" i="42" s="1"/>
  <c r="E653" i="42" s="1"/>
  <c r="F654" i="42" s="1"/>
  <c r="G655" i="42" s="1"/>
  <c r="H656" i="42" s="1"/>
  <c r="I657" i="42" s="1"/>
  <c r="J658" i="42" s="1"/>
  <c r="K659" i="42" s="1"/>
  <c r="L660" i="42" s="1"/>
  <c r="M661" i="42" s="1"/>
  <c r="N662" i="42" s="1"/>
  <c r="C648" i="42"/>
  <c r="D649" i="42" s="1"/>
  <c r="E650" i="42" s="1"/>
  <c r="F651" i="42" s="1"/>
  <c r="G652" i="42" s="1"/>
  <c r="H653" i="42" s="1"/>
  <c r="I654" i="42" s="1"/>
  <c r="J655" i="42" s="1"/>
  <c r="K656" i="42" s="1"/>
  <c r="L657" i="42" s="1"/>
  <c r="M658" i="42" s="1"/>
  <c r="N659" i="42" s="1"/>
  <c r="C647" i="42"/>
  <c r="D648" i="42" s="1"/>
  <c r="E649" i="42" s="1"/>
  <c r="F650" i="42" s="1"/>
  <c r="G651" i="42" s="1"/>
  <c r="H652" i="42" s="1"/>
  <c r="I653" i="42" s="1"/>
  <c r="J654" i="42" s="1"/>
  <c r="K655" i="42" s="1"/>
  <c r="L656" i="42" s="1"/>
  <c r="M657" i="42" s="1"/>
  <c r="N658" i="42" s="1"/>
  <c r="C644" i="42"/>
  <c r="D645" i="42" s="1"/>
  <c r="E646" i="42" s="1"/>
  <c r="F647" i="42" s="1"/>
  <c r="G648" i="42" s="1"/>
  <c r="H649" i="42" s="1"/>
  <c r="I650" i="42" s="1"/>
  <c r="J651" i="42" s="1"/>
  <c r="K652" i="42" s="1"/>
  <c r="L653" i="42" s="1"/>
  <c r="M654" i="42" s="1"/>
  <c r="N655" i="42" s="1"/>
  <c r="C643" i="42"/>
  <c r="D644" i="42" s="1"/>
  <c r="E645" i="42" s="1"/>
  <c r="F646" i="42" s="1"/>
  <c r="G647" i="42" s="1"/>
  <c r="H648" i="42" s="1"/>
  <c r="I649" i="42" s="1"/>
  <c r="J650" i="42" s="1"/>
  <c r="K651" i="42" s="1"/>
  <c r="L652" i="42" s="1"/>
  <c r="M653" i="42" s="1"/>
  <c r="N654" i="42" s="1"/>
  <c r="C640" i="42"/>
  <c r="D641" i="42" s="1"/>
  <c r="E642" i="42" s="1"/>
  <c r="F643" i="42" s="1"/>
  <c r="G644" i="42" s="1"/>
  <c r="H645" i="42" s="1"/>
  <c r="I646" i="42" s="1"/>
  <c r="J647" i="42" s="1"/>
  <c r="K648" i="42" s="1"/>
  <c r="L649" i="42" s="1"/>
  <c r="M650" i="42" s="1"/>
  <c r="N651" i="42" s="1"/>
  <c r="C639" i="42"/>
  <c r="D640" i="42" s="1"/>
  <c r="E641" i="42" s="1"/>
  <c r="F642" i="42" s="1"/>
  <c r="G643" i="42" s="1"/>
  <c r="H644" i="42" s="1"/>
  <c r="I645" i="42" s="1"/>
  <c r="J646" i="42" s="1"/>
  <c r="K647" i="42" s="1"/>
  <c r="L648" i="42" s="1"/>
  <c r="M649" i="42" s="1"/>
  <c r="N650" i="42" s="1"/>
  <c r="C636" i="42"/>
  <c r="D637" i="42" s="1"/>
  <c r="E638" i="42" s="1"/>
  <c r="F639" i="42" s="1"/>
  <c r="G640" i="42" s="1"/>
  <c r="H641" i="42" s="1"/>
  <c r="I642" i="42" s="1"/>
  <c r="J643" i="42" s="1"/>
  <c r="K644" i="42" s="1"/>
  <c r="L645" i="42" s="1"/>
  <c r="M646" i="42" s="1"/>
  <c r="N647" i="42" s="1"/>
  <c r="C635" i="42"/>
  <c r="D636" i="42" s="1"/>
  <c r="E637" i="42" s="1"/>
  <c r="F638" i="42" s="1"/>
  <c r="G639" i="42" s="1"/>
  <c r="H640" i="42" s="1"/>
  <c r="I641" i="42" s="1"/>
  <c r="J642" i="42" s="1"/>
  <c r="K643" i="42" s="1"/>
  <c r="L644" i="42" s="1"/>
  <c r="M645" i="42" s="1"/>
  <c r="N646" i="42" s="1"/>
  <c r="C632" i="42"/>
  <c r="D633" i="42" s="1"/>
  <c r="E634" i="42" s="1"/>
  <c r="F635" i="42" s="1"/>
  <c r="G636" i="42" s="1"/>
  <c r="H637" i="42" s="1"/>
  <c r="I638" i="42" s="1"/>
  <c r="J639" i="42" s="1"/>
  <c r="K640" i="42" s="1"/>
  <c r="L641" i="42" s="1"/>
  <c r="M642" i="42" s="1"/>
  <c r="N643" i="42" s="1"/>
  <c r="C631" i="42"/>
  <c r="D632" i="42" s="1"/>
  <c r="E633" i="42" s="1"/>
  <c r="F634" i="42" s="1"/>
  <c r="G635" i="42" s="1"/>
  <c r="H636" i="42" s="1"/>
  <c r="I637" i="42" s="1"/>
  <c r="J638" i="42" s="1"/>
  <c r="K639" i="42" s="1"/>
  <c r="L640" i="42" s="1"/>
  <c r="M641" i="42" s="1"/>
  <c r="N642" i="42" s="1"/>
  <c r="C628" i="42"/>
  <c r="D629" i="42" s="1"/>
  <c r="E630" i="42" s="1"/>
  <c r="F631" i="42" s="1"/>
  <c r="G632" i="42" s="1"/>
  <c r="H633" i="42" s="1"/>
  <c r="I634" i="42" s="1"/>
  <c r="J635" i="42" s="1"/>
  <c r="K636" i="42" s="1"/>
  <c r="L637" i="42" s="1"/>
  <c r="M638" i="42" s="1"/>
  <c r="N639" i="42" s="1"/>
  <c r="C627" i="42"/>
  <c r="D628" i="42" s="1"/>
  <c r="E629" i="42" s="1"/>
  <c r="F630" i="42" s="1"/>
  <c r="G631" i="42" s="1"/>
  <c r="H632" i="42" s="1"/>
  <c r="I633" i="42" s="1"/>
  <c r="J634" i="42" s="1"/>
  <c r="K635" i="42" s="1"/>
  <c r="L636" i="42" s="1"/>
  <c r="M637" i="42" s="1"/>
  <c r="N638" i="42" s="1"/>
  <c r="C624" i="42"/>
  <c r="D625" i="42" s="1"/>
  <c r="E626" i="42" s="1"/>
  <c r="F627" i="42" s="1"/>
  <c r="G628" i="42" s="1"/>
  <c r="H629" i="42" s="1"/>
  <c r="I630" i="42" s="1"/>
  <c r="J631" i="42" s="1"/>
  <c r="K632" i="42" s="1"/>
  <c r="L633" i="42" s="1"/>
  <c r="M634" i="42" s="1"/>
  <c r="N635" i="42" s="1"/>
  <c r="C623" i="42"/>
  <c r="D624" i="42" s="1"/>
  <c r="E625" i="42" s="1"/>
  <c r="F626" i="42" s="1"/>
  <c r="G627" i="42" s="1"/>
  <c r="H628" i="42" s="1"/>
  <c r="I629" i="42" s="1"/>
  <c r="J630" i="42" s="1"/>
  <c r="K631" i="42" s="1"/>
  <c r="L632" i="42" s="1"/>
  <c r="M633" i="42" s="1"/>
  <c r="N634" i="42" s="1"/>
  <c r="C620" i="42"/>
  <c r="D621" i="42" s="1"/>
  <c r="E622" i="42" s="1"/>
  <c r="F623" i="42" s="1"/>
  <c r="G624" i="42" s="1"/>
  <c r="H625" i="42" s="1"/>
  <c r="I626" i="42" s="1"/>
  <c r="J627" i="42" s="1"/>
  <c r="K628" i="42" s="1"/>
  <c r="L629" i="42" s="1"/>
  <c r="M630" i="42" s="1"/>
  <c r="N631" i="42" s="1"/>
  <c r="C619" i="42"/>
  <c r="D620" i="42" s="1"/>
  <c r="E621" i="42" s="1"/>
  <c r="F622" i="42" s="1"/>
  <c r="G623" i="42" s="1"/>
  <c r="H624" i="42" s="1"/>
  <c r="I625" i="42" s="1"/>
  <c r="J626" i="42" s="1"/>
  <c r="K627" i="42" s="1"/>
  <c r="L628" i="42" s="1"/>
  <c r="M629" i="42" s="1"/>
  <c r="N630" i="42" s="1"/>
  <c r="C616" i="42"/>
  <c r="D617" i="42" s="1"/>
  <c r="E618" i="42" s="1"/>
  <c r="F619" i="42" s="1"/>
  <c r="G620" i="42" s="1"/>
  <c r="H621" i="42" s="1"/>
  <c r="I622" i="42" s="1"/>
  <c r="J623" i="42" s="1"/>
  <c r="K624" i="42" s="1"/>
  <c r="L625" i="42" s="1"/>
  <c r="M626" i="42" s="1"/>
  <c r="N627" i="42" s="1"/>
  <c r="C615" i="42"/>
  <c r="D616" i="42" s="1"/>
  <c r="E617" i="42" s="1"/>
  <c r="F618" i="42" s="1"/>
  <c r="G619" i="42" s="1"/>
  <c r="H620" i="42" s="1"/>
  <c r="I621" i="42" s="1"/>
  <c r="J622" i="42" s="1"/>
  <c r="K623" i="42" s="1"/>
  <c r="L624" i="42" s="1"/>
  <c r="M625" i="42" s="1"/>
  <c r="N626" i="42" s="1"/>
  <c r="C612" i="42"/>
  <c r="D613" i="42" s="1"/>
  <c r="E614" i="42" s="1"/>
  <c r="F615" i="42" s="1"/>
  <c r="G616" i="42" s="1"/>
  <c r="H617" i="42" s="1"/>
  <c r="I618" i="42" s="1"/>
  <c r="J619" i="42" s="1"/>
  <c r="K620" i="42" s="1"/>
  <c r="L621" i="42" s="1"/>
  <c r="M622" i="42" s="1"/>
  <c r="N623" i="42" s="1"/>
  <c r="C611" i="42"/>
  <c r="D612" i="42" s="1"/>
  <c r="E613" i="42" s="1"/>
  <c r="F614" i="42" s="1"/>
  <c r="G615" i="42" s="1"/>
  <c r="H616" i="42" s="1"/>
  <c r="I617" i="42" s="1"/>
  <c r="J618" i="42" s="1"/>
  <c r="K619" i="42" s="1"/>
  <c r="L620" i="42" s="1"/>
  <c r="M621" i="42" s="1"/>
  <c r="N622" i="42" s="1"/>
  <c r="C608" i="42"/>
  <c r="D609" i="42" s="1"/>
  <c r="E610" i="42" s="1"/>
  <c r="F611" i="42" s="1"/>
  <c r="G612" i="42" s="1"/>
  <c r="H613" i="42" s="1"/>
  <c r="I614" i="42" s="1"/>
  <c r="J615" i="42" s="1"/>
  <c r="K616" i="42" s="1"/>
  <c r="L617" i="42" s="1"/>
  <c r="M618" i="42" s="1"/>
  <c r="N619" i="42" s="1"/>
  <c r="C607" i="42"/>
  <c r="D608" i="42" s="1"/>
  <c r="E609" i="42" s="1"/>
  <c r="F610" i="42" s="1"/>
  <c r="G611" i="42" s="1"/>
  <c r="H612" i="42" s="1"/>
  <c r="I613" i="42" s="1"/>
  <c r="J614" i="42" s="1"/>
  <c r="K615" i="42" s="1"/>
  <c r="L616" i="42" s="1"/>
  <c r="M617" i="42" s="1"/>
  <c r="N618" i="42" s="1"/>
  <c r="C604" i="42"/>
  <c r="D605" i="42" s="1"/>
  <c r="E606" i="42" s="1"/>
  <c r="F607" i="42" s="1"/>
  <c r="G608" i="42" s="1"/>
  <c r="H609" i="42" s="1"/>
  <c r="I610" i="42" s="1"/>
  <c r="J611" i="42" s="1"/>
  <c r="K612" i="42" s="1"/>
  <c r="L613" i="42" s="1"/>
  <c r="M614" i="42" s="1"/>
  <c r="N615" i="42" s="1"/>
  <c r="C603" i="42"/>
  <c r="D604" i="42" s="1"/>
  <c r="E605" i="42" s="1"/>
  <c r="F606" i="42" s="1"/>
  <c r="G607" i="42" s="1"/>
  <c r="H608" i="42" s="1"/>
  <c r="I609" i="42" s="1"/>
  <c r="J610" i="42" s="1"/>
  <c r="K611" i="42" s="1"/>
  <c r="L612" i="42" s="1"/>
  <c r="M613" i="42" s="1"/>
  <c r="N614" i="42" s="1"/>
  <c r="C600" i="42"/>
  <c r="D601" i="42" s="1"/>
  <c r="E602" i="42" s="1"/>
  <c r="F603" i="42" s="1"/>
  <c r="G604" i="42" s="1"/>
  <c r="H605" i="42" s="1"/>
  <c r="I606" i="42" s="1"/>
  <c r="J607" i="42" s="1"/>
  <c r="K608" i="42" s="1"/>
  <c r="L609" i="42" s="1"/>
  <c r="M610" i="42" s="1"/>
  <c r="N611" i="42" s="1"/>
  <c r="C599" i="42"/>
  <c r="D600" i="42" s="1"/>
  <c r="E601" i="42" s="1"/>
  <c r="F602" i="42" s="1"/>
  <c r="G603" i="42" s="1"/>
  <c r="H604" i="42" s="1"/>
  <c r="I605" i="42" s="1"/>
  <c r="J606" i="42" s="1"/>
  <c r="K607" i="42" s="1"/>
  <c r="L608" i="42" s="1"/>
  <c r="M609" i="42" s="1"/>
  <c r="N610" i="42" s="1"/>
  <c r="C596" i="42"/>
  <c r="D597" i="42" s="1"/>
  <c r="E598" i="42" s="1"/>
  <c r="F599" i="42" s="1"/>
  <c r="G600" i="42" s="1"/>
  <c r="H601" i="42" s="1"/>
  <c r="I602" i="42" s="1"/>
  <c r="J603" i="42" s="1"/>
  <c r="K604" i="42" s="1"/>
  <c r="L605" i="42" s="1"/>
  <c r="M606" i="42" s="1"/>
  <c r="N607" i="42" s="1"/>
  <c r="C595" i="42"/>
  <c r="D596" i="42" s="1"/>
  <c r="E597" i="42" s="1"/>
  <c r="F598" i="42" s="1"/>
  <c r="G599" i="42" s="1"/>
  <c r="H600" i="42" s="1"/>
  <c r="I601" i="42" s="1"/>
  <c r="J602" i="42" s="1"/>
  <c r="K603" i="42" s="1"/>
  <c r="L604" i="42" s="1"/>
  <c r="M605" i="42" s="1"/>
  <c r="N606" i="42" s="1"/>
  <c r="C591" i="42"/>
  <c r="D592" i="42" s="1"/>
  <c r="E593" i="42" s="1"/>
  <c r="F594" i="42" s="1"/>
  <c r="G595" i="42" s="1"/>
  <c r="H596" i="42" s="1"/>
  <c r="I597" i="42" s="1"/>
  <c r="J598" i="42" s="1"/>
  <c r="K599" i="42" s="1"/>
  <c r="L600" i="42" s="1"/>
  <c r="M601" i="42" s="1"/>
  <c r="N602" i="42" s="1"/>
  <c r="C588" i="42"/>
  <c r="D589" i="42" s="1"/>
  <c r="E590" i="42" s="1"/>
  <c r="F591" i="42" s="1"/>
  <c r="G592" i="42" s="1"/>
  <c r="H593" i="42" s="1"/>
  <c r="I594" i="42" s="1"/>
  <c r="J595" i="42" s="1"/>
  <c r="K596" i="42" s="1"/>
  <c r="L597" i="42" s="1"/>
  <c r="M598" i="42" s="1"/>
  <c r="N599" i="42" s="1"/>
  <c r="C587" i="42"/>
  <c r="D588" i="42" s="1"/>
  <c r="E589" i="42" s="1"/>
  <c r="F590" i="42" s="1"/>
  <c r="G591" i="42" s="1"/>
  <c r="H592" i="42" s="1"/>
  <c r="I593" i="42" s="1"/>
  <c r="J594" i="42" s="1"/>
  <c r="K595" i="42" s="1"/>
  <c r="L596" i="42" s="1"/>
  <c r="M597" i="42" s="1"/>
  <c r="N598" i="42" s="1"/>
  <c r="C584" i="42"/>
  <c r="D585" i="42" s="1"/>
  <c r="E586" i="42" s="1"/>
  <c r="F587" i="42" s="1"/>
  <c r="G588" i="42" s="1"/>
  <c r="H589" i="42" s="1"/>
  <c r="I590" i="42" s="1"/>
  <c r="J591" i="42" s="1"/>
  <c r="K592" i="42" s="1"/>
  <c r="L593" i="42" s="1"/>
  <c r="M594" i="42" s="1"/>
  <c r="N595" i="42" s="1"/>
  <c r="C583" i="42"/>
  <c r="D584" i="42" s="1"/>
  <c r="E585" i="42" s="1"/>
  <c r="F586" i="42" s="1"/>
  <c r="G587" i="42" s="1"/>
  <c r="H588" i="42" s="1"/>
  <c r="I589" i="42" s="1"/>
  <c r="J590" i="42" s="1"/>
  <c r="K591" i="42" s="1"/>
  <c r="L592" i="42" s="1"/>
  <c r="M593" i="42" s="1"/>
  <c r="N594" i="42" s="1"/>
  <c r="C580" i="42"/>
  <c r="D581" i="42" s="1"/>
  <c r="E582" i="42" s="1"/>
  <c r="F583" i="42" s="1"/>
  <c r="G584" i="42" s="1"/>
  <c r="H585" i="42" s="1"/>
  <c r="I586" i="42" s="1"/>
  <c r="J587" i="42" s="1"/>
  <c r="K588" i="42" s="1"/>
  <c r="L589" i="42" s="1"/>
  <c r="M590" i="42" s="1"/>
  <c r="N591" i="42" s="1"/>
  <c r="C579" i="42"/>
  <c r="D580" i="42" s="1"/>
  <c r="E581" i="42" s="1"/>
  <c r="F582" i="42" s="1"/>
  <c r="G583" i="42" s="1"/>
  <c r="H584" i="42" s="1"/>
  <c r="I585" i="42" s="1"/>
  <c r="J586" i="42" s="1"/>
  <c r="K587" i="42" s="1"/>
  <c r="L588" i="42" s="1"/>
  <c r="M589" i="42" s="1"/>
  <c r="N590" i="42" s="1"/>
  <c r="C576" i="42"/>
  <c r="D577" i="42" s="1"/>
  <c r="E578" i="42" s="1"/>
  <c r="F579" i="42" s="1"/>
  <c r="G580" i="42" s="1"/>
  <c r="H581" i="42" s="1"/>
  <c r="I582" i="42" s="1"/>
  <c r="J583" i="42" s="1"/>
  <c r="K584" i="42" s="1"/>
  <c r="L585" i="42" s="1"/>
  <c r="M586" i="42" s="1"/>
  <c r="N587" i="42" s="1"/>
  <c r="C575" i="42"/>
  <c r="D576" i="42" s="1"/>
  <c r="E577" i="42" s="1"/>
  <c r="F578" i="42" s="1"/>
  <c r="G579" i="42" s="1"/>
  <c r="H580" i="42" s="1"/>
  <c r="I581" i="42" s="1"/>
  <c r="J582" i="42" s="1"/>
  <c r="K583" i="42" s="1"/>
  <c r="L584" i="42" s="1"/>
  <c r="M585" i="42" s="1"/>
  <c r="N586" i="42" s="1"/>
  <c r="C572" i="42"/>
  <c r="D573" i="42" s="1"/>
  <c r="E574" i="42" s="1"/>
  <c r="F575" i="42" s="1"/>
  <c r="G576" i="42" s="1"/>
  <c r="H577" i="42" s="1"/>
  <c r="I578" i="42" s="1"/>
  <c r="J579" i="42" s="1"/>
  <c r="K580" i="42" s="1"/>
  <c r="L581" i="42" s="1"/>
  <c r="M582" i="42" s="1"/>
  <c r="N583" i="42" s="1"/>
  <c r="C571" i="42"/>
  <c r="D572" i="42" s="1"/>
  <c r="E573" i="42" s="1"/>
  <c r="F574" i="42" s="1"/>
  <c r="G575" i="42" s="1"/>
  <c r="H576" i="42" s="1"/>
  <c r="I577" i="42" s="1"/>
  <c r="J578" i="42" s="1"/>
  <c r="K579" i="42" s="1"/>
  <c r="L580" i="42" s="1"/>
  <c r="M581" i="42" s="1"/>
  <c r="N582" i="42" s="1"/>
  <c r="C568" i="42"/>
  <c r="D569" i="42" s="1"/>
  <c r="E570" i="42" s="1"/>
  <c r="F571" i="42" s="1"/>
  <c r="G572" i="42" s="1"/>
  <c r="H573" i="42" s="1"/>
  <c r="I574" i="42" s="1"/>
  <c r="J575" i="42" s="1"/>
  <c r="K576" i="42" s="1"/>
  <c r="L577" i="42" s="1"/>
  <c r="M578" i="42" s="1"/>
  <c r="N579" i="42" s="1"/>
  <c r="C564" i="42"/>
  <c r="D565" i="42" s="1"/>
  <c r="E566" i="42" s="1"/>
  <c r="F567" i="42" s="1"/>
  <c r="G568" i="42" s="1"/>
  <c r="H569" i="42" s="1"/>
  <c r="I570" i="42" s="1"/>
  <c r="J571" i="42" s="1"/>
  <c r="K572" i="42" s="1"/>
  <c r="L573" i="42" s="1"/>
  <c r="M574" i="42" s="1"/>
  <c r="N575" i="42" s="1"/>
  <c r="C563" i="42"/>
  <c r="D564" i="42" s="1"/>
  <c r="E565" i="42" s="1"/>
  <c r="F566" i="42" s="1"/>
  <c r="G567" i="42" s="1"/>
  <c r="H568" i="42" s="1"/>
  <c r="I569" i="42" s="1"/>
  <c r="J570" i="42" s="1"/>
  <c r="K571" i="42" s="1"/>
  <c r="L572" i="42" s="1"/>
  <c r="M573" i="42" s="1"/>
  <c r="N574" i="42" s="1"/>
  <c r="C560" i="42"/>
  <c r="D561" i="42" s="1"/>
  <c r="E562" i="42" s="1"/>
  <c r="F563" i="42" s="1"/>
  <c r="G564" i="42" s="1"/>
  <c r="H565" i="42" s="1"/>
  <c r="I566" i="42" s="1"/>
  <c r="J567" i="42" s="1"/>
  <c r="K568" i="42" s="1"/>
  <c r="L569" i="42" s="1"/>
  <c r="M570" i="42" s="1"/>
  <c r="N571" i="42" s="1"/>
  <c r="C559" i="42"/>
  <c r="D560" i="42" s="1"/>
  <c r="E561" i="42" s="1"/>
  <c r="F562" i="42" s="1"/>
  <c r="G563" i="42" s="1"/>
  <c r="H564" i="42" s="1"/>
  <c r="I565" i="42" s="1"/>
  <c r="J566" i="42" s="1"/>
  <c r="K567" i="42" s="1"/>
  <c r="L568" i="42" s="1"/>
  <c r="M569" i="42" s="1"/>
  <c r="N570" i="42" s="1"/>
  <c r="C555" i="42"/>
  <c r="D556" i="42" s="1"/>
  <c r="E557" i="42" s="1"/>
  <c r="F558" i="42" s="1"/>
  <c r="G559" i="42" s="1"/>
  <c r="H560" i="42" s="1"/>
  <c r="I561" i="42" s="1"/>
  <c r="J562" i="42" s="1"/>
  <c r="K563" i="42" s="1"/>
  <c r="L564" i="42" s="1"/>
  <c r="M565" i="42" s="1"/>
  <c r="N566" i="42" s="1"/>
  <c r="C552" i="42"/>
  <c r="D553" i="42" s="1"/>
  <c r="E554" i="42" s="1"/>
  <c r="F555" i="42" s="1"/>
  <c r="G556" i="42" s="1"/>
  <c r="H557" i="42" s="1"/>
  <c r="I558" i="42" s="1"/>
  <c r="J559" i="42" s="1"/>
  <c r="K560" i="42" s="1"/>
  <c r="L561" i="42" s="1"/>
  <c r="M562" i="42" s="1"/>
  <c r="N563" i="42" s="1"/>
  <c r="C551" i="42"/>
  <c r="D552" i="42" s="1"/>
  <c r="E553" i="42" s="1"/>
  <c r="F554" i="42" s="1"/>
  <c r="G555" i="42" s="1"/>
  <c r="H556" i="42" s="1"/>
  <c r="I557" i="42" s="1"/>
  <c r="J558" i="42" s="1"/>
  <c r="K559" i="42" s="1"/>
  <c r="L560" i="42" s="1"/>
  <c r="M561" i="42" s="1"/>
  <c r="N562" i="42" s="1"/>
  <c r="C548" i="42"/>
  <c r="D549" i="42" s="1"/>
  <c r="E550" i="42" s="1"/>
  <c r="F551" i="42" s="1"/>
  <c r="G552" i="42" s="1"/>
  <c r="H553" i="42" s="1"/>
  <c r="I554" i="42" s="1"/>
  <c r="J555" i="42" s="1"/>
  <c r="K556" i="42" s="1"/>
  <c r="L557" i="42" s="1"/>
  <c r="M558" i="42" s="1"/>
  <c r="N559" i="42" s="1"/>
  <c r="C547" i="42"/>
  <c r="D548" i="42" s="1"/>
  <c r="E549" i="42" s="1"/>
  <c r="F550" i="42" s="1"/>
  <c r="G551" i="42" s="1"/>
  <c r="H552" i="42" s="1"/>
  <c r="I553" i="42" s="1"/>
  <c r="J554" i="42" s="1"/>
  <c r="K555" i="42" s="1"/>
  <c r="L556" i="42" s="1"/>
  <c r="M557" i="42" s="1"/>
  <c r="N558" i="42" s="1"/>
  <c r="C544" i="42"/>
  <c r="D545" i="42" s="1"/>
  <c r="E546" i="42" s="1"/>
  <c r="F547" i="42" s="1"/>
  <c r="G548" i="42" s="1"/>
  <c r="H549" i="42" s="1"/>
  <c r="I550" i="42" s="1"/>
  <c r="J551" i="42" s="1"/>
  <c r="K552" i="42" s="1"/>
  <c r="L553" i="42" s="1"/>
  <c r="M554" i="42" s="1"/>
  <c r="N555" i="42" s="1"/>
  <c r="C543" i="42"/>
  <c r="D544" i="42" s="1"/>
  <c r="E545" i="42" s="1"/>
  <c r="F546" i="42" s="1"/>
  <c r="G547" i="42" s="1"/>
  <c r="H548" i="42" s="1"/>
  <c r="I549" i="42" s="1"/>
  <c r="J550" i="42" s="1"/>
  <c r="K551" i="42" s="1"/>
  <c r="L552" i="42" s="1"/>
  <c r="M553" i="42" s="1"/>
  <c r="N554" i="42" s="1"/>
  <c r="C540" i="42"/>
  <c r="D541" i="42" s="1"/>
  <c r="E542" i="42" s="1"/>
  <c r="F543" i="42" s="1"/>
  <c r="G544" i="42" s="1"/>
  <c r="H545" i="42" s="1"/>
  <c r="I546" i="42" s="1"/>
  <c r="J547" i="42" s="1"/>
  <c r="K548" i="42" s="1"/>
  <c r="L549" i="42" s="1"/>
  <c r="M550" i="42" s="1"/>
  <c r="N551" i="42" s="1"/>
  <c r="C539" i="42"/>
  <c r="D540" i="42" s="1"/>
  <c r="E541" i="42" s="1"/>
  <c r="F542" i="42" s="1"/>
  <c r="G543" i="42" s="1"/>
  <c r="H544" i="42" s="1"/>
  <c r="I545" i="42" s="1"/>
  <c r="J546" i="42" s="1"/>
  <c r="K547" i="42" s="1"/>
  <c r="L548" i="42" s="1"/>
  <c r="M549" i="42" s="1"/>
  <c r="N550" i="42" s="1"/>
  <c r="C536" i="42"/>
  <c r="D537" i="42" s="1"/>
  <c r="E538" i="42" s="1"/>
  <c r="F539" i="42" s="1"/>
  <c r="G540" i="42" s="1"/>
  <c r="H541" i="42" s="1"/>
  <c r="I542" i="42" s="1"/>
  <c r="J543" i="42" s="1"/>
  <c r="K544" i="42" s="1"/>
  <c r="L545" i="42" s="1"/>
  <c r="M546" i="42" s="1"/>
  <c r="N547" i="42" s="1"/>
  <c r="C535" i="42"/>
  <c r="D536" i="42" s="1"/>
  <c r="E537" i="42" s="1"/>
  <c r="F538" i="42" s="1"/>
  <c r="G539" i="42" s="1"/>
  <c r="H540" i="42" s="1"/>
  <c r="I541" i="42" s="1"/>
  <c r="J542" i="42" s="1"/>
  <c r="K543" i="42" s="1"/>
  <c r="L544" i="42" s="1"/>
  <c r="M545" i="42" s="1"/>
  <c r="N546" i="42" s="1"/>
  <c r="C532" i="42"/>
  <c r="D533" i="42" s="1"/>
  <c r="E534" i="42" s="1"/>
  <c r="F535" i="42" s="1"/>
  <c r="G536" i="42" s="1"/>
  <c r="H537" i="42" s="1"/>
  <c r="I538" i="42" s="1"/>
  <c r="J539" i="42" s="1"/>
  <c r="K540" i="42" s="1"/>
  <c r="L541" i="42" s="1"/>
  <c r="M542" i="42" s="1"/>
  <c r="N543" i="42" s="1"/>
  <c r="C531" i="42"/>
  <c r="D532" i="42" s="1"/>
  <c r="E533" i="42" s="1"/>
  <c r="F534" i="42" s="1"/>
  <c r="G535" i="42" s="1"/>
  <c r="H536" i="42" s="1"/>
  <c r="I537" i="42" s="1"/>
  <c r="J538" i="42" s="1"/>
  <c r="K539" i="42" s="1"/>
  <c r="L540" i="42" s="1"/>
  <c r="M541" i="42" s="1"/>
  <c r="N542" i="42" s="1"/>
  <c r="C528" i="42"/>
  <c r="D529" i="42" s="1"/>
  <c r="E530" i="42" s="1"/>
  <c r="F531" i="42" s="1"/>
  <c r="G532" i="42" s="1"/>
  <c r="H533" i="42" s="1"/>
  <c r="I534" i="42" s="1"/>
  <c r="J535" i="42" s="1"/>
  <c r="K536" i="42" s="1"/>
  <c r="L537" i="42" s="1"/>
  <c r="M538" i="42" s="1"/>
  <c r="N539" i="42" s="1"/>
  <c r="C527" i="42"/>
  <c r="D528" i="42" s="1"/>
  <c r="E529" i="42" s="1"/>
  <c r="F530" i="42" s="1"/>
  <c r="G531" i="42" s="1"/>
  <c r="H532" i="42" s="1"/>
  <c r="I533" i="42" s="1"/>
  <c r="J534" i="42" s="1"/>
  <c r="K535" i="42" s="1"/>
  <c r="L536" i="42" s="1"/>
  <c r="M537" i="42" s="1"/>
  <c r="N538" i="42" s="1"/>
  <c r="C524" i="42"/>
  <c r="D525" i="42" s="1"/>
  <c r="E526" i="42" s="1"/>
  <c r="F527" i="42" s="1"/>
  <c r="G528" i="42" s="1"/>
  <c r="H529" i="42" s="1"/>
  <c r="I530" i="42" s="1"/>
  <c r="J531" i="42" s="1"/>
  <c r="K532" i="42" s="1"/>
  <c r="L533" i="42" s="1"/>
  <c r="M534" i="42" s="1"/>
  <c r="N535" i="42" s="1"/>
  <c r="C523" i="42"/>
  <c r="D524" i="42" s="1"/>
  <c r="E525" i="42" s="1"/>
  <c r="F526" i="42" s="1"/>
  <c r="G527" i="42" s="1"/>
  <c r="H528" i="42" s="1"/>
  <c r="I529" i="42" s="1"/>
  <c r="J530" i="42" s="1"/>
  <c r="K531" i="42" s="1"/>
  <c r="L532" i="42" s="1"/>
  <c r="M533" i="42" s="1"/>
  <c r="N534" i="42" s="1"/>
  <c r="C520" i="42"/>
  <c r="D521" i="42" s="1"/>
  <c r="E522" i="42" s="1"/>
  <c r="F523" i="42" s="1"/>
  <c r="G524" i="42" s="1"/>
  <c r="H525" i="42" s="1"/>
  <c r="I526" i="42" s="1"/>
  <c r="J527" i="42" s="1"/>
  <c r="K528" i="42" s="1"/>
  <c r="L529" i="42" s="1"/>
  <c r="M530" i="42" s="1"/>
  <c r="N531" i="42" s="1"/>
  <c r="C519" i="42"/>
  <c r="D520" i="42" s="1"/>
  <c r="E521" i="42" s="1"/>
  <c r="F522" i="42" s="1"/>
  <c r="G523" i="42" s="1"/>
  <c r="H524" i="42" s="1"/>
  <c r="I525" i="42" s="1"/>
  <c r="J526" i="42" s="1"/>
  <c r="K527" i="42" s="1"/>
  <c r="L528" i="42" s="1"/>
  <c r="M529" i="42" s="1"/>
  <c r="N530" i="42" s="1"/>
  <c r="C516" i="42"/>
  <c r="D517" i="42" s="1"/>
  <c r="E518" i="42" s="1"/>
  <c r="F519" i="42" s="1"/>
  <c r="G520" i="42" s="1"/>
  <c r="H521" i="42" s="1"/>
  <c r="I522" i="42" s="1"/>
  <c r="J523" i="42" s="1"/>
  <c r="K524" i="42" s="1"/>
  <c r="L525" i="42" s="1"/>
  <c r="M526" i="42" s="1"/>
  <c r="N527" i="42" s="1"/>
  <c r="C515" i="42"/>
  <c r="D516" i="42" s="1"/>
  <c r="E517" i="42" s="1"/>
  <c r="F518" i="42" s="1"/>
  <c r="G519" i="42" s="1"/>
  <c r="H520" i="42" s="1"/>
  <c r="I521" i="42" s="1"/>
  <c r="J522" i="42" s="1"/>
  <c r="K523" i="42" s="1"/>
  <c r="L524" i="42" s="1"/>
  <c r="M525" i="42" s="1"/>
  <c r="N526" i="42" s="1"/>
  <c r="C512" i="42"/>
  <c r="D513" i="42" s="1"/>
  <c r="E514" i="42" s="1"/>
  <c r="F515" i="42" s="1"/>
  <c r="G516" i="42" s="1"/>
  <c r="H517" i="42" s="1"/>
  <c r="I518" i="42" s="1"/>
  <c r="J519" i="42" s="1"/>
  <c r="K520" i="42" s="1"/>
  <c r="L521" i="42" s="1"/>
  <c r="M522" i="42" s="1"/>
  <c r="N523" i="42" s="1"/>
  <c r="C511" i="42"/>
  <c r="D512" i="42" s="1"/>
  <c r="E513" i="42" s="1"/>
  <c r="F514" i="42" s="1"/>
  <c r="G515" i="42" s="1"/>
  <c r="H516" i="42" s="1"/>
  <c r="I517" i="42" s="1"/>
  <c r="J518" i="42" s="1"/>
  <c r="K519" i="42" s="1"/>
  <c r="L520" i="42" s="1"/>
  <c r="M521" i="42" s="1"/>
  <c r="N522" i="42" s="1"/>
  <c r="C508" i="42"/>
  <c r="D509" i="42" s="1"/>
  <c r="E510" i="42" s="1"/>
  <c r="F511" i="42" s="1"/>
  <c r="G512" i="42" s="1"/>
  <c r="H513" i="42" s="1"/>
  <c r="I514" i="42" s="1"/>
  <c r="J515" i="42" s="1"/>
  <c r="K516" i="42" s="1"/>
  <c r="L517" i="42" s="1"/>
  <c r="M518" i="42" s="1"/>
  <c r="N519" i="42" s="1"/>
  <c r="C507" i="42"/>
  <c r="D508" i="42" s="1"/>
  <c r="E509" i="42" s="1"/>
  <c r="F510" i="42" s="1"/>
  <c r="G511" i="42" s="1"/>
  <c r="H512" i="42" s="1"/>
  <c r="I513" i="42" s="1"/>
  <c r="J514" i="42" s="1"/>
  <c r="K515" i="42" s="1"/>
  <c r="L516" i="42" s="1"/>
  <c r="M517" i="42" s="1"/>
  <c r="N518" i="42" s="1"/>
  <c r="C504" i="42"/>
  <c r="D505" i="42" s="1"/>
  <c r="E506" i="42" s="1"/>
  <c r="F507" i="42" s="1"/>
  <c r="G508" i="42" s="1"/>
  <c r="H509" i="42" s="1"/>
  <c r="I510" i="42" s="1"/>
  <c r="J511" i="42" s="1"/>
  <c r="K512" i="42" s="1"/>
  <c r="L513" i="42" s="1"/>
  <c r="M514" i="42" s="1"/>
  <c r="N515" i="42" s="1"/>
  <c r="C503" i="42"/>
  <c r="D504" i="42" s="1"/>
  <c r="E505" i="42" s="1"/>
  <c r="F506" i="42" s="1"/>
  <c r="G507" i="42" s="1"/>
  <c r="H508" i="42" s="1"/>
  <c r="I509" i="42" s="1"/>
  <c r="J510" i="42" s="1"/>
  <c r="K511" i="42" s="1"/>
  <c r="L512" i="42" s="1"/>
  <c r="M513" i="42" s="1"/>
  <c r="N514" i="42" s="1"/>
  <c r="C500" i="42"/>
  <c r="D501" i="42" s="1"/>
  <c r="E502" i="42" s="1"/>
  <c r="F503" i="42" s="1"/>
  <c r="G504" i="42" s="1"/>
  <c r="H505" i="42" s="1"/>
  <c r="I506" i="42" s="1"/>
  <c r="J507" i="42" s="1"/>
  <c r="K508" i="42" s="1"/>
  <c r="L509" i="42" s="1"/>
  <c r="M510" i="42" s="1"/>
  <c r="N511" i="42" s="1"/>
  <c r="C499" i="42"/>
  <c r="D500" i="42" s="1"/>
  <c r="E501" i="42" s="1"/>
  <c r="F502" i="42" s="1"/>
  <c r="G503" i="42" s="1"/>
  <c r="H504" i="42" s="1"/>
  <c r="I505" i="42" s="1"/>
  <c r="J506" i="42" s="1"/>
  <c r="K507" i="42" s="1"/>
  <c r="L508" i="42" s="1"/>
  <c r="M509" i="42" s="1"/>
  <c r="N510" i="42" s="1"/>
  <c r="C496" i="42"/>
  <c r="D497" i="42" s="1"/>
  <c r="E498" i="42" s="1"/>
  <c r="F499" i="42" s="1"/>
  <c r="G500" i="42" s="1"/>
  <c r="H501" i="42" s="1"/>
  <c r="I502" i="42" s="1"/>
  <c r="J503" i="42" s="1"/>
  <c r="K504" i="42" s="1"/>
  <c r="L505" i="42" s="1"/>
  <c r="M506" i="42" s="1"/>
  <c r="N507" i="42" s="1"/>
  <c r="C495" i="42"/>
  <c r="D496" i="42" s="1"/>
  <c r="E497" i="42" s="1"/>
  <c r="F498" i="42" s="1"/>
  <c r="G499" i="42" s="1"/>
  <c r="H500" i="42" s="1"/>
  <c r="I501" i="42" s="1"/>
  <c r="J502" i="42" s="1"/>
  <c r="K503" i="42" s="1"/>
  <c r="L504" i="42" s="1"/>
  <c r="M505" i="42" s="1"/>
  <c r="N506" i="42" s="1"/>
  <c r="C491" i="42"/>
  <c r="D492" i="42" s="1"/>
  <c r="E493" i="42" s="1"/>
  <c r="F494" i="42" s="1"/>
  <c r="G495" i="42" s="1"/>
  <c r="H496" i="42" s="1"/>
  <c r="I497" i="42" s="1"/>
  <c r="J498" i="42" s="1"/>
  <c r="K499" i="42" s="1"/>
  <c r="L500" i="42" s="1"/>
  <c r="M501" i="42" s="1"/>
  <c r="N502" i="42" s="1"/>
  <c r="C488" i="42"/>
  <c r="D489" i="42" s="1"/>
  <c r="E490" i="42" s="1"/>
  <c r="F491" i="42" s="1"/>
  <c r="G492" i="42" s="1"/>
  <c r="H493" i="42" s="1"/>
  <c r="I494" i="42" s="1"/>
  <c r="J495" i="42" s="1"/>
  <c r="K496" i="42" s="1"/>
  <c r="L497" i="42" s="1"/>
  <c r="M498" i="42" s="1"/>
  <c r="N499" i="42" s="1"/>
  <c r="C487" i="42"/>
  <c r="D488" i="42" s="1"/>
  <c r="E489" i="42" s="1"/>
  <c r="F490" i="42" s="1"/>
  <c r="G491" i="42" s="1"/>
  <c r="H492" i="42" s="1"/>
  <c r="I493" i="42" s="1"/>
  <c r="J494" i="42" s="1"/>
  <c r="K495" i="42" s="1"/>
  <c r="L496" i="42" s="1"/>
  <c r="M497" i="42" s="1"/>
  <c r="N498" i="42" s="1"/>
  <c r="C483" i="42"/>
  <c r="D484" i="42" s="1"/>
  <c r="E485" i="42" s="1"/>
  <c r="F486" i="42" s="1"/>
  <c r="G487" i="42" s="1"/>
  <c r="H488" i="42" s="1"/>
  <c r="I489" i="42" s="1"/>
  <c r="J490" i="42" s="1"/>
  <c r="K491" i="42" s="1"/>
  <c r="L492" i="42" s="1"/>
  <c r="M493" i="42" s="1"/>
  <c r="N494" i="42" s="1"/>
  <c r="C480" i="42"/>
  <c r="D481" i="42" s="1"/>
  <c r="E482" i="42" s="1"/>
  <c r="F483" i="42" s="1"/>
  <c r="G484" i="42" s="1"/>
  <c r="H485" i="42" s="1"/>
  <c r="I486" i="42" s="1"/>
  <c r="J487" i="42" s="1"/>
  <c r="K488" i="42" s="1"/>
  <c r="L489" i="42" s="1"/>
  <c r="M490" i="42" s="1"/>
  <c r="N491" i="42" s="1"/>
  <c r="C479" i="42"/>
  <c r="D480" i="42" s="1"/>
  <c r="E481" i="42" s="1"/>
  <c r="F482" i="42" s="1"/>
  <c r="G483" i="42" s="1"/>
  <c r="H484" i="42" s="1"/>
  <c r="I485" i="42" s="1"/>
  <c r="J486" i="42" s="1"/>
  <c r="K487" i="42" s="1"/>
  <c r="L488" i="42" s="1"/>
  <c r="M489" i="42" s="1"/>
  <c r="N490" i="42" s="1"/>
  <c r="C476" i="42"/>
  <c r="D477" i="42" s="1"/>
  <c r="E478" i="42" s="1"/>
  <c r="F479" i="42" s="1"/>
  <c r="G480" i="42" s="1"/>
  <c r="H481" i="42" s="1"/>
  <c r="I482" i="42" s="1"/>
  <c r="J483" i="42" s="1"/>
  <c r="K484" i="42" s="1"/>
  <c r="L485" i="42" s="1"/>
  <c r="M486" i="42" s="1"/>
  <c r="N487" i="42" s="1"/>
  <c r="C475" i="42"/>
  <c r="D476" i="42" s="1"/>
  <c r="E477" i="42" s="1"/>
  <c r="F478" i="42" s="1"/>
  <c r="G479" i="42" s="1"/>
  <c r="H480" i="42" s="1"/>
  <c r="I481" i="42" s="1"/>
  <c r="J482" i="42" s="1"/>
  <c r="K483" i="42" s="1"/>
  <c r="L484" i="42" s="1"/>
  <c r="M485" i="42" s="1"/>
  <c r="N486" i="42" s="1"/>
  <c r="C472" i="42"/>
  <c r="D473" i="42" s="1"/>
  <c r="E474" i="42" s="1"/>
  <c r="F475" i="42" s="1"/>
  <c r="G476" i="42" s="1"/>
  <c r="H477" i="42" s="1"/>
  <c r="I478" i="42" s="1"/>
  <c r="J479" i="42" s="1"/>
  <c r="K480" i="42" s="1"/>
  <c r="L481" i="42" s="1"/>
  <c r="M482" i="42" s="1"/>
  <c r="N483" i="42" s="1"/>
  <c r="C471" i="42"/>
  <c r="D472" i="42" s="1"/>
  <c r="E473" i="42" s="1"/>
  <c r="F474" i="42" s="1"/>
  <c r="G475" i="42" s="1"/>
  <c r="H476" i="42" s="1"/>
  <c r="I477" i="42" s="1"/>
  <c r="J478" i="42" s="1"/>
  <c r="K479" i="42" s="1"/>
  <c r="L480" i="42" s="1"/>
  <c r="M481" i="42" s="1"/>
  <c r="N482" i="42" s="1"/>
  <c r="C468" i="42"/>
  <c r="D469" i="42" s="1"/>
  <c r="E470" i="42" s="1"/>
  <c r="F471" i="42" s="1"/>
  <c r="G472" i="42" s="1"/>
  <c r="H473" i="42" s="1"/>
  <c r="I474" i="42" s="1"/>
  <c r="J475" i="42" s="1"/>
  <c r="K476" i="42" s="1"/>
  <c r="L477" i="42" s="1"/>
  <c r="M478" i="42" s="1"/>
  <c r="N479" i="42" s="1"/>
  <c r="C467" i="42"/>
  <c r="D468" i="42" s="1"/>
  <c r="E469" i="42" s="1"/>
  <c r="F470" i="42" s="1"/>
  <c r="G471" i="42" s="1"/>
  <c r="H472" i="42" s="1"/>
  <c r="I473" i="42" s="1"/>
  <c r="J474" i="42" s="1"/>
  <c r="K475" i="42" s="1"/>
  <c r="L476" i="42" s="1"/>
  <c r="M477" i="42" s="1"/>
  <c r="N478" i="42" s="1"/>
  <c r="C464" i="42"/>
  <c r="C463" i="42"/>
  <c r="D464" i="42" s="1"/>
  <c r="E465" i="42" s="1"/>
  <c r="F466" i="42" s="1"/>
  <c r="G467" i="42" s="1"/>
  <c r="H468" i="42" s="1"/>
  <c r="I469" i="42" s="1"/>
  <c r="J470" i="42" s="1"/>
  <c r="K471" i="42" s="1"/>
  <c r="L472" i="42" s="1"/>
  <c r="M473" i="42" s="1"/>
  <c r="N474" i="42" s="1"/>
  <c r="C459" i="42"/>
  <c r="D460" i="42" s="1"/>
  <c r="E461" i="42" s="1"/>
  <c r="F462" i="42" s="1"/>
  <c r="G463" i="42" s="1"/>
  <c r="H464" i="42" s="1"/>
  <c r="I465" i="42" s="1"/>
  <c r="J466" i="42" s="1"/>
  <c r="K467" i="42" s="1"/>
  <c r="L468" i="42" s="1"/>
  <c r="M469" i="42" s="1"/>
  <c r="N470" i="42" s="1"/>
  <c r="C455" i="42"/>
  <c r="D456" i="42" s="1"/>
  <c r="E457" i="42" s="1"/>
  <c r="F458" i="42" s="1"/>
  <c r="G459" i="42" s="1"/>
  <c r="H460" i="42" s="1"/>
  <c r="I461" i="42" s="1"/>
  <c r="J462" i="42" s="1"/>
  <c r="K463" i="42" s="1"/>
  <c r="L464" i="42" s="1"/>
  <c r="M465" i="42" s="1"/>
  <c r="N466" i="42" s="1"/>
  <c r="C451" i="42"/>
  <c r="D452" i="42" s="1"/>
  <c r="E453" i="42" s="1"/>
  <c r="F454" i="42" s="1"/>
  <c r="G455" i="42" s="1"/>
  <c r="H456" i="42" s="1"/>
  <c r="I457" i="42" s="1"/>
  <c r="J458" i="42" s="1"/>
  <c r="K459" i="42" s="1"/>
  <c r="L460" i="42" s="1"/>
  <c r="M461" i="42" s="1"/>
  <c r="N462" i="42" s="1"/>
  <c r="C448" i="42"/>
  <c r="D449" i="42" s="1"/>
  <c r="E450" i="42" s="1"/>
  <c r="F451" i="42" s="1"/>
  <c r="G452" i="42" s="1"/>
  <c r="H453" i="42" s="1"/>
  <c r="I454" i="42" s="1"/>
  <c r="J455" i="42" s="1"/>
  <c r="K456" i="42" s="1"/>
  <c r="L457" i="42" s="1"/>
  <c r="M458" i="42" s="1"/>
  <c r="N459" i="42" s="1"/>
  <c r="C447" i="42"/>
  <c r="D448" i="42" s="1"/>
  <c r="E449" i="42" s="1"/>
  <c r="F450" i="42" s="1"/>
  <c r="G451" i="42" s="1"/>
  <c r="H452" i="42" s="1"/>
  <c r="I453" i="42" s="1"/>
  <c r="J454" i="42" s="1"/>
  <c r="K455" i="42" s="1"/>
  <c r="L456" i="42" s="1"/>
  <c r="M457" i="42" s="1"/>
  <c r="N458" i="42" s="1"/>
  <c r="C444" i="42"/>
  <c r="D445" i="42" s="1"/>
  <c r="E446" i="42" s="1"/>
  <c r="F447" i="42" s="1"/>
  <c r="G448" i="42" s="1"/>
  <c r="H449" i="42" s="1"/>
  <c r="I450" i="42" s="1"/>
  <c r="J451" i="42" s="1"/>
  <c r="K452" i="42" s="1"/>
  <c r="L453" i="42" s="1"/>
  <c r="M454" i="42" s="1"/>
  <c r="N455" i="42" s="1"/>
  <c r="C443" i="42"/>
  <c r="D444" i="42" s="1"/>
  <c r="E445" i="42" s="1"/>
  <c r="F446" i="42" s="1"/>
  <c r="G447" i="42" s="1"/>
  <c r="H448" i="42" s="1"/>
  <c r="I449" i="42" s="1"/>
  <c r="J450" i="42" s="1"/>
  <c r="K451" i="42" s="1"/>
  <c r="L452" i="42" s="1"/>
  <c r="M453" i="42" s="1"/>
  <c r="N454" i="42" s="1"/>
  <c r="C440" i="42"/>
  <c r="D441" i="42" s="1"/>
  <c r="E442" i="42" s="1"/>
  <c r="F443" i="42" s="1"/>
  <c r="G444" i="42" s="1"/>
  <c r="H445" i="42" s="1"/>
  <c r="I446" i="42" s="1"/>
  <c r="J447" i="42" s="1"/>
  <c r="K448" i="42" s="1"/>
  <c r="L449" i="42" s="1"/>
  <c r="M450" i="42" s="1"/>
  <c r="N451" i="42" s="1"/>
  <c r="C439" i="42"/>
  <c r="D440" i="42" s="1"/>
  <c r="E441" i="42" s="1"/>
  <c r="F442" i="42" s="1"/>
  <c r="G443" i="42" s="1"/>
  <c r="H444" i="42" s="1"/>
  <c r="I445" i="42" s="1"/>
  <c r="J446" i="42" s="1"/>
  <c r="K447" i="42" s="1"/>
  <c r="L448" i="42" s="1"/>
  <c r="M449" i="42" s="1"/>
  <c r="N450" i="42" s="1"/>
  <c r="C436" i="42"/>
  <c r="D437" i="42" s="1"/>
  <c r="E438" i="42" s="1"/>
  <c r="F439" i="42" s="1"/>
  <c r="G440" i="42" s="1"/>
  <c r="H441" i="42" s="1"/>
  <c r="I442" i="42" s="1"/>
  <c r="J443" i="42" s="1"/>
  <c r="K444" i="42" s="1"/>
  <c r="L445" i="42" s="1"/>
  <c r="M446" i="42" s="1"/>
  <c r="N447" i="42" s="1"/>
  <c r="C435" i="42"/>
  <c r="D436" i="42" s="1"/>
  <c r="E437" i="42" s="1"/>
  <c r="F438" i="42" s="1"/>
  <c r="G439" i="42" s="1"/>
  <c r="H440" i="42" s="1"/>
  <c r="I441" i="42" s="1"/>
  <c r="J442" i="42" s="1"/>
  <c r="K443" i="42" s="1"/>
  <c r="L444" i="42" s="1"/>
  <c r="M445" i="42" s="1"/>
  <c r="N446" i="42" s="1"/>
  <c r="C432" i="42"/>
  <c r="D433" i="42" s="1"/>
  <c r="E434" i="42" s="1"/>
  <c r="F435" i="42" s="1"/>
  <c r="G436" i="42" s="1"/>
  <c r="H437" i="42" s="1"/>
  <c r="I438" i="42" s="1"/>
  <c r="J439" i="42" s="1"/>
  <c r="K440" i="42" s="1"/>
  <c r="L441" i="42" s="1"/>
  <c r="M442" i="42" s="1"/>
  <c r="N443" i="42" s="1"/>
  <c r="C431" i="42"/>
  <c r="D432" i="42" s="1"/>
  <c r="E433" i="42" s="1"/>
  <c r="F434" i="42" s="1"/>
  <c r="G435" i="42" s="1"/>
  <c r="H436" i="42" s="1"/>
  <c r="I437" i="42" s="1"/>
  <c r="J438" i="42" s="1"/>
  <c r="K439" i="42" s="1"/>
  <c r="L440" i="42" s="1"/>
  <c r="M441" i="42" s="1"/>
  <c r="N442" i="42" s="1"/>
  <c r="C428" i="42"/>
  <c r="D429" i="42" s="1"/>
  <c r="E430" i="42" s="1"/>
  <c r="F431" i="42" s="1"/>
  <c r="G432" i="42" s="1"/>
  <c r="H433" i="42" s="1"/>
  <c r="I434" i="42" s="1"/>
  <c r="J435" i="42" s="1"/>
  <c r="K436" i="42" s="1"/>
  <c r="L437" i="42" s="1"/>
  <c r="M438" i="42" s="1"/>
  <c r="N439" i="42" s="1"/>
  <c r="C427" i="42"/>
  <c r="D428" i="42" s="1"/>
  <c r="E429" i="42" s="1"/>
  <c r="F430" i="42" s="1"/>
  <c r="G431" i="42" s="1"/>
  <c r="H432" i="42" s="1"/>
  <c r="I433" i="42" s="1"/>
  <c r="J434" i="42" s="1"/>
  <c r="K435" i="42" s="1"/>
  <c r="L436" i="42" s="1"/>
  <c r="M437" i="42" s="1"/>
  <c r="N438" i="42" s="1"/>
  <c r="C424" i="42"/>
  <c r="D425" i="42" s="1"/>
  <c r="E426" i="42" s="1"/>
  <c r="F427" i="42" s="1"/>
  <c r="G428" i="42" s="1"/>
  <c r="H429" i="42" s="1"/>
  <c r="I430" i="42" s="1"/>
  <c r="J431" i="42" s="1"/>
  <c r="K432" i="42" s="1"/>
  <c r="L433" i="42" s="1"/>
  <c r="M434" i="42" s="1"/>
  <c r="N435" i="42" s="1"/>
  <c r="C423" i="42"/>
  <c r="D424" i="42" s="1"/>
  <c r="E425" i="42" s="1"/>
  <c r="F426" i="42" s="1"/>
  <c r="G427" i="42" s="1"/>
  <c r="H428" i="42" s="1"/>
  <c r="I429" i="42" s="1"/>
  <c r="J430" i="42" s="1"/>
  <c r="K431" i="42" s="1"/>
  <c r="L432" i="42" s="1"/>
  <c r="M433" i="42" s="1"/>
  <c r="N434" i="42" s="1"/>
  <c r="C420" i="42"/>
  <c r="D421" i="42" s="1"/>
  <c r="E422" i="42" s="1"/>
  <c r="F423" i="42" s="1"/>
  <c r="G424" i="42" s="1"/>
  <c r="H425" i="42" s="1"/>
  <c r="I426" i="42" s="1"/>
  <c r="J427" i="42" s="1"/>
  <c r="K428" i="42" s="1"/>
  <c r="L429" i="42" s="1"/>
  <c r="M430" i="42" s="1"/>
  <c r="N431" i="42" s="1"/>
  <c r="C419" i="42"/>
  <c r="D420" i="42" s="1"/>
  <c r="E421" i="42" s="1"/>
  <c r="F422" i="42" s="1"/>
  <c r="G423" i="42" s="1"/>
  <c r="H424" i="42" s="1"/>
  <c r="I425" i="42" s="1"/>
  <c r="J426" i="42" s="1"/>
  <c r="K427" i="42" s="1"/>
  <c r="L428" i="42" s="1"/>
  <c r="M429" i="42" s="1"/>
  <c r="N430" i="42" s="1"/>
  <c r="C416" i="42"/>
  <c r="D417" i="42" s="1"/>
  <c r="E418" i="42" s="1"/>
  <c r="F419" i="42" s="1"/>
  <c r="G420" i="42" s="1"/>
  <c r="H421" i="42" s="1"/>
  <c r="I422" i="42" s="1"/>
  <c r="J423" i="42" s="1"/>
  <c r="K424" i="42" s="1"/>
  <c r="L425" i="42" s="1"/>
  <c r="M426" i="42" s="1"/>
  <c r="N427" i="42" s="1"/>
  <c r="C415" i="42"/>
  <c r="D416" i="42" s="1"/>
  <c r="E417" i="42" s="1"/>
  <c r="F418" i="42" s="1"/>
  <c r="G419" i="42" s="1"/>
  <c r="H420" i="42" s="1"/>
  <c r="I421" i="42" s="1"/>
  <c r="J422" i="42" s="1"/>
  <c r="K423" i="42" s="1"/>
  <c r="L424" i="42" s="1"/>
  <c r="M425" i="42" s="1"/>
  <c r="N426" i="42" s="1"/>
  <c r="C411" i="42"/>
  <c r="D412" i="42" s="1"/>
  <c r="E413" i="42" s="1"/>
  <c r="F414" i="42" s="1"/>
  <c r="G415" i="42" s="1"/>
  <c r="H416" i="42" s="1"/>
  <c r="I417" i="42" s="1"/>
  <c r="J418" i="42" s="1"/>
  <c r="K419" i="42" s="1"/>
  <c r="L420" i="42" s="1"/>
  <c r="M421" i="42" s="1"/>
  <c r="N422" i="42" s="1"/>
  <c r="C407" i="42"/>
  <c r="D408" i="42" s="1"/>
  <c r="E409" i="42" s="1"/>
  <c r="F410" i="42" s="1"/>
  <c r="G411" i="42" s="1"/>
  <c r="H412" i="42" s="1"/>
  <c r="I413" i="42" s="1"/>
  <c r="J414" i="42" s="1"/>
  <c r="K415" i="42" s="1"/>
  <c r="L416" i="42" s="1"/>
  <c r="M417" i="42" s="1"/>
  <c r="N418" i="42" s="1"/>
  <c r="C404" i="42"/>
  <c r="C403" i="42"/>
  <c r="D404" i="42" s="1"/>
  <c r="E405" i="42" s="1"/>
  <c r="F406" i="42" s="1"/>
  <c r="G407" i="42" s="1"/>
  <c r="H408" i="42" s="1"/>
  <c r="I409" i="42" s="1"/>
  <c r="J410" i="42" s="1"/>
  <c r="K411" i="42" s="1"/>
  <c r="L412" i="42" s="1"/>
  <c r="M413" i="42" s="1"/>
  <c r="N414" i="42" s="1"/>
  <c r="C399" i="42"/>
  <c r="D400" i="42" s="1"/>
  <c r="E401" i="42" s="1"/>
  <c r="F402" i="42" s="1"/>
  <c r="G403" i="42" s="1"/>
  <c r="H404" i="42" s="1"/>
  <c r="I405" i="42" s="1"/>
  <c r="J406" i="42" s="1"/>
  <c r="K407" i="42" s="1"/>
  <c r="L408" i="42" s="1"/>
  <c r="M409" i="42" s="1"/>
  <c r="N410" i="42" s="1"/>
  <c r="C396" i="42"/>
  <c r="D397" i="42" s="1"/>
  <c r="E398" i="42" s="1"/>
  <c r="F399" i="42" s="1"/>
  <c r="G400" i="42" s="1"/>
  <c r="H401" i="42" s="1"/>
  <c r="I402" i="42" s="1"/>
  <c r="J403" i="42" s="1"/>
  <c r="K404" i="42" s="1"/>
  <c r="L405" i="42" s="1"/>
  <c r="M406" i="42" s="1"/>
  <c r="N407" i="42" s="1"/>
  <c r="C395" i="42"/>
  <c r="D396" i="42" s="1"/>
  <c r="E397" i="42" s="1"/>
  <c r="F398" i="42" s="1"/>
  <c r="G399" i="42" s="1"/>
  <c r="H400" i="42" s="1"/>
  <c r="I401" i="42" s="1"/>
  <c r="J402" i="42" s="1"/>
  <c r="K403" i="42" s="1"/>
  <c r="L404" i="42" s="1"/>
  <c r="M405" i="42" s="1"/>
  <c r="N406" i="42" s="1"/>
  <c r="C392" i="42"/>
  <c r="D393" i="42" s="1"/>
  <c r="E394" i="42" s="1"/>
  <c r="F395" i="42" s="1"/>
  <c r="G396" i="42" s="1"/>
  <c r="H397" i="42" s="1"/>
  <c r="I398" i="42" s="1"/>
  <c r="J399" i="42" s="1"/>
  <c r="K400" i="42" s="1"/>
  <c r="L401" i="42" s="1"/>
  <c r="M402" i="42" s="1"/>
  <c r="N403" i="42" s="1"/>
  <c r="C391" i="42"/>
  <c r="D392" i="42" s="1"/>
  <c r="E393" i="42" s="1"/>
  <c r="F394" i="42" s="1"/>
  <c r="G395" i="42" s="1"/>
  <c r="H396" i="42" s="1"/>
  <c r="I397" i="42" s="1"/>
  <c r="J398" i="42" s="1"/>
  <c r="K399" i="42" s="1"/>
  <c r="L400" i="42" s="1"/>
  <c r="M401" i="42" s="1"/>
  <c r="N402" i="42" s="1"/>
  <c r="C388" i="42"/>
  <c r="D389" i="42" s="1"/>
  <c r="E390" i="42" s="1"/>
  <c r="F391" i="42" s="1"/>
  <c r="G392" i="42" s="1"/>
  <c r="H393" i="42" s="1"/>
  <c r="I394" i="42" s="1"/>
  <c r="J395" i="42" s="1"/>
  <c r="K396" i="42" s="1"/>
  <c r="L397" i="42" s="1"/>
  <c r="M398" i="42" s="1"/>
  <c r="N399" i="42" s="1"/>
  <c r="C387" i="42"/>
  <c r="D388" i="42" s="1"/>
  <c r="E389" i="42" s="1"/>
  <c r="F390" i="42" s="1"/>
  <c r="G391" i="42" s="1"/>
  <c r="H392" i="42" s="1"/>
  <c r="I393" i="42" s="1"/>
  <c r="J394" i="42" s="1"/>
  <c r="K395" i="42" s="1"/>
  <c r="L396" i="42" s="1"/>
  <c r="M397" i="42" s="1"/>
  <c r="N398" i="42" s="1"/>
  <c r="C384" i="42"/>
  <c r="D385" i="42" s="1"/>
  <c r="E386" i="42" s="1"/>
  <c r="F387" i="42" s="1"/>
  <c r="G388" i="42" s="1"/>
  <c r="H389" i="42" s="1"/>
  <c r="I390" i="42" s="1"/>
  <c r="J391" i="42" s="1"/>
  <c r="K392" i="42" s="1"/>
  <c r="L393" i="42" s="1"/>
  <c r="M394" i="42" s="1"/>
  <c r="N395" i="42" s="1"/>
  <c r="C383" i="42"/>
  <c r="D384" i="42" s="1"/>
  <c r="E385" i="42" s="1"/>
  <c r="F386" i="42" s="1"/>
  <c r="G387" i="42" s="1"/>
  <c r="H388" i="42" s="1"/>
  <c r="I389" i="42" s="1"/>
  <c r="J390" i="42" s="1"/>
  <c r="K391" i="42" s="1"/>
  <c r="L392" i="42" s="1"/>
  <c r="M393" i="42" s="1"/>
  <c r="N394" i="42" s="1"/>
  <c r="C380" i="42"/>
  <c r="D381" i="42" s="1"/>
  <c r="E382" i="42" s="1"/>
  <c r="F383" i="42" s="1"/>
  <c r="G384" i="42" s="1"/>
  <c r="H385" i="42" s="1"/>
  <c r="I386" i="42" s="1"/>
  <c r="J387" i="42" s="1"/>
  <c r="K388" i="42" s="1"/>
  <c r="L389" i="42" s="1"/>
  <c r="M390" i="42" s="1"/>
  <c r="N391" i="42" s="1"/>
  <c r="C379" i="42"/>
  <c r="D380" i="42" s="1"/>
  <c r="E381" i="42" s="1"/>
  <c r="F382" i="42" s="1"/>
  <c r="G383" i="42" s="1"/>
  <c r="H384" i="42" s="1"/>
  <c r="I385" i="42" s="1"/>
  <c r="J386" i="42" s="1"/>
  <c r="K387" i="42" s="1"/>
  <c r="L388" i="42" s="1"/>
  <c r="M389" i="42" s="1"/>
  <c r="N390" i="42" s="1"/>
  <c r="C376" i="42"/>
  <c r="D377" i="42" s="1"/>
  <c r="E378" i="42" s="1"/>
  <c r="F379" i="42" s="1"/>
  <c r="G380" i="42" s="1"/>
  <c r="H381" i="42" s="1"/>
  <c r="I382" i="42" s="1"/>
  <c r="J383" i="42" s="1"/>
  <c r="K384" i="42" s="1"/>
  <c r="L385" i="42" s="1"/>
  <c r="M386" i="42" s="1"/>
  <c r="N387" i="42" s="1"/>
  <c r="C375" i="42"/>
  <c r="D376" i="42" s="1"/>
  <c r="E377" i="42" s="1"/>
  <c r="F378" i="42" s="1"/>
  <c r="G379" i="42" s="1"/>
  <c r="H380" i="42" s="1"/>
  <c r="I381" i="42" s="1"/>
  <c r="J382" i="42" s="1"/>
  <c r="K383" i="42" s="1"/>
  <c r="L384" i="42" s="1"/>
  <c r="M385" i="42" s="1"/>
  <c r="N386" i="42" s="1"/>
  <c r="C372" i="42"/>
  <c r="D373" i="42" s="1"/>
  <c r="E374" i="42" s="1"/>
  <c r="F375" i="42" s="1"/>
  <c r="G376" i="42" s="1"/>
  <c r="H377" i="42" s="1"/>
  <c r="I378" i="42" s="1"/>
  <c r="J379" i="42" s="1"/>
  <c r="C371" i="42"/>
  <c r="D372" i="42" s="1"/>
  <c r="E373" i="42" s="1"/>
  <c r="F374" i="42" s="1"/>
  <c r="G375" i="42" s="1"/>
  <c r="H376" i="42" s="1"/>
  <c r="I377" i="42" s="1"/>
  <c r="J378" i="42" s="1"/>
  <c r="K379" i="42" s="1"/>
  <c r="L380" i="42" s="1"/>
  <c r="M381" i="42" s="1"/>
  <c r="N382" i="42" s="1"/>
  <c r="C368" i="42"/>
  <c r="D369" i="42" s="1"/>
  <c r="E370" i="42" s="1"/>
  <c r="F371" i="42" s="1"/>
  <c r="G372" i="42" s="1"/>
  <c r="H373" i="42" s="1"/>
  <c r="I374" i="42" s="1"/>
  <c r="J375" i="42" s="1"/>
  <c r="K376" i="42" s="1"/>
  <c r="L377" i="42" s="1"/>
  <c r="M378" i="42" s="1"/>
  <c r="N379" i="42" s="1"/>
  <c r="C364" i="42"/>
  <c r="D365" i="42" s="1"/>
  <c r="E366" i="42" s="1"/>
  <c r="F367" i="42" s="1"/>
  <c r="G368" i="42" s="1"/>
  <c r="H369" i="42" s="1"/>
  <c r="I370" i="42" s="1"/>
  <c r="J371" i="42" s="1"/>
  <c r="K372" i="42" s="1"/>
  <c r="L373" i="42" s="1"/>
  <c r="M374" i="42" s="1"/>
  <c r="N375" i="42" s="1"/>
  <c r="C363" i="42"/>
  <c r="D364" i="42" s="1"/>
  <c r="E365" i="42" s="1"/>
  <c r="F366" i="42" s="1"/>
  <c r="G367" i="42" s="1"/>
  <c r="H368" i="42" s="1"/>
  <c r="I369" i="42" s="1"/>
  <c r="J370" i="42" s="1"/>
  <c r="K371" i="42" s="1"/>
  <c r="L372" i="42" s="1"/>
  <c r="M373" i="42" s="1"/>
  <c r="N374" i="42" s="1"/>
  <c r="C360" i="42"/>
  <c r="D361" i="42" s="1"/>
  <c r="E362" i="42" s="1"/>
  <c r="F363" i="42" s="1"/>
  <c r="G364" i="42" s="1"/>
  <c r="H365" i="42" s="1"/>
  <c r="I366" i="42" s="1"/>
  <c r="J367" i="42" s="1"/>
  <c r="C359" i="42"/>
  <c r="D360" i="42" s="1"/>
  <c r="E361" i="42" s="1"/>
  <c r="F362" i="42" s="1"/>
  <c r="G363" i="42" s="1"/>
  <c r="H364" i="42" s="1"/>
  <c r="I365" i="42" s="1"/>
  <c r="J366" i="42" s="1"/>
  <c r="K367" i="42" s="1"/>
  <c r="L368" i="42" s="1"/>
  <c r="M369" i="42" s="1"/>
  <c r="N370" i="42" s="1"/>
  <c r="C356" i="42"/>
  <c r="D357" i="42" s="1"/>
  <c r="E358" i="42" s="1"/>
  <c r="F359" i="42" s="1"/>
  <c r="G360" i="42" s="1"/>
  <c r="H361" i="42" s="1"/>
  <c r="I362" i="42" s="1"/>
  <c r="J363" i="42" s="1"/>
  <c r="K364" i="42" s="1"/>
  <c r="L365" i="42" s="1"/>
  <c r="M366" i="42" s="1"/>
  <c r="N367" i="42" s="1"/>
  <c r="C355" i="42"/>
  <c r="D356" i="42" s="1"/>
  <c r="E357" i="42" s="1"/>
  <c r="F358" i="42" s="1"/>
  <c r="G359" i="42" s="1"/>
  <c r="H360" i="42" s="1"/>
  <c r="I361" i="42" s="1"/>
  <c r="J362" i="42" s="1"/>
  <c r="K363" i="42" s="1"/>
  <c r="L364" i="42" s="1"/>
  <c r="M365" i="42" s="1"/>
  <c r="N366" i="42" s="1"/>
  <c r="C351" i="42"/>
  <c r="D352" i="42" s="1"/>
  <c r="E353" i="42" s="1"/>
  <c r="F354" i="42" s="1"/>
  <c r="G355" i="42" s="1"/>
  <c r="H356" i="42" s="1"/>
  <c r="I357" i="42" s="1"/>
  <c r="J358" i="42" s="1"/>
  <c r="K359" i="42" s="1"/>
  <c r="L360" i="42" s="1"/>
  <c r="M361" i="42" s="1"/>
  <c r="N362" i="42" s="1"/>
  <c r="C347" i="42"/>
  <c r="D348" i="42" s="1"/>
  <c r="E349" i="42" s="1"/>
  <c r="F350" i="42" s="1"/>
  <c r="G351" i="42" s="1"/>
  <c r="H352" i="42" s="1"/>
  <c r="I353" i="42" s="1"/>
  <c r="J354" i="42" s="1"/>
  <c r="K355" i="42" s="1"/>
  <c r="L356" i="42" s="1"/>
  <c r="M357" i="42" s="1"/>
  <c r="N358" i="42" s="1"/>
  <c r="C344" i="42"/>
  <c r="D345" i="42" s="1"/>
  <c r="E346" i="42" s="1"/>
  <c r="F347" i="42" s="1"/>
  <c r="G348" i="42" s="1"/>
  <c r="H349" i="42" s="1"/>
  <c r="I350" i="42" s="1"/>
  <c r="J351" i="42" s="1"/>
  <c r="K352" i="42" s="1"/>
  <c r="L353" i="42" s="1"/>
  <c r="M354" i="42" s="1"/>
  <c r="N355" i="42" s="1"/>
  <c r="C343" i="42"/>
  <c r="D344" i="42" s="1"/>
  <c r="E345" i="42" s="1"/>
  <c r="F346" i="42" s="1"/>
  <c r="G347" i="42" s="1"/>
  <c r="H348" i="42" s="1"/>
  <c r="I349" i="42" s="1"/>
  <c r="J350" i="42" s="1"/>
  <c r="K351" i="42" s="1"/>
  <c r="L352" i="42" s="1"/>
  <c r="M353" i="42" s="1"/>
  <c r="N354" i="42" s="1"/>
  <c r="C340" i="42"/>
  <c r="D341" i="42" s="1"/>
  <c r="E342" i="42" s="1"/>
  <c r="F343" i="42" s="1"/>
  <c r="G344" i="42" s="1"/>
  <c r="H345" i="42" s="1"/>
  <c r="I346" i="42" s="1"/>
  <c r="J347" i="42" s="1"/>
  <c r="K348" i="42" s="1"/>
  <c r="L349" i="42" s="1"/>
  <c r="M350" i="42" s="1"/>
  <c r="N351" i="42" s="1"/>
  <c r="C339" i="42"/>
  <c r="D340" i="42" s="1"/>
  <c r="E341" i="42" s="1"/>
  <c r="F342" i="42" s="1"/>
  <c r="G343" i="42" s="1"/>
  <c r="H344" i="42" s="1"/>
  <c r="I345" i="42" s="1"/>
  <c r="J346" i="42" s="1"/>
  <c r="K347" i="42" s="1"/>
  <c r="L348" i="42" s="1"/>
  <c r="M349" i="42" s="1"/>
  <c r="N350" i="42" s="1"/>
  <c r="C336" i="42"/>
  <c r="D337" i="42" s="1"/>
  <c r="E338" i="42" s="1"/>
  <c r="F339" i="42" s="1"/>
  <c r="G340" i="42" s="1"/>
  <c r="H341" i="42" s="1"/>
  <c r="I342" i="42" s="1"/>
  <c r="J343" i="42" s="1"/>
  <c r="K344" i="42" s="1"/>
  <c r="L345" i="42" s="1"/>
  <c r="M346" i="42" s="1"/>
  <c r="N347" i="42" s="1"/>
  <c r="C335" i="42"/>
  <c r="D336" i="42" s="1"/>
  <c r="E337" i="42" s="1"/>
  <c r="F338" i="42" s="1"/>
  <c r="G339" i="42" s="1"/>
  <c r="H340" i="42" s="1"/>
  <c r="I341" i="42" s="1"/>
  <c r="J342" i="42" s="1"/>
  <c r="K343" i="42" s="1"/>
  <c r="L344" i="42" s="1"/>
  <c r="M345" i="42" s="1"/>
  <c r="N346" i="42" s="1"/>
  <c r="C332" i="42"/>
  <c r="D333" i="42" s="1"/>
  <c r="E334" i="42" s="1"/>
  <c r="F335" i="42" s="1"/>
  <c r="G336" i="42" s="1"/>
  <c r="H337" i="42" s="1"/>
  <c r="I338" i="42" s="1"/>
  <c r="J339" i="42" s="1"/>
  <c r="K340" i="42" s="1"/>
  <c r="L341" i="42" s="1"/>
  <c r="M342" i="42" s="1"/>
  <c r="N343" i="42" s="1"/>
  <c r="C331" i="42"/>
  <c r="D332" i="42" s="1"/>
  <c r="E333" i="42" s="1"/>
  <c r="F334" i="42" s="1"/>
  <c r="G335" i="42" s="1"/>
  <c r="H336" i="42" s="1"/>
  <c r="I337" i="42" s="1"/>
  <c r="J338" i="42" s="1"/>
  <c r="K339" i="42" s="1"/>
  <c r="L340" i="42" s="1"/>
  <c r="M341" i="42" s="1"/>
  <c r="N342" i="42" s="1"/>
  <c r="C328" i="42"/>
  <c r="D329" i="42" s="1"/>
  <c r="E330" i="42" s="1"/>
  <c r="F331" i="42" s="1"/>
  <c r="G332" i="42" s="1"/>
  <c r="H333" i="42" s="1"/>
  <c r="I334" i="42" s="1"/>
  <c r="J335" i="42" s="1"/>
  <c r="K336" i="42" s="1"/>
  <c r="L337" i="42" s="1"/>
  <c r="M338" i="42" s="1"/>
  <c r="N339" i="42" s="1"/>
  <c r="C327" i="42"/>
  <c r="D328" i="42" s="1"/>
  <c r="E329" i="42" s="1"/>
  <c r="F330" i="42" s="1"/>
  <c r="G331" i="42" s="1"/>
  <c r="H332" i="42" s="1"/>
  <c r="I333" i="42" s="1"/>
  <c r="J334" i="42" s="1"/>
  <c r="K335" i="42" s="1"/>
  <c r="L336" i="42" s="1"/>
  <c r="M337" i="42" s="1"/>
  <c r="N338" i="42" s="1"/>
  <c r="C323" i="42"/>
  <c r="D324" i="42" s="1"/>
  <c r="E325" i="42" s="1"/>
  <c r="F326" i="42" s="1"/>
  <c r="G327" i="42" s="1"/>
  <c r="H328" i="42" s="1"/>
  <c r="I329" i="42" s="1"/>
  <c r="J330" i="42" s="1"/>
  <c r="K331" i="42" s="1"/>
  <c r="L332" i="42" s="1"/>
  <c r="M333" i="42" s="1"/>
  <c r="N334" i="42" s="1"/>
  <c r="C319" i="42"/>
  <c r="D320" i="42" s="1"/>
  <c r="E321" i="42" s="1"/>
  <c r="F322" i="42" s="1"/>
  <c r="G323" i="42" s="1"/>
  <c r="H324" i="42" s="1"/>
  <c r="I325" i="42" s="1"/>
  <c r="J326" i="42" s="1"/>
  <c r="K327" i="42" s="1"/>
  <c r="L328" i="42" s="1"/>
  <c r="M329" i="42" s="1"/>
  <c r="N330" i="42" s="1"/>
  <c r="C315" i="42"/>
  <c r="D316" i="42" s="1"/>
  <c r="E317" i="42" s="1"/>
  <c r="F318" i="42" s="1"/>
  <c r="G319" i="42" s="1"/>
  <c r="H320" i="42" s="1"/>
  <c r="I321" i="42" s="1"/>
  <c r="J322" i="42" s="1"/>
  <c r="K323" i="42" s="1"/>
  <c r="L324" i="42" s="1"/>
  <c r="M325" i="42" s="1"/>
  <c r="N326" i="42" s="1"/>
  <c r="C311" i="42"/>
  <c r="D312" i="42" s="1"/>
  <c r="E313" i="42" s="1"/>
  <c r="F314" i="42" s="1"/>
  <c r="G315" i="42" s="1"/>
  <c r="H316" i="42" s="1"/>
  <c r="I317" i="42" s="1"/>
  <c r="J318" i="42" s="1"/>
  <c r="K319" i="42" s="1"/>
  <c r="L320" i="42" s="1"/>
  <c r="M321" i="42" s="1"/>
  <c r="N322" i="42" s="1"/>
  <c r="C307" i="42"/>
  <c r="D308" i="42" s="1"/>
  <c r="E309" i="42" s="1"/>
  <c r="F310" i="42" s="1"/>
  <c r="G311" i="42" s="1"/>
  <c r="H312" i="42" s="1"/>
  <c r="I313" i="42" s="1"/>
  <c r="J314" i="42" s="1"/>
  <c r="K315" i="42" s="1"/>
  <c r="L316" i="42" s="1"/>
  <c r="M317" i="42" s="1"/>
  <c r="N318" i="42" s="1"/>
  <c r="C304" i="42"/>
  <c r="D305" i="42" s="1"/>
  <c r="E306" i="42" s="1"/>
  <c r="F307" i="42" s="1"/>
  <c r="G308" i="42" s="1"/>
  <c r="H309" i="42" s="1"/>
  <c r="I310" i="42" s="1"/>
  <c r="J311" i="42" s="1"/>
  <c r="K312" i="42" s="1"/>
  <c r="L313" i="42" s="1"/>
  <c r="M314" i="42" s="1"/>
  <c r="N315" i="42" s="1"/>
  <c r="C303" i="42"/>
  <c r="D304" i="42" s="1"/>
  <c r="E305" i="42" s="1"/>
  <c r="F306" i="42" s="1"/>
  <c r="G307" i="42" s="1"/>
  <c r="H308" i="42" s="1"/>
  <c r="I309" i="42" s="1"/>
  <c r="J310" i="42" s="1"/>
  <c r="K311" i="42" s="1"/>
  <c r="L312" i="42" s="1"/>
  <c r="M313" i="42" s="1"/>
  <c r="N314" i="42" s="1"/>
  <c r="C299" i="42"/>
  <c r="D300" i="42" s="1"/>
  <c r="E301" i="42" s="1"/>
  <c r="F302" i="42" s="1"/>
  <c r="G303" i="42" s="1"/>
  <c r="H304" i="42" s="1"/>
  <c r="I305" i="42" s="1"/>
  <c r="J306" i="42" s="1"/>
  <c r="K307" i="42" s="1"/>
  <c r="L308" i="42" s="1"/>
  <c r="M309" i="42" s="1"/>
  <c r="N310" i="42" s="1"/>
  <c r="C295" i="42"/>
  <c r="D296" i="42" s="1"/>
  <c r="E297" i="42" s="1"/>
  <c r="F298" i="42" s="1"/>
  <c r="G299" i="42" s="1"/>
  <c r="H300" i="42" s="1"/>
  <c r="I301" i="42" s="1"/>
  <c r="J302" i="42" s="1"/>
  <c r="K303" i="42" s="1"/>
  <c r="L304" i="42" s="1"/>
  <c r="M305" i="42" s="1"/>
  <c r="N306" i="42" s="1"/>
  <c r="C292" i="42"/>
  <c r="C291" i="42"/>
  <c r="D292" i="42" s="1"/>
  <c r="E293" i="42" s="1"/>
  <c r="F294" i="42" s="1"/>
  <c r="G295" i="42" s="1"/>
  <c r="H296" i="42" s="1"/>
  <c r="I297" i="42" s="1"/>
  <c r="J298" i="42" s="1"/>
  <c r="K299" i="42" s="1"/>
  <c r="L300" i="42" s="1"/>
  <c r="M301" i="42" s="1"/>
  <c r="N302" i="42" s="1"/>
  <c r="C288" i="42"/>
  <c r="D289" i="42" s="1"/>
  <c r="E290" i="42" s="1"/>
  <c r="F291" i="42" s="1"/>
  <c r="G292" i="42" s="1"/>
  <c r="H293" i="42" s="1"/>
  <c r="I294" i="42" s="1"/>
  <c r="J295" i="42" s="1"/>
  <c r="K296" i="42" s="1"/>
  <c r="L297" i="42" s="1"/>
  <c r="M298" i="42" s="1"/>
  <c r="N299" i="42" s="1"/>
  <c r="C287" i="42"/>
  <c r="D288" i="42" s="1"/>
  <c r="E289" i="42" s="1"/>
  <c r="F290" i="42" s="1"/>
  <c r="G291" i="42" s="1"/>
  <c r="H292" i="42" s="1"/>
  <c r="I293" i="42" s="1"/>
  <c r="J294" i="42" s="1"/>
  <c r="K295" i="42" s="1"/>
  <c r="L296" i="42" s="1"/>
  <c r="M297" i="42" s="1"/>
  <c r="N298" i="42" s="1"/>
  <c r="C284" i="42"/>
  <c r="D285" i="42" s="1"/>
  <c r="E286" i="42" s="1"/>
  <c r="F287" i="42" s="1"/>
  <c r="G288" i="42" s="1"/>
  <c r="H289" i="42" s="1"/>
  <c r="I290" i="42" s="1"/>
  <c r="J291" i="42" s="1"/>
  <c r="K292" i="42" s="1"/>
  <c r="L293" i="42" s="1"/>
  <c r="M294" i="42" s="1"/>
  <c r="N295" i="42" s="1"/>
  <c r="C283" i="42"/>
  <c r="D284" i="42" s="1"/>
  <c r="E285" i="42" s="1"/>
  <c r="F286" i="42" s="1"/>
  <c r="G287" i="42" s="1"/>
  <c r="H288" i="42" s="1"/>
  <c r="I289" i="42" s="1"/>
  <c r="J290" i="42" s="1"/>
  <c r="K291" i="42" s="1"/>
  <c r="L292" i="42" s="1"/>
  <c r="M293" i="42" s="1"/>
  <c r="N294" i="42" s="1"/>
  <c r="C280" i="42"/>
  <c r="D281" i="42" s="1"/>
  <c r="E282" i="42" s="1"/>
  <c r="F283" i="42" s="1"/>
  <c r="G284" i="42" s="1"/>
  <c r="H285" i="42" s="1"/>
  <c r="I286" i="42" s="1"/>
  <c r="J287" i="42" s="1"/>
  <c r="K288" i="42" s="1"/>
  <c r="L289" i="42" s="1"/>
  <c r="M290" i="42" s="1"/>
  <c r="N291" i="42" s="1"/>
  <c r="C279" i="42"/>
  <c r="D280" i="42" s="1"/>
  <c r="E281" i="42" s="1"/>
  <c r="F282" i="42" s="1"/>
  <c r="G283" i="42" s="1"/>
  <c r="H284" i="42" s="1"/>
  <c r="I285" i="42" s="1"/>
  <c r="J286" i="42" s="1"/>
  <c r="K287" i="42" s="1"/>
  <c r="L288" i="42" s="1"/>
  <c r="M289" i="42" s="1"/>
  <c r="N290" i="42" s="1"/>
  <c r="C276" i="42"/>
  <c r="D277" i="42" s="1"/>
  <c r="E278" i="42" s="1"/>
  <c r="F279" i="42" s="1"/>
  <c r="G280" i="42" s="1"/>
  <c r="H281" i="42" s="1"/>
  <c r="I282" i="42" s="1"/>
  <c r="J283" i="42" s="1"/>
  <c r="K284" i="42" s="1"/>
  <c r="L285" i="42" s="1"/>
  <c r="M286" i="42" s="1"/>
  <c r="N287" i="42" s="1"/>
  <c r="C275" i="42"/>
  <c r="D276" i="42" s="1"/>
  <c r="E277" i="42" s="1"/>
  <c r="F278" i="42" s="1"/>
  <c r="G279" i="42" s="1"/>
  <c r="H280" i="42" s="1"/>
  <c r="I281" i="42" s="1"/>
  <c r="J282" i="42" s="1"/>
  <c r="K283" i="42" s="1"/>
  <c r="L284" i="42" s="1"/>
  <c r="M285" i="42" s="1"/>
  <c r="N286" i="42" s="1"/>
  <c r="C271" i="42"/>
  <c r="D272" i="42" s="1"/>
  <c r="E273" i="42" s="1"/>
  <c r="F274" i="42" s="1"/>
  <c r="G275" i="42" s="1"/>
  <c r="H276" i="42" s="1"/>
  <c r="I277" i="42" s="1"/>
  <c r="J278" i="42" s="1"/>
  <c r="K279" i="42" s="1"/>
  <c r="L280" i="42" s="1"/>
  <c r="M281" i="42" s="1"/>
  <c r="N282" i="42" s="1"/>
  <c r="C268" i="42"/>
  <c r="D269" i="42" s="1"/>
  <c r="E270" i="42" s="1"/>
  <c r="C267" i="42"/>
  <c r="D268" i="42" s="1"/>
  <c r="E269" i="42" s="1"/>
  <c r="F270" i="42" s="1"/>
  <c r="G271" i="42" s="1"/>
  <c r="H272" i="42" s="1"/>
  <c r="I273" i="42" s="1"/>
  <c r="J274" i="42" s="1"/>
  <c r="K275" i="42" s="1"/>
  <c r="L276" i="42" s="1"/>
  <c r="M277" i="42" s="1"/>
  <c r="N278" i="42" s="1"/>
  <c r="C263" i="42"/>
  <c r="D264" i="42" s="1"/>
  <c r="E265" i="42" s="1"/>
  <c r="F266" i="42" s="1"/>
  <c r="G267" i="42" s="1"/>
  <c r="H268" i="42" s="1"/>
  <c r="I269" i="42" s="1"/>
  <c r="J270" i="42" s="1"/>
  <c r="K271" i="42" s="1"/>
  <c r="L272" i="42" s="1"/>
  <c r="M273" i="42" s="1"/>
  <c r="N274" i="42" s="1"/>
  <c r="C260" i="42"/>
  <c r="D261" i="42" s="1"/>
  <c r="E262" i="42" s="1"/>
  <c r="C259" i="42"/>
  <c r="D260" i="42" s="1"/>
  <c r="E261" i="42" s="1"/>
  <c r="F262" i="42" s="1"/>
  <c r="G263" i="42" s="1"/>
  <c r="H264" i="42" s="1"/>
  <c r="I265" i="42" s="1"/>
  <c r="J266" i="42" s="1"/>
  <c r="K267" i="42" s="1"/>
  <c r="L268" i="42" s="1"/>
  <c r="M269" i="42" s="1"/>
  <c r="N270" i="42" s="1"/>
  <c r="C255" i="42"/>
  <c r="D256" i="42" s="1"/>
  <c r="E257" i="42" s="1"/>
  <c r="F258" i="42" s="1"/>
  <c r="G259" i="42" s="1"/>
  <c r="H260" i="42" s="1"/>
  <c r="I261" i="42" s="1"/>
  <c r="J262" i="42" s="1"/>
  <c r="K263" i="42" s="1"/>
  <c r="L264" i="42" s="1"/>
  <c r="M265" i="42" s="1"/>
  <c r="N266" i="42" s="1"/>
  <c r="C252" i="42"/>
  <c r="D253" i="42" s="1"/>
  <c r="E254" i="42" s="1"/>
  <c r="F255" i="42" s="1"/>
  <c r="G256" i="42" s="1"/>
  <c r="H257" i="42" s="1"/>
  <c r="I258" i="42" s="1"/>
  <c r="J259" i="42" s="1"/>
  <c r="K260" i="42" s="1"/>
  <c r="L261" i="42" s="1"/>
  <c r="M262" i="42" s="1"/>
  <c r="N263" i="42" s="1"/>
  <c r="C251" i="42"/>
  <c r="D252" i="42" s="1"/>
  <c r="E253" i="42" s="1"/>
  <c r="F254" i="42" s="1"/>
  <c r="G255" i="42" s="1"/>
  <c r="H256" i="42" s="1"/>
  <c r="I257" i="42" s="1"/>
  <c r="J258" i="42" s="1"/>
  <c r="K259" i="42" s="1"/>
  <c r="L260" i="42" s="1"/>
  <c r="M261" i="42" s="1"/>
  <c r="N262" i="42" s="1"/>
  <c r="C247" i="42"/>
  <c r="D248" i="42" s="1"/>
  <c r="E249" i="42" s="1"/>
  <c r="F250" i="42" s="1"/>
  <c r="G251" i="42" s="1"/>
  <c r="H252" i="42" s="1"/>
  <c r="I253" i="42" s="1"/>
  <c r="J254" i="42" s="1"/>
  <c r="K255" i="42" s="1"/>
  <c r="L256" i="42" s="1"/>
  <c r="M257" i="42" s="1"/>
  <c r="N258" i="42" s="1"/>
  <c r="C244" i="42"/>
  <c r="D245" i="42" s="1"/>
  <c r="E246" i="42" s="1"/>
  <c r="C243" i="42"/>
  <c r="D244" i="42" s="1"/>
  <c r="E245" i="42" s="1"/>
  <c r="F246" i="42" s="1"/>
  <c r="G247" i="42" s="1"/>
  <c r="H248" i="42" s="1"/>
  <c r="I249" i="42" s="1"/>
  <c r="J250" i="42" s="1"/>
  <c r="K251" i="42" s="1"/>
  <c r="L252" i="42" s="1"/>
  <c r="M253" i="42" s="1"/>
  <c r="N254" i="42" s="1"/>
  <c r="C240" i="42"/>
  <c r="D241" i="42" s="1"/>
  <c r="E242" i="42" s="1"/>
  <c r="F243" i="42" s="1"/>
  <c r="G244" i="42" s="1"/>
  <c r="H245" i="42" s="1"/>
  <c r="I246" i="42" s="1"/>
  <c r="J247" i="42" s="1"/>
  <c r="K248" i="42" s="1"/>
  <c r="L249" i="42" s="1"/>
  <c r="M250" i="42" s="1"/>
  <c r="N251" i="42" s="1"/>
  <c r="C239" i="42"/>
  <c r="D240" i="42" s="1"/>
  <c r="E241" i="42" s="1"/>
  <c r="F242" i="42" s="1"/>
  <c r="G243" i="42" s="1"/>
  <c r="H244" i="42" s="1"/>
  <c r="I245" i="42" s="1"/>
  <c r="J246" i="42" s="1"/>
  <c r="K247" i="42" s="1"/>
  <c r="L248" i="42" s="1"/>
  <c r="M249" i="42" s="1"/>
  <c r="N250" i="42" s="1"/>
  <c r="C236" i="42"/>
  <c r="D237" i="42" s="1"/>
  <c r="E238" i="42" s="1"/>
  <c r="F239" i="42" s="1"/>
  <c r="G240" i="42" s="1"/>
  <c r="H241" i="42" s="1"/>
  <c r="I242" i="42" s="1"/>
  <c r="J243" i="42" s="1"/>
  <c r="K244" i="42" s="1"/>
  <c r="L245" i="42" s="1"/>
  <c r="M246" i="42" s="1"/>
  <c r="N247" i="42" s="1"/>
  <c r="C235" i="42"/>
  <c r="D236" i="42" s="1"/>
  <c r="E237" i="42" s="1"/>
  <c r="F238" i="42" s="1"/>
  <c r="G239" i="42" s="1"/>
  <c r="H240" i="42" s="1"/>
  <c r="I241" i="42" s="1"/>
  <c r="J242" i="42" s="1"/>
  <c r="K243" i="42" s="1"/>
  <c r="L244" i="42" s="1"/>
  <c r="M245" i="42" s="1"/>
  <c r="N246" i="42" s="1"/>
  <c r="C232" i="42"/>
  <c r="C231" i="42"/>
  <c r="D232" i="42" s="1"/>
  <c r="E233" i="42" s="1"/>
  <c r="F234" i="42" s="1"/>
  <c r="G235" i="42" s="1"/>
  <c r="H236" i="42" s="1"/>
  <c r="I237" i="42" s="1"/>
  <c r="J238" i="42" s="1"/>
  <c r="K239" i="42" s="1"/>
  <c r="L240" i="42" s="1"/>
  <c r="M241" i="42" s="1"/>
  <c r="N242" i="42" s="1"/>
  <c r="C227" i="42"/>
  <c r="D228" i="42" s="1"/>
  <c r="E229" i="42" s="1"/>
  <c r="F230" i="42" s="1"/>
  <c r="G231" i="42" s="1"/>
  <c r="H232" i="42" s="1"/>
  <c r="I233" i="42" s="1"/>
  <c r="J234" i="42" s="1"/>
  <c r="K235" i="42" s="1"/>
  <c r="L236" i="42" s="1"/>
  <c r="M237" i="42" s="1"/>
  <c r="N238" i="42" s="1"/>
  <c r="C223" i="42"/>
  <c r="D224" i="42" s="1"/>
  <c r="E225" i="42" s="1"/>
  <c r="F226" i="42" s="1"/>
  <c r="G227" i="42" s="1"/>
  <c r="H228" i="42" s="1"/>
  <c r="I229" i="42" s="1"/>
  <c r="J230" i="42" s="1"/>
  <c r="K231" i="42" s="1"/>
  <c r="L232" i="42" s="1"/>
  <c r="M233" i="42" s="1"/>
  <c r="N234" i="42" s="1"/>
  <c r="C220" i="42"/>
  <c r="D221" i="42" s="1"/>
  <c r="E222" i="42" s="1"/>
  <c r="F223" i="42" s="1"/>
  <c r="G224" i="42" s="1"/>
  <c r="H225" i="42" s="1"/>
  <c r="I226" i="42" s="1"/>
  <c r="J227" i="42" s="1"/>
  <c r="K228" i="42" s="1"/>
  <c r="L229" i="42" s="1"/>
  <c r="M230" i="42" s="1"/>
  <c r="N231" i="42" s="1"/>
  <c r="C219" i="42"/>
  <c r="D220" i="42" s="1"/>
  <c r="E221" i="42" s="1"/>
  <c r="F222" i="42" s="1"/>
  <c r="G223" i="42" s="1"/>
  <c r="H224" i="42" s="1"/>
  <c r="I225" i="42" s="1"/>
  <c r="J226" i="42" s="1"/>
  <c r="K227" i="42" s="1"/>
  <c r="L228" i="42" s="1"/>
  <c r="M229" i="42" s="1"/>
  <c r="N230" i="42" s="1"/>
  <c r="C216" i="42"/>
  <c r="D217" i="42" s="1"/>
  <c r="E218" i="42" s="1"/>
  <c r="F219" i="42" s="1"/>
  <c r="G220" i="42" s="1"/>
  <c r="H221" i="42" s="1"/>
  <c r="I222" i="42" s="1"/>
  <c r="J223" i="42" s="1"/>
  <c r="K224" i="42" s="1"/>
  <c r="L225" i="42" s="1"/>
  <c r="M226" i="42" s="1"/>
  <c r="N227" i="42" s="1"/>
  <c r="C212" i="42"/>
  <c r="D213" i="42" s="1"/>
  <c r="E214" i="42" s="1"/>
  <c r="F215" i="42" s="1"/>
  <c r="G216" i="42" s="1"/>
  <c r="H217" i="42" s="1"/>
  <c r="I218" i="42" s="1"/>
  <c r="J219" i="42" s="1"/>
  <c r="K220" i="42" s="1"/>
  <c r="L221" i="42" s="1"/>
  <c r="M222" i="42" s="1"/>
  <c r="N223" i="42" s="1"/>
  <c r="C211" i="42"/>
  <c r="D212" i="42" s="1"/>
  <c r="E213" i="42" s="1"/>
  <c r="F214" i="42" s="1"/>
  <c r="G215" i="42" s="1"/>
  <c r="H216" i="42" s="1"/>
  <c r="I217" i="42" s="1"/>
  <c r="J218" i="42" s="1"/>
  <c r="K219" i="42" s="1"/>
  <c r="L220" i="42" s="1"/>
  <c r="M221" i="42" s="1"/>
  <c r="N222" i="42" s="1"/>
  <c r="C208" i="42"/>
  <c r="D209" i="42" s="1"/>
  <c r="E210" i="42" s="1"/>
  <c r="F211" i="42" s="1"/>
  <c r="G212" i="42" s="1"/>
  <c r="H213" i="42" s="1"/>
  <c r="I214" i="42" s="1"/>
  <c r="J215" i="42" s="1"/>
  <c r="K216" i="42" s="1"/>
  <c r="L217" i="42" s="1"/>
  <c r="M218" i="42" s="1"/>
  <c r="N219" i="42" s="1"/>
  <c r="C207" i="42"/>
  <c r="D208" i="42" s="1"/>
  <c r="E209" i="42" s="1"/>
  <c r="F210" i="42" s="1"/>
  <c r="G211" i="42" s="1"/>
  <c r="H212" i="42" s="1"/>
  <c r="I213" i="42" s="1"/>
  <c r="J214" i="42" s="1"/>
  <c r="K215" i="42" s="1"/>
  <c r="L216" i="42" s="1"/>
  <c r="M217" i="42" s="1"/>
  <c r="N218" i="42" s="1"/>
  <c r="C204" i="42"/>
  <c r="D205" i="42" s="1"/>
  <c r="E206" i="42" s="1"/>
  <c r="F207" i="42" s="1"/>
  <c r="G208" i="42" s="1"/>
  <c r="H209" i="42" s="1"/>
  <c r="I210" i="42" s="1"/>
  <c r="J211" i="42" s="1"/>
  <c r="K212" i="42" s="1"/>
  <c r="L213" i="42" s="1"/>
  <c r="M214" i="42" s="1"/>
  <c r="N215" i="42" s="1"/>
  <c r="C203" i="42"/>
  <c r="D204" i="42" s="1"/>
  <c r="E205" i="42" s="1"/>
  <c r="F206" i="42" s="1"/>
  <c r="G207" i="42" s="1"/>
  <c r="H208" i="42" s="1"/>
  <c r="I209" i="42" s="1"/>
  <c r="J210" i="42" s="1"/>
  <c r="K211" i="42" s="1"/>
  <c r="L212" i="42" s="1"/>
  <c r="M213" i="42" s="1"/>
  <c r="N214" i="42" s="1"/>
  <c r="C200" i="42"/>
  <c r="D201" i="42" s="1"/>
  <c r="E202" i="42" s="1"/>
  <c r="F203" i="42" s="1"/>
  <c r="G204" i="42" s="1"/>
  <c r="H205" i="42" s="1"/>
  <c r="I206" i="42" s="1"/>
  <c r="J207" i="42" s="1"/>
  <c r="K208" i="42" s="1"/>
  <c r="L209" i="42" s="1"/>
  <c r="M210" i="42" s="1"/>
  <c r="N211" i="42" s="1"/>
  <c r="C199" i="42"/>
  <c r="D200" i="42" s="1"/>
  <c r="E201" i="42" s="1"/>
  <c r="F202" i="42" s="1"/>
  <c r="G203" i="42" s="1"/>
  <c r="H204" i="42" s="1"/>
  <c r="I205" i="42" s="1"/>
  <c r="J206" i="42" s="1"/>
  <c r="K207" i="42" s="1"/>
  <c r="L208" i="42" s="1"/>
  <c r="M209" i="42" s="1"/>
  <c r="N210" i="42" s="1"/>
  <c r="C195" i="42"/>
  <c r="D196" i="42" s="1"/>
  <c r="E197" i="42" s="1"/>
  <c r="F198" i="42" s="1"/>
  <c r="G199" i="42" s="1"/>
  <c r="H200" i="42" s="1"/>
  <c r="I201" i="42" s="1"/>
  <c r="J202" i="42" s="1"/>
  <c r="K203" i="42" s="1"/>
  <c r="L204" i="42" s="1"/>
  <c r="M205" i="42" s="1"/>
  <c r="N206" i="42" s="1"/>
  <c r="C191" i="42"/>
  <c r="D192" i="42" s="1"/>
  <c r="E193" i="42" s="1"/>
  <c r="F194" i="42" s="1"/>
  <c r="G195" i="42" s="1"/>
  <c r="H196" i="42" s="1"/>
  <c r="I197" i="42" s="1"/>
  <c r="J198" i="42" s="1"/>
  <c r="K199" i="42" s="1"/>
  <c r="L200" i="42" s="1"/>
  <c r="M201" i="42" s="1"/>
  <c r="N202" i="42" s="1"/>
  <c r="C188" i="42"/>
  <c r="D189" i="42" s="1"/>
  <c r="E190" i="42" s="1"/>
  <c r="F191" i="42" s="1"/>
  <c r="G192" i="42" s="1"/>
  <c r="H193" i="42" s="1"/>
  <c r="I194" i="42" s="1"/>
  <c r="J195" i="42" s="1"/>
  <c r="K196" i="42" s="1"/>
  <c r="L197" i="42" s="1"/>
  <c r="M198" i="42" s="1"/>
  <c r="N199" i="42" s="1"/>
  <c r="C187" i="42"/>
  <c r="D188" i="42" s="1"/>
  <c r="E189" i="42" s="1"/>
  <c r="F190" i="42" s="1"/>
  <c r="G191" i="42" s="1"/>
  <c r="H192" i="42" s="1"/>
  <c r="I193" i="42" s="1"/>
  <c r="J194" i="42" s="1"/>
  <c r="K195" i="42" s="1"/>
  <c r="L196" i="42" s="1"/>
  <c r="M197" i="42" s="1"/>
  <c r="N198" i="42" s="1"/>
  <c r="C184" i="42"/>
  <c r="D185" i="42" s="1"/>
  <c r="E186" i="42" s="1"/>
  <c r="F187" i="42" s="1"/>
  <c r="G188" i="42" s="1"/>
  <c r="H189" i="42" s="1"/>
  <c r="I190" i="42" s="1"/>
  <c r="J191" i="42" s="1"/>
  <c r="K192" i="42" s="1"/>
  <c r="L193" i="42" s="1"/>
  <c r="M194" i="42" s="1"/>
  <c r="N195" i="42" s="1"/>
  <c r="C183" i="42"/>
  <c r="D184" i="42" s="1"/>
  <c r="E185" i="42" s="1"/>
  <c r="F186" i="42" s="1"/>
  <c r="G187" i="42" s="1"/>
  <c r="H188" i="42" s="1"/>
  <c r="I189" i="42" s="1"/>
  <c r="J190" i="42" s="1"/>
  <c r="K191" i="42" s="1"/>
  <c r="L192" i="42" s="1"/>
  <c r="M193" i="42" s="1"/>
  <c r="N194" i="42" s="1"/>
  <c r="C180" i="42"/>
  <c r="D181" i="42" s="1"/>
  <c r="E182" i="42" s="1"/>
  <c r="F183" i="42" s="1"/>
  <c r="G184" i="42" s="1"/>
  <c r="H185" i="42" s="1"/>
  <c r="I186" i="42" s="1"/>
  <c r="J187" i="42" s="1"/>
  <c r="K188" i="42" s="1"/>
  <c r="L189" i="42" s="1"/>
  <c r="M190" i="42" s="1"/>
  <c r="N191" i="42" s="1"/>
  <c r="C179" i="42"/>
  <c r="D180" i="42" s="1"/>
  <c r="E181" i="42" s="1"/>
  <c r="F182" i="42" s="1"/>
  <c r="G183" i="42" s="1"/>
  <c r="H184" i="42" s="1"/>
  <c r="I185" i="42" s="1"/>
  <c r="J186" i="42" s="1"/>
  <c r="K187" i="42" s="1"/>
  <c r="L188" i="42" s="1"/>
  <c r="M189" i="42" s="1"/>
  <c r="N190" i="42" s="1"/>
  <c r="C176" i="42"/>
  <c r="D177" i="42" s="1"/>
  <c r="E178" i="42" s="1"/>
  <c r="F179" i="42" s="1"/>
  <c r="G180" i="42" s="1"/>
  <c r="H181" i="42" s="1"/>
  <c r="I182" i="42" s="1"/>
  <c r="J183" i="42" s="1"/>
  <c r="K184" i="42" s="1"/>
  <c r="L185" i="42" s="1"/>
  <c r="M186" i="42" s="1"/>
  <c r="N187" i="42" s="1"/>
  <c r="C175" i="42"/>
  <c r="D176" i="42" s="1"/>
  <c r="E177" i="42" s="1"/>
  <c r="F178" i="42" s="1"/>
  <c r="G179" i="42" s="1"/>
  <c r="H180" i="42" s="1"/>
  <c r="I181" i="42" s="1"/>
  <c r="J182" i="42" s="1"/>
  <c r="K183" i="42" s="1"/>
  <c r="L184" i="42" s="1"/>
  <c r="M185" i="42" s="1"/>
  <c r="N186" i="42" s="1"/>
  <c r="C172" i="42"/>
  <c r="D173" i="42" s="1"/>
  <c r="E174" i="42" s="1"/>
  <c r="F175" i="42" s="1"/>
  <c r="G176" i="42" s="1"/>
  <c r="H177" i="42" s="1"/>
  <c r="I178" i="42" s="1"/>
  <c r="J179" i="42" s="1"/>
  <c r="K180" i="42" s="1"/>
  <c r="L181" i="42" s="1"/>
  <c r="M182" i="42" s="1"/>
  <c r="N183" i="42" s="1"/>
  <c r="C171" i="42"/>
  <c r="D172" i="42" s="1"/>
  <c r="E173" i="42" s="1"/>
  <c r="F174" i="42" s="1"/>
  <c r="G175" i="42" s="1"/>
  <c r="H176" i="42" s="1"/>
  <c r="I177" i="42" s="1"/>
  <c r="J178" i="42" s="1"/>
  <c r="K179" i="42" s="1"/>
  <c r="L180" i="42" s="1"/>
  <c r="M181" i="42" s="1"/>
  <c r="N182" i="42" s="1"/>
  <c r="C168" i="42"/>
  <c r="D169" i="42" s="1"/>
  <c r="E170" i="42" s="1"/>
  <c r="F171" i="42" s="1"/>
  <c r="G172" i="42" s="1"/>
  <c r="H173" i="42" s="1"/>
  <c r="I174" i="42" s="1"/>
  <c r="J175" i="42" s="1"/>
  <c r="K176" i="42" s="1"/>
  <c r="L177" i="42" s="1"/>
  <c r="M178" i="42" s="1"/>
  <c r="N179" i="42" s="1"/>
  <c r="C167" i="42"/>
  <c r="D168" i="42" s="1"/>
  <c r="E169" i="42" s="1"/>
  <c r="F170" i="42" s="1"/>
  <c r="G171" i="42" s="1"/>
  <c r="H172" i="42" s="1"/>
  <c r="I173" i="42" s="1"/>
  <c r="J174" i="42" s="1"/>
  <c r="K175" i="42" s="1"/>
  <c r="L176" i="42" s="1"/>
  <c r="M177" i="42" s="1"/>
  <c r="N178" i="42" s="1"/>
  <c r="C163" i="42"/>
  <c r="D164" i="42" s="1"/>
  <c r="E165" i="42" s="1"/>
  <c r="F166" i="42" s="1"/>
  <c r="G167" i="42" s="1"/>
  <c r="H168" i="42" s="1"/>
  <c r="I169" i="42" s="1"/>
  <c r="J170" i="42" s="1"/>
  <c r="K171" i="42" s="1"/>
  <c r="L172" i="42" s="1"/>
  <c r="M173" i="42" s="1"/>
  <c r="N174" i="42" s="1"/>
  <c r="C159" i="42"/>
  <c r="D160" i="42" s="1"/>
  <c r="E161" i="42" s="1"/>
  <c r="F162" i="42" s="1"/>
  <c r="G163" i="42" s="1"/>
  <c r="H164" i="42" s="1"/>
  <c r="I165" i="42" s="1"/>
  <c r="J166" i="42" s="1"/>
  <c r="K167" i="42" s="1"/>
  <c r="L168" i="42" s="1"/>
  <c r="M169" i="42" s="1"/>
  <c r="N170" i="42" s="1"/>
  <c r="C156" i="42"/>
  <c r="D157" i="42" s="1"/>
  <c r="E158" i="42" s="1"/>
  <c r="F159" i="42" s="1"/>
  <c r="G160" i="42" s="1"/>
  <c r="H161" i="42" s="1"/>
  <c r="I162" i="42" s="1"/>
  <c r="J163" i="42" s="1"/>
  <c r="K164" i="42" s="1"/>
  <c r="L165" i="42" s="1"/>
  <c r="M166" i="42" s="1"/>
  <c r="N167" i="42" s="1"/>
  <c r="C152" i="42"/>
  <c r="D153" i="42" s="1"/>
  <c r="E154" i="42" s="1"/>
  <c r="F155" i="42" s="1"/>
  <c r="G156" i="42" s="1"/>
  <c r="H157" i="42" s="1"/>
  <c r="I158" i="42" s="1"/>
  <c r="J159" i="42" s="1"/>
  <c r="K160" i="42" s="1"/>
  <c r="L161" i="42" s="1"/>
  <c r="M162" i="42" s="1"/>
  <c r="N163" i="42" s="1"/>
  <c r="C151" i="42"/>
  <c r="D152" i="42" s="1"/>
  <c r="E153" i="42" s="1"/>
  <c r="F154" i="42" s="1"/>
  <c r="G155" i="42" s="1"/>
  <c r="H156" i="42" s="1"/>
  <c r="I157" i="42" s="1"/>
  <c r="J158" i="42" s="1"/>
  <c r="K159" i="42" s="1"/>
  <c r="L160" i="42" s="1"/>
  <c r="M161" i="42" s="1"/>
  <c r="N162" i="42" s="1"/>
  <c r="C147" i="42"/>
  <c r="D148" i="42" s="1"/>
  <c r="E149" i="42" s="1"/>
  <c r="F150" i="42" s="1"/>
  <c r="G151" i="42" s="1"/>
  <c r="H152" i="42" s="1"/>
  <c r="I153" i="42" s="1"/>
  <c r="J154" i="42" s="1"/>
  <c r="K155" i="42" s="1"/>
  <c r="L156" i="42" s="1"/>
  <c r="M157" i="42" s="1"/>
  <c r="N158" i="42" s="1"/>
  <c r="C143" i="42"/>
  <c r="D144" i="42" s="1"/>
  <c r="E145" i="42" s="1"/>
  <c r="F146" i="42" s="1"/>
  <c r="G147" i="42" s="1"/>
  <c r="H148" i="42" s="1"/>
  <c r="I149" i="42" s="1"/>
  <c r="J150" i="42" s="1"/>
  <c r="K151" i="42" s="1"/>
  <c r="L152" i="42" s="1"/>
  <c r="M153" i="42" s="1"/>
  <c r="N154" i="42" s="1"/>
  <c r="C139" i="42"/>
  <c r="D140" i="42" s="1"/>
  <c r="E141" i="42" s="1"/>
  <c r="F142" i="42" s="1"/>
  <c r="G143" i="42" s="1"/>
  <c r="H144" i="42" s="1"/>
  <c r="I145" i="42" s="1"/>
  <c r="J146" i="42" s="1"/>
  <c r="K147" i="42" s="1"/>
  <c r="L148" i="42" s="1"/>
  <c r="M149" i="42" s="1"/>
  <c r="N150" i="42" s="1"/>
  <c r="C136" i="42"/>
  <c r="D137" i="42" s="1"/>
  <c r="E138" i="42" s="1"/>
  <c r="F139" i="42" s="1"/>
  <c r="G140" i="42" s="1"/>
  <c r="H141" i="42" s="1"/>
  <c r="I142" i="42" s="1"/>
  <c r="J143" i="42" s="1"/>
  <c r="K144" i="42" s="1"/>
  <c r="L145" i="42" s="1"/>
  <c r="M146" i="42" s="1"/>
  <c r="N147" i="42" s="1"/>
  <c r="C131" i="42"/>
  <c r="D132" i="42" s="1"/>
  <c r="E133" i="42" s="1"/>
  <c r="F134" i="42" s="1"/>
  <c r="G135" i="42" s="1"/>
  <c r="H136" i="42" s="1"/>
  <c r="I137" i="42" s="1"/>
  <c r="J138" i="42" s="1"/>
  <c r="K139" i="42" s="1"/>
  <c r="L140" i="42" s="1"/>
  <c r="M141" i="42" s="1"/>
  <c r="N142" i="42" s="1"/>
  <c r="C128" i="42"/>
  <c r="D129" i="42" s="1"/>
  <c r="E130" i="42" s="1"/>
  <c r="F131" i="42" s="1"/>
  <c r="G132" i="42" s="1"/>
  <c r="H133" i="42" s="1"/>
  <c r="I134" i="42" s="1"/>
  <c r="J135" i="42" s="1"/>
  <c r="K136" i="42" s="1"/>
  <c r="L137" i="42" s="1"/>
  <c r="M138" i="42" s="1"/>
  <c r="N139" i="42" s="1"/>
  <c r="C127" i="42"/>
  <c r="D128" i="42" s="1"/>
  <c r="E129" i="42" s="1"/>
  <c r="F130" i="42" s="1"/>
  <c r="G131" i="42" s="1"/>
  <c r="H132" i="42" s="1"/>
  <c r="I133" i="42" s="1"/>
  <c r="J134" i="42" s="1"/>
  <c r="K135" i="42" s="1"/>
  <c r="L136" i="42" s="1"/>
  <c r="M137" i="42" s="1"/>
  <c r="N138" i="42" s="1"/>
  <c r="C123" i="42"/>
  <c r="D124" i="42" s="1"/>
  <c r="E125" i="42" s="1"/>
  <c r="F126" i="42" s="1"/>
  <c r="G127" i="42" s="1"/>
  <c r="H128" i="42" s="1"/>
  <c r="I129" i="42" s="1"/>
  <c r="J130" i="42" s="1"/>
  <c r="K131" i="42" s="1"/>
  <c r="L132" i="42" s="1"/>
  <c r="M133" i="42" s="1"/>
  <c r="N134" i="42" s="1"/>
  <c r="C120" i="42"/>
  <c r="D121" i="42" s="1"/>
  <c r="E122" i="42" s="1"/>
  <c r="F123" i="42" s="1"/>
  <c r="G124" i="42" s="1"/>
  <c r="H125" i="42" s="1"/>
  <c r="I126" i="42" s="1"/>
  <c r="J127" i="42" s="1"/>
  <c r="K128" i="42" s="1"/>
  <c r="L129" i="42" s="1"/>
  <c r="M130" i="42" s="1"/>
  <c r="N131" i="42" s="1"/>
  <c r="C119" i="42"/>
  <c r="D120" i="42" s="1"/>
  <c r="E121" i="42" s="1"/>
  <c r="F122" i="42" s="1"/>
  <c r="G123" i="42" s="1"/>
  <c r="H124" i="42" s="1"/>
  <c r="I125" i="42" s="1"/>
  <c r="J126" i="42" s="1"/>
  <c r="K127" i="42" s="1"/>
  <c r="L128" i="42" s="1"/>
  <c r="M129" i="42" s="1"/>
  <c r="N130" i="42" s="1"/>
  <c r="C115" i="42"/>
  <c r="D116" i="42" s="1"/>
  <c r="E117" i="42" s="1"/>
  <c r="F118" i="42" s="1"/>
  <c r="G119" i="42" s="1"/>
  <c r="H120" i="42" s="1"/>
  <c r="I121" i="42" s="1"/>
  <c r="J122" i="42" s="1"/>
  <c r="K123" i="42" s="1"/>
  <c r="L124" i="42" s="1"/>
  <c r="M125" i="42" s="1"/>
  <c r="N126" i="42" s="1"/>
  <c r="C112" i="42"/>
  <c r="D113" i="42" s="1"/>
  <c r="E114" i="42" s="1"/>
  <c r="F115" i="42" s="1"/>
  <c r="G116" i="42" s="1"/>
  <c r="H117" i="42" s="1"/>
  <c r="I118" i="42" s="1"/>
  <c r="J119" i="42" s="1"/>
  <c r="K120" i="42" s="1"/>
  <c r="L121" i="42" s="1"/>
  <c r="M122" i="42" s="1"/>
  <c r="N123" i="42" s="1"/>
  <c r="C111" i="42"/>
  <c r="D112" i="42" s="1"/>
  <c r="E113" i="42" s="1"/>
  <c r="F114" i="42" s="1"/>
  <c r="G115" i="42" s="1"/>
  <c r="H116" i="42" s="1"/>
  <c r="I117" i="42" s="1"/>
  <c r="J118" i="42" s="1"/>
  <c r="K119" i="42" s="1"/>
  <c r="L120" i="42" s="1"/>
  <c r="M121" i="42" s="1"/>
  <c r="N122" i="42" s="1"/>
  <c r="C107" i="42"/>
  <c r="D108" i="42" s="1"/>
  <c r="E109" i="42" s="1"/>
  <c r="F110" i="42" s="1"/>
  <c r="G111" i="42" s="1"/>
  <c r="H112" i="42" s="1"/>
  <c r="I113" i="42" s="1"/>
  <c r="J114" i="42" s="1"/>
  <c r="K115" i="42" s="1"/>
  <c r="L116" i="42" s="1"/>
  <c r="M117" i="42" s="1"/>
  <c r="N118" i="42" s="1"/>
  <c r="C104" i="42"/>
  <c r="D105" i="42" s="1"/>
  <c r="E106" i="42" s="1"/>
  <c r="F107" i="42" s="1"/>
  <c r="G108" i="42" s="1"/>
  <c r="H109" i="42" s="1"/>
  <c r="I110" i="42" s="1"/>
  <c r="J111" i="42" s="1"/>
  <c r="K112" i="42" s="1"/>
  <c r="L113" i="42" s="1"/>
  <c r="M114" i="42" s="1"/>
  <c r="N115" i="42" s="1"/>
  <c r="C99" i="42"/>
  <c r="D100" i="42" s="1"/>
  <c r="E101" i="42" s="1"/>
  <c r="F102" i="42" s="1"/>
  <c r="G103" i="42" s="1"/>
  <c r="H104" i="42" s="1"/>
  <c r="I105" i="42" s="1"/>
  <c r="J106" i="42" s="1"/>
  <c r="K107" i="42" s="1"/>
  <c r="L108" i="42" s="1"/>
  <c r="M109" i="42" s="1"/>
  <c r="N110" i="42" s="1"/>
  <c r="C96" i="42"/>
  <c r="D97" i="42" s="1"/>
  <c r="E98" i="42" s="1"/>
  <c r="F99" i="42" s="1"/>
  <c r="G100" i="42" s="1"/>
  <c r="H101" i="42" s="1"/>
  <c r="I102" i="42" s="1"/>
  <c r="J103" i="42" s="1"/>
  <c r="K104" i="42" s="1"/>
  <c r="L105" i="42" s="1"/>
  <c r="M106" i="42" s="1"/>
  <c r="N107" i="42" s="1"/>
  <c r="C95" i="42"/>
  <c r="D96" i="42" s="1"/>
  <c r="E97" i="42" s="1"/>
  <c r="F98" i="42" s="1"/>
  <c r="G99" i="42" s="1"/>
  <c r="H100" i="42" s="1"/>
  <c r="I101" i="42" s="1"/>
  <c r="J102" i="42" s="1"/>
  <c r="K103" i="42" s="1"/>
  <c r="L104" i="42" s="1"/>
  <c r="M105" i="42" s="1"/>
  <c r="N106" i="42" s="1"/>
  <c r="C91" i="42"/>
  <c r="D92" i="42" s="1"/>
  <c r="E93" i="42" s="1"/>
  <c r="F94" i="42" s="1"/>
  <c r="G95" i="42" s="1"/>
  <c r="H96" i="42" s="1"/>
  <c r="I97" i="42" s="1"/>
  <c r="J98" i="42" s="1"/>
  <c r="K99" i="42" s="1"/>
  <c r="L100" i="42" s="1"/>
  <c r="M101" i="42" s="1"/>
  <c r="N102" i="42" s="1"/>
  <c r="C88" i="42"/>
  <c r="D89" i="42" s="1"/>
  <c r="E90" i="42" s="1"/>
  <c r="F91" i="42" s="1"/>
  <c r="G92" i="42" s="1"/>
  <c r="H93" i="42" s="1"/>
  <c r="I94" i="42" s="1"/>
  <c r="J95" i="42" s="1"/>
  <c r="K96" i="42" s="1"/>
  <c r="L97" i="42" s="1"/>
  <c r="M98" i="42" s="1"/>
  <c r="N99" i="42" s="1"/>
  <c r="C87" i="42"/>
  <c r="D88" i="42" s="1"/>
  <c r="E89" i="42" s="1"/>
  <c r="F90" i="42" s="1"/>
  <c r="G91" i="42" s="1"/>
  <c r="H92" i="42" s="1"/>
  <c r="I93" i="42" s="1"/>
  <c r="J94" i="42" s="1"/>
  <c r="K95" i="42" s="1"/>
  <c r="L96" i="42" s="1"/>
  <c r="M97" i="42" s="1"/>
  <c r="N98" i="42" s="1"/>
  <c r="C83" i="42"/>
  <c r="D84" i="42" s="1"/>
  <c r="E85" i="42" s="1"/>
  <c r="F86" i="42" s="1"/>
  <c r="G87" i="42" s="1"/>
  <c r="H88" i="42" s="1"/>
  <c r="I89" i="42" s="1"/>
  <c r="J90" i="42" s="1"/>
  <c r="K91" i="42" s="1"/>
  <c r="L92" i="42" s="1"/>
  <c r="M93" i="42" s="1"/>
  <c r="N94" i="42" s="1"/>
  <c r="C80" i="42"/>
  <c r="D81" i="42" s="1"/>
  <c r="E82" i="42" s="1"/>
  <c r="F83" i="42" s="1"/>
  <c r="G84" i="42" s="1"/>
  <c r="H85" i="42" s="1"/>
  <c r="I86" i="42" s="1"/>
  <c r="J87" i="42" s="1"/>
  <c r="K88" i="42" s="1"/>
  <c r="L89" i="42" s="1"/>
  <c r="M90" i="42" s="1"/>
  <c r="N91" i="42" s="1"/>
  <c r="C76" i="42"/>
  <c r="D77" i="42" s="1"/>
  <c r="E78" i="42" s="1"/>
  <c r="F79" i="42" s="1"/>
  <c r="G80" i="42" s="1"/>
  <c r="H81" i="42" s="1"/>
  <c r="I82" i="42" s="1"/>
  <c r="J83" i="42" s="1"/>
  <c r="K84" i="42" s="1"/>
  <c r="L85" i="42" s="1"/>
  <c r="M86" i="42" s="1"/>
  <c r="N87" i="42" s="1"/>
  <c r="C75" i="42"/>
  <c r="D76" i="42" s="1"/>
  <c r="E77" i="42" s="1"/>
  <c r="F78" i="42" s="1"/>
  <c r="G79" i="42" s="1"/>
  <c r="H80" i="42" s="1"/>
  <c r="I81" i="42" s="1"/>
  <c r="J82" i="42" s="1"/>
  <c r="K83" i="42" s="1"/>
  <c r="L84" i="42" s="1"/>
  <c r="M85" i="42" s="1"/>
  <c r="N86" i="42" s="1"/>
  <c r="C72" i="42"/>
  <c r="D73" i="42" s="1"/>
  <c r="E74" i="42" s="1"/>
  <c r="F75" i="42" s="1"/>
  <c r="G76" i="42" s="1"/>
  <c r="H77" i="42" s="1"/>
  <c r="I78" i="42" s="1"/>
  <c r="J79" i="42" s="1"/>
  <c r="K80" i="42" s="1"/>
  <c r="L81" i="42" s="1"/>
  <c r="M82" i="42" s="1"/>
  <c r="N83" i="42" s="1"/>
  <c r="C71" i="42"/>
  <c r="D72" i="42" s="1"/>
  <c r="E73" i="42" s="1"/>
  <c r="F74" i="42" s="1"/>
  <c r="G75" i="42" s="1"/>
  <c r="H76" i="42" s="1"/>
  <c r="I77" i="42" s="1"/>
  <c r="J78" i="42" s="1"/>
  <c r="K79" i="42" s="1"/>
  <c r="L80" i="42" s="1"/>
  <c r="M81" i="42" s="1"/>
  <c r="N82" i="42" s="1"/>
  <c r="C68" i="42"/>
  <c r="D69" i="42" s="1"/>
  <c r="E70" i="42" s="1"/>
  <c r="F71" i="42" s="1"/>
  <c r="G72" i="42" s="1"/>
  <c r="H73" i="42" s="1"/>
  <c r="I74" i="42" s="1"/>
  <c r="J75" i="42" s="1"/>
  <c r="K76" i="42" s="1"/>
  <c r="L77" i="42" s="1"/>
  <c r="M78" i="42" s="1"/>
  <c r="N79" i="42" s="1"/>
  <c r="C67" i="42"/>
  <c r="D68" i="42" s="1"/>
  <c r="E69" i="42" s="1"/>
  <c r="F70" i="42" s="1"/>
  <c r="G71" i="42" s="1"/>
  <c r="H72" i="42" s="1"/>
  <c r="I73" i="42" s="1"/>
  <c r="J74" i="42" s="1"/>
  <c r="K75" i="42" s="1"/>
  <c r="L76" i="42" s="1"/>
  <c r="M77" i="42" s="1"/>
  <c r="N78" i="42" s="1"/>
  <c r="C64" i="42"/>
  <c r="D65" i="42" s="1"/>
  <c r="E66" i="42" s="1"/>
  <c r="F67" i="42" s="1"/>
  <c r="G68" i="42" s="1"/>
  <c r="H69" i="42" s="1"/>
  <c r="I70" i="42" s="1"/>
  <c r="J71" i="42" s="1"/>
  <c r="K72" i="42" s="1"/>
  <c r="L73" i="42" s="1"/>
  <c r="M74" i="42" s="1"/>
  <c r="N75" i="42" s="1"/>
  <c r="C63" i="42"/>
  <c r="D64" i="42" s="1"/>
  <c r="E65" i="42" s="1"/>
  <c r="F66" i="42" s="1"/>
  <c r="G67" i="42" s="1"/>
  <c r="H68" i="42" s="1"/>
  <c r="I69" i="42" s="1"/>
  <c r="J70" i="42" s="1"/>
  <c r="K71" i="42" s="1"/>
  <c r="L72" i="42" s="1"/>
  <c r="M73" i="42" s="1"/>
  <c r="N74" i="42" s="1"/>
  <c r="C60" i="42"/>
  <c r="D61" i="42" s="1"/>
  <c r="E62" i="42" s="1"/>
  <c r="F63" i="42" s="1"/>
  <c r="G64" i="42" s="1"/>
  <c r="H65" i="42" s="1"/>
  <c r="I66" i="42" s="1"/>
  <c r="J67" i="42" s="1"/>
  <c r="K68" i="42" s="1"/>
  <c r="L69" i="42" s="1"/>
  <c r="M70" i="42" s="1"/>
  <c r="N71" i="42" s="1"/>
  <c r="C59" i="42"/>
  <c r="D60" i="42" s="1"/>
  <c r="E61" i="42" s="1"/>
  <c r="F62" i="42" s="1"/>
  <c r="G63" i="42" s="1"/>
  <c r="H64" i="42" s="1"/>
  <c r="I65" i="42" s="1"/>
  <c r="J66" i="42" s="1"/>
  <c r="K67" i="42" s="1"/>
  <c r="L68" i="42" s="1"/>
  <c r="M69" i="42" s="1"/>
  <c r="N70" i="42" s="1"/>
  <c r="C56" i="42"/>
  <c r="D57" i="42" s="1"/>
  <c r="E58" i="42" s="1"/>
  <c r="F59" i="42" s="1"/>
  <c r="G60" i="42" s="1"/>
  <c r="H61" i="42" s="1"/>
  <c r="I62" i="42" s="1"/>
  <c r="J63" i="42" s="1"/>
  <c r="K64" i="42" s="1"/>
  <c r="L65" i="42" s="1"/>
  <c r="M66" i="42" s="1"/>
  <c r="N67" i="42" s="1"/>
  <c r="C55" i="42"/>
  <c r="D56" i="42" s="1"/>
  <c r="E57" i="42" s="1"/>
  <c r="F58" i="42" s="1"/>
  <c r="G59" i="42" s="1"/>
  <c r="H60" i="42" s="1"/>
  <c r="I61" i="42" s="1"/>
  <c r="J62" i="42" s="1"/>
  <c r="K63" i="42" s="1"/>
  <c r="L64" i="42" s="1"/>
  <c r="M65" i="42" s="1"/>
  <c r="N66" i="42" s="1"/>
  <c r="C52" i="42"/>
  <c r="D53" i="42" s="1"/>
  <c r="E54" i="42" s="1"/>
  <c r="F55" i="42" s="1"/>
  <c r="G56" i="42" s="1"/>
  <c r="H57" i="42" s="1"/>
  <c r="I58" i="42" s="1"/>
  <c r="J59" i="42" s="1"/>
  <c r="K60" i="42" s="1"/>
  <c r="L61" i="42" s="1"/>
  <c r="M62" i="42" s="1"/>
  <c r="N63" i="42" s="1"/>
  <c r="C51" i="42"/>
  <c r="D52" i="42" s="1"/>
  <c r="E53" i="42" s="1"/>
  <c r="F54" i="42" s="1"/>
  <c r="G55" i="42" s="1"/>
  <c r="H56" i="42" s="1"/>
  <c r="I57" i="42" s="1"/>
  <c r="J58" i="42" s="1"/>
  <c r="K59" i="42" s="1"/>
  <c r="L60" i="42" s="1"/>
  <c r="M61" i="42" s="1"/>
  <c r="N62" i="42" s="1"/>
  <c r="C48" i="42"/>
  <c r="D49" i="42" s="1"/>
  <c r="E50" i="42" s="1"/>
  <c r="F51" i="42" s="1"/>
  <c r="G52" i="42" s="1"/>
  <c r="H53" i="42" s="1"/>
  <c r="I54" i="42" s="1"/>
  <c r="J55" i="42" s="1"/>
  <c r="K56" i="42" s="1"/>
  <c r="L57" i="42" s="1"/>
  <c r="M58" i="42" s="1"/>
  <c r="N59" i="42" s="1"/>
  <c r="C47" i="42"/>
  <c r="D48" i="42" s="1"/>
  <c r="E49" i="42" s="1"/>
  <c r="F50" i="42" s="1"/>
  <c r="G51" i="42" s="1"/>
  <c r="H52" i="42" s="1"/>
  <c r="I53" i="42" s="1"/>
  <c r="J54" i="42" s="1"/>
  <c r="K55" i="42" s="1"/>
  <c r="L56" i="42" s="1"/>
  <c r="M57" i="42" s="1"/>
  <c r="N58" i="42" s="1"/>
  <c r="C44" i="42"/>
  <c r="D45" i="42" s="1"/>
  <c r="E46" i="42" s="1"/>
  <c r="F47" i="42" s="1"/>
  <c r="G48" i="42" s="1"/>
  <c r="H49" i="42" s="1"/>
  <c r="I50" i="42" s="1"/>
  <c r="J51" i="42" s="1"/>
  <c r="K52" i="42" s="1"/>
  <c r="L53" i="42" s="1"/>
  <c r="M54" i="42" s="1"/>
  <c r="N55" i="42" s="1"/>
  <c r="C43" i="42"/>
  <c r="D44" i="42" s="1"/>
  <c r="E45" i="42" s="1"/>
  <c r="F46" i="42" s="1"/>
  <c r="G47" i="42" s="1"/>
  <c r="H48" i="42" s="1"/>
  <c r="I49" i="42" s="1"/>
  <c r="J50" i="42" s="1"/>
  <c r="K51" i="42" s="1"/>
  <c r="L52" i="42" s="1"/>
  <c r="M53" i="42" s="1"/>
  <c r="N54" i="42" s="1"/>
  <c r="C40" i="42"/>
  <c r="D41" i="42" s="1"/>
  <c r="E42" i="42" s="1"/>
  <c r="F43" i="42" s="1"/>
  <c r="G44" i="42" s="1"/>
  <c r="H45" i="42" s="1"/>
  <c r="I46" i="42" s="1"/>
  <c r="J47" i="42" s="1"/>
  <c r="K48" i="42" s="1"/>
  <c r="L49" i="42" s="1"/>
  <c r="M50" i="42" s="1"/>
  <c r="N51" i="42" s="1"/>
  <c r="C36" i="42"/>
  <c r="D37" i="42" s="1"/>
  <c r="E38" i="42" s="1"/>
  <c r="F39" i="42" s="1"/>
  <c r="G40" i="42" s="1"/>
  <c r="H41" i="42" s="1"/>
  <c r="I42" i="42" s="1"/>
  <c r="J43" i="42" s="1"/>
  <c r="K44" i="42" s="1"/>
  <c r="L45" i="42" s="1"/>
  <c r="M46" i="42" s="1"/>
  <c r="N47" i="42" s="1"/>
  <c r="C35" i="42"/>
  <c r="D36" i="42" s="1"/>
  <c r="E37" i="42" s="1"/>
  <c r="F38" i="42" s="1"/>
  <c r="G39" i="42" s="1"/>
  <c r="H40" i="42" s="1"/>
  <c r="I41" i="42" s="1"/>
  <c r="J42" i="42" s="1"/>
  <c r="K43" i="42" s="1"/>
  <c r="L44" i="42" s="1"/>
  <c r="M45" i="42" s="1"/>
  <c r="N46" i="42" s="1"/>
  <c r="C32" i="42"/>
  <c r="C31" i="42"/>
  <c r="D32" i="42" s="1"/>
  <c r="E33" i="42" s="1"/>
  <c r="F34" i="42" s="1"/>
  <c r="G35" i="42" s="1"/>
  <c r="H36" i="42" s="1"/>
  <c r="I37" i="42" s="1"/>
  <c r="J38" i="42" s="1"/>
  <c r="K39" i="42" s="1"/>
  <c r="L40" i="42" s="1"/>
  <c r="M41" i="42" s="1"/>
  <c r="N42" i="42" s="1"/>
  <c r="C28" i="42"/>
  <c r="C27" i="42"/>
  <c r="D28" i="42" s="1"/>
  <c r="E29" i="42" s="1"/>
  <c r="F30" i="42" s="1"/>
  <c r="G31" i="42" s="1"/>
  <c r="H32" i="42" s="1"/>
  <c r="I33" i="42" s="1"/>
  <c r="J34" i="42" s="1"/>
  <c r="K35" i="42" s="1"/>
  <c r="L36" i="42" s="1"/>
  <c r="M37" i="42" s="1"/>
  <c r="N38" i="42" s="1"/>
  <c r="C24" i="42"/>
  <c r="D25" i="42" s="1"/>
  <c r="E26" i="42" s="1"/>
  <c r="F27" i="42" s="1"/>
  <c r="G28" i="42" s="1"/>
  <c r="H29" i="42" s="1"/>
  <c r="I30" i="42" s="1"/>
  <c r="J31" i="42" s="1"/>
  <c r="K32" i="42" s="1"/>
  <c r="L33" i="42" s="1"/>
  <c r="M34" i="42" s="1"/>
  <c r="N35" i="42" s="1"/>
  <c r="C20" i="42"/>
  <c r="D21" i="42" s="1"/>
  <c r="E22" i="42" s="1"/>
  <c r="F23" i="42" s="1"/>
  <c r="G24" i="42" s="1"/>
  <c r="H25" i="42" s="1"/>
  <c r="I26" i="42" s="1"/>
  <c r="J27" i="42" s="1"/>
  <c r="K28" i="42" s="1"/>
  <c r="L29" i="42" s="1"/>
  <c r="M30" i="42" s="1"/>
  <c r="N31" i="42" s="1"/>
  <c r="C19" i="42"/>
  <c r="D20" i="42" s="1"/>
  <c r="E21" i="42" s="1"/>
  <c r="F22" i="42" s="1"/>
  <c r="G23" i="42" s="1"/>
  <c r="H24" i="42" s="1"/>
  <c r="I25" i="42" s="1"/>
  <c r="J26" i="42" s="1"/>
  <c r="K27" i="42" s="1"/>
  <c r="L28" i="42" s="1"/>
  <c r="M29" i="42" s="1"/>
  <c r="N30" i="42" s="1"/>
  <c r="C16" i="42"/>
  <c r="C15" i="42"/>
  <c r="D16" i="42" s="1"/>
  <c r="E17" i="42" s="1"/>
  <c r="F18" i="42" s="1"/>
  <c r="G19" i="42" s="1"/>
  <c r="H20" i="42" s="1"/>
  <c r="I21" i="42" s="1"/>
  <c r="J22" i="42" s="1"/>
  <c r="K23" i="42" s="1"/>
  <c r="L24" i="42" s="1"/>
  <c r="M25" i="42" s="1"/>
  <c r="N26" i="42" s="1"/>
  <c r="C12" i="42"/>
  <c r="D13" i="42" s="1"/>
  <c r="E14" i="42" s="1"/>
  <c r="F15" i="42" s="1"/>
  <c r="G16" i="42" s="1"/>
  <c r="H17" i="42" s="1"/>
  <c r="I18" i="42" s="1"/>
  <c r="J19" i="42" s="1"/>
  <c r="K20" i="42" s="1"/>
  <c r="L21" i="42" s="1"/>
  <c r="M22" i="42" s="1"/>
  <c r="N23" i="42" s="1"/>
  <c r="C11" i="42"/>
  <c r="D12" i="42" s="1"/>
  <c r="E13" i="42" s="1"/>
  <c r="F14" i="42" s="1"/>
  <c r="G15" i="42" s="1"/>
  <c r="H16" i="42" s="1"/>
  <c r="I17" i="42" s="1"/>
  <c r="J18" i="42" s="1"/>
  <c r="K19" i="42" s="1"/>
  <c r="L20" i="42" s="1"/>
  <c r="M21" i="42" s="1"/>
  <c r="N22" i="42" s="1"/>
  <c r="C747" i="42"/>
  <c r="C746" i="42"/>
  <c r="D747" i="42" s="1"/>
  <c r="C745" i="42"/>
  <c r="D746" i="42" s="1"/>
  <c r="E747" i="42" s="1"/>
  <c r="C744" i="42"/>
  <c r="D745" i="42" s="1"/>
  <c r="E746" i="42" s="1"/>
  <c r="F747" i="42" s="1"/>
  <c r="C743" i="42"/>
  <c r="D744" i="42" s="1"/>
  <c r="E745" i="42" s="1"/>
  <c r="F746" i="42" s="1"/>
  <c r="G747" i="42" s="1"/>
  <c r="C742" i="42"/>
  <c r="D743" i="42" s="1"/>
  <c r="E744" i="42" s="1"/>
  <c r="F745" i="42" s="1"/>
  <c r="G746" i="42" s="1"/>
  <c r="H747" i="42" s="1"/>
  <c r="C741" i="42"/>
  <c r="D742" i="42" s="1"/>
  <c r="E743" i="42" s="1"/>
  <c r="F744" i="42" s="1"/>
  <c r="G745" i="42" s="1"/>
  <c r="H746" i="42" s="1"/>
  <c r="I747" i="42" s="1"/>
  <c r="G740" i="42"/>
  <c r="H741" i="42" s="1"/>
  <c r="I742" i="42" s="1"/>
  <c r="J743" i="42" s="1"/>
  <c r="K744" i="42" s="1"/>
  <c r="L745" i="42" s="1"/>
  <c r="M746" i="42" s="1"/>
  <c r="N747" i="42" s="1"/>
  <c r="C738" i="42"/>
  <c r="D739" i="42" s="1"/>
  <c r="E740" i="42" s="1"/>
  <c r="F741" i="42" s="1"/>
  <c r="G742" i="42" s="1"/>
  <c r="H743" i="42" s="1"/>
  <c r="I744" i="42" s="1"/>
  <c r="J745" i="42" s="1"/>
  <c r="K746" i="42" s="1"/>
  <c r="L747" i="42" s="1"/>
  <c r="C737" i="42"/>
  <c r="D738" i="42" s="1"/>
  <c r="E739" i="42" s="1"/>
  <c r="F740" i="42" s="1"/>
  <c r="G741" i="42" s="1"/>
  <c r="H742" i="42" s="1"/>
  <c r="I743" i="42" s="1"/>
  <c r="J744" i="42" s="1"/>
  <c r="K745" i="42" s="1"/>
  <c r="L746" i="42" s="1"/>
  <c r="M747" i="42" s="1"/>
  <c r="C734" i="42"/>
  <c r="D735" i="42" s="1"/>
  <c r="E736" i="42" s="1"/>
  <c r="F737" i="42" s="1"/>
  <c r="G738" i="42" s="1"/>
  <c r="H739" i="42" s="1"/>
  <c r="I740" i="42" s="1"/>
  <c r="J741" i="42" s="1"/>
  <c r="K742" i="42" s="1"/>
  <c r="L743" i="42" s="1"/>
  <c r="M744" i="42" s="1"/>
  <c r="N745" i="42" s="1"/>
  <c r="C733" i="42"/>
  <c r="D734" i="42" s="1"/>
  <c r="E735" i="42" s="1"/>
  <c r="F736" i="42" s="1"/>
  <c r="G737" i="42" s="1"/>
  <c r="H738" i="42" s="1"/>
  <c r="I739" i="42" s="1"/>
  <c r="J740" i="42" s="1"/>
  <c r="K741" i="42" s="1"/>
  <c r="L742" i="42" s="1"/>
  <c r="M743" i="42" s="1"/>
  <c r="N744" i="42" s="1"/>
  <c r="C730" i="42"/>
  <c r="D731" i="42" s="1"/>
  <c r="E732" i="42" s="1"/>
  <c r="F733" i="42" s="1"/>
  <c r="G734" i="42" s="1"/>
  <c r="H735" i="42" s="1"/>
  <c r="I736" i="42" s="1"/>
  <c r="J737" i="42" s="1"/>
  <c r="K738" i="42" s="1"/>
  <c r="L739" i="42" s="1"/>
  <c r="M740" i="42" s="1"/>
  <c r="N741" i="42" s="1"/>
  <c r="C729" i="42"/>
  <c r="D730" i="42" s="1"/>
  <c r="E731" i="42" s="1"/>
  <c r="F732" i="42" s="1"/>
  <c r="G733" i="42" s="1"/>
  <c r="H734" i="42" s="1"/>
  <c r="I735" i="42" s="1"/>
  <c r="J736" i="42" s="1"/>
  <c r="K737" i="42" s="1"/>
  <c r="L738" i="42" s="1"/>
  <c r="M739" i="42" s="1"/>
  <c r="N740" i="42" s="1"/>
  <c r="C726" i="42"/>
  <c r="D727" i="42" s="1"/>
  <c r="E728" i="42" s="1"/>
  <c r="F729" i="42" s="1"/>
  <c r="G730" i="42" s="1"/>
  <c r="H731" i="42" s="1"/>
  <c r="I732" i="42" s="1"/>
  <c r="J733" i="42" s="1"/>
  <c r="K734" i="42" s="1"/>
  <c r="L735" i="42" s="1"/>
  <c r="M736" i="42" s="1"/>
  <c r="N737" i="42" s="1"/>
  <c r="C725" i="42"/>
  <c r="D726" i="42" s="1"/>
  <c r="E727" i="42" s="1"/>
  <c r="F728" i="42" s="1"/>
  <c r="G729" i="42" s="1"/>
  <c r="H730" i="42" s="1"/>
  <c r="I731" i="42" s="1"/>
  <c r="J732" i="42" s="1"/>
  <c r="K733" i="42" s="1"/>
  <c r="L734" i="42" s="1"/>
  <c r="M735" i="42" s="1"/>
  <c r="N736" i="42" s="1"/>
  <c r="C722" i="42"/>
  <c r="D723" i="42" s="1"/>
  <c r="E724" i="42" s="1"/>
  <c r="F725" i="42" s="1"/>
  <c r="G726" i="42" s="1"/>
  <c r="H727" i="42" s="1"/>
  <c r="I728" i="42" s="1"/>
  <c r="J729" i="42" s="1"/>
  <c r="K730" i="42" s="1"/>
  <c r="L731" i="42" s="1"/>
  <c r="M732" i="42" s="1"/>
  <c r="N733" i="42" s="1"/>
  <c r="C721" i="42"/>
  <c r="D722" i="42" s="1"/>
  <c r="E723" i="42" s="1"/>
  <c r="F724" i="42" s="1"/>
  <c r="G725" i="42" s="1"/>
  <c r="H726" i="42" s="1"/>
  <c r="I727" i="42" s="1"/>
  <c r="J728" i="42" s="1"/>
  <c r="K729" i="42" s="1"/>
  <c r="L730" i="42" s="1"/>
  <c r="M731" i="42" s="1"/>
  <c r="N732" i="42" s="1"/>
  <c r="C718" i="42"/>
  <c r="D719" i="42" s="1"/>
  <c r="E720" i="42" s="1"/>
  <c r="F721" i="42" s="1"/>
  <c r="G722" i="42" s="1"/>
  <c r="H723" i="42" s="1"/>
  <c r="I724" i="42" s="1"/>
  <c r="J725" i="42" s="1"/>
  <c r="K726" i="42" s="1"/>
  <c r="L727" i="42" s="1"/>
  <c r="M728" i="42" s="1"/>
  <c r="N729" i="42" s="1"/>
  <c r="C717" i="42"/>
  <c r="D718" i="42" s="1"/>
  <c r="E719" i="42" s="1"/>
  <c r="F720" i="42" s="1"/>
  <c r="G721" i="42" s="1"/>
  <c r="H722" i="42" s="1"/>
  <c r="I723" i="42" s="1"/>
  <c r="J724" i="42" s="1"/>
  <c r="K725" i="42" s="1"/>
  <c r="L726" i="42" s="1"/>
  <c r="M727" i="42" s="1"/>
  <c r="N728" i="42" s="1"/>
  <c r="C714" i="42"/>
  <c r="D715" i="42" s="1"/>
  <c r="E716" i="42" s="1"/>
  <c r="F717" i="42" s="1"/>
  <c r="G718" i="42" s="1"/>
  <c r="H719" i="42" s="1"/>
  <c r="I720" i="42" s="1"/>
  <c r="J721" i="42" s="1"/>
  <c r="K722" i="42" s="1"/>
  <c r="L723" i="42" s="1"/>
  <c r="M724" i="42" s="1"/>
  <c r="N725" i="42" s="1"/>
  <c r="C713" i="42"/>
  <c r="D714" i="42" s="1"/>
  <c r="E715" i="42" s="1"/>
  <c r="F716" i="42" s="1"/>
  <c r="G717" i="42" s="1"/>
  <c r="H718" i="42" s="1"/>
  <c r="I719" i="42" s="1"/>
  <c r="J720" i="42" s="1"/>
  <c r="K721" i="42" s="1"/>
  <c r="L722" i="42" s="1"/>
  <c r="M723" i="42" s="1"/>
  <c r="N724" i="42" s="1"/>
  <c r="C710" i="42"/>
  <c r="D711" i="42" s="1"/>
  <c r="E712" i="42" s="1"/>
  <c r="F713" i="42" s="1"/>
  <c r="G714" i="42" s="1"/>
  <c r="H715" i="42" s="1"/>
  <c r="I716" i="42" s="1"/>
  <c r="J717" i="42" s="1"/>
  <c r="K718" i="42" s="1"/>
  <c r="L719" i="42" s="1"/>
  <c r="M720" i="42" s="1"/>
  <c r="N721" i="42" s="1"/>
  <c r="C709" i="42"/>
  <c r="D710" i="42" s="1"/>
  <c r="E711" i="42" s="1"/>
  <c r="F712" i="42" s="1"/>
  <c r="G713" i="42" s="1"/>
  <c r="H714" i="42" s="1"/>
  <c r="I715" i="42" s="1"/>
  <c r="J716" i="42" s="1"/>
  <c r="K717" i="42" s="1"/>
  <c r="L718" i="42" s="1"/>
  <c r="M719" i="42" s="1"/>
  <c r="N720" i="42" s="1"/>
  <c r="C706" i="42"/>
  <c r="D707" i="42" s="1"/>
  <c r="E708" i="42" s="1"/>
  <c r="F709" i="42" s="1"/>
  <c r="G710" i="42" s="1"/>
  <c r="H711" i="42" s="1"/>
  <c r="I712" i="42" s="1"/>
  <c r="J713" i="42" s="1"/>
  <c r="K714" i="42" s="1"/>
  <c r="L715" i="42" s="1"/>
  <c r="M716" i="42" s="1"/>
  <c r="N717" i="42" s="1"/>
  <c r="C705" i="42"/>
  <c r="D706" i="42" s="1"/>
  <c r="E707" i="42" s="1"/>
  <c r="F708" i="42" s="1"/>
  <c r="G709" i="42" s="1"/>
  <c r="H710" i="42" s="1"/>
  <c r="I711" i="42" s="1"/>
  <c r="J712" i="42" s="1"/>
  <c r="K713" i="42" s="1"/>
  <c r="L714" i="42" s="1"/>
  <c r="M715" i="42" s="1"/>
  <c r="N716" i="42" s="1"/>
  <c r="C702" i="42"/>
  <c r="D703" i="42" s="1"/>
  <c r="E704" i="42" s="1"/>
  <c r="F705" i="42" s="1"/>
  <c r="G706" i="42" s="1"/>
  <c r="H707" i="42" s="1"/>
  <c r="I708" i="42" s="1"/>
  <c r="J709" i="42" s="1"/>
  <c r="K710" i="42" s="1"/>
  <c r="L711" i="42" s="1"/>
  <c r="M712" i="42" s="1"/>
  <c r="N713" i="42" s="1"/>
  <c r="C701" i="42"/>
  <c r="D702" i="42" s="1"/>
  <c r="E703" i="42" s="1"/>
  <c r="F704" i="42" s="1"/>
  <c r="G705" i="42" s="1"/>
  <c r="H706" i="42" s="1"/>
  <c r="I707" i="42" s="1"/>
  <c r="J708" i="42" s="1"/>
  <c r="K709" i="42" s="1"/>
  <c r="L710" i="42" s="1"/>
  <c r="M711" i="42" s="1"/>
  <c r="N712" i="42" s="1"/>
  <c r="C698" i="42"/>
  <c r="D699" i="42" s="1"/>
  <c r="E700" i="42" s="1"/>
  <c r="F701" i="42" s="1"/>
  <c r="G702" i="42" s="1"/>
  <c r="H703" i="42" s="1"/>
  <c r="I704" i="42" s="1"/>
  <c r="J705" i="42" s="1"/>
  <c r="K706" i="42" s="1"/>
  <c r="L707" i="42" s="1"/>
  <c r="M708" i="42" s="1"/>
  <c r="N709" i="42" s="1"/>
  <c r="C697" i="42"/>
  <c r="D698" i="42" s="1"/>
  <c r="E699" i="42" s="1"/>
  <c r="F700" i="42" s="1"/>
  <c r="G701" i="42" s="1"/>
  <c r="H702" i="42" s="1"/>
  <c r="I703" i="42" s="1"/>
  <c r="J704" i="42" s="1"/>
  <c r="K705" i="42" s="1"/>
  <c r="L706" i="42" s="1"/>
  <c r="M707" i="42" s="1"/>
  <c r="N708" i="42" s="1"/>
  <c r="C694" i="42"/>
  <c r="D695" i="42" s="1"/>
  <c r="E696" i="42" s="1"/>
  <c r="F697" i="42" s="1"/>
  <c r="G698" i="42" s="1"/>
  <c r="H699" i="42" s="1"/>
  <c r="I700" i="42" s="1"/>
  <c r="J701" i="42" s="1"/>
  <c r="K702" i="42" s="1"/>
  <c r="L703" i="42" s="1"/>
  <c r="M704" i="42" s="1"/>
  <c r="N705" i="42" s="1"/>
  <c r="C693" i="42"/>
  <c r="D694" i="42" s="1"/>
  <c r="E695" i="42" s="1"/>
  <c r="F696" i="42" s="1"/>
  <c r="G697" i="42" s="1"/>
  <c r="H698" i="42" s="1"/>
  <c r="I699" i="42" s="1"/>
  <c r="J700" i="42" s="1"/>
  <c r="K701" i="42" s="1"/>
  <c r="L702" i="42" s="1"/>
  <c r="M703" i="42" s="1"/>
  <c r="N704" i="42" s="1"/>
  <c r="C690" i="42"/>
  <c r="D691" i="42" s="1"/>
  <c r="E692" i="42" s="1"/>
  <c r="F693" i="42" s="1"/>
  <c r="G694" i="42" s="1"/>
  <c r="H695" i="42" s="1"/>
  <c r="I696" i="42" s="1"/>
  <c r="J697" i="42" s="1"/>
  <c r="K698" i="42" s="1"/>
  <c r="L699" i="42" s="1"/>
  <c r="M700" i="42" s="1"/>
  <c r="N701" i="42" s="1"/>
  <c r="C689" i="42"/>
  <c r="D690" i="42" s="1"/>
  <c r="E691" i="42" s="1"/>
  <c r="F692" i="42" s="1"/>
  <c r="G693" i="42" s="1"/>
  <c r="H694" i="42" s="1"/>
  <c r="I695" i="42" s="1"/>
  <c r="J696" i="42" s="1"/>
  <c r="K697" i="42" s="1"/>
  <c r="L698" i="42" s="1"/>
  <c r="M699" i="42" s="1"/>
  <c r="N700" i="42" s="1"/>
  <c r="C686" i="42"/>
  <c r="D687" i="42" s="1"/>
  <c r="E688" i="42" s="1"/>
  <c r="F689" i="42" s="1"/>
  <c r="G690" i="42" s="1"/>
  <c r="H691" i="42" s="1"/>
  <c r="I692" i="42" s="1"/>
  <c r="J693" i="42" s="1"/>
  <c r="K694" i="42" s="1"/>
  <c r="L695" i="42" s="1"/>
  <c r="M696" i="42" s="1"/>
  <c r="N697" i="42" s="1"/>
  <c r="C685" i="42"/>
  <c r="D686" i="42" s="1"/>
  <c r="E687" i="42" s="1"/>
  <c r="F688" i="42" s="1"/>
  <c r="G689" i="42" s="1"/>
  <c r="H690" i="42" s="1"/>
  <c r="I691" i="42" s="1"/>
  <c r="J692" i="42" s="1"/>
  <c r="K693" i="42" s="1"/>
  <c r="L694" i="42" s="1"/>
  <c r="M695" i="42" s="1"/>
  <c r="N696" i="42" s="1"/>
  <c r="C682" i="42"/>
  <c r="D683" i="42" s="1"/>
  <c r="E684" i="42" s="1"/>
  <c r="F685" i="42" s="1"/>
  <c r="G686" i="42" s="1"/>
  <c r="H687" i="42" s="1"/>
  <c r="I688" i="42" s="1"/>
  <c r="J689" i="42" s="1"/>
  <c r="K690" i="42" s="1"/>
  <c r="L691" i="42" s="1"/>
  <c r="M692" i="42" s="1"/>
  <c r="N693" i="42" s="1"/>
  <c r="C681" i="42"/>
  <c r="D682" i="42" s="1"/>
  <c r="E683" i="42" s="1"/>
  <c r="F684" i="42" s="1"/>
  <c r="G685" i="42" s="1"/>
  <c r="H686" i="42" s="1"/>
  <c r="I687" i="42" s="1"/>
  <c r="J688" i="42" s="1"/>
  <c r="K689" i="42" s="1"/>
  <c r="L690" i="42" s="1"/>
  <c r="M691" i="42" s="1"/>
  <c r="N692" i="42" s="1"/>
  <c r="C678" i="42"/>
  <c r="D679" i="42" s="1"/>
  <c r="E680" i="42" s="1"/>
  <c r="F681" i="42" s="1"/>
  <c r="G682" i="42" s="1"/>
  <c r="H683" i="42" s="1"/>
  <c r="I684" i="42" s="1"/>
  <c r="J685" i="42" s="1"/>
  <c r="K686" i="42" s="1"/>
  <c r="L687" i="42" s="1"/>
  <c r="M688" i="42" s="1"/>
  <c r="N689" i="42" s="1"/>
  <c r="C677" i="42"/>
  <c r="D678" i="42" s="1"/>
  <c r="E679" i="42" s="1"/>
  <c r="F680" i="42" s="1"/>
  <c r="G681" i="42" s="1"/>
  <c r="H682" i="42" s="1"/>
  <c r="I683" i="42" s="1"/>
  <c r="J684" i="42" s="1"/>
  <c r="K685" i="42" s="1"/>
  <c r="L686" i="42" s="1"/>
  <c r="M687" i="42" s="1"/>
  <c r="N688" i="42" s="1"/>
  <c r="C674" i="42"/>
  <c r="D675" i="42" s="1"/>
  <c r="E676" i="42" s="1"/>
  <c r="F677" i="42" s="1"/>
  <c r="G678" i="42" s="1"/>
  <c r="H679" i="42" s="1"/>
  <c r="I680" i="42" s="1"/>
  <c r="J681" i="42" s="1"/>
  <c r="K682" i="42" s="1"/>
  <c r="L683" i="42" s="1"/>
  <c r="M684" i="42" s="1"/>
  <c r="N685" i="42" s="1"/>
  <c r="C673" i="42"/>
  <c r="D674" i="42" s="1"/>
  <c r="E675" i="42" s="1"/>
  <c r="F676" i="42" s="1"/>
  <c r="G677" i="42" s="1"/>
  <c r="H678" i="42" s="1"/>
  <c r="I679" i="42" s="1"/>
  <c r="J680" i="42" s="1"/>
  <c r="K681" i="42" s="1"/>
  <c r="L682" i="42" s="1"/>
  <c r="M683" i="42" s="1"/>
  <c r="N684" i="42" s="1"/>
  <c r="C670" i="42"/>
  <c r="D671" i="42" s="1"/>
  <c r="E672" i="42" s="1"/>
  <c r="F673" i="42" s="1"/>
  <c r="G674" i="42" s="1"/>
  <c r="H675" i="42" s="1"/>
  <c r="I676" i="42" s="1"/>
  <c r="J677" i="42" s="1"/>
  <c r="K678" i="42" s="1"/>
  <c r="L679" i="42" s="1"/>
  <c r="M680" i="42" s="1"/>
  <c r="N681" i="42" s="1"/>
  <c r="C669" i="42"/>
  <c r="D670" i="42" s="1"/>
  <c r="E671" i="42" s="1"/>
  <c r="F672" i="42" s="1"/>
  <c r="G673" i="42" s="1"/>
  <c r="H674" i="42" s="1"/>
  <c r="I675" i="42" s="1"/>
  <c r="J676" i="42" s="1"/>
  <c r="K677" i="42" s="1"/>
  <c r="L678" i="42" s="1"/>
  <c r="M679" i="42" s="1"/>
  <c r="N680" i="42" s="1"/>
  <c r="C666" i="42"/>
  <c r="D667" i="42" s="1"/>
  <c r="E668" i="42" s="1"/>
  <c r="F669" i="42" s="1"/>
  <c r="G670" i="42" s="1"/>
  <c r="H671" i="42" s="1"/>
  <c r="I672" i="42" s="1"/>
  <c r="J673" i="42" s="1"/>
  <c r="K674" i="42" s="1"/>
  <c r="L675" i="42" s="1"/>
  <c r="M676" i="42" s="1"/>
  <c r="N677" i="42" s="1"/>
  <c r="C665" i="42"/>
  <c r="D666" i="42" s="1"/>
  <c r="E667" i="42" s="1"/>
  <c r="F668" i="42" s="1"/>
  <c r="G669" i="42" s="1"/>
  <c r="H670" i="42" s="1"/>
  <c r="I671" i="42" s="1"/>
  <c r="J672" i="42" s="1"/>
  <c r="K673" i="42" s="1"/>
  <c r="L674" i="42" s="1"/>
  <c r="M675" i="42" s="1"/>
  <c r="N676" i="42" s="1"/>
  <c r="C662" i="42"/>
  <c r="D663" i="42" s="1"/>
  <c r="E664" i="42" s="1"/>
  <c r="F665" i="42" s="1"/>
  <c r="G666" i="42" s="1"/>
  <c r="H667" i="42" s="1"/>
  <c r="I668" i="42" s="1"/>
  <c r="J669" i="42" s="1"/>
  <c r="K670" i="42" s="1"/>
  <c r="L671" i="42" s="1"/>
  <c r="M672" i="42" s="1"/>
  <c r="N673" i="42" s="1"/>
  <c r="C661" i="42"/>
  <c r="D662" i="42" s="1"/>
  <c r="E663" i="42" s="1"/>
  <c r="F664" i="42" s="1"/>
  <c r="G665" i="42" s="1"/>
  <c r="H666" i="42" s="1"/>
  <c r="I667" i="42" s="1"/>
  <c r="J668" i="42" s="1"/>
  <c r="K669" i="42" s="1"/>
  <c r="L670" i="42" s="1"/>
  <c r="M671" i="42" s="1"/>
  <c r="N672" i="42" s="1"/>
  <c r="C658" i="42"/>
  <c r="D659" i="42" s="1"/>
  <c r="E660" i="42" s="1"/>
  <c r="F661" i="42" s="1"/>
  <c r="G662" i="42" s="1"/>
  <c r="H663" i="42" s="1"/>
  <c r="I664" i="42" s="1"/>
  <c r="J665" i="42" s="1"/>
  <c r="K666" i="42" s="1"/>
  <c r="L667" i="42" s="1"/>
  <c r="M668" i="42" s="1"/>
  <c r="N669" i="42" s="1"/>
  <c r="C657" i="42"/>
  <c r="D658" i="42" s="1"/>
  <c r="E659" i="42" s="1"/>
  <c r="F660" i="42" s="1"/>
  <c r="G661" i="42" s="1"/>
  <c r="H662" i="42" s="1"/>
  <c r="I663" i="42" s="1"/>
  <c r="J664" i="42" s="1"/>
  <c r="K665" i="42" s="1"/>
  <c r="L666" i="42" s="1"/>
  <c r="M667" i="42" s="1"/>
  <c r="N668" i="42" s="1"/>
  <c r="C654" i="42"/>
  <c r="D655" i="42" s="1"/>
  <c r="E656" i="42" s="1"/>
  <c r="F657" i="42" s="1"/>
  <c r="G658" i="42" s="1"/>
  <c r="H659" i="42" s="1"/>
  <c r="I660" i="42" s="1"/>
  <c r="J661" i="42" s="1"/>
  <c r="K662" i="42" s="1"/>
  <c r="L663" i="42" s="1"/>
  <c r="M664" i="42" s="1"/>
  <c r="N665" i="42" s="1"/>
  <c r="C653" i="42"/>
  <c r="D654" i="42" s="1"/>
  <c r="E655" i="42" s="1"/>
  <c r="F656" i="42" s="1"/>
  <c r="G657" i="42" s="1"/>
  <c r="H658" i="42" s="1"/>
  <c r="I659" i="42" s="1"/>
  <c r="J660" i="42" s="1"/>
  <c r="K661" i="42" s="1"/>
  <c r="L662" i="42" s="1"/>
  <c r="M663" i="42" s="1"/>
  <c r="N664" i="42" s="1"/>
  <c r="C652" i="42"/>
  <c r="D653" i="42" s="1"/>
  <c r="E654" i="42" s="1"/>
  <c r="F655" i="42" s="1"/>
  <c r="G656" i="42" s="1"/>
  <c r="H657" i="42" s="1"/>
  <c r="I658" i="42" s="1"/>
  <c r="J659" i="42" s="1"/>
  <c r="K660" i="42" s="1"/>
  <c r="L661" i="42" s="1"/>
  <c r="M662" i="42" s="1"/>
  <c r="N663" i="42" s="1"/>
  <c r="C650" i="42"/>
  <c r="D651" i="42" s="1"/>
  <c r="E652" i="42" s="1"/>
  <c r="F653" i="42" s="1"/>
  <c r="G654" i="42" s="1"/>
  <c r="H655" i="42" s="1"/>
  <c r="I656" i="42" s="1"/>
  <c r="J657" i="42" s="1"/>
  <c r="K658" i="42" s="1"/>
  <c r="L659" i="42" s="1"/>
  <c r="M660" i="42" s="1"/>
  <c r="N661" i="42" s="1"/>
  <c r="C649" i="42"/>
  <c r="D650" i="42" s="1"/>
  <c r="E651" i="42" s="1"/>
  <c r="F652" i="42" s="1"/>
  <c r="G653" i="42" s="1"/>
  <c r="H654" i="42" s="1"/>
  <c r="I655" i="42" s="1"/>
  <c r="J656" i="42" s="1"/>
  <c r="K657" i="42" s="1"/>
  <c r="L658" i="42" s="1"/>
  <c r="M659" i="42" s="1"/>
  <c r="N660" i="42" s="1"/>
  <c r="C646" i="42"/>
  <c r="D647" i="42" s="1"/>
  <c r="E648" i="42" s="1"/>
  <c r="F649" i="42" s="1"/>
  <c r="G650" i="42" s="1"/>
  <c r="H651" i="42" s="1"/>
  <c r="I652" i="42" s="1"/>
  <c r="J653" i="42" s="1"/>
  <c r="K654" i="42" s="1"/>
  <c r="L655" i="42" s="1"/>
  <c r="M656" i="42" s="1"/>
  <c r="N657" i="42" s="1"/>
  <c r="C645" i="42"/>
  <c r="D646" i="42" s="1"/>
  <c r="E647" i="42" s="1"/>
  <c r="F648" i="42" s="1"/>
  <c r="G649" i="42" s="1"/>
  <c r="H650" i="42" s="1"/>
  <c r="I651" i="42" s="1"/>
  <c r="J652" i="42" s="1"/>
  <c r="K653" i="42" s="1"/>
  <c r="L654" i="42" s="1"/>
  <c r="M655" i="42" s="1"/>
  <c r="N656" i="42" s="1"/>
  <c r="C642" i="42"/>
  <c r="D643" i="42" s="1"/>
  <c r="E644" i="42" s="1"/>
  <c r="F645" i="42" s="1"/>
  <c r="G646" i="42" s="1"/>
  <c r="H647" i="42" s="1"/>
  <c r="I648" i="42" s="1"/>
  <c r="J649" i="42" s="1"/>
  <c r="K650" i="42" s="1"/>
  <c r="L651" i="42" s="1"/>
  <c r="M652" i="42" s="1"/>
  <c r="N653" i="42" s="1"/>
  <c r="C641" i="42"/>
  <c r="D642" i="42" s="1"/>
  <c r="E643" i="42" s="1"/>
  <c r="F644" i="42" s="1"/>
  <c r="G645" i="42" s="1"/>
  <c r="H646" i="42" s="1"/>
  <c r="I647" i="42" s="1"/>
  <c r="J648" i="42" s="1"/>
  <c r="K649" i="42" s="1"/>
  <c r="L650" i="42" s="1"/>
  <c r="M651" i="42" s="1"/>
  <c r="N652" i="42" s="1"/>
  <c r="C638" i="42"/>
  <c r="D639" i="42" s="1"/>
  <c r="E640" i="42" s="1"/>
  <c r="F641" i="42" s="1"/>
  <c r="G642" i="42" s="1"/>
  <c r="H643" i="42" s="1"/>
  <c r="I644" i="42" s="1"/>
  <c r="J645" i="42" s="1"/>
  <c r="K646" i="42" s="1"/>
  <c r="L647" i="42" s="1"/>
  <c r="M648" i="42" s="1"/>
  <c r="N649" i="42" s="1"/>
  <c r="C637" i="42"/>
  <c r="D638" i="42" s="1"/>
  <c r="E639" i="42" s="1"/>
  <c r="F640" i="42" s="1"/>
  <c r="G641" i="42" s="1"/>
  <c r="H642" i="42" s="1"/>
  <c r="I643" i="42" s="1"/>
  <c r="J644" i="42" s="1"/>
  <c r="K645" i="42" s="1"/>
  <c r="L646" i="42" s="1"/>
  <c r="M647" i="42" s="1"/>
  <c r="N648" i="42" s="1"/>
  <c r="C634" i="42"/>
  <c r="D635" i="42" s="1"/>
  <c r="E636" i="42" s="1"/>
  <c r="F637" i="42" s="1"/>
  <c r="G638" i="42" s="1"/>
  <c r="H639" i="42" s="1"/>
  <c r="I640" i="42" s="1"/>
  <c r="J641" i="42" s="1"/>
  <c r="K642" i="42" s="1"/>
  <c r="L643" i="42" s="1"/>
  <c r="M644" i="42" s="1"/>
  <c r="N645" i="42" s="1"/>
  <c r="C633" i="42"/>
  <c r="D634" i="42" s="1"/>
  <c r="E635" i="42" s="1"/>
  <c r="F636" i="42" s="1"/>
  <c r="G637" i="42" s="1"/>
  <c r="H638" i="42" s="1"/>
  <c r="I639" i="42" s="1"/>
  <c r="J640" i="42" s="1"/>
  <c r="K641" i="42" s="1"/>
  <c r="L642" i="42" s="1"/>
  <c r="M643" i="42" s="1"/>
  <c r="N644" i="42" s="1"/>
  <c r="C630" i="42"/>
  <c r="D631" i="42" s="1"/>
  <c r="E632" i="42" s="1"/>
  <c r="F633" i="42" s="1"/>
  <c r="G634" i="42" s="1"/>
  <c r="H635" i="42" s="1"/>
  <c r="I636" i="42" s="1"/>
  <c r="J637" i="42" s="1"/>
  <c r="K638" i="42" s="1"/>
  <c r="L639" i="42" s="1"/>
  <c r="M640" i="42" s="1"/>
  <c r="N641" i="42" s="1"/>
  <c r="C629" i="42"/>
  <c r="D630" i="42" s="1"/>
  <c r="E631" i="42" s="1"/>
  <c r="F632" i="42" s="1"/>
  <c r="G633" i="42" s="1"/>
  <c r="H634" i="42" s="1"/>
  <c r="I635" i="42" s="1"/>
  <c r="J636" i="42" s="1"/>
  <c r="K637" i="42" s="1"/>
  <c r="L638" i="42" s="1"/>
  <c r="M639" i="42" s="1"/>
  <c r="N640" i="42" s="1"/>
  <c r="C626" i="42"/>
  <c r="D627" i="42" s="1"/>
  <c r="E628" i="42" s="1"/>
  <c r="F629" i="42" s="1"/>
  <c r="G630" i="42" s="1"/>
  <c r="H631" i="42" s="1"/>
  <c r="I632" i="42" s="1"/>
  <c r="J633" i="42" s="1"/>
  <c r="K634" i="42" s="1"/>
  <c r="L635" i="42" s="1"/>
  <c r="M636" i="42" s="1"/>
  <c r="N637" i="42" s="1"/>
  <c r="C625" i="42"/>
  <c r="D626" i="42" s="1"/>
  <c r="E627" i="42" s="1"/>
  <c r="F628" i="42" s="1"/>
  <c r="G629" i="42" s="1"/>
  <c r="H630" i="42" s="1"/>
  <c r="I631" i="42" s="1"/>
  <c r="J632" i="42" s="1"/>
  <c r="K633" i="42" s="1"/>
  <c r="L634" i="42" s="1"/>
  <c r="M635" i="42" s="1"/>
  <c r="N636" i="42" s="1"/>
  <c r="C622" i="42"/>
  <c r="D623" i="42" s="1"/>
  <c r="E624" i="42" s="1"/>
  <c r="F625" i="42" s="1"/>
  <c r="G626" i="42" s="1"/>
  <c r="H627" i="42" s="1"/>
  <c r="I628" i="42" s="1"/>
  <c r="J629" i="42" s="1"/>
  <c r="K630" i="42" s="1"/>
  <c r="L631" i="42" s="1"/>
  <c r="M632" i="42" s="1"/>
  <c r="N633" i="42" s="1"/>
  <c r="C621" i="42"/>
  <c r="D622" i="42" s="1"/>
  <c r="E623" i="42" s="1"/>
  <c r="F624" i="42" s="1"/>
  <c r="G625" i="42" s="1"/>
  <c r="H626" i="42" s="1"/>
  <c r="I627" i="42" s="1"/>
  <c r="J628" i="42" s="1"/>
  <c r="K629" i="42" s="1"/>
  <c r="L630" i="42" s="1"/>
  <c r="M631" i="42" s="1"/>
  <c r="N632" i="42" s="1"/>
  <c r="C618" i="42"/>
  <c r="D619" i="42" s="1"/>
  <c r="E620" i="42" s="1"/>
  <c r="F621" i="42" s="1"/>
  <c r="G622" i="42" s="1"/>
  <c r="H623" i="42" s="1"/>
  <c r="I624" i="42" s="1"/>
  <c r="J625" i="42" s="1"/>
  <c r="K626" i="42" s="1"/>
  <c r="L627" i="42" s="1"/>
  <c r="M628" i="42" s="1"/>
  <c r="N629" i="42" s="1"/>
  <c r="C617" i="42"/>
  <c r="D618" i="42" s="1"/>
  <c r="E619" i="42" s="1"/>
  <c r="F620" i="42" s="1"/>
  <c r="G621" i="42" s="1"/>
  <c r="H622" i="42" s="1"/>
  <c r="I623" i="42" s="1"/>
  <c r="J624" i="42" s="1"/>
  <c r="K625" i="42" s="1"/>
  <c r="L626" i="42" s="1"/>
  <c r="M627" i="42" s="1"/>
  <c r="N628" i="42" s="1"/>
  <c r="C614" i="42"/>
  <c r="D615" i="42" s="1"/>
  <c r="E616" i="42" s="1"/>
  <c r="F617" i="42" s="1"/>
  <c r="G618" i="42" s="1"/>
  <c r="H619" i="42" s="1"/>
  <c r="I620" i="42" s="1"/>
  <c r="J621" i="42" s="1"/>
  <c r="K622" i="42" s="1"/>
  <c r="L623" i="42" s="1"/>
  <c r="M624" i="42" s="1"/>
  <c r="N625" i="42" s="1"/>
  <c r="C613" i="42"/>
  <c r="D614" i="42" s="1"/>
  <c r="E615" i="42" s="1"/>
  <c r="F616" i="42" s="1"/>
  <c r="G617" i="42" s="1"/>
  <c r="H618" i="42" s="1"/>
  <c r="I619" i="42" s="1"/>
  <c r="J620" i="42" s="1"/>
  <c r="K621" i="42" s="1"/>
  <c r="L622" i="42" s="1"/>
  <c r="M623" i="42" s="1"/>
  <c r="N624" i="42" s="1"/>
  <c r="C610" i="42"/>
  <c r="D611" i="42" s="1"/>
  <c r="E612" i="42" s="1"/>
  <c r="F613" i="42" s="1"/>
  <c r="G614" i="42" s="1"/>
  <c r="H615" i="42" s="1"/>
  <c r="I616" i="42" s="1"/>
  <c r="J617" i="42" s="1"/>
  <c r="K618" i="42" s="1"/>
  <c r="L619" i="42" s="1"/>
  <c r="M620" i="42" s="1"/>
  <c r="N621" i="42" s="1"/>
  <c r="C609" i="42"/>
  <c r="D610" i="42" s="1"/>
  <c r="E611" i="42" s="1"/>
  <c r="F612" i="42" s="1"/>
  <c r="G613" i="42" s="1"/>
  <c r="H614" i="42" s="1"/>
  <c r="I615" i="42" s="1"/>
  <c r="J616" i="42" s="1"/>
  <c r="K617" i="42" s="1"/>
  <c r="L618" i="42" s="1"/>
  <c r="M619" i="42" s="1"/>
  <c r="N620" i="42" s="1"/>
  <c r="C606" i="42"/>
  <c r="D607" i="42" s="1"/>
  <c r="E608" i="42" s="1"/>
  <c r="F609" i="42" s="1"/>
  <c r="G610" i="42" s="1"/>
  <c r="H611" i="42" s="1"/>
  <c r="I612" i="42" s="1"/>
  <c r="J613" i="42" s="1"/>
  <c r="K614" i="42" s="1"/>
  <c r="L615" i="42" s="1"/>
  <c r="M616" i="42" s="1"/>
  <c r="N617" i="42" s="1"/>
  <c r="C605" i="42"/>
  <c r="D606" i="42" s="1"/>
  <c r="E607" i="42" s="1"/>
  <c r="F608" i="42" s="1"/>
  <c r="G609" i="42" s="1"/>
  <c r="H610" i="42" s="1"/>
  <c r="I611" i="42" s="1"/>
  <c r="J612" i="42" s="1"/>
  <c r="K613" i="42" s="1"/>
  <c r="L614" i="42" s="1"/>
  <c r="M615" i="42" s="1"/>
  <c r="N616" i="42" s="1"/>
  <c r="C602" i="42"/>
  <c r="D603" i="42" s="1"/>
  <c r="E604" i="42" s="1"/>
  <c r="F605" i="42" s="1"/>
  <c r="G606" i="42" s="1"/>
  <c r="H607" i="42" s="1"/>
  <c r="I608" i="42" s="1"/>
  <c r="J609" i="42" s="1"/>
  <c r="K610" i="42" s="1"/>
  <c r="L611" i="42" s="1"/>
  <c r="M612" i="42" s="1"/>
  <c r="N613" i="42" s="1"/>
  <c r="C601" i="42"/>
  <c r="D602" i="42" s="1"/>
  <c r="E603" i="42" s="1"/>
  <c r="F604" i="42" s="1"/>
  <c r="G605" i="42" s="1"/>
  <c r="H606" i="42" s="1"/>
  <c r="I607" i="42" s="1"/>
  <c r="J608" i="42" s="1"/>
  <c r="K609" i="42" s="1"/>
  <c r="L610" i="42" s="1"/>
  <c r="M611" i="42" s="1"/>
  <c r="N612" i="42" s="1"/>
  <c r="C598" i="42"/>
  <c r="D599" i="42" s="1"/>
  <c r="E600" i="42" s="1"/>
  <c r="F601" i="42" s="1"/>
  <c r="G602" i="42" s="1"/>
  <c r="H603" i="42" s="1"/>
  <c r="I604" i="42" s="1"/>
  <c r="J605" i="42" s="1"/>
  <c r="K606" i="42" s="1"/>
  <c r="L607" i="42" s="1"/>
  <c r="M608" i="42" s="1"/>
  <c r="N609" i="42" s="1"/>
  <c r="C597" i="42"/>
  <c r="D598" i="42" s="1"/>
  <c r="E599" i="42" s="1"/>
  <c r="F600" i="42" s="1"/>
  <c r="G601" i="42" s="1"/>
  <c r="H602" i="42" s="1"/>
  <c r="I603" i="42" s="1"/>
  <c r="J604" i="42" s="1"/>
  <c r="K605" i="42" s="1"/>
  <c r="L606" i="42" s="1"/>
  <c r="M607" i="42" s="1"/>
  <c r="N608" i="42" s="1"/>
  <c r="F596" i="42"/>
  <c r="G597" i="42" s="1"/>
  <c r="H598" i="42" s="1"/>
  <c r="I599" i="42" s="1"/>
  <c r="J600" i="42" s="1"/>
  <c r="K601" i="42" s="1"/>
  <c r="L602" i="42" s="1"/>
  <c r="M603" i="42" s="1"/>
  <c r="N604" i="42" s="1"/>
  <c r="C594" i="42"/>
  <c r="D595" i="42" s="1"/>
  <c r="E596" i="42" s="1"/>
  <c r="F597" i="42" s="1"/>
  <c r="G598" i="42" s="1"/>
  <c r="H599" i="42" s="1"/>
  <c r="I600" i="42" s="1"/>
  <c r="J601" i="42" s="1"/>
  <c r="K602" i="42" s="1"/>
  <c r="L603" i="42" s="1"/>
  <c r="M604" i="42" s="1"/>
  <c r="N605" i="42" s="1"/>
  <c r="C593" i="42"/>
  <c r="D594" i="42" s="1"/>
  <c r="E595" i="42" s="1"/>
  <c r="C592" i="42"/>
  <c r="D593" i="42" s="1"/>
  <c r="E594" i="42" s="1"/>
  <c r="F595" i="42" s="1"/>
  <c r="G596" i="42" s="1"/>
  <c r="H597" i="42" s="1"/>
  <c r="I598" i="42" s="1"/>
  <c r="J599" i="42" s="1"/>
  <c r="K600" i="42" s="1"/>
  <c r="L601" i="42" s="1"/>
  <c r="M602" i="42" s="1"/>
  <c r="N603" i="42" s="1"/>
  <c r="C590" i="42"/>
  <c r="D591" i="42" s="1"/>
  <c r="E592" i="42" s="1"/>
  <c r="F593" i="42" s="1"/>
  <c r="G594" i="42" s="1"/>
  <c r="H595" i="42" s="1"/>
  <c r="I596" i="42" s="1"/>
  <c r="J597" i="42" s="1"/>
  <c r="K598" i="42" s="1"/>
  <c r="L599" i="42" s="1"/>
  <c r="M600" i="42" s="1"/>
  <c r="N601" i="42" s="1"/>
  <c r="C589" i="42"/>
  <c r="D590" i="42" s="1"/>
  <c r="E591" i="42" s="1"/>
  <c r="F592" i="42" s="1"/>
  <c r="G593" i="42" s="1"/>
  <c r="H594" i="42" s="1"/>
  <c r="I595" i="42" s="1"/>
  <c r="J596" i="42" s="1"/>
  <c r="K597" i="42" s="1"/>
  <c r="L598" i="42" s="1"/>
  <c r="M599" i="42" s="1"/>
  <c r="N600" i="42" s="1"/>
  <c r="C586" i="42"/>
  <c r="D587" i="42" s="1"/>
  <c r="E588" i="42" s="1"/>
  <c r="F589" i="42" s="1"/>
  <c r="G590" i="42" s="1"/>
  <c r="H591" i="42" s="1"/>
  <c r="I592" i="42" s="1"/>
  <c r="J593" i="42" s="1"/>
  <c r="K594" i="42" s="1"/>
  <c r="L595" i="42" s="1"/>
  <c r="M596" i="42" s="1"/>
  <c r="N597" i="42" s="1"/>
  <c r="C585" i="42"/>
  <c r="D586" i="42" s="1"/>
  <c r="E587" i="42" s="1"/>
  <c r="F588" i="42" s="1"/>
  <c r="G589" i="42" s="1"/>
  <c r="H590" i="42" s="1"/>
  <c r="I591" i="42" s="1"/>
  <c r="J592" i="42" s="1"/>
  <c r="K593" i="42" s="1"/>
  <c r="L594" i="42" s="1"/>
  <c r="M595" i="42" s="1"/>
  <c r="N596" i="42" s="1"/>
  <c r="C582" i="42"/>
  <c r="D583" i="42" s="1"/>
  <c r="E584" i="42" s="1"/>
  <c r="F585" i="42" s="1"/>
  <c r="G586" i="42" s="1"/>
  <c r="H587" i="42" s="1"/>
  <c r="I588" i="42" s="1"/>
  <c r="J589" i="42" s="1"/>
  <c r="K590" i="42" s="1"/>
  <c r="L591" i="42" s="1"/>
  <c r="M592" i="42" s="1"/>
  <c r="N593" i="42" s="1"/>
  <c r="C581" i="42"/>
  <c r="D582" i="42" s="1"/>
  <c r="E583" i="42" s="1"/>
  <c r="F584" i="42" s="1"/>
  <c r="G585" i="42" s="1"/>
  <c r="H586" i="42" s="1"/>
  <c r="I587" i="42" s="1"/>
  <c r="J588" i="42" s="1"/>
  <c r="K589" i="42" s="1"/>
  <c r="L590" i="42" s="1"/>
  <c r="M591" i="42" s="1"/>
  <c r="N592" i="42" s="1"/>
  <c r="C578" i="42"/>
  <c r="D579" i="42" s="1"/>
  <c r="E580" i="42" s="1"/>
  <c r="F581" i="42" s="1"/>
  <c r="G582" i="42" s="1"/>
  <c r="H583" i="42" s="1"/>
  <c r="I584" i="42" s="1"/>
  <c r="J585" i="42" s="1"/>
  <c r="K586" i="42" s="1"/>
  <c r="L587" i="42" s="1"/>
  <c r="M588" i="42" s="1"/>
  <c r="N589" i="42" s="1"/>
  <c r="C577" i="42"/>
  <c r="D578" i="42" s="1"/>
  <c r="E579" i="42" s="1"/>
  <c r="F580" i="42" s="1"/>
  <c r="G581" i="42" s="1"/>
  <c r="H582" i="42" s="1"/>
  <c r="I583" i="42" s="1"/>
  <c r="J584" i="42" s="1"/>
  <c r="K585" i="42" s="1"/>
  <c r="L586" i="42" s="1"/>
  <c r="M587" i="42" s="1"/>
  <c r="N588" i="42" s="1"/>
  <c r="E575" i="42"/>
  <c r="F576" i="42" s="1"/>
  <c r="G577" i="42" s="1"/>
  <c r="H578" i="42" s="1"/>
  <c r="I579" i="42" s="1"/>
  <c r="J580" i="42" s="1"/>
  <c r="K581" i="42" s="1"/>
  <c r="L582" i="42" s="1"/>
  <c r="M583" i="42" s="1"/>
  <c r="N584" i="42" s="1"/>
  <c r="C574" i="42"/>
  <c r="D575" i="42" s="1"/>
  <c r="E576" i="42" s="1"/>
  <c r="F577" i="42" s="1"/>
  <c r="G578" i="42" s="1"/>
  <c r="H579" i="42" s="1"/>
  <c r="I580" i="42" s="1"/>
  <c r="J581" i="42" s="1"/>
  <c r="K582" i="42" s="1"/>
  <c r="L583" i="42" s="1"/>
  <c r="M584" i="42" s="1"/>
  <c r="N585" i="42" s="1"/>
  <c r="C573" i="42"/>
  <c r="D574" i="42" s="1"/>
  <c r="E571" i="42"/>
  <c r="F572" i="42" s="1"/>
  <c r="G573" i="42" s="1"/>
  <c r="H574" i="42" s="1"/>
  <c r="I575" i="42" s="1"/>
  <c r="J576" i="42" s="1"/>
  <c r="K577" i="42" s="1"/>
  <c r="L578" i="42" s="1"/>
  <c r="M579" i="42" s="1"/>
  <c r="N580" i="42" s="1"/>
  <c r="C570" i="42"/>
  <c r="D571" i="42" s="1"/>
  <c r="E572" i="42" s="1"/>
  <c r="F573" i="42" s="1"/>
  <c r="G574" i="42" s="1"/>
  <c r="H575" i="42" s="1"/>
  <c r="I576" i="42" s="1"/>
  <c r="J577" i="42" s="1"/>
  <c r="K578" i="42" s="1"/>
  <c r="L579" i="42" s="1"/>
  <c r="M580" i="42" s="1"/>
  <c r="N581" i="42" s="1"/>
  <c r="C569" i="42"/>
  <c r="D570" i="42" s="1"/>
  <c r="C567" i="42"/>
  <c r="D568" i="42" s="1"/>
  <c r="E569" i="42" s="1"/>
  <c r="F570" i="42" s="1"/>
  <c r="G571" i="42" s="1"/>
  <c r="H572" i="42" s="1"/>
  <c r="I573" i="42" s="1"/>
  <c r="J574" i="42" s="1"/>
  <c r="K575" i="42" s="1"/>
  <c r="L576" i="42" s="1"/>
  <c r="M577" i="42" s="1"/>
  <c r="N578" i="42" s="1"/>
  <c r="C566" i="42"/>
  <c r="D567" i="42" s="1"/>
  <c r="E568" i="42" s="1"/>
  <c r="F569" i="42" s="1"/>
  <c r="G570" i="42" s="1"/>
  <c r="H571" i="42" s="1"/>
  <c r="I572" i="42" s="1"/>
  <c r="J573" i="42" s="1"/>
  <c r="K574" i="42" s="1"/>
  <c r="L575" i="42" s="1"/>
  <c r="M576" i="42" s="1"/>
  <c r="N577" i="42" s="1"/>
  <c r="C565" i="42"/>
  <c r="D566" i="42" s="1"/>
  <c r="E567" i="42" s="1"/>
  <c r="F568" i="42" s="1"/>
  <c r="G569" i="42" s="1"/>
  <c r="H570" i="42" s="1"/>
  <c r="I571" i="42" s="1"/>
  <c r="J572" i="42" s="1"/>
  <c r="K573" i="42" s="1"/>
  <c r="L574" i="42" s="1"/>
  <c r="M575" i="42" s="1"/>
  <c r="N576" i="42" s="1"/>
  <c r="C562" i="42"/>
  <c r="D563" i="42" s="1"/>
  <c r="E564" i="42" s="1"/>
  <c r="F565" i="42" s="1"/>
  <c r="G566" i="42" s="1"/>
  <c r="H567" i="42" s="1"/>
  <c r="I568" i="42" s="1"/>
  <c r="J569" i="42" s="1"/>
  <c r="K570" i="42" s="1"/>
  <c r="L571" i="42" s="1"/>
  <c r="M572" i="42" s="1"/>
  <c r="N573" i="42" s="1"/>
  <c r="C561" i="42"/>
  <c r="D562" i="42" s="1"/>
  <c r="E563" i="42" s="1"/>
  <c r="F564" i="42" s="1"/>
  <c r="G565" i="42" s="1"/>
  <c r="H566" i="42" s="1"/>
  <c r="I567" i="42" s="1"/>
  <c r="J568" i="42" s="1"/>
  <c r="K569" i="42" s="1"/>
  <c r="L570" i="42" s="1"/>
  <c r="M571" i="42" s="1"/>
  <c r="N572" i="42" s="1"/>
  <c r="E559" i="42"/>
  <c r="F560" i="42" s="1"/>
  <c r="G561" i="42" s="1"/>
  <c r="H562" i="42" s="1"/>
  <c r="I563" i="42" s="1"/>
  <c r="J564" i="42" s="1"/>
  <c r="K565" i="42" s="1"/>
  <c r="L566" i="42" s="1"/>
  <c r="M567" i="42" s="1"/>
  <c r="N568" i="42" s="1"/>
  <c r="C558" i="42"/>
  <c r="D559" i="42" s="1"/>
  <c r="E560" i="42" s="1"/>
  <c r="F561" i="42" s="1"/>
  <c r="G562" i="42" s="1"/>
  <c r="H563" i="42" s="1"/>
  <c r="I564" i="42" s="1"/>
  <c r="J565" i="42" s="1"/>
  <c r="K566" i="42" s="1"/>
  <c r="L567" i="42" s="1"/>
  <c r="M568" i="42" s="1"/>
  <c r="N569" i="42" s="1"/>
  <c r="C557" i="42"/>
  <c r="D558" i="42" s="1"/>
  <c r="C556" i="42"/>
  <c r="D557" i="42" s="1"/>
  <c r="E558" i="42" s="1"/>
  <c r="F559" i="42" s="1"/>
  <c r="G560" i="42" s="1"/>
  <c r="H561" i="42" s="1"/>
  <c r="I562" i="42" s="1"/>
  <c r="J563" i="42" s="1"/>
  <c r="K564" i="42" s="1"/>
  <c r="L565" i="42" s="1"/>
  <c r="M566" i="42" s="1"/>
  <c r="N567" i="42" s="1"/>
  <c r="C554" i="42"/>
  <c r="D555" i="42" s="1"/>
  <c r="E556" i="42" s="1"/>
  <c r="F557" i="42" s="1"/>
  <c r="G558" i="42" s="1"/>
  <c r="H559" i="42" s="1"/>
  <c r="I560" i="42" s="1"/>
  <c r="J561" i="42" s="1"/>
  <c r="K562" i="42" s="1"/>
  <c r="L563" i="42" s="1"/>
  <c r="M564" i="42" s="1"/>
  <c r="N565" i="42" s="1"/>
  <c r="C553" i="42"/>
  <c r="D554" i="42" s="1"/>
  <c r="E555" i="42" s="1"/>
  <c r="F556" i="42" s="1"/>
  <c r="G557" i="42" s="1"/>
  <c r="H558" i="42" s="1"/>
  <c r="I559" i="42" s="1"/>
  <c r="J560" i="42" s="1"/>
  <c r="K561" i="42" s="1"/>
  <c r="L562" i="42" s="1"/>
  <c r="M563" i="42" s="1"/>
  <c r="N564" i="42" s="1"/>
  <c r="C550" i="42"/>
  <c r="D551" i="42" s="1"/>
  <c r="E552" i="42" s="1"/>
  <c r="F553" i="42" s="1"/>
  <c r="G554" i="42" s="1"/>
  <c r="H555" i="42" s="1"/>
  <c r="I556" i="42" s="1"/>
  <c r="J557" i="42" s="1"/>
  <c r="K558" i="42" s="1"/>
  <c r="L559" i="42" s="1"/>
  <c r="M560" i="42" s="1"/>
  <c r="N561" i="42" s="1"/>
  <c r="C549" i="42"/>
  <c r="D550" i="42" s="1"/>
  <c r="E551" i="42" s="1"/>
  <c r="F552" i="42" s="1"/>
  <c r="G553" i="42" s="1"/>
  <c r="H554" i="42" s="1"/>
  <c r="I555" i="42" s="1"/>
  <c r="J556" i="42" s="1"/>
  <c r="K557" i="42" s="1"/>
  <c r="L558" i="42" s="1"/>
  <c r="M559" i="42" s="1"/>
  <c r="N560" i="42" s="1"/>
  <c r="C546" i="42"/>
  <c r="D547" i="42" s="1"/>
  <c r="E548" i="42" s="1"/>
  <c r="F549" i="42" s="1"/>
  <c r="G550" i="42" s="1"/>
  <c r="H551" i="42" s="1"/>
  <c r="I552" i="42" s="1"/>
  <c r="J553" i="42" s="1"/>
  <c r="K554" i="42" s="1"/>
  <c r="L555" i="42" s="1"/>
  <c r="M556" i="42" s="1"/>
  <c r="N557" i="42" s="1"/>
  <c r="C545" i="42"/>
  <c r="D546" i="42" s="1"/>
  <c r="E547" i="42" s="1"/>
  <c r="F548" i="42" s="1"/>
  <c r="G549" i="42" s="1"/>
  <c r="H550" i="42" s="1"/>
  <c r="I551" i="42" s="1"/>
  <c r="J552" i="42" s="1"/>
  <c r="K553" i="42" s="1"/>
  <c r="L554" i="42" s="1"/>
  <c r="M555" i="42" s="1"/>
  <c r="N556" i="42" s="1"/>
  <c r="C542" i="42"/>
  <c r="D543" i="42" s="1"/>
  <c r="E544" i="42" s="1"/>
  <c r="F545" i="42" s="1"/>
  <c r="G546" i="42" s="1"/>
  <c r="H547" i="42" s="1"/>
  <c r="I548" i="42" s="1"/>
  <c r="J549" i="42" s="1"/>
  <c r="K550" i="42" s="1"/>
  <c r="L551" i="42" s="1"/>
  <c r="M552" i="42" s="1"/>
  <c r="N553" i="42" s="1"/>
  <c r="C541" i="42"/>
  <c r="D542" i="42" s="1"/>
  <c r="E543" i="42" s="1"/>
  <c r="F544" i="42" s="1"/>
  <c r="G545" i="42" s="1"/>
  <c r="H546" i="42" s="1"/>
  <c r="I547" i="42" s="1"/>
  <c r="J548" i="42" s="1"/>
  <c r="K549" i="42" s="1"/>
  <c r="L550" i="42" s="1"/>
  <c r="M551" i="42" s="1"/>
  <c r="N552" i="42" s="1"/>
  <c r="C538" i="42"/>
  <c r="D539" i="42" s="1"/>
  <c r="E540" i="42" s="1"/>
  <c r="F541" i="42" s="1"/>
  <c r="G542" i="42" s="1"/>
  <c r="H543" i="42" s="1"/>
  <c r="I544" i="42" s="1"/>
  <c r="J545" i="42" s="1"/>
  <c r="K546" i="42" s="1"/>
  <c r="L547" i="42" s="1"/>
  <c r="M548" i="42" s="1"/>
  <c r="N549" i="42" s="1"/>
  <c r="C537" i="42"/>
  <c r="D538" i="42" s="1"/>
  <c r="E539" i="42" s="1"/>
  <c r="F540" i="42" s="1"/>
  <c r="G541" i="42" s="1"/>
  <c r="H542" i="42" s="1"/>
  <c r="I543" i="42" s="1"/>
  <c r="J544" i="42" s="1"/>
  <c r="K545" i="42" s="1"/>
  <c r="L546" i="42" s="1"/>
  <c r="M547" i="42" s="1"/>
  <c r="N548" i="42" s="1"/>
  <c r="C534" i="42"/>
  <c r="D535" i="42" s="1"/>
  <c r="E536" i="42" s="1"/>
  <c r="F537" i="42" s="1"/>
  <c r="G538" i="42" s="1"/>
  <c r="H539" i="42" s="1"/>
  <c r="I540" i="42" s="1"/>
  <c r="J541" i="42" s="1"/>
  <c r="K542" i="42" s="1"/>
  <c r="L543" i="42" s="1"/>
  <c r="M544" i="42" s="1"/>
  <c r="N545" i="42" s="1"/>
  <c r="C533" i="42"/>
  <c r="D534" i="42" s="1"/>
  <c r="E535" i="42" s="1"/>
  <c r="F536" i="42" s="1"/>
  <c r="G537" i="42" s="1"/>
  <c r="H538" i="42" s="1"/>
  <c r="I539" i="42" s="1"/>
  <c r="J540" i="42" s="1"/>
  <c r="K541" i="42" s="1"/>
  <c r="L542" i="42" s="1"/>
  <c r="M543" i="42" s="1"/>
  <c r="N544" i="42" s="1"/>
  <c r="C530" i="42"/>
  <c r="D531" i="42" s="1"/>
  <c r="E532" i="42" s="1"/>
  <c r="F533" i="42" s="1"/>
  <c r="G534" i="42" s="1"/>
  <c r="H535" i="42" s="1"/>
  <c r="I536" i="42" s="1"/>
  <c r="J537" i="42" s="1"/>
  <c r="K538" i="42" s="1"/>
  <c r="L539" i="42" s="1"/>
  <c r="M540" i="42" s="1"/>
  <c r="N541" i="42" s="1"/>
  <c r="C529" i="42"/>
  <c r="D530" i="42" s="1"/>
  <c r="E531" i="42" s="1"/>
  <c r="F532" i="42" s="1"/>
  <c r="G533" i="42" s="1"/>
  <c r="H534" i="42" s="1"/>
  <c r="I535" i="42" s="1"/>
  <c r="J536" i="42" s="1"/>
  <c r="K537" i="42" s="1"/>
  <c r="L538" i="42" s="1"/>
  <c r="M539" i="42" s="1"/>
  <c r="N540" i="42" s="1"/>
  <c r="C526" i="42"/>
  <c r="D527" i="42" s="1"/>
  <c r="E528" i="42" s="1"/>
  <c r="F529" i="42" s="1"/>
  <c r="G530" i="42" s="1"/>
  <c r="H531" i="42" s="1"/>
  <c r="I532" i="42" s="1"/>
  <c r="J533" i="42" s="1"/>
  <c r="K534" i="42" s="1"/>
  <c r="L535" i="42" s="1"/>
  <c r="M536" i="42" s="1"/>
  <c r="N537" i="42" s="1"/>
  <c r="C525" i="42"/>
  <c r="D526" i="42" s="1"/>
  <c r="E527" i="42" s="1"/>
  <c r="F528" i="42" s="1"/>
  <c r="G529" i="42" s="1"/>
  <c r="H530" i="42" s="1"/>
  <c r="I531" i="42" s="1"/>
  <c r="J532" i="42" s="1"/>
  <c r="K533" i="42" s="1"/>
  <c r="L534" i="42" s="1"/>
  <c r="M535" i="42" s="1"/>
  <c r="N536" i="42" s="1"/>
  <c r="C522" i="42"/>
  <c r="D523" i="42" s="1"/>
  <c r="E524" i="42" s="1"/>
  <c r="F525" i="42" s="1"/>
  <c r="G526" i="42" s="1"/>
  <c r="H527" i="42" s="1"/>
  <c r="I528" i="42" s="1"/>
  <c r="J529" i="42" s="1"/>
  <c r="K530" i="42" s="1"/>
  <c r="L531" i="42" s="1"/>
  <c r="M532" i="42" s="1"/>
  <c r="N533" i="42" s="1"/>
  <c r="C521" i="42"/>
  <c r="D522" i="42" s="1"/>
  <c r="E523" i="42" s="1"/>
  <c r="F524" i="42" s="1"/>
  <c r="G525" i="42" s="1"/>
  <c r="H526" i="42" s="1"/>
  <c r="I527" i="42" s="1"/>
  <c r="J528" i="42" s="1"/>
  <c r="K529" i="42" s="1"/>
  <c r="L530" i="42" s="1"/>
  <c r="M531" i="42" s="1"/>
  <c r="N532" i="42" s="1"/>
  <c r="C518" i="42"/>
  <c r="D519" i="42" s="1"/>
  <c r="E520" i="42" s="1"/>
  <c r="F521" i="42" s="1"/>
  <c r="G522" i="42" s="1"/>
  <c r="H523" i="42" s="1"/>
  <c r="I524" i="42" s="1"/>
  <c r="J525" i="42" s="1"/>
  <c r="K526" i="42" s="1"/>
  <c r="L527" i="42" s="1"/>
  <c r="M528" i="42" s="1"/>
  <c r="N529" i="42" s="1"/>
  <c r="C517" i="42"/>
  <c r="D518" i="42" s="1"/>
  <c r="E519" i="42" s="1"/>
  <c r="F520" i="42" s="1"/>
  <c r="G521" i="42" s="1"/>
  <c r="H522" i="42" s="1"/>
  <c r="I523" i="42" s="1"/>
  <c r="J524" i="42" s="1"/>
  <c r="K525" i="42" s="1"/>
  <c r="L526" i="42" s="1"/>
  <c r="M527" i="42" s="1"/>
  <c r="N528" i="42" s="1"/>
  <c r="C514" i="42"/>
  <c r="D515" i="42" s="1"/>
  <c r="E516" i="42" s="1"/>
  <c r="F517" i="42" s="1"/>
  <c r="G518" i="42" s="1"/>
  <c r="H519" i="42" s="1"/>
  <c r="I520" i="42" s="1"/>
  <c r="J521" i="42" s="1"/>
  <c r="K522" i="42" s="1"/>
  <c r="L523" i="42" s="1"/>
  <c r="M524" i="42" s="1"/>
  <c r="N525" i="42" s="1"/>
  <c r="C513" i="42"/>
  <c r="D514" i="42" s="1"/>
  <c r="E515" i="42" s="1"/>
  <c r="F516" i="42" s="1"/>
  <c r="G517" i="42" s="1"/>
  <c r="H518" i="42" s="1"/>
  <c r="I519" i="42" s="1"/>
  <c r="J520" i="42" s="1"/>
  <c r="K521" i="42" s="1"/>
  <c r="L522" i="42" s="1"/>
  <c r="M523" i="42" s="1"/>
  <c r="N524" i="42" s="1"/>
  <c r="C510" i="42"/>
  <c r="D511" i="42" s="1"/>
  <c r="E512" i="42" s="1"/>
  <c r="F513" i="42" s="1"/>
  <c r="G514" i="42" s="1"/>
  <c r="H515" i="42" s="1"/>
  <c r="I516" i="42" s="1"/>
  <c r="J517" i="42" s="1"/>
  <c r="K518" i="42" s="1"/>
  <c r="L519" i="42" s="1"/>
  <c r="M520" i="42" s="1"/>
  <c r="N521" i="42" s="1"/>
  <c r="C509" i="42"/>
  <c r="D510" i="42" s="1"/>
  <c r="E511" i="42" s="1"/>
  <c r="F512" i="42" s="1"/>
  <c r="G513" i="42" s="1"/>
  <c r="H514" i="42" s="1"/>
  <c r="I515" i="42" s="1"/>
  <c r="J516" i="42" s="1"/>
  <c r="K517" i="42" s="1"/>
  <c r="L518" i="42" s="1"/>
  <c r="M519" i="42" s="1"/>
  <c r="N520" i="42" s="1"/>
  <c r="C506" i="42"/>
  <c r="D507" i="42" s="1"/>
  <c r="E508" i="42" s="1"/>
  <c r="F509" i="42" s="1"/>
  <c r="G510" i="42" s="1"/>
  <c r="H511" i="42" s="1"/>
  <c r="I512" i="42" s="1"/>
  <c r="J513" i="42" s="1"/>
  <c r="K514" i="42" s="1"/>
  <c r="L515" i="42" s="1"/>
  <c r="M516" i="42" s="1"/>
  <c r="N517" i="42" s="1"/>
  <c r="C505" i="42"/>
  <c r="D506" i="42" s="1"/>
  <c r="E507" i="42" s="1"/>
  <c r="F508" i="42" s="1"/>
  <c r="G509" i="42" s="1"/>
  <c r="H510" i="42" s="1"/>
  <c r="I511" i="42" s="1"/>
  <c r="J512" i="42" s="1"/>
  <c r="K513" i="42" s="1"/>
  <c r="L514" i="42" s="1"/>
  <c r="M515" i="42" s="1"/>
  <c r="N516" i="42" s="1"/>
  <c r="C502" i="42"/>
  <c r="D503" i="42" s="1"/>
  <c r="E504" i="42" s="1"/>
  <c r="F505" i="42" s="1"/>
  <c r="G506" i="42" s="1"/>
  <c r="H507" i="42" s="1"/>
  <c r="I508" i="42" s="1"/>
  <c r="J509" i="42" s="1"/>
  <c r="K510" i="42" s="1"/>
  <c r="L511" i="42" s="1"/>
  <c r="M512" i="42" s="1"/>
  <c r="N513" i="42" s="1"/>
  <c r="C501" i="42"/>
  <c r="D502" i="42" s="1"/>
  <c r="E503" i="42" s="1"/>
  <c r="F504" i="42" s="1"/>
  <c r="G505" i="42" s="1"/>
  <c r="H506" i="42" s="1"/>
  <c r="I507" i="42" s="1"/>
  <c r="J508" i="42" s="1"/>
  <c r="K509" i="42" s="1"/>
  <c r="L510" i="42" s="1"/>
  <c r="M511" i="42" s="1"/>
  <c r="N512" i="42" s="1"/>
  <c r="C498" i="42"/>
  <c r="D499" i="42" s="1"/>
  <c r="E500" i="42" s="1"/>
  <c r="F501" i="42" s="1"/>
  <c r="G502" i="42" s="1"/>
  <c r="H503" i="42" s="1"/>
  <c r="I504" i="42" s="1"/>
  <c r="J505" i="42" s="1"/>
  <c r="K506" i="42" s="1"/>
  <c r="L507" i="42" s="1"/>
  <c r="M508" i="42" s="1"/>
  <c r="N509" i="42" s="1"/>
  <c r="C497" i="42"/>
  <c r="D498" i="42" s="1"/>
  <c r="E499" i="42" s="1"/>
  <c r="F500" i="42" s="1"/>
  <c r="G501" i="42" s="1"/>
  <c r="H502" i="42" s="1"/>
  <c r="I503" i="42" s="1"/>
  <c r="J504" i="42" s="1"/>
  <c r="K505" i="42" s="1"/>
  <c r="L506" i="42" s="1"/>
  <c r="M507" i="42" s="1"/>
  <c r="N508" i="42" s="1"/>
  <c r="C494" i="42"/>
  <c r="D495" i="42" s="1"/>
  <c r="E496" i="42" s="1"/>
  <c r="F497" i="42" s="1"/>
  <c r="G498" i="42" s="1"/>
  <c r="H499" i="42" s="1"/>
  <c r="I500" i="42" s="1"/>
  <c r="J501" i="42" s="1"/>
  <c r="K502" i="42" s="1"/>
  <c r="L503" i="42" s="1"/>
  <c r="M504" i="42" s="1"/>
  <c r="N505" i="42" s="1"/>
  <c r="C493" i="42"/>
  <c r="D494" i="42" s="1"/>
  <c r="E495" i="42" s="1"/>
  <c r="F496" i="42" s="1"/>
  <c r="G497" i="42" s="1"/>
  <c r="H498" i="42" s="1"/>
  <c r="I499" i="42" s="1"/>
  <c r="J500" i="42" s="1"/>
  <c r="K501" i="42" s="1"/>
  <c r="L502" i="42" s="1"/>
  <c r="M503" i="42" s="1"/>
  <c r="N504" i="42" s="1"/>
  <c r="C492" i="42"/>
  <c r="D493" i="42" s="1"/>
  <c r="E494" i="42" s="1"/>
  <c r="F495" i="42" s="1"/>
  <c r="G496" i="42" s="1"/>
  <c r="H497" i="42" s="1"/>
  <c r="I498" i="42" s="1"/>
  <c r="J499" i="42" s="1"/>
  <c r="K500" i="42" s="1"/>
  <c r="L501" i="42" s="1"/>
  <c r="M502" i="42" s="1"/>
  <c r="N503" i="42" s="1"/>
  <c r="C490" i="42"/>
  <c r="D491" i="42" s="1"/>
  <c r="E492" i="42" s="1"/>
  <c r="F493" i="42" s="1"/>
  <c r="G494" i="42" s="1"/>
  <c r="H495" i="42" s="1"/>
  <c r="I496" i="42" s="1"/>
  <c r="J497" i="42" s="1"/>
  <c r="K498" i="42" s="1"/>
  <c r="L499" i="42" s="1"/>
  <c r="M500" i="42" s="1"/>
  <c r="N501" i="42" s="1"/>
  <c r="C489" i="42"/>
  <c r="D490" i="42" s="1"/>
  <c r="E491" i="42" s="1"/>
  <c r="F492" i="42" s="1"/>
  <c r="G493" i="42" s="1"/>
  <c r="H494" i="42" s="1"/>
  <c r="I495" i="42" s="1"/>
  <c r="J496" i="42" s="1"/>
  <c r="K497" i="42" s="1"/>
  <c r="L498" i="42" s="1"/>
  <c r="M499" i="42" s="1"/>
  <c r="N500" i="42" s="1"/>
  <c r="C486" i="42"/>
  <c r="D487" i="42" s="1"/>
  <c r="E488" i="42" s="1"/>
  <c r="F489" i="42" s="1"/>
  <c r="G490" i="42" s="1"/>
  <c r="H491" i="42" s="1"/>
  <c r="I492" i="42" s="1"/>
  <c r="J493" i="42" s="1"/>
  <c r="K494" i="42" s="1"/>
  <c r="L495" i="42" s="1"/>
  <c r="M496" i="42" s="1"/>
  <c r="N497" i="42" s="1"/>
  <c r="C485" i="42"/>
  <c r="D486" i="42" s="1"/>
  <c r="E487" i="42" s="1"/>
  <c r="F488" i="42" s="1"/>
  <c r="G489" i="42" s="1"/>
  <c r="H490" i="42" s="1"/>
  <c r="I491" i="42" s="1"/>
  <c r="J492" i="42" s="1"/>
  <c r="K493" i="42" s="1"/>
  <c r="L494" i="42" s="1"/>
  <c r="M495" i="42" s="1"/>
  <c r="N496" i="42" s="1"/>
  <c r="C484" i="42"/>
  <c r="D485" i="42" s="1"/>
  <c r="E486" i="42" s="1"/>
  <c r="F487" i="42" s="1"/>
  <c r="G488" i="42" s="1"/>
  <c r="H489" i="42" s="1"/>
  <c r="I490" i="42" s="1"/>
  <c r="J491" i="42" s="1"/>
  <c r="K492" i="42" s="1"/>
  <c r="L493" i="42" s="1"/>
  <c r="M494" i="42" s="1"/>
  <c r="N495" i="42" s="1"/>
  <c r="L483" i="42"/>
  <c r="M484" i="42" s="1"/>
  <c r="N485" i="42" s="1"/>
  <c r="D482" i="42"/>
  <c r="E483" i="42" s="1"/>
  <c r="F484" i="42" s="1"/>
  <c r="G485" i="42" s="1"/>
  <c r="H486" i="42" s="1"/>
  <c r="I487" i="42" s="1"/>
  <c r="J488" i="42" s="1"/>
  <c r="K489" i="42" s="1"/>
  <c r="L490" i="42" s="1"/>
  <c r="M491" i="42" s="1"/>
  <c r="N492" i="42" s="1"/>
  <c r="C482" i="42"/>
  <c r="D483" i="42" s="1"/>
  <c r="E484" i="42" s="1"/>
  <c r="F485" i="42" s="1"/>
  <c r="G486" i="42" s="1"/>
  <c r="H487" i="42" s="1"/>
  <c r="I488" i="42" s="1"/>
  <c r="J489" i="42" s="1"/>
  <c r="K490" i="42" s="1"/>
  <c r="L491" i="42" s="1"/>
  <c r="M492" i="42" s="1"/>
  <c r="N493" i="42" s="1"/>
  <c r="C481" i="42"/>
  <c r="C478" i="42"/>
  <c r="D479" i="42" s="1"/>
  <c r="E480" i="42" s="1"/>
  <c r="F481" i="42" s="1"/>
  <c r="G482" i="42" s="1"/>
  <c r="H483" i="42" s="1"/>
  <c r="I484" i="42" s="1"/>
  <c r="J485" i="42" s="1"/>
  <c r="K486" i="42" s="1"/>
  <c r="L487" i="42" s="1"/>
  <c r="M488" i="42" s="1"/>
  <c r="N489" i="42" s="1"/>
  <c r="C477" i="42"/>
  <c r="D478" i="42" s="1"/>
  <c r="E479" i="42" s="1"/>
  <c r="F480" i="42" s="1"/>
  <c r="G481" i="42" s="1"/>
  <c r="H482" i="42" s="1"/>
  <c r="I483" i="42" s="1"/>
  <c r="J484" i="42" s="1"/>
  <c r="K485" i="42" s="1"/>
  <c r="L486" i="42" s="1"/>
  <c r="M487" i="42" s="1"/>
  <c r="N488" i="42" s="1"/>
  <c r="C474" i="42"/>
  <c r="D475" i="42" s="1"/>
  <c r="E476" i="42" s="1"/>
  <c r="F477" i="42" s="1"/>
  <c r="G478" i="42" s="1"/>
  <c r="H479" i="42" s="1"/>
  <c r="I480" i="42" s="1"/>
  <c r="J481" i="42" s="1"/>
  <c r="K482" i="42" s="1"/>
  <c r="C473" i="42"/>
  <c r="D474" i="42" s="1"/>
  <c r="E475" i="42" s="1"/>
  <c r="F476" i="42" s="1"/>
  <c r="G477" i="42" s="1"/>
  <c r="H478" i="42" s="1"/>
  <c r="I479" i="42" s="1"/>
  <c r="J480" i="42" s="1"/>
  <c r="K481" i="42" s="1"/>
  <c r="L482" i="42" s="1"/>
  <c r="M483" i="42" s="1"/>
  <c r="N484" i="42" s="1"/>
  <c r="C470" i="42"/>
  <c r="D471" i="42" s="1"/>
  <c r="E472" i="42" s="1"/>
  <c r="F473" i="42" s="1"/>
  <c r="G474" i="42" s="1"/>
  <c r="H475" i="42" s="1"/>
  <c r="I476" i="42" s="1"/>
  <c r="J477" i="42" s="1"/>
  <c r="K478" i="42" s="1"/>
  <c r="L479" i="42" s="1"/>
  <c r="M480" i="42" s="1"/>
  <c r="N481" i="42" s="1"/>
  <c r="C469" i="42"/>
  <c r="D470" i="42" s="1"/>
  <c r="E471" i="42" s="1"/>
  <c r="F472" i="42" s="1"/>
  <c r="G473" i="42" s="1"/>
  <c r="H474" i="42" s="1"/>
  <c r="I475" i="42" s="1"/>
  <c r="J476" i="42" s="1"/>
  <c r="K477" i="42" s="1"/>
  <c r="L478" i="42" s="1"/>
  <c r="M479" i="42" s="1"/>
  <c r="N480" i="42" s="1"/>
  <c r="C466" i="42"/>
  <c r="D467" i="42" s="1"/>
  <c r="E468" i="42" s="1"/>
  <c r="F469" i="42" s="1"/>
  <c r="G470" i="42" s="1"/>
  <c r="H471" i="42" s="1"/>
  <c r="I472" i="42" s="1"/>
  <c r="J473" i="42" s="1"/>
  <c r="K474" i="42" s="1"/>
  <c r="L475" i="42" s="1"/>
  <c r="M476" i="42" s="1"/>
  <c r="N477" i="42" s="1"/>
  <c r="D465" i="42"/>
  <c r="E466" i="42" s="1"/>
  <c r="F467" i="42" s="1"/>
  <c r="G468" i="42" s="1"/>
  <c r="H469" i="42" s="1"/>
  <c r="I470" i="42" s="1"/>
  <c r="J471" i="42" s="1"/>
  <c r="K472" i="42" s="1"/>
  <c r="L473" i="42" s="1"/>
  <c r="M474" i="42" s="1"/>
  <c r="N475" i="42" s="1"/>
  <c r="C465" i="42"/>
  <c r="D466" i="42" s="1"/>
  <c r="E467" i="42" s="1"/>
  <c r="F468" i="42" s="1"/>
  <c r="G469" i="42" s="1"/>
  <c r="H470" i="42" s="1"/>
  <c r="I471" i="42" s="1"/>
  <c r="J472" i="42" s="1"/>
  <c r="K473" i="42" s="1"/>
  <c r="L474" i="42" s="1"/>
  <c r="M475" i="42" s="1"/>
  <c r="N476" i="42" s="1"/>
  <c r="C462" i="42"/>
  <c r="D463" i="42" s="1"/>
  <c r="E464" i="42" s="1"/>
  <c r="F465" i="42" s="1"/>
  <c r="G466" i="42" s="1"/>
  <c r="H467" i="42" s="1"/>
  <c r="I468" i="42" s="1"/>
  <c r="J469" i="42" s="1"/>
  <c r="K470" i="42" s="1"/>
  <c r="L471" i="42" s="1"/>
  <c r="M472" i="42" s="1"/>
  <c r="N473" i="42" s="1"/>
  <c r="C461" i="42"/>
  <c r="D462" i="42" s="1"/>
  <c r="E463" i="42" s="1"/>
  <c r="F464" i="42" s="1"/>
  <c r="G465" i="42" s="1"/>
  <c r="H466" i="42" s="1"/>
  <c r="I467" i="42" s="1"/>
  <c r="J468" i="42" s="1"/>
  <c r="K469" i="42" s="1"/>
  <c r="L470" i="42" s="1"/>
  <c r="M471" i="42" s="1"/>
  <c r="N472" i="42" s="1"/>
  <c r="C460" i="42"/>
  <c r="D461" i="42" s="1"/>
  <c r="E462" i="42" s="1"/>
  <c r="F463" i="42" s="1"/>
  <c r="G464" i="42" s="1"/>
  <c r="H465" i="42" s="1"/>
  <c r="I466" i="42" s="1"/>
  <c r="J467" i="42" s="1"/>
  <c r="K468" i="42" s="1"/>
  <c r="L469" i="42" s="1"/>
  <c r="M470" i="42" s="1"/>
  <c r="N471" i="42" s="1"/>
  <c r="C458" i="42"/>
  <c r="D459" i="42" s="1"/>
  <c r="E460" i="42" s="1"/>
  <c r="F461" i="42" s="1"/>
  <c r="G462" i="42" s="1"/>
  <c r="H463" i="42" s="1"/>
  <c r="I464" i="42" s="1"/>
  <c r="J465" i="42" s="1"/>
  <c r="K466" i="42" s="1"/>
  <c r="L467" i="42" s="1"/>
  <c r="M468" i="42" s="1"/>
  <c r="N469" i="42" s="1"/>
  <c r="C457" i="42"/>
  <c r="D458" i="42" s="1"/>
  <c r="E459" i="42" s="1"/>
  <c r="F460" i="42" s="1"/>
  <c r="G461" i="42" s="1"/>
  <c r="H462" i="42" s="1"/>
  <c r="I463" i="42" s="1"/>
  <c r="J464" i="42" s="1"/>
  <c r="K465" i="42" s="1"/>
  <c r="L466" i="42" s="1"/>
  <c r="M467" i="42" s="1"/>
  <c r="N468" i="42" s="1"/>
  <c r="C456" i="42"/>
  <c r="D457" i="42" s="1"/>
  <c r="E458" i="42" s="1"/>
  <c r="F459" i="42" s="1"/>
  <c r="G460" i="42" s="1"/>
  <c r="H461" i="42" s="1"/>
  <c r="I462" i="42" s="1"/>
  <c r="J463" i="42" s="1"/>
  <c r="K464" i="42" s="1"/>
  <c r="L465" i="42" s="1"/>
  <c r="M466" i="42" s="1"/>
  <c r="N467" i="42" s="1"/>
  <c r="C454" i="42"/>
  <c r="D455" i="42" s="1"/>
  <c r="E456" i="42" s="1"/>
  <c r="F457" i="42" s="1"/>
  <c r="G458" i="42" s="1"/>
  <c r="H459" i="42" s="1"/>
  <c r="I460" i="42" s="1"/>
  <c r="J461" i="42" s="1"/>
  <c r="K462" i="42" s="1"/>
  <c r="L463" i="42" s="1"/>
  <c r="M464" i="42" s="1"/>
  <c r="N465" i="42" s="1"/>
  <c r="C453" i="42"/>
  <c r="D454" i="42" s="1"/>
  <c r="E455" i="42" s="1"/>
  <c r="F456" i="42" s="1"/>
  <c r="G457" i="42" s="1"/>
  <c r="H458" i="42" s="1"/>
  <c r="I459" i="42" s="1"/>
  <c r="J460" i="42" s="1"/>
  <c r="K461" i="42" s="1"/>
  <c r="L462" i="42" s="1"/>
  <c r="M463" i="42" s="1"/>
  <c r="N464" i="42" s="1"/>
  <c r="C452" i="42"/>
  <c r="D453" i="42" s="1"/>
  <c r="E454" i="42" s="1"/>
  <c r="F455" i="42" s="1"/>
  <c r="G456" i="42" s="1"/>
  <c r="H457" i="42" s="1"/>
  <c r="I458" i="42" s="1"/>
  <c r="J459" i="42" s="1"/>
  <c r="K460" i="42" s="1"/>
  <c r="L461" i="42" s="1"/>
  <c r="M462" i="42" s="1"/>
  <c r="N463" i="42" s="1"/>
  <c r="C450" i="42"/>
  <c r="D451" i="42" s="1"/>
  <c r="E452" i="42" s="1"/>
  <c r="F453" i="42" s="1"/>
  <c r="G454" i="42" s="1"/>
  <c r="H455" i="42" s="1"/>
  <c r="I456" i="42" s="1"/>
  <c r="J457" i="42" s="1"/>
  <c r="K458" i="42" s="1"/>
  <c r="L459" i="42" s="1"/>
  <c r="M460" i="42" s="1"/>
  <c r="N461" i="42" s="1"/>
  <c r="C449" i="42"/>
  <c r="D450" i="42" s="1"/>
  <c r="E451" i="42" s="1"/>
  <c r="F452" i="42" s="1"/>
  <c r="G453" i="42" s="1"/>
  <c r="H454" i="42" s="1"/>
  <c r="I455" i="42" s="1"/>
  <c r="J456" i="42" s="1"/>
  <c r="K457" i="42" s="1"/>
  <c r="L458" i="42" s="1"/>
  <c r="M459" i="42" s="1"/>
  <c r="N460" i="42" s="1"/>
  <c r="C446" i="42"/>
  <c r="D447" i="42" s="1"/>
  <c r="E448" i="42" s="1"/>
  <c r="F449" i="42" s="1"/>
  <c r="G450" i="42" s="1"/>
  <c r="H451" i="42" s="1"/>
  <c r="I452" i="42" s="1"/>
  <c r="J453" i="42" s="1"/>
  <c r="K454" i="42" s="1"/>
  <c r="L455" i="42" s="1"/>
  <c r="M456" i="42" s="1"/>
  <c r="N457" i="42" s="1"/>
  <c r="C445" i="42"/>
  <c r="D446" i="42" s="1"/>
  <c r="E447" i="42" s="1"/>
  <c r="F448" i="42" s="1"/>
  <c r="G449" i="42" s="1"/>
  <c r="H450" i="42" s="1"/>
  <c r="I451" i="42" s="1"/>
  <c r="J452" i="42" s="1"/>
  <c r="K453" i="42" s="1"/>
  <c r="L454" i="42" s="1"/>
  <c r="M455" i="42" s="1"/>
  <c r="N456" i="42" s="1"/>
  <c r="D442" i="42"/>
  <c r="E443" i="42" s="1"/>
  <c r="F444" i="42" s="1"/>
  <c r="G445" i="42" s="1"/>
  <c r="H446" i="42" s="1"/>
  <c r="I447" i="42" s="1"/>
  <c r="J448" i="42" s="1"/>
  <c r="K449" i="42" s="1"/>
  <c r="L450" i="42" s="1"/>
  <c r="M451" i="42" s="1"/>
  <c r="N452" i="42" s="1"/>
  <c r="C442" i="42"/>
  <c r="D443" i="42" s="1"/>
  <c r="E444" i="42" s="1"/>
  <c r="F445" i="42" s="1"/>
  <c r="G446" i="42" s="1"/>
  <c r="H447" i="42" s="1"/>
  <c r="I448" i="42" s="1"/>
  <c r="J449" i="42" s="1"/>
  <c r="K450" i="42" s="1"/>
  <c r="L451" i="42" s="1"/>
  <c r="M452" i="42" s="1"/>
  <c r="N453" i="42" s="1"/>
  <c r="C441" i="42"/>
  <c r="C438" i="42"/>
  <c r="D439" i="42" s="1"/>
  <c r="E440" i="42" s="1"/>
  <c r="F441" i="42" s="1"/>
  <c r="G442" i="42" s="1"/>
  <c r="H443" i="42" s="1"/>
  <c r="I444" i="42" s="1"/>
  <c r="J445" i="42" s="1"/>
  <c r="K446" i="42" s="1"/>
  <c r="L447" i="42" s="1"/>
  <c r="M448" i="42" s="1"/>
  <c r="N449" i="42" s="1"/>
  <c r="C437" i="42"/>
  <c r="D438" i="42" s="1"/>
  <c r="E439" i="42" s="1"/>
  <c r="F440" i="42" s="1"/>
  <c r="G441" i="42" s="1"/>
  <c r="H442" i="42" s="1"/>
  <c r="I443" i="42" s="1"/>
  <c r="J444" i="42" s="1"/>
  <c r="K445" i="42" s="1"/>
  <c r="L446" i="42" s="1"/>
  <c r="M447" i="42" s="1"/>
  <c r="N448" i="42" s="1"/>
  <c r="C434" i="42"/>
  <c r="D435" i="42" s="1"/>
  <c r="E436" i="42" s="1"/>
  <c r="F437" i="42" s="1"/>
  <c r="G438" i="42" s="1"/>
  <c r="H439" i="42" s="1"/>
  <c r="I440" i="42" s="1"/>
  <c r="J441" i="42" s="1"/>
  <c r="K442" i="42" s="1"/>
  <c r="L443" i="42" s="1"/>
  <c r="M444" i="42" s="1"/>
  <c r="N445" i="42" s="1"/>
  <c r="C433" i="42"/>
  <c r="D434" i="42" s="1"/>
  <c r="E435" i="42" s="1"/>
  <c r="F436" i="42" s="1"/>
  <c r="G437" i="42" s="1"/>
  <c r="H438" i="42" s="1"/>
  <c r="I439" i="42" s="1"/>
  <c r="J440" i="42" s="1"/>
  <c r="K441" i="42" s="1"/>
  <c r="L442" i="42" s="1"/>
  <c r="M443" i="42" s="1"/>
  <c r="N444" i="42" s="1"/>
  <c r="C430" i="42"/>
  <c r="D431" i="42" s="1"/>
  <c r="E432" i="42" s="1"/>
  <c r="F433" i="42" s="1"/>
  <c r="G434" i="42" s="1"/>
  <c r="H435" i="42" s="1"/>
  <c r="I436" i="42" s="1"/>
  <c r="J437" i="42" s="1"/>
  <c r="K438" i="42" s="1"/>
  <c r="L439" i="42" s="1"/>
  <c r="M440" i="42" s="1"/>
  <c r="N441" i="42" s="1"/>
  <c r="C429" i="42"/>
  <c r="D430" i="42" s="1"/>
  <c r="E431" i="42" s="1"/>
  <c r="F432" i="42" s="1"/>
  <c r="G433" i="42" s="1"/>
  <c r="H434" i="42" s="1"/>
  <c r="I435" i="42" s="1"/>
  <c r="J436" i="42" s="1"/>
  <c r="K437" i="42" s="1"/>
  <c r="L438" i="42" s="1"/>
  <c r="M439" i="42" s="1"/>
  <c r="N440" i="42" s="1"/>
  <c r="C426" i="42"/>
  <c r="D427" i="42" s="1"/>
  <c r="E428" i="42" s="1"/>
  <c r="F429" i="42" s="1"/>
  <c r="G430" i="42" s="1"/>
  <c r="H431" i="42" s="1"/>
  <c r="I432" i="42" s="1"/>
  <c r="J433" i="42" s="1"/>
  <c r="K434" i="42" s="1"/>
  <c r="L435" i="42" s="1"/>
  <c r="M436" i="42" s="1"/>
  <c r="N437" i="42" s="1"/>
  <c r="C425" i="42"/>
  <c r="D426" i="42" s="1"/>
  <c r="E427" i="42" s="1"/>
  <c r="F428" i="42" s="1"/>
  <c r="G429" i="42" s="1"/>
  <c r="H430" i="42" s="1"/>
  <c r="I431" i="42" s="1"/>
  <c r="J432" i="42" s="1"/>
  <c r="K433" i="42" s="1"/>
  <c r="L434" i="42" s="1"/>
  <c r="M435" i="42" s="1"/>
  <c r="N436" i="42" s="1"/>
  <c r="C422" i="42"/>
  <c r="D423" i="42" s="1"/>
  <c r="E424" i="42" s="1"/>
  <c r="F425" i="42" s="1"/>
  <c r="G426" i="42" s="1"/>
  <c r="H427" i="42" s="1"/>
  <c r="I428" i="42" s="1"/>
  <c r="J429" i="42" s="1"/>
  <c r="K430" i="42" s="1"/>
  <c r="L431" i="42" s="1"/>
  <c r="M432" i="42" s="1"/>
  <c r="N433" i="42" s="1"/>
  <c r="C421" i="42"/>
  <c r="D422" i="42" s="1"/>
  <c r="E423" i="42" s="1"/>
  <c r="F424" i="42" s="1"/>
  <c r="G425" i="42" s="1"/>
  <c r="H426" i="42" s="1"/>
  <c r="I427" i="42" s="1"/>
  <c r="J428" i="42" s="1"/>
  <c r="K429" i="42" s="1"/>
  <c r="L430" i="42" s="1"/>
  <c r="M431" i="42" s="1"/>
  <c r="N432" i="42" s="1"/>
  <c r="C418" i="42"/>
  <c r="D419" i="42" s="1"/>
  <c r="E420" i="42" s="1"/>
  <c r="F421" i="42" s="1"/>
  <c r="G422" i="42" s="1"/>
  <c r="H423" i="42" s="1"/>
  <c r="I424" i="42" s="1"/>
  <c r="J425" i="42" s="1"/>
  <c r="K426" i="42" s="1"/>
  <c r="L427" i="42" s="1"/>
  <c r="M428" i="42" s="1"/>
  <c r="N429" i="42" s="1"/>
  <c r="C417" i="42"/>
  <c r="D418" i="42" s="1"/>
  <c r="E419" i="42" s="1"/>
  <c r="F420" i="42" s="1"/>
  <c r="G421" i="42" s="1"/>
  <c r="H422" i="42" s="1"/>
  <c r="I423" i="42" s="1"/>
  <c r="J424" i="42" s="1"/>
  <c r="K425" i="42" s="1"/>
  <c r="L426" i="42" s="1"/>
  <c r="M427" i="42" s="1"/>
  <c r="N428" i="42" s="1"/>
  <c r="C414" i="42"/>
  <c r="D415" i="42" s="1"/>
  <c r="E416" i="42" s="1"/>
  <c r="F417" i="42" s="1"/>
  <c r="G418" i="42" s="1"/>
  <c r="H419" i="42" s="1"/>
  <c r="I420" i="42" s="1"/>
  <c r="J421" i="42" s="1"/>
  <c r="K422" i="42" s="1"/>
  <c r="L423" i="42" s="1"/>
  <c r="M424" i="42" s="1"/>
  <c r="N425" i="42" s="1"/>
  <c r="C413" i="42"/>
  <c r="D414" i="42" s="1"/>
  <c r="E415" i="42" s="1"/>
  <c r="F416" i="42" s="1"/>
  <c r="G417" i="42" s="1"/>
  <c r="H418" i="42" s="1"/>
  <c r="I419" i="42" s="1"/>
  <c r="J420" i="42" s="1"/>
  <c r="K421" i="42" s="1"/>
  <c r="L422" i="42" s="1"/>
  <c r="M423" i="42" s="1"/>
  <c r="N424" i="42" s="1"/>
  <c r="C412" i="42"/>
  <c r="D413" i="42" s="1"/>
  <c r="E414" i="42" s="1"/>
  <c r="F415" i="42" s="1"/>
  <c r="G416" i="42" s="1"/>
  <c r="H417" i="42" s="1"/>
  <c r="I418" i="42" s="1"/>
  <c r="J419" i="42" s="1"/>
  <c r="K420" i="42" s="1"/>
  <c r="L421" i="42" s="1"/>
  <c r="M422" i="42" s="1"/>
  <c r="N423" i="42" s="1"/>
  <c r="C410" i="42"/>
  <c r="D411" i="42" s="1"/>
  <c r="E412" i="42" s="1"/>
  <c r="F413" i="42" s="1"/>
  <c r="G414" i="42" s="1"/>
  <c r="H415" i="42" s="1"/>
  <c r="I416" i="42" s="1"/>
  <c r="J417" i="42" s="1"/>
  <c r="K418" i="42" s="1"/>
  <c r="L419" i="42" s="1"/>
  <c r="M420" i="42" s="1"/>
  <c r="N421" i="42" s="1"/>
  <c r="C409" i="42"/>
  <c r="D410" i="42" s="1"/>
  <c r="E411" i="42" s="1"/>
  <c r="F412" i="42" s="1"/>
  <c r="G413" i="42" s="1"/>
  <c r="H414" i="42" s="1"/>
  <c r="I415" i="42" s="1"/>
  <c r="J416" i="42" s="1"/>
  <c r="K417" i="42" s="1"/>
  <c r="L418" i="42" s="1"/>
  <c r="M419" i="42" s="1"/>
  <c r="N420" i="42" s="1"/>
  <c r="C408" i="42"/>
  <c r="D409" i="42" s="1"/>
  <c r="E410" i="42" s="1"/>
  <c r="F411" i="42" s="1"/>
  <c r="G412" i="42" s="1"/>
  <c r="H413" i="42" s="1"/>
  <c r="I414" i="42" s="1"/>
  <c r="J415" i="42" s="1"/>
  <c r="K416" i="42" s="1"/>
  <c r="L417" i="42" s="1"/>
  <c r="M418" i="42" s="1"/>
  <c r="N419" i="42" s="1"/>
  <c r="C406" i="42"/>
  <c r="D407" i="42" s="1"/>
  <c r="E408" i="42" s="1"/>
  <c r="F409" i="42" s="1"/>
  <c r="G410" i="42" s="1"/>
  <c r="H411" i="42" s="1"/>
  <c r="I412" i="42" s="1"/>
  <c r="J413" i="42" s="1"/>
  <c r="K414" i="42" s="1"/>
  <c r="L415" i="42" s="1"/>
  <c r="M416" i="42" s="1"/>
  <c r="N417" i="42" s="1"/>
  <c r="D405" i="42"/>
  <c r="E406" i="42" s="1"/>
  <c r="F407" i="42" s="1"/>
  <c r="G408" i="42" s="1"/>
  <c r="H409" i="42" s="1"/>
  <c r="I410" i="42" s="1"/>
  <c r="J411" i="42" s="1"/>
  <c r="K412" i="42" s="1"/>
  <c r="L413" i="42" s="1"/>
  <c r="M414" i="42" s="1"/>
  <c r="N415" i="42" s="1"/>
  <c r="C405" i="42"/>
  <c r="D406" i="42" s="1"/>
  <c r="E407" i="42" s="1"/>
  <c r="F408" i="42" s="1"/>
  <c r="G409" i="42" s="1"/>
  <c r="H410" i="42" s="1"/>
  <c r="I411" i="42" s="1"/>
  <c r="J412" i="42" s="1"/>
  <c r="K413" i="42" s="1"/>
  <c r="L414" i="42" s="1"/>
  <c r="M415" i="42" s="1"/>
  <c r="N416" i="42" s="1"/>
  <c r="C402" i="42"/>
  <c r="D403" i="42" s="1"/>
  <c r="E404" i="42" s="1"/>
  <c r="F405" i="42" s="1"/>
  <c r="G406" i="42" s="1"/>
  <c r="H407" i="42" s="1"/>
  <c r="I408" i="42" s="1"/>
  <c r="J409" i="42" s="1"/>
  <c r="K410" i="42" s="1"/>
  <c r="L411" i="42" s="1"/>
  <c r="M412" i="42" s="1"/>
  <c r="N413" i="42" s="1"/>
  <c r="C401" i="42"/>
  <c r="D402" i="42" s="1"/>
  <c r="E403" i="42" s="1"/>
  <c r="F404" i="42" s="1"/>
  <c r="G405" i="42" s="1"/>
  <c r="H406" i="42" s="1"/>
  <c r="I407" i="42" s="1"/>
  <c r="J408" i="42" s="1"/>
  <c r="K409" i="42" s="1"/>
  <c r="L410" i="42" s="1"/>
  <c r="M411" i="42" s="1"/>
  <c r="N412" i="42" s="1"/>
  <c r="C400" i="42"/>
  <c r="D401" i="42" s="1"/>
  <c r="E402" i="42" s="1"/>
  <c r="F403" i="42" s="1"/>
  <c r="G404" i="42" s="1"/>
  <c r="H405" i="42" s="1"/>
  <c r="I406" i="42" s="1"/>
  <c r="J407" i="42" s="1"/>
  <c r="K408" i="42" s="1"/>
  <c r="L409" i="42" s="1"/>
  <c r="M410" i="42" s="1"/>
  <c r="N411" i="42" s="1"/>
  <c r="C398" i="42"/>
  <c r="D399" i="42" s="1"/>
  <c r="E400" i="42" s="1"/>
  <c r="F401" i="42" s="1"/>
  <c r="G402" i="42" s="1"/>
  <c r="H403" i="42" s="1"/>
  <c r="I404" i="42" s="1"/>
  <c r="J405" i="42" s="1"/>
  <c r="K406" i="42" s="1"/>
  <c r="L407" i="42" s="1"/>
  <c r="M408" i="42" s="1"/>
  <c r="N409" i="42" s="1"/>
  <c r="C397" i="42"/>
  <c r="D398" i="42" s="1"/>
  <c r="E399" i="42" s="1"/>
  <c r="F400" i="42" s="1"/>
  <c r="G401" i="42" s="1"/>
  <c r="H402" i="42" s="1"/>
  <c r="I403" i="42" s="1"/>
  <c r="J404" i="42" s="1"/>
  <c r="K405" i="42" s="1"/>
  <c r="L406" i="42" s="1"/>
  <c r="M407" i="42" s="1"/>
  <c r="N408" i="42" s="1"/>
  <c r="C394" i="42"/>
  <c r="D395" i="42" s="1"/>
  <c r="E396" i="42" s="1"/>
  <c r="F397" i="42" s="1"/>
  <c r="G398" i="42" s="1"/>
  <c r="H399" i="42" s="1"/>
  <c r="I400" i="42" s="1"/>
  <c r="J401" i="42" s="1"/>
  <c r="K402" i="42" s="1"/>
  <c r="L403" i="42" s="1"/>
  <c r="M404" i="42" s="1"/>
  <c r="N405" i="42" s="1"/>
  <c r="C393" i="42"/>
  <c r="D394" i="42" s="1"/>
  <c r="E395" i="42" s="1"/>
  <c r="F396" i="42" s="1"/>
  <c r="G397" i="42" s="1"/>
  <c r="H398" i="42" s="1"/>
  <c r="I399" i="42" s="1"/>
  <c r="J400" i="42" s="1"/>
  <c r="K401" i="42" s="1"/>
  <c r="L402" i="42" s="1"/>
  <c r="M403" i="42" s="1"/>
  <c r="N404" i="42" s="1"/>
  <c r="C390" i="42"/>
  <c r="D391" i="42" s="1"/>
  <c r="E392" i="42" s="1"/>
  <c r="F393" i="42" s="1"/>
  <c r="G394" i="42" s="1"/>
  <c r="H395" i="42" s="1"/>
  <c r="I396" i="42" s="1"/>
  <c r="J397" i="42" s="1"/>
  <c r="K398" i="42" s="1"/>
  <c r="L399" i="42" s="1"/>
  <c r="M400" i="42" s="1"/>
  <c r="N401" i="42" s="1"/>
  <c r="C389" i="42"/>
  <c r="D390" i="42" s="1"/>
  <c r="E391" i="42" s="1"/>
  <c r="F392" i="42" s="1"/>
  <c r="G393" i="42" s="1"/>
  <c r="H394" i="42" s="1"/>
  <c r="I395" i="42" s="1"/>
  <c r="J396" i="42" s="1"/>
  <c r="K397" i="42" s="1"/>
  <c r="L398" i="42" s="1"/>
  <c r="M399" i="42" s="1"/>
  <c r="N400" i="42" s="1"/>
  <c r="C386" i="42"/>
  <c r="D387" i="42" s="1"/>
  <c r="E388" i="42" s="1"/>
  <c r="F389" i="42" s="1"/>
  <c r="G390" i="42" s="1"/>
  <c r="H391" i="42" s="1"/>
  <c r="I392" i="42" s="1"/>
  <c r="J393" i="42" s="1"/>
  <c r="K394" i="42" s="1"/>
  <c r="L395" i="42" s="1"/>
  <c r="M396" i="42" s="1"/>
  <c r="N397" i="42" s="1"/>
  <c r="C385" i="42"/>
  <c r="D386" i="42" s="1"/>
  <c r="E387" i="42" s="1"/>
  <c r="F388" i="42" s="1"/>
  <c r="G389" i="42" s="1"/>
  <c r="H390" i="42" s="1"/>
  <c r="I391" i="42" s="1"/>
  <c r="J392" i="42" s="1"/>
  <c r="K393" i="42" s="1"/>
  <c r="L394" i="42" s="1"/>
  <c r="M395" i="42" s="1"/>
  <c r="N396" i="42" s="1"/>
  <c r="C382" i="42"/>
  <c r="D383" i="42" s="1"/>
  <c r="E384" i="42" s="1"/>
  <c r="F385" i="42" s="1"/>
  <c r="G386" i="42" s="1"/>
  <c r="H387" i="42" s="1"/>
  <c r="I388" i="42" s="1"/>
  <c r="J389" i="42" s="1"/>
  <c r="K390" i="42" s="1"/>
  <c r="L391" i="42" s="1"/>
  <c r="M392" i="42" s="1"/>
  <c r="N393" i="42" s="1"/>
  <c r="C381" i="42"/>
  <c r="D382" i="42" s="1"/>
  <c r="E383" i="42" s="1"/>
  <c r="F384" i="42" s="1"/>
  <c r="G385" i="42" s="1"/>
  <c r="H386" i="42" s="1"/>
  <c r="I387" i="42" s="1"/>
  <c r="J388" i="42" s="1"/>
  <c r="K389" i="42" s="1"/>
  <c r="L390" i="42" s="1"/>
  <c r="M391" i="42" s="1"/>
  <c r="N392" i="42" s="1"/>
  <c r="K380" i="42"/>
  <c r="L381" i="42" s="1"/>
  <c r="M382" i="42" s="1"/>
  <c r="N383" i="42" s="1"/>
  <c r="C378" i="42"/>
  <c r="D379" i="42" s="1"/>
  <c r="E380" i="42" s="1"/>
  <c r="F381" i="42" s="1"/>
  <c r="G382" i="42" s="1"/>
  <c r="H383" i="42" s="1"/>
  <c r="I384" i="42" s="1"/>
  <c r="J385" i="42" s="1"/>
  <c r="K386" i="42" s="1"/>
  <c r="L387" i="42" s="1"/>
  <c r="M388" i="42" s="1"/>
  <c r="N389" i="42" s="1"/>
  <c r="C377" i="42"/>
  <c r="D378" i="42" s="1"/>
  <c r="E379" i="42" s="1"/>
  <c r="F380" i="42" s="1"/>
  <c r="G381" i="42" s="1"/>
  <c r="H382" i="42" s="1"/>
  <c r="I383" i="42" s="1"/>
  <c r="J384" i="42" s="1"/>
  <c r="K385" i="42" s="1"/>
  <c r="L386" i="42" s="1"/>
  <c r="M387" i="42" s="1"/>
  <c r="N388" i="42" s="1"/>
  <c r="C374" i="42"/>
  <c r="D375" i="42" s="1"/>
  <c r="E376" i="42" s="1"/>
  <c r="F377" i="42" s="1"/>
  <c r="G378" i="42" s="1"/>
  <c r="H379" i="42" s="1"/>
  <c r="I380" i="42" s="1"/>
  <c r="J381" i="42" s="1"/>
  <c r="K382" i="42" s="1"/>
  <c r="L383" i="42" s="1"/>
  <c r="M384" i="42" s="1"/>
  <c r="N385" i="42" s="1"/>
  <c r="C373" i="42"/>
  <c r="D374" i="42" s="1"/>
  <c r="E375" i="42" s="1"/>
  <c r="F376" i="42" s="1"/>
  <c r="G377" i="42" s="1"/>
  <c r="H378" i="42" s="1"/>
  <c r="I379" i="42" s="1"/>
  <c r="J380" i="42" s="1"/>
  <c r="K381" i="42" s="1"/>
  <c r="L382" i="42" s="1"/>
  <c r="M383" i="42" s="1"/>
  <c r="N384" i="42" s="1"/>
  <c r="C370" i="42"/>
  <c r="D371" i="42" s="1"/>
  <c r="E372" i="42" s="1"/>
  <c r="F373" i="42" s="1"/>
  <c r="G374" i="42" s="1"/>
  <c r="H375" i="42" s="1"/>
  <c r="I376" i="42" s="1"/>
  <c r="J377" i="42" s="1"/>
  <c r="K378" i="42" s="1"/>
  <c r="L379" i="42" s="1"/>
  <c r="M380" i="42" s="1"/>
  <c r="N381" i="42" s="1"/>
  <c r="C369" i="42"/>
  <c r="D370" i="42" s="1"/>
  <c r="E371" i="42" s="1"/>
  <c r="F372" i="42" s="1"/>
  <c r="G373" i="42" s="1"/>
  <c r="H374" i="42" s="1"/>
  <c r="I375" i="42" s="1"/>
  <c r="J376" i="42" s="1"/>
  <c r="K377" i="42" s="1"/>
  <c r="L378" i="42" s="1"/>
  <c r="M379" i="42" s="1"/>
  <c r="N380" i="42" s="1"/>
  <c r="K368" i="42"/>
  <c r="L369" i="42" s="1"/>
  <c r="M370" i="42" s="1"/>
  <c r="N371" i="42" s="1"/>
  <c r="C367" i="42"/>
  <c r="D368" i="42" s="1"/>
  <c r="E369" i="42" s="1"/>
  <c r="F370" i="42" s="1"/>
  <c r="G371" i="42" s="1"/>
  <c r="H372" i="42" s="1"/>
  <c r="I373" i="42" s="1"/>
  <c r="J374" i="42" s="1"/>
  <c r="K375" i="42" s="1"/>
  <c r="L376" i="42" s="1"/>
  <c r="M377" i="42" s="1"/>
  <c r="N378" i="42" s="1"/>
  <c r="C366" i="42"/>
  <c r="D367" i="42" s="1"/>
  <c r="E368" i="42" s="1"/>
  <c r="F369" i="42" s="1"/>
  <c r="G370" i="42" s="1"/>
  <c r="H371" i="42" s="1"/>
  <c r="I372" i="42" s="1"/>
  <c r="J373" i="42" s="1"/>
  <c r="K374" i="42" s="1"/>
  <c r="L375" i="42" s="1"/>
  <c r="M376" i="42" s="1"/>
  <c r="N377" i="42" s="1"/>
  <c r="C365" i="42"/>
  <c r="D366" i="42" s="1"/>
  <c r="E367" i="42" s="1"/>
  <c r="F368" i="42" s="1"/>
  <c r="G369" i="42" s="1"/>
  <c r="H370" i="42" s="1"/>
  <c r="I371" i="42" s="1"/>
  <c r="J372" i="42" s="1"/>
  <c r="K373" i="42" s="1"/>
  <c r="L374" i="42" s="1"/>
  <c r="M375" i="42" s="1"/>
  <c r="N376" i="42" s="1"/>
  <c r="C362" i="42"/>
  <c r="D363" i="42" s="1"/>
  <c r="E364" i="42" s="1"/>
  <c r="F365" i="42" s="1"/>
  <c r="G366" i="42" s="1"/>
  <c r="H367" i="42" s="1"/>
  <c r="I368" i="42" s="1"/>
  <c r="J369" i="42" s="1"/>
  <c r="K370" i="42" s="1"/>
  <c r="L371" i="42" s="1"/>
  <c r="M372" i="42" s="1"/>
  <c r="N373" i="42" s="1"/>
  <c r="C361" i="42"/>
  <c r="D362" i="42" s="1"/>
  <c r="E363" i="42" s="1"/>
  <c r="F364" i="42" s="1"/>
  <c r="G365" i="42" s="1"/>
  <c r="H366" i="42" s="1"/>
  <c r="I367" i="42" s="1"/>
  <c r="J368" i="42" s="1"/>
  <c r="K369" i="42" s="1"/>
  <c r="L370" i="42" s="1"/>
  <c r="M371" i="42" s="1"/>
  <c r="N372" i="42" s="1"/>
  <c r="C358" i="42"/>
  <c r="D359" i="42" s="1"/>
  <c r="E360" i="42" s="1"/>
  <c r="F361" i="42" s="1"/>
  <c r="G362" i="42" s="1"/>
  <c r="H363" i="42" s="1"/>
  <c r="I364" i="42" s="1"/>
  <c r="J365" i="42" s="1"/>
  <c r="K366" i="42" s="1"/>
  <c r="L367" i="42" s="1"/>
  <c r="M368" i="42" s="1"/>
  <c r="N369" i="42" s="1"/>
  <c r="C357" i="42"/>
  <c r="D358" i="42" s="1"/>
  <c r="E359" i="42" s="1"/>
  <c r="F360" i="42" s="1"/>
  <c r="G361" i="42" s="1"/>
  <c r="H362" i="42" s="1"/>
  <c r="I363" i="42" s="1"/>
  <c r="J364" i="42" s="1"/>
  <c r="K365" i="42" s="1"/>
  <c r="L366" i="42" s="1"/>
  <c r="M367" i="42" s="1"/>
  <c r="N368" i="42" s="1"/>
  <c r="C354" i="42"/>
  <c r="D355" i="42" s="1"/>
  <c r="E356" i="42" s="1"/>
  <c r="F357" i="42" s="1"/>
  <c r="G358" i="42" s="1"/>
  <c r="H359" i="42" s="1"/>
  <c r="I360" i="42" s="1"/>
  <c r="J361" i="42" s="1"/>
  <c r="K362" i="42" s="1"/>
  <c r="L363" i="42" s="1"/>
  <c r="M364" i="42" s="1"/>
  <c r="N365" i="42" s="1"/>
  <c r="C353" i="42"/>
  <c r="D354" i="42" s="1"/>
  <c r="E355" i="42" s="1"/>
  <c r="F356" i="42" s="1"/>
  <c r="G357" i="42" s="1"/>
  <c r="H358" i="42" s="1"/>
  <c r="I359" i="42" s="1"/>
  <c r="J360" i="42" s="1"/>
  <c r="K361" i="42" s="1"/>
  <c r="L362" i="42" s="1"/>
  <c r="M363" i="42" s="1"/>
  <c r="N364" i="42" s="1"/>
  <c r="C352" i="42"/>
  <c r="D353" i="42" s="1"/>
  <c r="E354" i="42" s="1"/>
  <c r="F355" i="42" s="1"/>
  <c r="G356" i="42" s="1"/>
  <c r="H357" i="42" s="1"/>
  <c r="I358" i="42" s="1"/>
  <c r="J359" i="42" s="1"/>
  <c r="K360" i="42" s="1"/>
  <c r="L361" i="42" s="1"/>
  <c r="M362" i="42" s="1"/>
  <c r="N363" i="42" s="1"/>
  <c r="C350" i="42"/>
  <c r="D351" i="42" s="1"/>
  <c r="E352" i="42" s="1"/>
  <c r="F353" i="42" s="1"/>
  <c r="G354" i="42" s="1"/>
  <c r="H355" i="42" s="1"/>
  <c r="I356" i="42" s="1"/>
  <c r="J357" i="42" s="1"/>
  <c r="K358" i="42" s="1"/>
  <c r="L359" i="42" s="1"/>
  <c r="M360" i="42" s="1"/>
  <c r="N361" i="42" s="1"/>
  <c r="C349" i="42"/>
  <c r="D350" i="42" s="1"/>
  <c r="E351" i="42" s="1"/>
  <c r="F352" i="42" s="1"/>
  <c r="G353" i="42" s="1"/>
  <c r="H354" i="42" s="1"/>
  <c r="I355" i="42" s="1"/>
  <c r="J356" i="42" s="1"/>
  <c r="K357" i="42" s="1"/>
  <c r="L358" i="42" s="1"/>
  <c r="M359" i="42" s="1"/>
  <c r="N360" i="42" s="1"/>
  <c r="C348" i="42"/>
  <c r="D349" i="42" s="1"/>
  <c r="E350" i="42" s="1"/>
  <c r="F351" i="42" s="1"/>
  <c r="G352" i="42" s="1"/>
  <c r="H353" i="42" s="1"/>
  <c r="I354" i="42" s="1"/>
  <c r="J355" i="42" s="1"/>
  <c r="K356" i="42" s="1"/>
  <c r="L357" i="42" s="1"/>
  <c r="M358" i="42" s="1"/>
  <c r="N359" i="42" s="1"/>
  <c r="C346" i="42"/>
  <c r="D347" i="42" s="1"/>
  <c r="E348" i="42" s="1"/>
  <c r="F349" i="42" s="1"/>
  <c r="G350" i="42" s="1"/>
  <c r="H351" i="42" s="1"/>
  <c r="I352" i="42" s="1"/>
  <c r="J353" i="42" s="1"/>
  <c r="K354" i="42" s="1"/>
  <c r="L355" i="42" s="1"/>
  <c r="M356" i="42" s="1"/>
  <c r="N357" i="42" s="1"/>
  <c r="C345" i="42"/>
  <c r="D346" i="42" s="1"/>
  <c r="E347" i="42" s="1"/>
  <c r="F348" i="42" s="1"/>
  <c r="G349" i="42" s="1"/>
  <c r="H350" i="42" s="1"/>
  <c r="I351" i="42" s="1"/>
  <c r="J352" i="42" s="1"/>
  <c r="K353" i="42" s="1"/>
  <c r="L354" i="42" s="1"/>
  <c r="M355" i="42" s="1"/>
  <c r="N356" i="42" s="1"/>
  <c r="C342" i="42"/>
  <c r="D343" i="42" s="1"/>
  <c r="E344" i="42" s="1"/>
  <c r="F345" i="42" s="1"/>
  <c r="G346" i="42" s="1"/>
  <c r="H347" i="42" s="1"/>
  <c r="I348" i="42" s="1"/>
  <c r="J349" i="42" s="1"/>
  <c r="K350" i="42" s="1"/>
  <c r="L351" i="42" s="1"/>
  <c r="M352" i="42" s="1"/>
  <c r="N353" i="42" s="1"/>
  <c r="C341" i="42"/>
  <c r="D342" i="42" s="1"/>
  <c r="E343" i="42" s="1"/>
  <c r="F344" i="42" s="1"/>
  <c r="G345" i="42" s="1"/>
  <c r="H346" i="42" s="1"/>
  <c r="I347" i="42" s="1"/>
  <c r="J348" i="42" s="1"/>
  <c r="K349" i="42" s="1"/>
  <c r="L350" i="42" s="1"/>
  <c r="M351" i="42" s="1"/>
  <c r="N352" i="42" s="1"/>
  <c r="C338" i="42"/>
  <c r="D339" i="42" s="1"/>
  <c r="E340" i="42" s="1"/>
  <c r="F341" i="42" s="1"/>
  <c r="G342" i="42" s="1"/>
  <c r="H343" i="42" s="1"/>
  <c r="I344" i="42" s="1"/>
  <c r="J345" i="42" s="1"/>
  <c r="K346" i="42" s="1"/>
  <c r="L347" i="42" s="1"/>
  <c r="M348" i="42" s="1"/>
  <c r="N349" i="42" s="1"/>
  <c r="C337" i="42"/>
  <c r="D338" i="42" s="1"/>
  <c r="E339" i="42" s="1"/>
  <c r="F340" i="42" s="1"/>
  <c r="G341" i="42" s="1"/>
  <c r="H342" i="42" s="1"/>
  <c r="I343" i="42" s="1"/>
  <c r="J344" i="42" s="1"/>
  <c r="K345" i="42" s="1"/>
  <c r="L346" i="42" s="1"/>
  <c r="M347" i="42" s="1"/>
  <c r="N348" i="42" s="1"/>
  <c r="C334" i="42"/>
  <c r="D335" i="42" s="1"/>
  <c r="E336" i="42" s="1"/>
  <c r="F337" i="42" s="1"/>
  <c r="G338" i="42" s="1"/>
  <c r="H339" i="42" s="1"/>
  <c r="I340" i="42" s="1"/>
  <c r="J341" i="42" s="1"/>
  <c r="K342" i="42" s="1"/>
  <c r="L343" i="42" s="1"/>
  <c r="M344" i="42" s="1"/>
  <c r="N345" i="42" s="1"/>
  <c r="C333" i="42"/>
  <c r="D334" i="42" s="1"/>
  <c r="E335" i="42" s="1"/>
  <c r="F336" i="42" s="1"/>
  <c r="G337" i="42" s="1"/>
  <c r="H338" i="42" s="1"/>
  <c r="I339" i="42" s="1"/>
  <c r="J340" i="42" s="1"/>
  <c r="K341" i="42" s="1"/>
  <c r="L342" i="42" s="1"/>
  <c r="M343" i="42" s="1"/>
  <c r="N344" i="42" s="1"/>
  <c r="C330" i="42"/>
  <c r="D331" i="42" s="1"/>
  <c r="E332" i="42" s="1"/>
  <c r="F333" i="42" s="1"/>
  <c r="G334" i="42" s="1"/>
  <c r="H335" i="42" s="1"/>
  <c r="I336" i="42" s="1"/>
  <c r="J337" i="42" s="1"/>
  <c r="K338" i="42" s="1"/>
  <c r="L339" i="42" s="1"/>
  <c r="M340" i="42" s="1"/>
  <c r="N341" i="42" s="1"/>
  <c r="C329" i="42"/>
  <c r="D330" i="42" s="1"/>
  <c r="E331" i="42" s="1"/>
  <c r="F332" i="42" s="1"/>
  <c r="G333" i="42" s="1"/>
  <c r="H334" i="42" s="1"/>
  <c r="I335" i="42" s="1"/>
  <c r="J336" i="42" s="1"/>
  <c r="K337" i="42" s="1"/>
  <c r="L338" i="42" s="1"/>
  <c r="M339" i="42" s="1"/>
  <c r="N340" i="42" s="1"/>
  <c r="C326" i="42"/>
  <c r="D327" i="42" s="1"/>
  <c r="E328" i="42" s="1"/>
  <c r="F329" i="42" s="1"/>
  <c r="G330" i="42" s="1"/>
  <c r="H331" i="42" s="1"/>
  <c r="I332" i="42" s="1"/>
  <c r="J333" i="42" s="1"/>
  <c r="K334" i="42" s="1"/>
  <c r="L335" i="42" s="1"/>
  <c r="M336" i="42" s="1"/>
  <c r="N337" i="42" s="1"/>
  <c r="C325" i="42"/>
  <c r="D326" i="42" s="1"/>
  <c r="E327" i="42" s="1"/>
  <c r="F328" i="42" s="1"/>
  <c r="G329" i="42" s="1"/>
  <c r="H330" i="42" s="1"/>
  <c r="I331" i="42" s="1"/>
  <c r="J332" i="42" s="1"/>
  <c r="K333" i="42" s="1"/>
  <c r="L334" i="42" s="1"/>
  <c r="M335" i="42" s="1"/>
  <c r="N336" i="42" s="1"/>
  <c r="C324" i="42"/>
  <c r="D325" i="42" s="1"/>
  <c r="E326" i="42" s="1"/>
  <c r="F327" i="42" s="1"/>
  <c r="G328" i="42" s="1"/>
  <c r="H329" i="42" s="1"/>
  <c r="I330" i="42" s="1"/>
  <c r="J331" i="42" s="1"/>
  <c r="K332" i="42" s="1"/>
  <c r="L333" i="42" s="1"/>
  <c r="M334" i="42" s="1"/>
  <c r="N335" i="42" s="1"/>
  <c r="C322" i="42"/>
  <c r="D323" i="42" s="1"/>
  <c r="E324" i="42" s="1"/>
  <c r="F325" i="42" s="1"/>
  <c r="G326" i="42" s="1"/>
  <c r="H327" i="42" s="1"/>
  <c r="I328" i="42" s="1"/>
  <c r="J329" i="42" s="1"/>
  <c r="K330" i="42" s="1"/>
  <c r="L331" i="42" s="1"/>
  <c r="M332" i="42" s="1"/>
  <c r="N333" i="42" s="1"/>
  <c r="C321" i="42"/>
  <c r="D322" i="42" s="1"/>
  <c r="E323" i="42" s="1"/>
  <c r="F324" i="42" s="1"/>
  <c r="G325" i="42" s="1"/>
  <c r="H326" i="42" s="1"/>
  <c r="I327" i="42" s="1"/>
  <c r="J328" i="42" s="1"/>
  <c r="K329" i="42" s="1"/>
  <c r="L330" i="42" s="1"/>
  <c r="M331" i="42" s="1"/>
  <c r="N332" i="42" s="1"/>
  <c r="C320" i="42"/>
  <c r="D321" i="42" s="1"/>
  <c r="E322" i="42" s="1"/>
  <c r="F323" i="42" s="1"/>
  <c r="G324" i="42" s="1"/>
  <c r="H325" i="42" s="1"/>
  <c r="I326" i="42" s="1"/>
  <c r="J327" i="42" s="1"/>
  <c r="K328" i="42" s="1"/>
  <c r="L329" i="42" s="1"/>
  <c r="M330" i="42" s="1"/>
  <c r="N331" i="42" s="1"/>
  <c r="C318" i="42"/>
  <c r="D319" i="42" s="1"/>
  <c r="E320" i="42" s="1"/>
  <c r="F321" i="42" s="1"/>
  <c r="G322" i="42" s="1"/>
  <c r="H323" i="42" s="1"/>
  <c r="I324" i="42" s="1"/>
  <c r="J325" i="42" s="1"/>
  <c r="K326" i="42" s="1"/>
  <c r="L327" i="42" s="1"/>
  <c r="M328" i="42" s="1"/>
  <c r="N329" i="42" s="1"/>
  <c r="C317" i="42"/>
  <c r="D318" i="42" s="1"/>
  <c r="E319" i="42" s="1"/>
  <c r="F320" i="42" s="1"/>
  <c r="G321" i="42" s="1"/>
  <c r="H322" i="42" s="1"/>
  <c r="I323" i="42" s="1"/>
  <c r="J324" i="42" s="1"/>
  <c r="K325" i="42" s="1"/>
  <c r="L326" i="42" s="1"/>
  <c r="M327" i="42" s="1"/>
  <c r="N328" i="42" s="1"/>
  <c r="C316" i="42"/>
  <c r="D317" i="42" s="1"/>
  <c r="E318" i="42" s="1"/>
  <c r="F319" i="42" s="1"/>
  <c r="G320" i="42" s="1"/>
  <c r="H321" i="42" s="1"/>
  <c r="I322" i="42" s="1"/>
  <c r="J323" i="42" s="1"/>
  <c r="K324" i="42" s="1"/>
  <c r="L325" i="42" s="1"/>
  <c r="M326" i="42" s="1"/>
  <c r="N327" i="42" s="1"/>
  <c r="C314" i="42"/>
  <c r="D315" i="42" s="1"/>
  <c r="E316" i="42" s="1"/>
  <c r="F317" i="42" s="1"/>
  <c r="G318" i="42" s="1"/>
  <c r="H319" i="42" s="1"/>
  <c r="I320" i="42" s="1"/>
  <c r="J321" i="42" s="1"/>
  <c r="K322" i="42" s="1"/>
  <c r="L323" i="42" s="1"/>
  <c r="M324" i="42" s="1"/>
  <c r="N325" i="42" s="1"/>
  <c r="C313" i="42"/>
  <c r="D314" i="42" s="1"/>
  <c r="E315" i="42" s="1"/>
  <c r="F316" i="42" s="1"/>
  <c r="G317" i="42" s="1"/>
  <c r="H318" i="42" s="1"/>
  <c r="I319" i="42" s="1"/>
  <c r="J320" i="42" s="1"/>
  <c r="K321" i="42" s="1"/>
  <c r="L322" i="42" s="1"/>
  <c r="M323" i="42" s="1"/>
  <c r="N324" i="42" s="1"/>
  <c r="C312" i="42"/>
  <c r="D313" i="42" s="1"/>
  <c r="E314" i="42" s="1"/>
  <c r="F315" i="42" s="1"/>
  <c r="G316" i="42" s="1"/>
  <c r="H317" i="42" s="1"/>
  <c r="I318" i="42" s="1"/>
  <c r="J319" i="42" s="1"/>
  <c r="K320" i="42" s="1"/>
  <c r="L321" i="42" s="1"/>
  <c r="M322" i="42" s="1"/>
  <c r="N323" i="42" s="1"/>
  <c r="C310" i="42"/>
  <c r="D311" i="42" s="1"/>
  <c r="E312" i="42" s="1"/>
  <c r="F313" i="42" s="1"/>
  <c r="G314" i="42" s="1"/>
  <c r="H315" i="42" s="1"/>
  <c r="I316" i="42" s="1"/>
  <c r="J317" i="42" s="1"/>
  <c r="K318" i="42" s="1"/>
  <c r="L319" i="42" s="1"/>
  <c r="M320" i="42" s="1"/>
  <c r="N321" i="42" s="1"/>
  <c r="C309" i="42"/>
  <c r="D310" i="42" s="1"/>
  <c r="E311" i="42" s="1"/>
  <c r="F312" i="42" s="1"/>
  <c r="G313" i="42" s="1"/>
  <c r="H314" i="42" s="1"/>
  <c r="I315" i="42" s="1"/>
  <c r="J316" i="42" s="1"/>
  <c r="K317" i="42" s="1"/>
  <c r="L318" i="42" s="1"/>
  <c r="M319" i="42" s="1"/>
  <c r="N320" i="42" s="1"/>
  <c r="C308" i="42"/>
  <c r="D309" i="42" s="1"/>
  <c r="E310" i="42" s="1"/>
  <c r="F311" i="42" s="1"/>
  <c r="G312" i="42" s="1"/>
  <c r="H313" i="42" s="1"/>
  <c r="I314" i="42" s="1"/>
  <c r="J315" i="42" s="1"/>
  <c r="K316" i="42" s="1"/>
  <c r="L317" i="42" s="1"/>
  <c r="M318" i="42" s="1"/>
  <c r="N319" i="42" s="1"/>
  <c r="C306" i="42"/>
  <c r="D307" i="42" s="1"/>
  <c r="E308" i="42" s="1"/>
  <c r="F309" i="42" s="1"/>
  <c r="G310" i="42" s="1"/>
  <c r="H311" i="42" s="1"/>
  <c r="I312" i="42" s="1"/>
  <c r="J313" i="42" s="1"/>
  <c r="K314" i="42" s="1"/>
  <c r="L315" i="42" s="1"/>
  <c r="M316" i="42" s="1"/>
  <c r="N317" i="42" s="1"/>
  <c r="C305" i="42"/>
  <c r="D306" i="42" s="1"/>
  <c r="E307" i="42" s="1"/>
  <c r="F308" i="42" s="1"/>
  <c r="G309" i="42" s="1"/>
  <c r="H310" i="42" s="1"/>
  <c r="I311" i="42" s="1"/>
  <c r="J312" i="42" s="1"/>
  <c r="K313" i="42" s="1"/>
  <c r="L314" i="42" s="1"/>
  <c r="M315" i="42" s="1"/>
  <c r="N316" i="42" s="1"/>
  <c r="C302" i="42"/>
  <c r="D303" i="42" s="1"/>
  <c r="E304" i="42" s="1"/>
  <c r="F305" i="42" s="1"/>
  <c r="G306" i="42" s="1"/>
  <c r="H307" i="42" s="1"/>
  <c r="I308" i="42" s="1"/>
  <c r="J309" i="42" s="1"/>
  <c r="K310" i="42" s="1"/>
  <c r="L311" i="42" s="1"/>
  <c r="M312" i="42" s="1"/>
  <c r="N313" i="42" s="1"/>
  <c r="C301" i="42"/>
  <c r="D302" i="42" s="1"/>
  <c r="E303" i="42" s="1"/>
  <c r="F304" i="42" s="1"/>
  <c r="G305" i="42" s="1"/>
  <c r="H306" i="42" s="1"/>
  <c r="I307" i="42" s="1"/>
  <c r="J308" i="42" s="1"/>
  <c r="K309" i="42" s="1"/>
  <c r="L310" i="42" s="1"/>
  <c r="M311" i="42" s="1"/>
  <c r="N312" i="42" s="1"/>
  <c r="C300" i="42"/>
  <c r="D301" i="42" s="1"/>
  <c r="E302" i="42" s="1"/>
  <c r="F303" i="42" s="1"/>
  <c r="G304" i="42" s="1"/>
  <c r="H305" i="42" s="1"/>
  <c r="I306" i="42" s="1"/>
  <c r="J307" i="42" s="1"/>
  <c r="K308" i="42" s="1"/>
  <c r="L309" i="42" s="1"/>
  <c r="M310" i="42" s="1"/>
  <c r="N311" i="42" s="1"/>
  <c r="C298" i="42"/>
  <c r="D299" i="42" s="1"/>
  <c r="E300" i="42" s="1"/>
  <c r="F301" i="42" s="1"/>
  <c r="G302" i="42" s="1"/>
  <c r="H303" i="42" s="1"/>
  <c r="I304" i="42" s="1"/>
  <c r="J305" i="42" s="1"/>
  <c r="K306" i="42" s="1"/>
  <c r="L307" i="42" s="1"/>
  <c r="M308" i="42" s="1"/>
  <c r="N309" i="42" s="1"/>
  <c r="C297" i="42"/>
  <c r="D298" i="42" s="1"/>
  <c r="E299" i="42" s="1"/>
  <c r="F300" i="42" s="1"/>
  <c r="G301" i="42" s="1"/>
  <c r="H302" i="42" s="1"/>
  <c r="I303" i="42" s="1"/>
  <c r="J304" i="42" s="1"/>
  <c r="K305" i="42" s="1"/>
  <c r="L306" i="42" s="1"/>
  <c r="M307" i="42" s="1"/>
  <c r="N308" i="42" s="1"/>
  <c r="C296" i="42"/>
  <c r="D297" i="42" s="1"/>
  <c r="E298" i="42" s="1"/>
  <c r="F299" i="42" s="1"/>
  <c r="G300" i="42" s="1"/>
  <c r="H301" i="42" s="1"/>
  <c r="I302" i="42" s="1"/>
  <c r="J303" i="42" s="1"/>
  <c r="K304" i="42" s="1"/>
  <c r="L305" i="42" s="1"/>
  <c r="M306" i="42" s="1"/>
  <c r="N307" i="42" s="1"/>
  <c r="C294" i="42"/>
  <c r="D295" i="42" s="1"/>
  <c r="E296" i="42" s="1"/>
  <c r="F297" i="42" s="1"/>
  <c r="G298" i="42" s="1"/>
  <c r="H299" i="42" s="1"/>
  <c r="I300" i="42" s="1"/>
  <c r="J301" i="42" s="1"/>
  <c r="K302" i="42" s="1"/>
  <c r="L303" i="42" s="1"/>
  <c r="M304" i="42" s="1"/>
  <c r="N305" i="42" s="1"/>
  <c r="D293" i="42"/>
  <c r="E294" i="42" s="1"/>
  <c r="F295" i="42" s="1"/>
  <c r="G296" i="42" s="1"/>
  <c r="H297" i="42" s="1"/>
  <c r="I298" i="42" s="1"/>
  <c r="J299" i="42" s="1"/>
  <c r="K300" i="42" s="1"/>
  <c r="L301" i="42" s="1"/>
  <c r="M302" i="42" s="1"/>
  <c r="N303" i="42" s="1"/>
  <c r="C293" i="42"/>
  <c r="D294" i="42" s="1"/>
  <c r="E295" i="42" s="1"/>
  <c r="F296" i="42" s="1"/>
  <c r="G297" i="42" s="1"/>
  <c r="H298" i="42" s="1"/>
  <c r="I299" i="42" s="1"/>
  <c r="J300" i="42" s="1"/>
  <c r="K301" i="42" s="1"/>
  <c r="L302" i="42" s="1"/>
  <c r="M303" i="42" s="1"/>
  <c r="N304" i="42" s="1"/>
  <c r="C290" i="42"/>
  <c r="D291" i="42" s="1"/>
  <c r="E292" i="42" s="1"/>
  <c r="F293" i="42" s="1"/>
  <c r="G294" i="42" s="1"/>
  <c r="H295" i="42" s="1"/>
  <c r="I296" i="42" s="1"/>
  <c r="J297" i="42" s="1"/>
  <c r="K298" i="42" s="1"/>
  <c r="L299" i="42" s="1"/>
  <c r="M300" i="42" s="1"/>
  <c r="N301" i="42" s="1"/>
  <c r="C289" i="42"/>
  <c r="D290" i="42" s="1"/>
  <c r="E291" i="42" s="1"/>
  <c r="F292" i="42" s="1"/>
  <c r="G293" i="42" s="1"/>
  <c r="H294" i="42" s="1"/>
  <c r="I295" i="42" s="1"/>
  <c r="J296" i="42" s="1"/>
  <c r="K297" i="42" s="1"/>
  <c r="L298" i="42" s="1"/>
  <c r="M299" i="42" s="1"/>
  <c r="N300" i="42" s="1"/>
  <c r="C286" i="42"/>
  <c r="D287" i="42" s="1"/>
  <c r="E288" i="42" s="1"/>
  <c r="F289" i="42" s="1"/>
  <c r="G290" i="42" s="1"/>
  <c r="H291" i="42" s="1"/>
  <c r="I292" i="42" s="1"/>
  <c r="J293" i="42" s="1"/>
  <c r="K294" i="42" s="1"/>
  <c r="L295" i="42" s="1"/>
  <c r="M296" i="42" s="1"/>
  <c r="N297" i="42" s="1"/>
  <c r="C285" i="42"/>
  <c r="D286" i="42" s="1"/>
  <c r="E287" i="42" s="1"/>
  <c r="F288" i="42" s="1"/>
  <c r="G289" i="42" s="1"/>
  <c r="H290" i="42" s="1"/>
  <c r="I291" i="42" s="1"/>
  <c r="J292" i="42" s="1"/>
  <c r="K293" i="42" s="1"/>
  <c r="L294" i="42" s="1"/>
  <c r="M295" i="42" s="1"/>
  <c r="N296" i="42" s="1"/>
  <c r="C282" i="42"/>
  <c r="D283" i="42" s="1"/>
  <c r="E284" i="42" s="1"/>
  <c r="F285" i="42" s="1"/>
  <c r="G286" i="42" s="1"/>
  <c r="H287" i="42" s="1"/>
  <c r="I288" i="42" s="1"/>
  <c r="J289" i="42" s="1"/>
  <c r="K290" i="42" s="1"/>
  <c r="L291" i="42" s="1"/>
  <c r="M292" i="42" s="1"/>
  <c r="N293" i="42" s="1"/>
  <c r="C281" i="42"/>
  <c r="D282" i="42" s="1"/>
  <c r="E283" i="42" s="1"/>
  <c r="F284" i="42" s="1"/>
  <c r="G285" i="42" s="1"/>
  <c r="H286" i="42" s="1"/>
  <c r="I287" i="42" s="1"/>
  <c r="J288" i="42" s="1"/>
  <c r="K289" i="42" s="1"/>
  <c r="L290" i="42" s="1"/>
  <c r="M291" i="42" s="1"/>
  <c r="N292" i="42" s="1"/>
  <c r="C278" i="42"/>
  <c r="D279" i="42" s="1"/>
  <c r="E280" i="42" s="1"/>
  <c r="F281" i="42" s="1"/>
  <c r="G282" i="42" s="1"/>
  <c r="H283" i="42" s="1"/>
  <c r="I284" i="42" s="1"/>
  <c r="J285" i="42" s="1"/>
  <c r="K286" i="42" s="1"/>
  <c r="L287" i="42" s="1"/>
  <c r="M288" i="42" s="1"/>
  <c r="N289" i="42" s="1"/>
  <c r="C277" i="42"/>
  <c r="D278" i="42" s="1"/>
  <c r="E279" i="42" s="1"/>
  <c r="F280" i="42" s="1"/>
  <c r="G281" i="42" s="1"/>
  <c r="H282" i="42" s="1"/>
  <c r="I283" i="42" s="1"/>
  <c r="J284" i="42" s="1"/>
  <c r="K285" i="42" s="1"/>
  <c r="L286" i="42" s="1"/>
  <c r="M287" i="42" s="1"/>
  <c r="N288" i="42" s="1"/>
  <c r="D274" i="42"/>
  <c r="E275" i="42" s="1"/>
  <c r="F276" i="42" s="1"/>
  <c r="G277" i="42" s="1"/>
  <c r="H278" i="42" s="1"/>
  <c r="I279" i="42" s="1"/>
  <c r="J280" i="42" s="1"/>
  <c r="K281" i="42" s="1"/>
  <c r="L282" i="42" s="1"/>
  <c r="M283" i="42" s="1"/>
  <c r="N284" i="42" s="1"/>
  <c r="C274" i="42"/>
  <c r="D275" i="42" s="1"/>
  <c r="E276" i="42" s="1"/>
  <c r="F277" i="42" s="1"/>
  <c r="G278" i="42" s="1"/>
  <c r="H279" i="42" s="1"/>
  <c r="I280" i="42" s="1"/>
  <c r="J281" i="42" s="1"/>
  <c r="K282" i="42" s="1"/>
  <c r="L283" i="42" s="1"/>
  <c r="M284" i="42" s="1"/>
  <c r="N285" i="42" s="1"/>
  <c r="C273" i="42"/>
  <c r="C272" i="42"/>
  <c r="D273" i="42" s="1"/>
  <c r="E274" i="42" s="1"/>
  <c r="F275" i="42" s="1"/>
  <c r="G276" i="42" s="1"/>
  <c r="H277" i="42" s="1"/>
  <c r="I278" i="42" s="1"/>
  <c r="J279" i="42" s="1"/>
  <c r="K280" i="42" s="1"/>
  <c r="L281" i="42" s="1"/>
  <c r="M282" i="42" s="1"/>
  <c r="N283" i="42" s="1"/>
  <c r="F271" i="42"/>
  <c r="G272" i="42" s="1"/>
  <c r="H273" i="42" s="1"/>
  <c r="I274" i="42" s="1"/>
  <c r="J275" i="42" s="1"/>
  <c r="K276" i="42" s="1"/>
  <c r="L277" i="42" s="1"/>
  <c r="M278" i="42" s="1"/>
  <c r="N279" i="42" s="1"/>
  <c r="C270" i="42"/>
  <c r="D271" i="42" s="1"/>
  <c r="E272" i="42" s="1"/>
  <c r="F273" i="42" s="1"/>
  <c r="G274" i="42" s="1"/>
  <c r="H275" i="42" s="1"/>
  <c r="I276" i="42" s="1"/>
  <c r="J277" i="42" s="1"/>
  <c r="K278" i="42" s="1"/>
  <c r="L279" i="42" s="1"/>
  <c r="M280" i="42" s="1"/>
  <c r="N281" i="42" s="1"/>
  <c r="C269" i="42"/>
  <c r="D270" i="42" s="1"/>
  <c r="E271" i="42" s="1"/>
  <c r="F272" i="42" s="1"/>
  <c r="G273" i="42" s="1"/>
  <c r="H274" i="42" s="1"/>
  <c r="I275" i="42" s="1"/>
  <c r="J276" i="42" s="1"/>
  <c r="K277" i="42" s="1"/>
  <c r="L278" i="42" s="1"/>
  <c r="M279" i="42" s="1"/>
  <c r="N280" i="42" s="1"/>
  <c r="C266" i="42"/>
  <c r="D267" i="42" s="1"/>
  <c r="E268" i="42" s="1"/>
  <c r="F269" i="42" s="1"/>
  <c r="G270" i="42" s="1"/>
  <c r="H271" i="42" s="1"/>
  <c r="I272" i="42" s="1"/>
  <c r="J273" i="42" s="1"/>
  <c r="K274" i="42" s="1"/>
  <c r="L275" i="42" s="1"/>
  <c r="M276" i="42" s="1"/>
  <c r="N277" i="42" s="1"/>
  <c r="C265" i="42"/>
  <c r="D266" i="42" s="1"/>
  <c r="E267" i="42" s="1"/>
  <c r="F268" i="42" s="1"/>
  <c r="G269" i="42" s="1"/>
  <c r="H270" i="42" s="1"/>
  <c r="I271" i="42" s="1"/>
  <c r="J272" i="42" s="1"/>
  <c r="K273" i="42" s="1"/>
  <c r="L274" i="42" s="1"/>
  <c r="M275" i="42" s="1"/>
  <c r="N276" i="42" s="1"/>
  <c r="C264" i="42"/>
  <c r="D265" i="42" s="1"/>
  <c r="E266" i="42" s="1"/>
  <c r="F267" i="42" s="1"/>
  <c r="G268" i="42" s="1"/>
  <c r="H269" i="42" s="1"/>
  <c r="I270" i="42" s="1"/>
  <c r="J271" i="42" s="1"/>
  <c r="K272" i="42" s="1"/>
  <c r="L273" i="42" s="1"/>
  <c r="M274" i="42" s="1"/>
  <c r="N275" i="42" s="1"/>
  <c r="F263" i="42"/>
  <c r="G264" i="42" s="1"/>
  <c r="H265" i="42" s="1"/>
  <c r="I266" i="42" s="1"/>
  <c r="J267" i="42" s="1"/>
  <c r="K268" i="42" s="1"/>
  <c r="L269" i="42" s="1"/>
  <c r="M270" i="42" s="1"/>
  <c r="N271" i="42" s="1"/>
  <c r="C262" i="42"/>
  <c r="D263" i="42" s="1"/>
  <c r="E264" i="42" s="1"/>
  <c r="F265" i="42" s="1"/>
  <c r="G266" i="42" s="1"/>
  <c r="H267" i="42" s="1"/>
  <c r="I268" i="42" s="1"/>
  <c r="J269" i="42" s="1"/>
  <c r="K270" i="42" s="1"/>
  <c r="L271" i="42" s="1"/>
  <c r="M272" i="42" s="1"/>
  <c r="N273" i="42" s="1"/>
  <c r="C261" i="42"/>
  <c r="D262" i="42" s="1"/>
  <c r="E263" i="42" s="1"/>
  <c r="F264" i="42" s="1"/>
  <c r="G265" i="42" s="1"/>
  <c r="H266" i="42" s="1"/>
  <c r="I267" i="42" s="1"/>
  <c r="J268" i="42" s="1"/>
  <c r="K269" i="42" s="1"/>
  <c r="L270" i="42" s="1"/>
  <c r="M271" i="42" s="1"/>
  <c r="N272" i="42" s="1"/>
  <c r="C258" i="42"/>
  <c r="D259" i="42" s="1"/>
  <c r="E260" i="42" s="1"/>
  <c r="F261" i="42" s="1"/>
  <c r="G262" i="42" s="1"/>
  <c r="H263" i="42" s="1"/>
  <c r="I264" i="42" s="1"/>
  <c r="J265" i="42" s="1"/>
  <c r="K266" i="42" s="1"/>
  <c r="L267" i="42" s="1"/>
  <c r="M268" i="42" s="1"/>
  <c r="N269" i="42" s="1"/>
  <c r="C257" i="42"/>
  <c r="D258" i="42" s="1"/>
  <c r="E259" i="42" s="1"/>
  <c r="F260" i="42" s="1"/>
  <c r="G261" i="42" s="1"/>
  <c r="H262" i="42" s="1"/>
  <c r="I263" i="42" s="1"/>
  <c r="J264" i="42" s="1"/>
  <c r="K265" i="42" s="1"/>
  <c r="L266" i="42" s="1"/>
  <c r="M267" i="42" s="1"/>
  <c r="N268" i="42" s="1"/>
  <c r="C256" i="42"/>
  <c r="D257" i="42" s="1"/>
  <c r="E258" i="42" s="1"/>
  <c r="F259" i="42" s="1"/>
  <c r="G260" i="42" s="1"/>
  <c r="H261" i="42" s="1"/>
  <c r="I262" i="42" s="1"/>
  <c r="J263" i="42" s="1"/>
  <c r="K264" i="42" s="1"/>
  <c r="L265" i="42" s="1"/>
  <c r="M266" i="42" s="1"/>
  <c r="N267" i="42" s="1"/>
  <c r="C254" i="42"/>
  <c r="D255" i="42" s="1"/>
  <c r="E256" i="42" s="1"/>
  <c r="F257" i="42" s="1"/>
  <c r="G258" i="42" s="1"/>
  <c r="H259" i="42" s="1"/>
  <c r="I260" i="42" s="1"/>
  <c r="J261" i="42" s="1"/>
  <c r="K262" i="42" s="1"/>
  <c r="L263" i="42" s="1"/>
  <c r="M264" i="42" s="1"/>
  <c r="N265" i="42" s="1"/>
  <c r="C253" i="42"/>
  <c r="D254" i="42" s="1"/>
  <c r="E255" i="42" s="1"/>
  <c r="F256" i="42" s="1"/>
  <c r="G257" i="42" s="1"/>
  <c r="H258" i="42" s="1"/>
  <c r="I259" i="42" s="1"/>
  <c r="J260" i="42" s="1"/>
  <c r="K261" i="42" s="1"/>
  <c r="L262" i="42" s="1"/>
  <c r="M263" i="42" s="1"/>
  <c r="N264" i="42" s="1"/>
  <c r="C250" i="42"/>
  <c r="D251" i="42" s="1"/>
  <c r="E252" i="42" s="1"/>
  <c r="F253" i="42" s="1"/>
  <c r="G254" i="42" s="1"/>
  <c r="H255" i="42" s="1"/>
  <c r="I256" i="42" s="1"/>
  <c r="J257" i="42" s="1"/>
  <c r="K258" i="42" s="1"/>
  <c r="L259" i="42" s="1"/>
  <c r="M260" i="42" s="1"/>
  <c r="N261" i="42" s="1"/>
  <c r="C249" i="42"/>
  <c r="D250" i="42" s="1"/>
  <c r="E251" i="42" s="1"/>
  <c r="F252" i="42" s="1"/>
  <c r="G253" i="42" s="1"/>
  <c r="H254" i="42" s="1"/>
  <c r="I255" i="42" s="1"/>
  <c r="J256" i="42" s="1"/>
  <c r="K257" i="42" s="1"/>
  <c r="L258" i="42" s="1"/>
  <c r="M259" i="42" s="1"/>
  <c r="N260" i="42" s="1"/>
  <c r="C248" i="42"/>
  <c r="D249" i="42" s="1"/>
  <c r="E250" i="42" s="1"/>
  <c r="F251" i="42" s="1"/>
  <c r="G252" i="42" s="1"/>
  <c r="H253" i="42" s="1"/>
  <c r="I254" i="42" s="1"/>
  <c r="J255" i="42" s="1"/>
  <c r="K256" i="42" s="1"/>
  <c r="L257" i="42" s="1"/>
  <c r="M258" i="42" s="1"/>
  <c r="N259" i="42" s="1"/>
  <c r="F247" i="42"/>
  <c r="G248" i="42" s="1"/>
  <c r="H249" i="42" s="1"/>
  <c r="I250" i="42" s="1"/>
  <c r="J251" i="42" s="1"/>
  <c r="K252" i="42" s="1"/>
  <c r="L253" i="42" s="1"/>
  <c r="M254" i="42" s="1"/>
  <c r="N255" i="42" s="1"/>
  <c r="C246" i="42"/>
  <c r="D247" i="42" s="1"/>
  <c r="E248" i="42" s="1"/>
  <c r="F249" i="42" s="1"/>
  <c r="G250" i="42" s="1"/>
  <c r="H251" i="42" s="1"/>
  <c r="I252" i="42" s="1"/>
  <c r="J253" i="42" s="1"/>
  <c r="K254" i="42" s="1"/>
  <c r="L255" i="42" s="1"/>
  <c r="M256" i="42" s="1"/>
  <c r="N257" i="42" s="1"/>
  <c r="C245" i="42"/>
  <c r="D246" i="42" s="1"/>
  <c r="E247" i="42" s="1"/>
  <c r="F248" i="42" s="1"/>
  <c r="G249" i="42" s="1"/>
  <c r="H250" i="42" s="1"/>
  <c r="I251" i="42" s="1"/>
  <c r="J252" i="42" s="1"/>
  <c r="K253" i="42" s="1"/>
  <c r="L254" i="42" s="1"/>
  <c r="M255" i="42" s="1"/>
  <c r="N256" i="42" s="1"/>
  <c r="C242" i="42"/>
  <c r="D243" i="42" s="1"/>
  <c r="E244" i="42" s="1"/>
  <c r="F245" i="42" s="1"/>
  <c r="G246" i="42" s="1"/>
  <c r="H247" i="42" s="1"/>
  <c r="I248" i="42" s="1"/>
  <c r="J249" i="42" s="1"/>
  <c r="K250" i="42" s="1"/>
  <c r="L251" i="42" s="1"/>
  <c r="M252" i="42" s="1"/>
  <c r="N253" i="42" s="1"/>
  <c r="C241" i="42"/>
  <c r="D242" i="42" s="1"/>
  <c r="E243" i="42" s="1"/>
  <c r="F244" i="42" s="1"/>
  <c r="G245" i="42" s="1"/>
  <c r="H246" i="42" s="1"/>
  <c r="I247" i="42" s="1"/>
  <c r="J248" i="42" s="1"/>
  <c r="K249" i="42" s="1"/>
  <c r="L250" i="42" s="1"/>
  <c r="M251" i="42" s="1"/>
  <c r="N252" i="42" s="1"/>
  <c r="C238" i="42"/>
  <c r="D239" i="42" s="1"/>
  <c r="E240" i="42" s="1"/>
  <c r="F241" i="42" s="1"/>
  <c r="G242" i="42" s="1"/>
  <c r="H243" i="42" s="1"/>
  <c r="I244" i="42" s="1"/>
  <c r="J245" i="42" s="1"/>
  <c r="K246" i="42" s="1"/>
  <c r="L247" i="42" s="1"/>
  <c r="M248" i="42" s="1"/>
  <c r="N249" i="42" s="1"/>
  <c r="C237" i="42"/>
  <c r="D238" i="42" s="1"/>
  <c r="E239" i="42" s="1"/>
  <c r="F240" i="42" s="1"/>
  <c r="G241" i="42" s="1"/>
  <c r="H242" i="42" s="1"/>
  <c r="I243" i="42" s="1"/>
  <c r="J244" i="42" s="1"/>
  <c r="K245" i="42" s="1"/>
  <c r="L246" i="42" s="1"/>
  <c r="M247" i="42" s="1"/>
  <c r="N248" i="42" s="1"/>
  <c r="C234" i="42"/>
  <c r="D235" i="42" s="1"/>
  <c r="E236" i="42" s="1"/>
  <c r="F237" i="42" s="1"/>
  <c r="G238" i="42" s="1"/>
  <c r="H239" i="42" s="1"/>
  <c r="I240" i="42" s="1"/>
  <c r="J241" i="42" s="1"/>
  <c r="K242" i="42" s="1"/>
  <c r="L243" i="42" s="1"/>
  <c r="M244" i="42" s="1"/>
  <c r="N245" i="42" s="1"/>
  <c r="D233" i="42"/>
  <c r="E234" i="42" s="1"/>
  <c r="F235" i="42" s="1"/>
  <c r="G236" i="42" s="1"/>
  <c r="H237" i="42" s="1"/>
  <c r="I238" i="42" s="1"/>
  <c r="J239" i="42" s="1"/>
  <c r="K240" i="42" s="1"/>
  <c r="L241" i="42" s="1"/>
  <c r="M242" i="42" s="1"/>
  <c r="N243" i="42" s="1"/>
  <c r="C233" i="42"/>
  <c r="D234" i="42" s="1"/>
  <c r="E235" i="42" s="1"/>
  <c r="F236" i="42" s="1"/>
  <c r="G237" i="42" s="1"/>
  <c r="H238" i="42" s="1"/>
  <c r="I239" i="42" s="1"/>
  <c r="J240" i="42" s="1"/>
  <c r="K241" i="42" s="1"/>
  <c r="L242" i="42" s="1"/>
  <c r="M243" i="42" s="1"/>
  <c r="N244" i="42" s="1"/>
  <c r="C230" i="42"/>
  <c r="D231" i="42" s="1"/>
  <c r="E232" i="42" s="1"/>
  <c r="F233" i="42" s="1"/>
  <c r="G234" i="42" s="1"/>
  <c r="H235" i="42" s="1"/>
  <c r="I236" i="42" s="1"/>
  <c r="J237" i="42" s="1"/>
  <c r="K238" i="42" s="1"/>
  <c r="L239" i="42" s="1"/>
  <c r="M240" i="42" s="1"/>
  <c r="N241" i="42" s="1"/>
  <c r="D229" i="42"/>
  <c r="E230" i="42" s="1"/>
  <c r="F231" i="42" s="1"/>
  <c r="G232" i="42" s="1"/>
  <c r="H233" i="42" s="1"/>
  <c r="I234" i="42" s="1"/>
  <c r="J235" i="42" s="1"/>
  <c r="K236" i="42" s="1"/>
  <c r="L237" i="42" s="1"/>
  <c r="M238" i="42" s="1"/>
  <c r="N239" i="42" s="1"/>
  <c r="C229" i="42"/>
  <c r="D230" i="42" s="1"/>
  <c r="E231" i="42" s="1"/>
  <c r="F232" i="42" s="1"/>
  <c r="G233" i="42" s="1"/>
  <c r="H234" i="42" s="1"/>
  <c r="I235" i="42" s="1"/>
  <c r="J236" i="42" s="1"/>
  <c r="K237" i="42" s="1"/>
  <c r="L238" i="42" s="1"/>
  <c r="M239" i="42" s="1"/>
  <c r="N240" i="42" s="1"/>
  <c r="C228" i="42"/>
  <c r="C226" i="42"/>
  <c r="D227" i="42" s="1"/>
  <c r="E228" i="42" s="1"/>
  <c r="F229" i="42" s="1"/>
  <c r="G230" i="42" s="1"/>
  <c r="H231" i="42" s="1"/>
  <c r="I232" i="42" s="1"/>
  <c r="J233" i="42" s="1"/>
  <c r="K234" i="42" s="1"/>
  <c r="L235" i="42" s="1"/>
  <c r="M236" i="42" s="1"/>
  <c r="N237" i="42" s="1"/>
  <c r="C225" i="42"/>
  <c r="D226" i="42" s="1"/>
  <c r="E227" i="42" s="1"/>
  <c r="F228" i="42" s="1"/>
  <c r="G229" i="42" s="1"/>
  <c r="H230" i="42" s="1"/>
  <c r="I231" i="42" s="1"/>
  <c r="J232" i="42" s="1"/>
  <c r="K233" i="42" s="1"/>
  <c r="L234" i="42" s="1"/>
  <c r="M235" i="42" s="1"/>
  <c r="N236" i="42" s="1"/>
  <c r="C224" i="42"/>
  <c r="D225" i="42" s="1"/>
  <c r="E226" i="42" s="1"/>
  <c r="F227" i="42" s="1"/>
  <c r="G228" i="42" s="1"/>
  <c r="H229" i="42" s="1"/>
  <c r="I230" i="42" s="1"/>
  <c r="J231" i="42" s="1"/>
  <c r="K232" i="42" s="1"/>
  <c r="L233" i="42" s="1"/>
  <c r="M234" i="42" s="1"/>
  <c r="N235" i="42" s="1"/>
  <c r="C222" i="42"/>
  <c r="D223" i="42" s="1"/>
  <c r="E224" i="42" s="1"/>
  <c r="F225" i="42" s="1"/>
  <c r="G226" i="42" s="1"/>
  <c r="H227" i="42" s="1"/>
  <c r="I228" i="42" s="1"/>
  <c r="J229" i="42" s="1"/>
  <c r="K230" i="42" s="1"/>
  <c r="L231" i="42" s="1"/>
  <c r="M232" i="42" s="1"/>
  <c r="N233" i="42" s="1"/>
  <c r="C221" i="42"/>
  <c r="D222" i="42" s="1"/>
  <c r="E223" i="42" s="1"/>
  <c r="F224" i="42" s="1"/>
  <c r="G225" i="42" s="1"/>
  <c r="H226" i="42" s="1"/>
  <c r="I227" i="42" s="1"/>
  <c r="J228" i="42" s="1"/>
  <c r="K229" i="42" s="1"/>
  <c r="L230" i="42" s="1"/>
  <c r="M231" i="42" s="1"/>
  <c r="N232" i="42" s="1"/>
  <c r="C218" i="42"/>
  <c r="D219" i="42" s="1"/>
  <c r="E220" i="42" s="1"/>
  <c r="F221" i="42" s="1"/>
  <c r="G222" i="42" s="1"/>
  <c r="H223" i="42" s="1"/>
  <c r="I224" i="42" s="1"/>
  <c r="J225" i="42" s="1"/>
  <c r="K226" i="42" s="1"/>
  <c r="L227" i="42" s="1"/>
  <c r="M228" i="42" s="1"/>
  <c r="N229" i="42" s="1"/>
  <c r="C217" i="42"/>
  <c r="D218" i="42" s="1"/>
  <c r="E219" i="42" s="1"/>
  <c r="F220" i="42" s="1"/>
  <c r="G221" i="42" s="1"/>
  <c r="H222" i="42" s="1"/>
  <c r="I223" i="42" s="1"/>
  <c r="J224" i="42" s="1"/>
  <c r="K225" i="42" s="1"/>
  <c r="L226" i="42" s="1"/>
  <c r="M227" i="42" s="1"/>
  <c r="N228" i="42" s="1"/>
  <c r="C215" i="42"/>
  <c r="D216" i="42" s="1"/>
  <c r="E217" i="42" s="1"/>
  <c r="F218" i="42" s="1"/>
  <c r="G219" i="42" s="1"/>
  <c r="H220" i="42" s="1"/>
  <c r="I221" i="42" s="1"/>
  <c r="J222" i="42" s="1"/>
  <c r="K223" i="42" s="1"/>
  <c r="L224" i="42" s="1"/>
  <c r="M225" i="42" s="1"/>
  <c r="N226" i="42" s="1"/>
  <c r="C214" i="42"/>
  <c r="D215" i="42" s="1"/>
  <c r="E216" i="42" s="1"/>
  <c r="F217" i="42" s="1"/>
  <c r="G218" i="42" s="1"/>
  <c r="H219" i="42" s="1"/>
  <c r="I220" i="42" s="1"/>
  <c r="J221" i="42" s="1"/>
  <c r="K222" i="42" s="1"/>
  <c r="L223" i="42" s="1"/>
  <c r="M224" i="42" s="1"/>
  <c r="N225" i="42" s="1"/>
  <c r="C213" i="42"/>
  <c r="D214" i="42" s="1"/>
  <c r="E215" i="42" s="1"/>
  <c r="F216" i="42" s="1"/>
  <c r="G217" i="42" s="1"/>
  <c r="H218" i="42" s="1"/>
  <c r="I219" i="42" s="1"/>
  <c r="J220" i="42" s="1"/>
  <c r="K221" i="42" s="1"/>
  <c r="L222" i="42" s="1"/>
  <c r="M223" i="42" s="1"/>
  <c r="N224" i="42" s="1"/>
  <c r="C210" i="42"/>
  <c r="D211" i="42" s="1"/>
  <c r="E212" i="42" s="1"/>
  <c r="F213" i="42" s="1"/>
  <c r="G214" i="42" s="1"/>
  <c r="H215" i="42" s="1"/>
  <c r="I216" i="42" s="1"/>
  <c r="J217" i="42" s="1"/>
  <c r="K218" i="42" s="1"/>
  <c r="L219" i="42" s="1"/>
  <c r="M220" i="42" s="1"/>
  <c r="N221" i="42" s="1"/>
  <c r="C209" i="42"/>
  <c r="D210" i="42" s="1"/>
  <c r="E211" i="42" s="1"/>
  <c r="F212" i="42" s="1"/>
  <c r="G213" i="42" s="1"/>
  <c r="H214" i="42" s="1"/>
  <c r="I215" i="42" s="1"/>
  <c r="J216" i="42" s="1"/>
  <c r="K217" i="42" s="1"/>
  <c r="L218" i="42" s="1"/>
  <c r="M219" i="42" s="1"/>
  <c r="N220" i="42" s="1"/>
  <c r="C206" i="42"/>
  <c r="D207" i="42" s="1"/>
  <c r="E208" i="42" s="1"/>
  <c r="F209" i="42" s="1"/>
  <c r="G210" i="42" s="1"/>
  <c r="H211" i="42" s="1"/>
  <c r="I212" i="42" s="1"/>
  <c r="J213" i="42" s="1"/>
  <c r="K214" i="42" s="1"/>
  <c r="L215" i="42" s="1"/>
  <c r="M216" i="42" s="1"/>
  <c r="N217" i="42" s="1"/>
  <c r="C205" i="42"/>
  <c r="D206" i="42" s="1"/>
  <c r="E207" i="42" s="1"/>
  <c r="F208" i="42" s="1"/>
  <c r="G209" i="42" s="1"/>
  <c r="H210" i="42" s="1"/>
  <c r="I211" i="42" s="1"/>
  <c r="J212" i="42" s="1"/>
  <c r="K213" i="42" s="1"/>
  <c r="L214" i="42" s="1"/>
  <c r="M215" i="42" s="1"/>
  <c r="N216" i="42" s="1"/>
  <c r="C202" i="42"/>
  <c r="D203" i="42" s="1"/>
  <c r="E204" i="42" s="1"/>
  <c r="F205" i="42" s="1"/>
  <c r="G206" i="42" s="1"/>
  <c r="H207" i="42" s="1"/>
  <c r="I208" i="42" s="1"/>
  <c r="J209" i="42" s="1"/>
  <c r="K210" i="42" s="1"/>
  <c r="L211" i="42" s="1"/>
  <c r="M212" i="42" s="1"/>
  <c r="N213" i="42" s="1"/>
  <c r="C201" i="42"/>
  <c r="D202" i="42" s="1"/>
  <c r="E203" i="42" s="1"/>
  <c r="F204" i="42" s="1"/>
  <c r="G205" i="42" s="1"/>
  <c r="H206" i="42" s="1"/>
  <c r="I207" i="42" s="1"/>
  <c r="J208" i="42" s="1"/>
  <c r="K209" i="42" s="1"/>
  <c r="L210" i="42" s="1"/>
  <c r="M211" i="42" s="1"/>
  <c r="N212" i="42" s="1"/>
  <c r="C198" i="42"/>
  <c r="D199" i="42" s="1"/>
  <c r="E200" i="42" s="1"/>
  <c r="F201" i="42" s="1"/>
  <c r="G202" i="42" s="1"/>
  <c r="H203" i="42" s="1"/>
  <c r="I204" i="42" s="1"/>
  <c r="J205" i="42" s="1"/>
  <c r="K206" i="42" s="1"/>
  <c r="L207" i="42" s="1"/>
  <c r="M208" i="42" s="1"/>
  <c r="N209" i="42" s="1"/>
  <c r="C197" i="42"/>
  <c r="D198" i="42" s="1"/>
  <c r="E199" i="42" s="1"/>
  <c r="F200" i="42" s="1"/>
  <c r="G201" i="42" s="1"/>
  <c r="H202" i="42" s="1"/>
  <c r="I203" i="42" s="1"/>
  <c r="J204" i="42" s="1"/>
  <c r="K205" i="42" s="1"/>
  <c r="L206" i="42" s="1"/>
  <c r="M207" i="42" s="1"/>
  <c r="N208" i="42" s="1"/>
  <c r="C196" i="42"/>
  <c r="D197" i="42" s="1"/>
  <c r="E198" i="42" s="1"/>
  <c r="F199" i="42" s="1"/>
  <c r="G200" i="42" s="1"/>
  <c r="H201" i="42" s="1"/>
  <c r="I202" i="42" s="1"/>
  <c r="J203" i="42" s="1"/>
  <c r="K204" i="42" s="1"/>
  <c r="L205" i="42" s="1"/>
  <c r="M206" i="42" s="1"/>
  <c r="N207" i="42" s="1"/>
  <c r="C194" i="42"/>
  <c r="D195" i="42" s="1"/>
  <c r="E196" i="42" s="1"/>
  <c r="F197" i="42" s="1"/>
  <c r="G198" i="42" s="1"/>
  <c r="H199" i="42" s="1"/>
  <c r="I200" i="42" s="1"/>
  <c r="J201" i="42" s="1"/>
  <c r="K202" i="42" s="1"/>
  <c r="L203" i="42" s="1"/>
  <c r="M204" i="42" s="1"/>
  <c r="N205" i="42" s="1"/>
  <c r="C193" i="42"/>
  <c r="D194" i="42" s="1"/>
  <c r="E195" i="42" s="1"/>
  <c r="F196" i="42" s="1"/>
  <c r="G197" i="42" s="1"/>
  <c r="H198" i="42" s="1"/>
  <c r="I199" i="42" s="1"/>
  <c r="J200" i="42" s="1"/>
  <c r="K201" i="42" s="1"/>
  <c r="L202" i="42" s="1"/>
  <c r="M203" i="42" s="1"/>
  <c r="N204" i="42" s="1"/>
  <c r="C192" i="42"/>
  <c r="D193" i="42" s="1"/>
  <c r="E194" i="42" s="1"/>
  <c r="F195" i="42" s="1"/>
  <c r="G196" i="42" s="1"/>
  <c r="H197" i="42" s="1"/>
  <c r="I198" i="42" s="1"/>
  <c r="J199" i="42" s="1"/>
  <c r="K200" i="42" s="1"/>
  <c r="L201" i="42" s="1"/>
  <c r="M202" i="42" s="1"/>
  <c r="N203" i="42" s="1"/>
  <c r="C190" i="42"/>
  <c r="D191" i="42" s="1"/>
  <c r="E192" i="42" s="1"/>
  <c r="F193" i="42" s="1"/>
  <c r="G194" i="42" s="1"/>
  <c r="H195" i="42" s="1"/>
  <c r="I196" i="42" s="1"/>
  <c r="J197" i="42" s="1"/>
  <c r="K198" i="42" s="1"/>
  <c r="L199" i="42" s="1"/>
  <c r="M200" i="42" s="1"/>
  <c r="N201" i="42" s="1"/>
  <c r="C189" i="42"/>
  <c r="D190" i="42" s="1"/>
  <c r="E191" i="42" s="1"/>
  <c r="F192" i="42" s="1"/>
  <c r="G193" i="42" s="1"/>
  <c r="H194" i="42" s="1"/>
  <c r="I195" i="42" s="1"/>
  <c r="J196" i="42" s="1"/>
  <c r="K197" i="42" s="1"/>
  <c r="L198" i="42" s="1"/>
  <c r="M199" i="42" s="1"/>
  <c r="N200" i="42" s="1"/>
  <c r="C186" i="42"/>
  <c r="D187" i="42" s="1"/>
  <c r="E188" i="42" s="1"/>
  <c r="F189" i="42" s="1"/>
  <c r="G190" i="42" s="1"/>
  <c r="H191" i="42" s="1"/>
  <c r="I192" i="42" s="1"/>
  <c r="J193" i="42" s="1"/>
  <c r="K194" i="42" s="1"/>
  <c r="L195" i="42" s="1"/>
  <c r="M196" i="42" s="1"/>
  <c r="N197" i="42" s="1"/>
  <c r="C185" i="42"/>
  <c r="D186" i="42" s="1"/>
  <c r="E187" i="42" s="1"/>
  <c r="F188" i="42" s="1"/>
  <c r="G189" i="42" s="1"/>
  <c r="H190" i="42" s="1"/>
  <c r="I191" i="42" s="1"/>
  <c r="J192" i="42" s="1"/>
  <c r="K193" i="42" s="1"/>
  <c r="L194" i="42" s="1"/>
  <c r="M195" i="42" s="1"/>
  <c r="N196" i="42" s="1"/>
  <c r="C182" i="42"/>
  <c r="D183" i="42" s="1"/>
  <c r="E184" i="42" s="1"/>
  <c r="F185" i="42" s="1"/>
  <c r="G186" i="42" s="1"/>
  <c r="H187" i="42" s="1"/>
  <c r="I188" i="42" s="1"/>
  <c r="J189" i="42" s="1"/>
  <c r="K190" i="42" s="1"/>
  <c r="L191" i="42" s="1"/>
  <c r="M192" i="42" s="1"/>
  <c r="N193" i="42" s="1"/>
  <c r="C181" i="42"/>
  <c r="D182" i="42" s="1"/>
  <c r="E183" i="42" s="1"/>
  <c r="F184" i="42" s="1"/>
  <c r="G185" i="42" s="1"/>
  <c r="H186" i="42" s="1"/>
  <c r="I187" i="42" s="1"/>
  <c r="J188" i="42" s="1"/>
  <c r="K189" i="42" s="1"/>
  <c r="L190" i="42" s="1"/>
  <c r="M191" i="42" s="1"/>
  <c r="N192" i="42" s="1"/>
  <c r="C178" i="42"/>
  <c r="D179" i="42" s="1"/>
  <c r="E180" i="42" s="1"/>
  <c r="F181" i="42" s="1"/>
  <c r="G182" i="42" s="1"/>
  <c r="H183" i="42" s="1"/>
  <c r="I184" i="42" s="1"/>
  <c r="J185" i="42" s="1"/>
  <c r="K186" i="42" s="1"/>
  <c r="L187" i="42" s="1"/>
  <c r="M188" i="42" s="1"/>
  <c r="N189" i="42" s="1"/>
  <c r="C177" i="42"/>
  <c r="D178" i="42" s="1"/>
  <c r="E179" i="42" s="1"/>
  <c r="F180" i="42" s="1"/>
  <c r="G181" i="42" s="1"/>
  <c r="H182" i="42" s="1"/>
  <c r="I183" i="42" s="1"/>
  <c r="J184" i="42" s="1"/>
  <c r="K185" i="42" s="1"/>
  <c r="L186" i="42" s="1"/>
  <c r="M187" i="42" s="1"/>
  <c r="N188" i="42" s="1"/>
  <c r="C174" i="42"/>
  <c r="D175" i="42" s="1"/>
  <c r="E176" i="42" s="1"/>
  <c r="F177" i="42" s="1"/>
  <c r="G178" i="42" s="1"/>
  <c r="H179" i="42" s="1"/>
  <c r="I180" i="42" s="1"/>
  <c r="J181" i="42" s="1"/>
  <c r="K182" i="42" s="1"/>
  <c r="L183" i="42" s="1"/>
  <c r="M184" i="42" s="1"/>
  <c r="N185" i="42" s="1"/>
  <c r="C173" i="42"/>
  <c r="D174" i="42" s="1"/>
  <c r="E175" i="42" s="1"/>
  <c r="F176" i="42" s="1"/>
  <c r="G177" i="42" s="1"/>
  <c r="H178" i="42" s="1"/>
  <c r="I179" i="42" s="1"/>
  <c r="J180" i="42" s="1"/>
  <c r="K181" i="42" s="1"/>
  <c r="L182" i="42" s="1"/>
  <c r="M183" i="42" s="1"/>
  <c r="N184" i="42" s="1"/>
  <c r="C170" i="42"/>
  <c r="D171" i="42" s="1"/>
  <c r="E172" i="42" s="1"/>
  <c r="F173" i="42" s="1"/>
  <c r="G174" i="42" s="1"/>
  <c r="H175" i="42" s="1"/>
  <c r="I176" i="42" s="1"/>
  <c r="J177" i="42" s="1"/>
  <c r="K178" i="42" s="1"/>
  <c r="L179" i="42" s="1"/>
  <c r="M180" i="42" s="1"/>
  <c r="N181" i="42" s="1"/>
  <c r="C169" i="42"/>
  <c r="D170" i="42" s="1"/>
  <c r="E171" i="42" s="1"/>
  <c r="F172" i="42" s="1"/>
  <c r="G173" i="42" s="1"/>
  <c r="H174" i="42" s="1"/>
  <c r="I175" i="42" s="1"/>
  <c r="J176" i="42" s="1"/>
  <c r="K177" i="42" s="1"/>
  <c r="L178" i="42" s="1"/>
  <c r="M179" i="42" s="1"/>
  <c r="N180" i="42" s="1"/>
  <c r="C166" i="42"/>
  <c r="D167" i="42" s="1"/>
  <c r="E168" i="42" s="1"/>
  <c r="F169" i="42" s="1"/>
  <c r="G170" i="42" s="1"/>
  <c r="H171" i="42" s="1"/>
  <c r="I172" i="42" s="1"/>
  <c r="J173" i="42" s="1"/>
  <c r="K174" i="42" s="1"/>
  <c r="L175" i="42" s="1"/>
  <c r="M176" i="42" s="1"/>
  <c r="N177" i="42" s="1"/>
  <c r="C165" i="42"/>
  <c r="D166" i="42" s="1"/>
  <c r="E167" i="42" s="1"/>
  <c r="F168" i="42" s="1"/>
  <c r="G169" i="42" s="1"/>
  <c r="H170" i="42" s="1"/>
  <c r="I171" i="42" s="1"/>
  <c r="J172" i="42" s="1"/>
  <c r="K173" i="42" s="1"/>
  <c r="L174" i="42" s="1"/>
  <c r="M175" i="42" s="1"/>
  <c r="N176" i="42" s="1"/>
  <c r="C164" i="42"/>
  <c r="D165" i="42" s="1"/>
  <c r="E166" i="42" s="1"/>
  <c r="F167" i="42" s="1"/>
  <c r="G168" i="42" s="1"/>
  <c r="H169" i="42" s="1"/>
  <c r="I170" i="42" s="1"/>
  <c r="J171" i="42" s="1"/>
  <c r="K172" i="42" s="1"/>
  <c r="L173" i="42" s="1"/>
  <c r="M174" i="42" s="1"/>
  <c r="N175" i="42" s="1"/>
  <c r="C162" i="42"/>
  <c r="D163" i="42" s="1"/>
  <c r="E164" i="42" s="1"/>
  <c r="F165" i="42" s="1"/>
  <c r="G166" i="42" s="1"/>
  <c r="H167" i="42" s="1"/>
  <c r="I168" i="42" s="1"/>
  <c r="J169" i="42" s="1"/>
  <c r="K170" i="42" s="1"/>
  <c r="L171" i="42" s="1"/>
  <c r="M172" i="42" s="1"/>
  <c r="N173" i="42" s="1"/>
  <c r="C161" i="42"/>
  <c r="D162" i="42" s="1"/>
  <c r="E163" i="42" s="1"/>
  <c r="F164" i="42" s="1"/>
  <c r="G165" i="42" s="1"/>
  <c r="H166" i="42" s="1"/>
  <c r="I167" i="42" s="1"/>
  <c r="J168" i="42" s="1"/>
  <c r="K169" i="42" s="1"/>
  <c r="L170" i="42" s="1"/>
  <c r="M171" i="42" s="1"/>
  <c r="N172" i="42" s="1"/>
  <c r="C160" i="42"/>
  <c r="D161" i="42" s="1"/>
  <c r="E162" i="42" s="1"/>
  <c r="F163" i="42" s="1"/>
  <c r="G164" i="42" s="1"/>
  <c r="H165" i="42" s="1"/>
  <c r="I166" i="42" s="1"/>
  <c r="J167" i="42" s="1"/>
  <c r="K168" i="42" s="1"/>
  <c r="L169" i="42" s="1"/>
  <c r="M170" i="42" s="1"/>
  <c r="N171" i="42" s="1"/>
  <c r="C158" i="42"/>
  <c r="D159" i="42" s="1"/>
  <c r="E160" i="42" s="1"/>
  <c r="F161" i="42" s="1"/>
  <c r="G162" i="42" s="1"/>
  <c r="H163" i="42" s="1"/>
  <c r="I164" i="42" s="1"/>
  <c r="J165" i="42" s="1"/>
  <c r="K166" i="42" s="1"/>
  <c r="L167" i="42" s="1"/>
  <c r="M168" i="42" s="1"/>
  <c r="N169" i="42" s="1"/>
  <c r="C157" i="42"/>
  <c r="D158" i="42" s="1"/>
  <c r="E159" i="42" s="1"/>
  <c r="F160" i="42" s="1"/>
  <c r="G161" i="42" s="1"/>
  <c r="H162" i="42" s="1"/>
  <c r="I163" i="42" s="1"/>
  <c r="J164" i="42" s="1"/>
  <c r="K165" i="42" s="1"/>
  <c r="L166" i="42" s="1"/>
  <c r="M167" i="42" s="1"/>
  <c r="N168" i="42" s="1"/>
  <c r="C155" i="42"/>
  <c r="D156" i="42" s="1"/>
  <c r="E157" i="42" s="1"/>
  <c r="F158" i="42" s="1"/>
  <c r="G159" i="42" s="1"/>
  <c r="H160" i="42" s="1"/>
  <c r="I161" i="42" s="1"/>
  <c r="J162" i="42" s="1"/>
  <c r="K163" i="42" s="1"/>
  <c r="L164" i="42" s="1"/>
  <c r="M165" i="42" s="1"/>
  <c r="N166" i="42" s="1"/>
  <c r="C154" i="42"/>
  <c r="D155" i="42" s="1"/>
  <c r="E156" i="42" s="1"/>
  <c r="F157" i="42" s="1"/>
  <c r="G158" i="42" s="1"/>
  <c r="H159" i="42" s="1"/>
  <c r="I160" i="42" s="1"/>
  <c r="J161" i="42" s="1"/>
  <c r="K162" i="42" s="1"/>
  <c r="L163" i="42" s="1"/>
  <c r="M164" i="42" s="1"/>
  <c r="N165" i="42" s="1"/>
  <c r="C153" i="42"/>
  <c r="D154" i="42" s="1"/>
  <c r="E155" i="42" s="1"/>
  <c r="F156" i="42" s="1"/>
  <c r="G157" i="42" s="1"/>
  <c r="H158" i="42" s="1"/>
  <c r="I159" i="42" s="1"/>
  <c r="J160" i="42" s="1"/>
  <c r="K161" i="42" s="1"/>
  <c r="L162" i="42" s="1"/>
  <c r="M163" i="42" s="1"/>
  <c r="N164" i="42" s="1"/>
  <c r="C150" i="42"/>
  <c r="D151" i="42" s="1"/>
  <c r="E152" i="42" s="1"/>
  <c r="F153" i="42" s="1"/>
  <c r="G154" i="42" s="1"/>
  <c r="H155" i="42" s="1"/>
  <c r="I156" i="42" s="1"/>
  <c r="J157" i="42" s="1"/>
  <c r="K158" i="42" s="1"/>
  <c r="L159" i="42" s="1"/>
  <c r="M160" i="42" s="1"/>
  <c r="N161" i="42" s="1"/>
  <c r="C149" i="42"/>
  <c r="D150" i="42" s="1"/>
  <c r="E151" i="42" s="1"/>
  <c r="F152" i="42" s="1"/>
  <c r="G153" i="42" s="1"/>
  <c r="H154" i="42" s="1"/>
  <c r="I155" i="42" s="1"/>
  <c r="J156" i="42" s="1"/>
  <c r="K157" i="42" s="1"/>
  <c r="L158" i="42" s="1"/>
  <c r="M159" i="42" s="1"/>
  <c r="N160" i="42" s="1"/>
  <c r="C148" i="42"/>
  <c r="D149" i="42" s="1"/>
  <c r="E150" i="42" s="1"/>
  <c r="F151" i="42" s="1"/>
  <c r="G152" i="42" s="1"/>
  <c r="H153" i="42" s="1"/>
  <c r="I154" i="42" s="1"/>
  <c r="J155" i="42" s="1"/>
  <c r="K156" i="42" s="1"/>
  <c r="L157" i="42" s="1"/>
  <c r="M158" i="42" s="1"/>
  <c r="N159" i="42" s="1"/>
  <c r="C146" i="42"/>
  <c r="D147" i="42" s="1"/>
  <c r="E148" i="42" s="1"/>
  <c r="F149" i="42" s="1"/>
  <c r="G150" i="42" s="1"/>
  <c r="H151" i="42" s="1"/>
  <c r="I152" i="42" s="1"/>
  <c r="J153" i="42" s="1"/>
  <c r="K154" i="42" s="1"/>
  <c r="L155" i="42" s="1"/>
  <c r="M156" i="42" s="1"/>
  <c r="N157" i="42" s="1"/>
  <c r="C145" i="42"/>
  <c r="D146" i="42" s="1"/>
  <c r="E147" i="42" s="1"/>
  <c r="F148" i="42" s="1"/>
  <c r="G149" i="42" s="1"/>
  <c r="H150" i="42" s="1"/>
  <c r="I151" i="42" s="1"/>
  <c r="J152" i="42" s="1"/>
  <c r="K153" i="42" s="1"/>
  <c r="L154" i="42" s="1"/>
  <c r="M155" i="42" s="1"/>
  <c r="N156" i="42" s="1"/>
  <c r="C144" i="42"/>
  <c r="D145" i="42" s="1"/>
  <c r="E146" i="42" s="1"/>
  <c r="F147" i="42" s="1"/>
  <c r="G148" i="42" s="1"/>
  <c r="H149" i="42" s="1"/>
  <c r="I150" i="42" s="1"/>
  <c r="J151" i="42" s="1"/>
  <c r="K152" i="42" s="1"/>
  <c r="L153" i="42" s="1"/>
  <c r="M154" i="42" s="1"/>
  <c r="N155" i="42" s="1"/>
  <c r="D143" i="42"/>
  <c r="E144" i="42" s="1"/>
  <c r="F145" i="42" s="1"/>
  <c r="G146" i="42" s="1"/>
  <c r="H147" i="42" s="1"/>
  <c r="I148" i="42" s="1"/>
  <c r="J149" i="42" s="1"/>
  <c r="K150" i="42" s="1"/>
  <c r="L151" i="42" s="1"/>
  <c r="M152" i="42" s="1"/>
  <c r="N153" i="42" s="1"/>
  <c r="C142" i="42"/>
  <c r="C141" i="42"/>
  <c r="D142" i="42" s="1"/>
  <c r="E143" i="42" s="1"/>
  <c r="F144" i="42" s="1"/>
  <c r="G145" i="42" s="1"/>
  <c r="H146" i="42" s="1"/>
  <c r="I147" i="42" s="1"/>
  <c r="J148" i="42" s="1"/>
  <c r="K149" i="42" s="1"/>
  <c r="L150" i="42" s="1"/>
  <c r="M151" i="42" s="1"/>
  <c r="N152" i="42" s="1"/>
  <c r="C140" i="42"/>
  <c r="D141" i="42" s="1"/>
  <c r="E142" i="42" s="1"/>
  <c r="F143" i="42" s="1"/>
  <c r="G144" i="42" s="1"/>
  <c r="H145" i="42" s="1"/>
  <c r="I146" i="42" s="1"/>
  <c r="J147" i="42" s="1"/>
  <c r="K148" i="42" s="1"/>
  <c r="L149" i="42" s="1"/>
  <c r="M150" i="42" s="1"/>
  <c r="N151" i="42" s="1"/>
  <c r="D138" i="42"/>
  <c r="E139" i="42" s="1"/>
  <c r="F140" i="42" s="1"/>
  <c r="G141" i="42" s="1"/>
  <c r="H142" i="42" s="1"/>
  <c r="I143" i="42" s="1"/>
  <c r="J144" i="42" s="1"/>
  <c r="K145" i="42" s="1"/>
  <c r="L146" i="42" s="1"/>
  <c r="M147" i="42" s="1"/>
  <c r="N148" i="42" s="1"/>
  <c r="C138" i="42"/>
  <c r="D139" i="42" s="1"/>
  <c r="E140" i="42" s="1"/>
  <c r="F141" i="42" s="1"/>
  <c r="G142" i="42" s="1"/>
  <c r="H143" i="42" s="1"/>
  <c r="I144" i="42" s="1"/>
  <c r="J145" i="42" s="1"/>
  <c r="K146" i="42" s="1"/>
  <c r="L147" i="42" s="1"/>
  <c r="M148" i="42" s="1"/>
  <c r="N149" i="42" s="1"/>
  <c r="C137" i="42"/>
  <c r="C135" i="42"/>
  <c r="D136" i="42" s="1"/>
  <c r="E137" i="42" s="1"/>
  <c r="F138" i="42" s="1"/>
  <c r="G139" i="42" s="1"/>
  <c r="H140" i="42" s="1"/>
  <c r="I141" i="42" s="1"/>
  <c r="J142" i="42" s="1"/>
  <c r="K143" i="42" s="1"/>
  <c r="L144" i="42" s="1"/>
  <c r="M145" i="42" s="1"/>
  <c r="N146" i="42" s="1"/>
  <c r="C134" i="42"/>
  <c r="D135" i="42" s="1"/>
  <c r="E136" i="42" s="1"/>
  <c r="F137" i="42" s="1"/>
  <c r="G138" i="42" s="1"/>
  <c r="H139" i="42" s="1"/>
  <c r="I140" i="42" s="1"/>
  <c r="J141" i="42" s="1"/>
  <c r="K142" i="42" s="1"/>
  <c r="L143" i="42" s="1"/>
  <c r="M144" i="42" s="1"/>
  <c r="N145" i="42" s="1"/>
  <c r="C133" i="42"/>
  <c r="D134" i="42" s="1"/>
  <c r="E135" i="42" s="1"/>
  <c r="F136" i="42" s="1"/>
  <c r="G137" i="42" s="1"/>
  <c r="H138" i="42" s="1"/>
  <c r="I139" i="42" s="1"/>
  <c r="J140" i="42" s="1"/>
  <c r="K141" i="42" s="1"/>
  <c r="L142" i="42" s="1"/>
  <c r="M143" i="42" s="1"/>
  <c r="N144" i="42" s="1"/>
  <c r="C132" i="42"/>
  <c r="D133" i="42" s="1"/>
  <c r="E134" i="42" s="1"/>
  <c r="F135" i="42" s="1"/>
  <c r="G136" i="42" s="1"/>
  <c r="H137" i="42" s="1"/>
  <c r="I138" i="42" s="1"/>
  <c r="J139" i="42" s="1"/>
  <c r="K140" i="42" s="1"/>
  <c r="L141" i="42" s="1"/>
  <c r="M142" i="42" s="1"/>
  <c r="N143" i="42" s="1"/>
  <c r="C130" i="42"/>
  <c r="D131" i="42" s="1"/>
  <c r="E132" i="42" s="1"/>
  <c r="F133" i="42" s="1"/>
  <c r="G134" i="42" s="1"/>
  <c r="H135" i="42" s="1"/>
  <c r="I136" i="42" s="1"/>
  <c r="J137" i="42" s="1"/>
  <c r="K138" i="42" s="1"/>
  <c r="L139" i="42" s="1"/>
  <c r="M140" i="42" s="1"/>
  <c r="N141" i="42" s="1"/>
  <c r="C129" i="42"/>
  <c r="D130" i="42" s="1"/>
  <c r="E131" i="42" s="1"/>
  <c r="F132" i="42" s="1"/>
  <c r="G133" i="42" s="1"/>
  <c r="H134" i="42" s="1"/>
  <c r="I135" i="42" s="1"/>
  <c r="J136" i="42" s="1"/>
  <c r="K137" i="42" s="1"/>
  <c r="L138" i="42" s="1"/>
  <c r="M139" i="42" s="1"/>
  <c r="N140" i="42" s="1"/>
  <c r="C126" i="42"/>
  <c r="D127" i="42" s="1"/>
  <c r="E128" i="42" s="1"/>
  <c r="F129" i="42" s="1"/>
  <c r="G130" i="42" s="1"/>
  <c r="H131" i="42" s="1"/>
  <c r="I132" i="42" s="1"/>
  <c r="J133" i="42" s="1"/>
  <c r="K134" i="42" s="1"/>
  <c r="L135" i="42" s="1"/>
  <c r="M136" i="42" s="1"/>
  <c r="N137" i="42" s="1"/>
  <c r="C125" i="42"/>
  <c r="D126" i="42" s="1"/>
  <c r="E127" i="42" s="1"/>
  <c r="F128" i="42" s="1"/>
  <c r="G129" i="42" s="1"/>
  <c r="H130" i="42" s="1"/>
  <c r="I131" i="42" s="1"/>
  <c r="J132" i="42" s="1"/>
  <c r="K133" i="42" s="1"/>
  <c r="L134" i="42" s="1"/>
  <c r="M135" i="42" s="1"/>
  <c r="N136" i="42" s="1"/>
  <c r="C124" i="42"/>
  <c r="D125" i="42" s="1"/>
  <c r="E126" i="42" s="1"/>
  <c r="F127" i="42" s="1"/>
  <c r="G128" i="42" s="1"/>
  <c r="H129" i="42" s="1"/>
  <c r="I130" i="42" s="1"/>
  <c r="J131" i="42" s="1"/>
  <c r="K132" i="42" s="1"/>
  <c r="L133" i="42" s="1"/>
  <c r="M134" i="42" s="1"/>
  <c r="N135" i="42" s="1"/>
  <c r="C122" i="42"/>
  <c r="D123" i="42" s="1"/>
  <c r="E124" i="42" s="1"/>
  <c r="F125" i="42" s="1"/>
  <c r="G126" i="42" s="1"/>
  <c r="H127" i="42" s="1"/>
  <c r="I128" i="42" s="1"/>
  <c r="J129" i="42" s="1"/>
  <c r="K130" i="42" s="1"/>
  <c r="L131" i="42" s="1"/>
  <c r="M132" i="42" s="1"/>
  <c r="N133" i="42" s="1"/>
  <c r="C121" i="42"/>
  <c r="D122" i="42" s="1"/>
  <c r="E123" i="42" s="1"/>
  <c r="F124" i="42" s="1"/>
  <c r="G125" i="42" s="1"/>
  <c r="H126" i="42" s="1"/>
  <c r="I127" i="42" s="1"/>
  <c r="J128" i="42" s="1"/>
  <c r="K129" i="42" s="1"/>
  <c r="L130" i="42" s="1"/>
  <c r="M131" i="42" s="1"/>
  <c r="N132" i="42" s="1"/>
  <c r="C118" i="42"/>
  <c r="D119" i="42" s="1"/>
  <c r="E120" i="42" s="1"/>
  <c r="F121" i="42" s="1"/>
  <c r="G122" i="42" s="1"/>
  <c r="H123" i="42" s="1"/>
  <c r="I124" i="42" s="1"/>
  <c r="J125" i="42" s="1"/>
  <c r="K126" i="42" s="1"/>
  <c r="L127" i="42" s="1"/>
  <c r="M128" i="42" s="1"/>
  <c r="N129" i="42" s="1"/>
  <c r="C117" i="42"/>
  <c r="D118" i="42" s="1"/>
  <c r="E119" i="42" s="1"/>
  <c r="F120" i="42" s="1"/>
  <c r="G121" i="42" s="1"/>
  <c r="H122" i="42" s="1"/>
  <c r="I123" i="42" s="1"/>
  <c r="J124" i="42" s="1"/>
  <c r="K125" i="42" s="1"/>
  <c r="L126" i="42" s="1"/>
  <c r="M127" i="42" s="1"/>
  <c r="N128" i="42" s="1"/>
  <c r="C116" i="42"/>
  <c r="D117" i="42" s="1"/>
  <c r="E118" i="42" s="1"/>
  <c r="F119" i="42" s="1"/>
  <c r="G120" i="42" s="1"/>
  <c r="H121" i="42" s="1"/>
  <c r="I122" i="42" s="1"/>
  <c r="J123" i="42" s="1"/>
  <c r="K124" i="42" s="1"/>
  <c r="L125" i="42" s="1"/>
  <c r="M126" i="42" s="1"/>
  <c r="N127" i="42" s="1"/>
  <c r="C114" i="42"/>
  <c r="D115" i="42" s="1"/>
  <c r="E116" i="42" s="1"/>
  <c r="F117" i="42" s="1"/>
  <c r="G118" i="42" s="1"/>
  <c r="H119" i="42" s="1"/>
  <c r="I120" i="42" s="1"/>
  <c r="J121" i="42" s="1"/>
  <c r="K122" i="42" s="1"/>
  <c r="L123" i="42" s="1"/>
  <c r="M124" i="42" s="1"/>
  <c r="N125" i="42" s="1"/>
  <c r="C113" i="42"/>
  <c r="D114" i="42" s="1"/>
  <c r="E115" i="42" s="1"/>
  <c r="F116" i="42" s="1"/>
  <c r="G117" i="42" s="1"/>
  <c r="H118" i="42" s="1"/>
  <c r="I119" i="42" s="1"/>
  <c r="J120" i="42" s="1"/>
  <c r="K121" i="42" s="1"/>
  <c r="L122" i="42" s="1"/>
  <c r="M123" i="42" s="1"/>
  <c r="N124" i="42" s="1"/>
  <c r="C110" i="42"/>
  <c r="D111" i="42" s="1"/>
  <c r="E112" i="42" s="1"/>
  <c r="F113" i="42" s="1"/>
  <c r="G114" i="42" s="1"/>
  <c r="H115" i="42" s="1"/>
  <c r="I116" i="42" s="1"/>
  <c r="J117" i="42" s="1"/>
  <c r="K118" i="42" s="1"/>
  <c r="L119" i="42" s="1"/>
  <c r="M120" i="42" s="1"/>
  <c r="N121" i="42" s="1"/>
  <c r="C109" i="42"/>
  <c r="D110" i="42" s="1"/>
  <c r="E111" i="42" s="1"/>
  <c r="F112" i="42" s="1"/>
  <c r="G113" i="42" s="1"/>
  <c r="H114" i="42" s="1"/>
  <c r="I115" i="42" s="1"/>
  <c r="J116" i="42" s="1"/>
  <c r="K117" i="42" s="1"/>
  <c r="L118" i="42" s="1"/>
  <c r="M119" i="42" s="1"/>
  <c r="N120" i="42" s="1"/>
  <c r="C108" i="42"/>
  <c r="D109" i="42" s="1"/>
  <c r="E110" i="42" s="1"/>
  <c r="F111" i="42" s="1"/>
  <c r="G112" i="42" s="1"/>
  <c r="H113" i="42" s="1"/>
  <c r="I114" i="42" s="1"/>
  <c r="J115" i="42" s="1"/>
  <c r="K116" i="42" s="1"/>
  <c r="L117" i="42" s="1"/>
  <c r="M118" i="42" s="1"/>
  <c r="N119" i="42" s="1"/>
  <c r="D106" i="42"/>
  <c r="E107" i="42" s="1"/>
  <c r="F108" i="42" s="1"/>
  <c r="G109" i="42" s="1"/>
  <c r="H110" i="42" s="1"/>
  <c r="I111" i="42" s="1"/>
  <c r="J112" i="42" s="1"/>
  <c r="K113" i="42" s="1"/>
  <c r="L114" i="42" s="1"/>
  <c r="M115" i="42" s="1"/>
  <c r="N116" i="42" s="1"/>
  <c r="C106" i="42"/>
  <c r="D107" i="42" s="1"/>
  <c r="E108" i="42" s="1"/>
  <c r="F109" i="42" s="1"/>
  <c r="G110" i="42" s="1"/>
  <c r="H111" i="42" s="1"/>
  <c r="I112" i="42" s="1"/>
  <c r="J113" i="42" s="1"/>
  <c r="K114" i="42" s="1"/>
  <c r="L115" i="42" s="1"/>
  <c r="M116" i="42" s="1"/>
  <c r="N117" i="42" s="1"/>
  <c r="C105" i="42"/>
  <c r="C103" i="42"/>
  <c r="D104" i="42" s="1"/>
  <c r="E105" i="42" s="1"/>
  <c r="F106" i="42" s="1"/>
  <c r="G107" i="42" s="1"/>
  <c r="H108" i="42" s="1"/>
  <c r="I109" i="42" s="1"/>
  <c r="J110" i="42" s="1"/>
  <c r="K111" i="42" s="1"/>
  <c r="L112" i="42" s="1"/>
  <c r="M113" i="42" s="1"/>
  <c r="N114" i="42" s="1"/>
  <c r="C102" i="42"/>
  <c r="D103" i="42" s="1"/>
  <c r="E104" i="42" s="1"/>
  <c r="F105" i="42" s="1"/>
  <c r="G106" i="42" s="1"/>
  <c r="H107" i="42" s="1"/>
  <c r="I108" i="42" s="1"/>
  <c r="J109" i="42" s="1"/>
  <c r="K110" i="42" s="1"/>
  <c r="L111" i="42" s="1"/>
  <c r="M112" i="42" s="1"/>
  <c r="N113" i="42" s="1"/>
  <c r="C101" i="42"/>
  <c r="D102" i="42" s="1"/>
  <c r="E103" i="42" s="1"/>
  <c r="F104" i="42" s="1"/>
  <c r="G105" i="42" s="1"/>
  <c r="H106" i="42" s="1"/>
  <c r="I107" i="42" s="1"/>
  <c r="J108" i="42" s="1"/>
  <c r="K109" i="42" s="1"/>
  <c r="L110" i="42" s="1"/>
  <c r="M111" i="42" s="1"/>
  <c r="N112" i="42" s="1"/>
  <c r="C100" i="42"/>
  <c r="D101" i="42" s="1"/>
  <c r="E102" i="42" s="1"/>
  <c r="F103" i="42" s="1"/>
  <c r="G104" i="42" s="1"/>
  <c r="H105" i="42" s="1"/>
  <c r="I106" i="42" s="1"/>
  <c r="J107" i="42" s="1"/>
  <c r="K108" i="42" s="1"/>
  <c r="L109" i="42" s="1"/>
  <c r="M110" i="42" s="1"/>
  <c r="N111" i="42" s="1"/>
  <c r="C98" i="42"/>
  <c r="D99" i="42" s="1"/>
  <c r="E100" i="42" s="1"/>
  <c r="F101" i="42" s="1"/>
  <c r="G102" i="42" s="1"/>
  <c r="H103" i="42" s="1"/>
  <c r="I104" i="42" s="1"/>
  <c r="J105" i="42" s="1"/>
  <c r="K106" i="42" s="1"/>
  <c r="L107" i="42" s="1"/>
  <c r="M108" i="42" s="1"/>
  <c r="N109" i="42" s="1"/>
  <c r="C97" i="42"/>
  <c r="D98" i="42" s="1"/>
  <c r="E99" i="42" s="1"/>
  <c r="F100" i="42" s="1"/>
  <c r="G101" i="42" s="1"/>
  <c r="H102" i="42" s="1"/>
  <c r="I103" i="42" s="1"/>
  <c r="J104" i="42" s="1"/>
  <c r="K105" i="42" s="1"/>
  <c r="L106" i="42" s="1"/>
  <c r="M107" i="42" s="1"/>
  <c r="N108" i="42" s="1"/>
  <c r="C94" i="42"/>
  <c r="D95" i="42" s="1"/>
  <c r="E96" i="42" s="1"/>
  <c r="F97" i="42" s="1"/>
  <c r="G98" i="42" s="1"/>
  <c r="H99" i="42" s="1"/>
  <c r="I100" i="42" s="1"/>
  <c r="J101" i="42" s="1"/>
  <c r="K102" i="42" s="1"/>
  <c r="L103" i="42" s="1"/>
  <c r="M104" i="42" s="1"/>
  <c r="N105" i="42" s="1"/>
  <c r="C93" i="42"/>
  <c r="D94" i="42" s="1"/>
  <c r="E95" i="42" s="1"/>
  <c r="F96" i="42" s="1"/>
  <c r="G97" i="42" s="1"/>
  <c r="H98" i="42" s="1"/>
  <c r="I99" i="42" s="1"/>
  <c r="J100" i="42" s="1"/>
  <c r="K101" i="42" s="1"/>
  <c r="L102" i="42" s="1"/>
  <c r="M103" i="42" s="1"/>
  <c r="N104" i="42" s="1"/>
  <c r="C92" i="42"/>
  <c r="D93" i="42" s="1"/>
  <c r="E94" i="42" s="1"/>
  <c r="F95" i="42" s="1"/>
  <c r="G96" i="42" s="1"/>
  <c r="H97" i="42" s="1"/>
  <c r="I98" i="42" s="1"/>
  <c r="J99" i="42" s="1"/>
  <c r="K100" i="42" s="1"/>
  <c r="L101" i="42" s="1"/>
  <c r="M102" i="42" s="1"/>
  <c r="N103" i="42" s="1"/>
  <c r="C90" i="42"/>
  <c r="D91" i="42" s="1"/>
  <c r="E92" i="42" s="1"/>
  <c r="F93" i="42" s="1"/>
  <c r="G94" i="42" s="1"/>
  <c r="H95" i="42" s="1"/>
  <c r="I96" i="42" s="1"/>
  <c r="J97" i="42" s="1"/>
  <c r="K98" i="42" s="1"/>
  <c r="L99" i="42" s="1"/>
  <c r="M100" i="42" s="1"/>
  <c r="N101" i="42" s="1"/>
  <c r="C89" i="42"/>
  <c r="D90" i="42" s="1"/>
  <c r="E91" i="42" s="1"/>
  <c r="F92" i="42" s="1"/>
  <c r="G93" i="42" s="1"/>
  <c r="H94" i="42" s="1"/>
  <c r="I95" i="42" s="1"/>
  <c r="J96" i="42" s="1"/>
  <c r="K97" i="42" s="1"/>
  <c r="L98" i="42" s="1"/>
  <c r="M99" i="42" s="1"/>
  <c r="N100" i="42" s="1"/>
  <c r="C86" i="42"/>
  <c r="D87" i="42" s="1"/>
  <c r="E88" i="42" s="1"/>
  <c r="F89" i="42" s="1"/>
  <c r="G90" i="42" s="1"/>
  <c r="H91" i="42" s="1"/>
  <c r="I92" i="42" s="1"/>
  <c r="J93" i="42" s="1"/>
  <c r="K94" i="42" s="1"/>
  <c r="L95" i="42" s="1"/>
  <c r="M96" i="42" s="1"/>
  <c r="N97" i="42" s="1"/>
  <c r="C85" i="42"/>
  <c r="D86" i="42" s="1"/>
  <c r="E87" i="42" s="1"/>
  <c r="F88" i="42" s="1"/>
  <c r="G89" i="42" s="1"/>
  <c r="H90" i="42" s="1"/>
  <c r="I91" i="42" s="1"/>
  <c r="J92" i="42" s="1"/>
  <c r="K93" i="42" s="1"/>
  <c r="L94" i="42" s="1"/>
  <c r="M95" i="42" s="1"/>
  <c r="N96" i="42" s="1"/>
  <c r="C84" i="42"/>
  <c r="D85" i="42" s="1"/>
  <c r="E86" i="42" s="1"/>
  <c r="F87" i="42" s="1"/>
  <c r="G88" i="42" s="1"/>
  <c r="H89" i="42" s="1"/>
  <c r="I90" i="42" s="1"/>
  <c r="J91" i="42" s="1"/>
  <c r="K92" i="42" s="1"/>
  <c r="L93" i="42" s="1"/>
  <c r="M94" i="42" s="1"/>
  <c r="N95" i="42" s="1"/>
  <c r="D82" i="42"/>
  <c r="E83" i="42" s="1"/>
  <c r="F84" i="42" s="1"/>
  <c r="G85" i="42" s="1"/>
  <c r="H86" i="42" s="1"/>
  <c r="I87" i="42" s="1"/>
  <c r="J88" i="42" s="1"/>
  <c r="K89" i="42" s="1"/>
  <c r="L90" i="42" s="1"/>
  <c r="M91" i="42" s="1"/>
  <c r="N92" i="42" s="1"/>
  <c r="C82" i="42"/>
  <c r="D83" i="42" s="1"/>
  <c r="E84" i="42" s="1"/>
  <c r="F85" i="42" s="1"/>
  <c r="G86" i="42" s="1"/>
  <c r="H87" i="42" s="1"/>
  <c r="I88" i="42" s="1"/>
  <c r="J89" i="42" s="1"/>
  <c r="K90" i="42" s="1"/>
  <c r="L91" i="42" s="1"/>
  <c r="M92" i="42" s="1"/>
  <c r="N93" i="42" s="1"/>
  <c r="C81" i="42"/>
  <c r="D79" i="42"/>
  <c r="E80" i="42" s="1"/>
  <c r="F81" i="42" s="1"/>
  <c r="G82" i="42" s="1"/>
  <c r="H83" i="42" s="1"/>
  <c r="I84" i="42" s="1"/>
  <c r="J85" i="42" s="1"/>
  <c r="K86" i="42" s="1"/>
  <c r="L87" i="42" s="1"/>
  <c r="M88" i="42" s="1"/>
  <c r="N89" i="42" s="1"/>
  <c r="C79" i="42"/>
  <c r="D80" i="42" s="1"/>
  <c r="E81" i="42" s="1"/>
  <c r="F82" i="42" s="1"/>
  <c r="G83" i="42" s="1"/>
  <c r="H84" i="42" s="1"/>
  <c r="I85" i="42" s="1"/>
  <c r="J86" i="42" s="1"/>
  <c r="K87" i="42" s="1"/>
  <c r="L88" i="42" s="1"/>
  <c r="M89" i="42" s="1"/>
  <c r="N90" i="42" s="1"/>
  <c r="C78" i="42"/>
  <c r="C77" i="42"/>
  <c r="D78" i="42" s="1"/>
  <c r="E79" i="42" s="1"/>
  <c r="F80" i="42" s="1"/>
  <c r="G81" i="42" s="1"/>
  <c r="H82" i="42" s="1"/>
  <c r="I83" i="42" s="1"/>
  <c r="J84" i="42" s="1"/>
  <c r="K85" i="42" s="1"/>
  <c r="L86" i="42" s="1"/>
  <c r="M87" i="42" s="1"/>
  <c r="N88" i="42" s="1"/>
  <c r="C74" i="42"/>
  <c r="D75" i="42" s="1"/>
  <c r="E76" i="42" s="1"/>
  <c r="F77" i="42" s="1"/>
  <c r="G78" i="42" s="1"/>
  <c r="H79" i="42" s="1"/>
  <c r="I80" i="42" s="1"/>
  <c r="J81" i="42" s="1"/>
  <c r="K82" i="42" s="1"/>
  <c r="L83" i="42" s="1"/>
  <c r="M84" i="42" s="1"/>
  <c r="N85" i="42" s="1"/>
  <c r="C73" i="42"/>
  <c r="D74" i="42" s="1"/>
  <c r="E75" i="42" s="1"/>
  <c r="F76" i="42" s="1"/>
  <c r="G77" i="42" s="1"/>
  <c r="H78" i="42" s="1"/>
  <c r="I79" i="42" s="1"/>
  <c r="J80" i="42" s="1"/>
  <c r="K81" i="42" s="1"/>
  <c r="L82" i="42" s="1"/>
  <c r="M83" i="42" s="1"/>
  <c r="N84" i="42" s="1"/>
  <c r="E72" i="42"/>
  <c r="F73" i="42" s="1"/>
  <c r="G74" i="42" s="1"/>
  <c r="H75" i="42" s="1"/>
  <c r="I76" i="42" s="1"/>
  <c r="J77" i="42" s="1"/>
  <c r="K78" i="42" s="1"/>
  <c r="L79" i="42" s="1"/>
  <c r="M80" i="42" s="1"/>
  <c r="N81" i="42" s="1"/>
  <c r="C70" i="42"/>
  <c r="D71" i="42" s="1"/>
  <c r="C69" i="42"/>
  <c r="D70" i="42" s="1"/>
  <c r="E71" i="42" s="1"/>
  <c r="F72" i="42" s="1"/>
  <c r="G73" i="42" s="1"/>
  <c r="H74" i="42" s="1"/>
  <c r="I75" i="42" s="1"/>
  <c r="J76" i="42" s="1"/>
  <c r="K77" i="42" s="1"/>
  <c r="L78" i="42" s="1"/>
  <c r="M79" i="42" s="1"/>
  <c r="N80" i="42" s="1"/>
  <c r="C66" i="42"/>
  <c r="D67" i="42" s="1"/>
  <c r="E68" i="42" s="1"/>
  <c r="F69" i="42" s="1"/>
  <c r="G70" i="42" s="1"/>
  <c r="H71" i="42" s="1"/>
  <c r="I72" i="42" s="1"/>
  <c r="J73" i="42" s="1"/>
  <c r="K74" i="42" s="1"/>
  <c r="L75" i="42" s="1"/>
  <c r="M76" i="42" s="1"/>
  <c r="N77" i="42" s="1"/>
  <c r="C65" i="42"/>
  <c r="D66" i="42" s="1"/>
  <c r="E67" i="42" s="1"/>
  <c r="F68" i="42" s="1"/>
  <c r="G69" i="42" s="1"/>
  <c r="H70" i="42" s="1"/>
  <c r="I71" i="42" s="1"/>
  <c r="J72" i="42" s="1"/>
  <c r="K73" i="42" s="1"/>
  <c r="L74" i="42" s="1"/>
  <c r="M75" i="42" s="1"/>
  <c r="N76" i="42" s="1"/>
  <c r="C62" i="42"/>
  <c r="D63" i="42" s="1"/>
  <c r="E64" i="42" s="1"/>
  <c r="F65" i="42" s="1"/>
  <c r="G66" i="42" s="1"/>
  <c r="H67" i="42" s="1"/>
  <c r="I68" i="42" s="1"/>
  <c r="J69" i="42" s="1"/>
  <c r="K70" i="42" s="1"/>
  <c r="L71" i="42" s="1"/>
  <c r="M72" i="42" s="1"/>
  <c r="N73" i="42" s="1"/>
  <c r="C61" i="42"/>
  <c r="D62" i="42" s="1"/>
  <c r="E63" i="42" s="1"/>
  <c r="F64" i="42" s="1"/>
  <c r="G65" i="42" s="1"/>
  <c r="H66" i="42" s="1"/>
  <c r="I67" i="42" s="1"/>
  <c r="J68" i="42" s="1"/>
  <c r="K69" i="42" s="1"/>
  <c r="L70" i="42" s="1"/>
  <c r="M71" i="42" s="1"/>
  <c r="N72" i="42" s="1"/>
  <c r="C58" i="42"/>
  <c r="D59" i="42" s="1"/>
  <c r="E60" i="42" s="1"/>
  <c r="F61" i="42" s="1"/>
  <c r="G62" i="42" s="1"/>
  <c r="H63" i="42" s="1"/>
  <c r="I64" i="42" s="1"/>
  <c r="J65" i="42" s="1"/>
  <c r="K66" i="42" s="1"/>
  <c r="L67" i="42" s="1"/>
  <c r="M68" i="42" s="1"/>
  <c r="N69" i="42" s="1"/>
  <c r="C57" i="42"/>
  <c r="D58" i="42" s="1"/>
  <c r="E59" i="42" s="1"/>
  <c r="F60" i="42" s="1"/>
  <c r="G61" i="42" s="1"/>
  <c r="H62" i="42" s="1"/>
  <c r="I63" i="42" s="1"/>
  <c r="J64" i="42" s="1"/>
  <c r="K65" i="42" s="1"/>
  <c r="L66" i="42" s="1"/>
  <c r="M67" i="42" s="1"/>
  <c r="N68" i="42" s="1"/>
  <c r="D55" i="42"/>
  <c r="E56" i="42" s="1"/>
  <c r="F57" i="42" s="1"/>
  <c r="G58" i="42" s="1"/>
  <c r="H59" i="42" s="1"/>
  <c r="I60" i="42" s="1"/>
  <c r="J61" i="42" s="1"/>
  <c r="K62" i="42" s="1"/>
  <c r="L63" i="42" s="1"/>
  <c r="M64" i="42" s="1"/>
  <c r="N65" i="42" s="1"/>
  <c r="C54" i="42"/>
  <c r="C53" i="42"/>
  <c r="D54" i="42" s="1"/>
  <c r="E55" i="42" s="1"/>
  <c r="F56" i="42" s="1"/>
  <c r="G57" i="42" s="1"/>
  <c r="H58" i="42" s="1"/>
  <c r="I59" i="42" s="1"/>
  <c r="J60" i="42" s="1"/>
  <c r="K61" i="42" s="1"/>
  <c r="L62" i="42" s="1"/>
  <c r="M63" i="42" s="1"/>
  <c r="N64" i="42" s="1"/>
  <c r="C50" i="42"/>
  <c r="D51" i="42" s="1"/>
  <c r="E52" i="42" s="1"/>
  <c r="F53" i="42" s="1"/>
  <c r="G54" i="42" s="1"/>
  <c r="H55" i="42" s="1"/>
  <c r="I56" i="42" s="1"/>
  <c r="J57" i="42" s="1"/>
  <c r="K58" i="42" s="1"/>
  <c r="L59" i="42" s="1"/>
  <c r="M60" i="42" s="1"/>
  <c r="N61" i="42" s="1"/>
  <c r="C49" i="42"/>
  <c r="D50" i="42" s="1"/>
  <c r="E51" i="42" s="1"/>
  <c r="F52" i="42" s="1"/>
  <c r="G53" i="42" s="1"/>
  <c r="H54" i="42" s="1"/>
  <c r="I55" i="42" s="1"/>
  <c r="J56" i="42" s="1"/>
  <c r="K57" i="42" s="1"/>
  <c r="L58" i="42" s="1"/>
  <c r="M59" i="42" s="1"/>
  <c r="N60" i="42" s="1"/>
  <c r="C46" i="42"/>
  <c r="D47" i="42" s="1"/>
  <c r="E48" i="42" s="1"/>
  <c r="F49" i="42" s="1"/>
  <c r="G50" i="42" s="1"/>
  <c r="H51" i="42" s="1"/>
  <c r="I52" i="42" s="1"/>
  <c r="J53" i="42" s="1"/>
  <c r="K54" i="42" s="1"/>
  <c r="L55" i="42" s="1"/>
  <c r="M56" i="42" s="1"/>
  <c r="N57" i="42" s="1"/>
  <c r="C45" i="42"/>
  <c r="D46" i="42" s="1"/>
  <c r="E47" i="42" s="1"/>
  <c r="F48" i="42" s="1"/>
  <c r="G49" i="42" s="1"/>
  <c r="H50" i="42" s="1"/>
  <c r="I51" i="42" s="1"/>
  <c r="J52" i="42" s="1"/>
  <c r="K53" i="42" s="1"/>
  <c r="L54" i="42" s="1"/>
  <c r="M55" i="42" s="1"/>
  <c r="N56" i="42" s="1"/>
  <c r="C42" i="42"/>
  <c r="D43" i="42" s="1"/>
  <c r="E44" i="42" s="1"/>
  <c r="F45" i="42" s="1"/>
  <c r="G46" i="42" s="1"/>
  <c r="H47" i="42" s="1"/>
  <c r="I48" i="42" s="1"/>
  <c r="J49" i="42" s="1"/>
  <c r="K50" i="42" s="1"/>
  <c r="L51" i="42" s="1"/>
  <c r="M52" i="42" s="1"/>
  <c r="N53" i="42" s="1"/>
  <c r="C41" i="42"/>
  <c r="D42" i="42" s="1"/>
  <c r="E43" i="42" s="1"/>
  <c r="F44" i="42" s="1"/>
  <c r="G45" i="42" s="1"/>
  <c r="H46" i="42" s="1"/>
  <c r="I47" i="42" s="1"/>
  <c r="J48" i="42" s="1"/>
  <c r="K49" i="42" s="1"/>
  <c r="L50" i="42" s="1"/>
  <c r="M51" i="42" s="1"/>
  <c r="N52" i="42" s="1"/>
  <c r="C39" i="42"/>
  <c r="D40" i="42" s="1"/>
  <c r="E41" i="42" s="1"/>
  <c r="F42" i="42" s="1"/>
  <c r="G43" i="42" s="1"/>
  <c r="H44" i="42" s="1"/>
  <c r="I45" i="42" s="1"/>
  <c r="J46" i="42" s="1"/>
  <c r="K47" i="42" s="1"/>
  <c r="L48" i="42" s="1"/>
  <c r="M49" i="42" s="1"/>
  <c r="N50" i="42" s="1"/>
  <c r="C38" i="42"/>
  <c r="D39" i="42" s="1"/>
  <c r="E40" i="42" s="1"/>
  <c r="F41" i="42" s="1"/>
  <c r="G42" i="42" s="1"/>
  <c r="H43" i="42" s="1"/>
  <c r="I44" i="42" s="1"/>
  <c r="J45" i="42" s="1"/>
  <c r="K46" i="42" s="1"/>
  <c r="L47" i="42" s="1"/>
  <c r="M48" i="42" s="1"/>
  <c r="N49" i="42" s="1"/>
  <c r="C37" i="42"/>
  <c r="D38" i="42" s="1"/>
  <c r="E39" i="42" s="1"/>
  <c r="F40" i="42" s="1"/>
  <c r="G41" i="42" s="1"/>
  <c r="H42" i="42" s="1"/>
  <c r="I43" i="42" s="1"/>
  <c r="J44" i="42" s="1"/>
  <c r="K45" i="42" s="1"/>
  <c r="L46" i="42" s="1"/>
  <c r="M47" i="42" s="1"/>
  <c r="N48" i="42" s="1"/>
  <c r="C34" i="42"/>
  <c r="D35" i="42" s="1"/>
  <c r="E36" i="42" s="1"/>
  <c r="F37" i="42" s="1"/>
  <c r="G38" i="42" s="1"/>
  <c r="H39" i="42" s="1"/>
  <c r="I40" i="42" s="1"/>
  <c r="J41" i="42" s="1"/>
  <c r="K42" i="42" s="1"/>
  <c r="L43" i="42" s="1"/>
  <c r="M44" i="42" s="1"/>
  <c r="N45" i="42" s="1"/>
  <c r="D33" i="42"/>
  <c r="E34" i="42" s="1"/>
  <c r="F35" i="42" s="1"/>
  <c r="G36" i="42" s="1"/>
  <c r="H37" i="42" s="1"/>
  <c r="I38" i="42" s="1"/>
  <c r="J39" i="42" s="1"/>
  <c r="K40" i="42" s="1"/>
  <c r="L41" i="42" s="1"/>
  <c r="M42" i="42" s="1"/>
  <c r="N43" i="42" s="1"/>
  <c r="C33" i="42"/>
  <c r="D34" i="42" s="1"/>
  <c r="E35" i="42" s="1"/>
  <c r="F36" i="42" s="1"/>
  <c r="G37" i="42" s="1"/>
  <c r="H38" i="42" s="1"/>
  <c r="I39" i="42" s="1"/>
  <c r="J40" i="42" s="1"/>
  <c r="K41" i="42" s="1"/>
  <c r="L42" i="42" s="1"/>
  <c r="M43" i="42" s="1"/>
  <c r="N44" i="42" s="1"/>
  <c r="C30" i="42"/>
  <c r="D31" i="42" s="1"/>
  <c r="E32" i="42" s="1"/>
  <c r="F33" i="42" s="1"/>
  <c r="G34" i="42" s="1"/>
  <c r="H35" i="42" s="1"/>
  <c r="I36" i="42" s="1"/>
  <c r="J37" i="42" s="1"/>
  <c r="K38" i="42" s="1"/>
  <c r="L39" i="42" s="1"/>
  <c r="M40" i="42" s="1"/>
  <c r="N41" i="42" s="1"/>
  <c r="D29" i="42"/>
  <c r="E30" i="42" s="1"/>
  <c r="F31" i="42" s="1"/>
  <c r="G32" i="42" s="1"/>
  <c r="H33" i="42" s="1"/>
  <c r="I34" i="42" s="1"/>
  <c r="J35" i="42" s="1"/>
  <c r="K36" i="42" s="1"/>
  <c r="L37" i="42" s="1"/>
  <c r="M38" i="42" s="1"/>
  <c r="N39" i="42" s="1"/>
  <c r="C29" i="42"/>
  <c r="D30" i="42" s="1"/>
  <c r="E31" i="42" s="1"/>
  <c r="F32" i="42" s="1"/>
  <c r="G33" i="42" s="1"/>
  <c r="H34" i="42" s="1"/>
  <c r="I35" i="42" s="1"/>
  <c r="J36" i="42" s="1"/>
  <c r="K37" i="42" s="1"/>
  <c r="L38" i="42" s="1"/>
  <c r="M39" i="42" s="1"/>
  <c r="N40" i="42" s="1"/>
  <c r="C26" i="42"/>
  <c r="D27" i="42" s="1"/>
  <c r="E28" i="42" s="1"/>
  <c r="F29" i="42" s="1"/>
  <c r="G30" i="42" s="1"/>
  <c r="H31" i="42" s="1"/>
  <c r="I32" i="42" s="1"/>
  <c r="J33" i="42" s="1"/>
  <c r="K34" i="42" s="1"/>
  <c r="L35" i="42" s="1"/>
  <c r="M36" i="42" s="1"/>
  <c r="N37" i="42" s="1"/>
  <c r="C25" i="42"/>
  <c r="D26" i="42" s="1"/>
  <c r="E27" i="42" s="1"/>
  <c r="F28" i="42" s="1"/>
  <c r="G29" i="42" s="1"/>
  <c r="H30" i="42" s="1"/>
  <c r="I31" i="42" s="1"/>
  <c r="J32" i="42" s="1"/>
  <c r="K33" i="42" s="1"/>
  <c r="L34" i="42" s="1"/>
  <c r="M35" i="42" s="1"/>
  <c r="N36" i="42" s="1"/>
  <c r="C23" i="42"/>
  <c r="D24" i="42" s="1"/>
  <c r="E25" i="42" s="1"/>
  <c r="F26" i="42" s="1"/>
  <c r="G27" i="42" s="1"/>
  <c r="H28" i="42" s="1"/>
  <c r="I29" i="42" s="1"/>
  <c r="J30" i="42" s="1"/>
  <c r="K31" i="42" s="1"/>
  <c r="L32" i="42" s="1"/>
  <c r="M33" i="42" s="1"/>
  <c r="N34" i="42" s="1"/>
  <c r="C22" i="42"/>
  <c r="D23" i="42" s="1"/>
  <c r="E24" i="42" s="1"/>
  <c r="F25" i="42" s="1"/>
  <c r="G26" i="42" s="1"/>
  <c r="H27" i="42" s="1"/>
  <c r="I28" i="42" s="1"/>
  <c r="J29" i="42" s="1"/>
  <c r="K30" i="42" s="1"/>
  <c r="L31" i="42" s="1"/>
  <c r="M32" i="42" s="1"/>
  <c r="N33" i="42" s="1"/>
  <c r="C21" i="42"/>
  <c r="D22" i="42" s="1"/>
  <c r="E23" i="42" s="1"/>
  <c r="F24" i="42" s="1"/>
  <c r="G25" i="42" s="1"/>
  <c r="H26" i="42" s="1"/>
  <c r="I27" i="42" s="1"/>
  <c r="J28" i="42" s="1"/>
  <c r="K29" i="42" s="1"/>
  <c r="L30" i="42" s="1"/>
  <c r="M31" i="42" s="1"/>
  <c r="N32" i="42" s="1"/>
  <c r="D19" i="42"/>
  <c r="E20" i="42" s="1"/>
  <c r="F21" i="42" s="1"/>
  <c r="G22" i="42" s="1"/>
  <c r="H23" i="42" s="1"/>
  <c r="I24" i="42" s="1"/>
  <c r="J25" i="42" s="1"/>
  <c r="K26" i="42" s="1"/>
  <c r="L27" i="42" s="1"/>
  <c r="M28" i="42" s="1"/>
  <c r="N29" i="42" s="1"/>
  <c r="C18" i="42"/>
  <c r="Q17" i="42" a="1"/>
  <c r="AB29" i="42" s="1"/>
  <c r="D17" i="42"/>
  <c r="E18" i="42" s="1"/>
  <c r="F19" i="42" s="1"/>
  <c r="G20" i="42" s="1"/>
  <c r="H21" i="42" s="1"/>
  <c r="I22" i="42" s="1"/>
  <c r="J23" i="42" s="1"/>
  <c r="K24" i="42" s="1"/>
  <c r="L25" i="42" s="1"/>
  <c r="M26" i="42" s="1"/>
  <c r="N27" i="42" s="1"/>
  <c r="C17" i="42"/>
  <c r="D18" i="42" s="1"/>
  <c r="E19" i="42" s="1"/>
  <c r="F20" i="42" s="1"/>
  <c r="G21" i="42" s="1"/>
  <c r="H22" i="42" s="1"/>
  <c r="I23" i="42" s="1"/>
  <c r="J24" i="42" s="1"/>
  <c r="K25" i="42" s="1"/>
  <c r="L26" i="42" s="1"/>
  <c r="M27" i="42" s="1"/>
  <c r="N28" i="42" s="1"/>
  <c r="D15" i="42"/>
  <c r="E16" i="42" s="1"/>
  <c r="F17" i="42" s="1"/>
  <c r="G18" i="42" s="1"/>
  <c r="H19" i="42" s="1"/>
  <c r="I20" i="42" s="1"/>
  <c r="J21" i="42" s="1"/>
  <c r="K22" i="42" s="1"/>
  <c r="L23" i="42" s="1"/>
  <c r="M24" i="42" s="1"/>
  <c r="N25" i="42" s="1"/>
  <c r="C14" i="42"/>
  <c r="C13" i="42"/>
  <c r="D14" i="42" s="1"/>
  <c r="E15" i="42" s="1"/>
  <c r="F16" i="42" s="1"/>
  <c r="G17" i="42" s="1"/>
  <c r="H18" i="42" s="1"/>
  <c r="I19" i="42" s="1"/>
  <c r="J20" i="42" s="1"/>
  <c r="K21" i="42" s="1"/>
  <c r="L22" i="42" s="1"/>
  <c r="M23" i="42" s="1"/>
  <c r="N24" i="42" s="1"/>
  <c r="D10" i="42"/>
  <c r="E11" i="42" s="1"/>
  <c r="F12" i="42" s="1"/>
  <c r="G13" i="42" s="1"/>
  <c r="H14" i="42" s="1"/>
  <c r="I15" i="42" s="1"/>
  <c r="J16" i="42" s="1"/>
  <c r="K17" i="42" s="1"/>
  <c r="L18" i="42" s="1"/>
  <c r="M19" i="42" s="1"/>
  <c r="N20" i="42" s="1"/>
  <c r="C9" i="42"/>
  <c r="C10" i="42"/>
  <c r="D11" i="42" s="1"/>
  <c r="E12" i="42" s="1"/>
  <c r="F13" i="42" s="1"/>
  <c r="G14" i="42" s="1"/>
  <c r="H15" i="42" s="1"/>
  <c r="I16" i="42" s="1"/>
  <c r="J17" i="42" s="1"/>
  <c r="K18" i="42" s="1"/>
  <c r="L19" i="42" s="1"/>
  <c r="M20" i="42" s="1"/>
  <c r="N21" i="42" s="1"/>
  <c r="C8" i="42"/>
  <c r="D9" i="42" s="1"/>
  <c r="E10" i="42" s="1"/>
  <c r="F11" i="42" s="1"/>
  <c r="G12" i="42" s="1"/>
  <c r="H13" i="42" s="1"/>
  <c r="I14" i="42" s="1"/>
  <c r="J15" i="42" s="1"/>
  <c r="K16" i="42" s="1"/>
  <c r="L17" i="42" s="1"/>
  <c r="M18" i="42" s="1"/>
  <c r="N19" i="42" s="1"/>
  <c r="C7" i="42"/>
  <c r="D8" i="42" s="1"/>
  <c r="E9" i="42" s="1"/>
  <c r="F10" i="42" s="1"/>
  <c r="G11" i="42" s="1"/>
  <c r="H12" i="42" s="1"/>
  <c r="I13" i="42" s="1"/>
  <c r="J14" i="42" s="1"/>
  <c r="K15" i="42" s="1"/>
  <c r="L16" i="42" s="1"/>
  <c r="M17" i="42" s="1"/>
  <c r="N18" i="42" s="1"/>
  <c r="C6" i="42"/>
  <c r="D7" i="42" s="1"/>
  <c r="E8" i="42" s="1"/>
  <c r="F9" i="42" s="1"/>
  <c r="G10" i="42" s="1"/>
  <c r="H11" i="42" s="1"/>
  <c r="I12" i="42" s="1"/>
  <c r="J13" i="42" s="1"/>
  <c r="K14" i="42" s="1"/>
  <c r="L15" i="42" s="1"/>
  <c r="M16" i="42" s="1"/>
  <c r="N17" i="42" s="1"/>
  <c r="K5" i="42"/>
  <c r="L6" i="42" s="1"/>
  <c r="M7" i="42" s="1"/>
  <c r="N8" i="42" s="1"/>
  <c r="G5" i="42"/>
  <c r="H6" i="42" s="1"/>
  <c r="I7" i="42" s="1"/>
  <c r="J8" i="42" s="1"/>
  <c r="K9" i="42" s="1"/>
  <c r="L10" i="42" s="1"/>
  <c r="M11" i="42" s="1"/>
  <c r="N12" i="42" s="1"/>
  <c r="C5" i="42"/>
  <c r="D6" i="42" s="1"/>
  <c r="E7" i="42" s="1"/>
  <c r="F8" i="42" s="1"/>
  <c r="G9" i="42" s="1"/>
  <c r="H10" i="42" s="1"/>
  <c r="I11" i="42" s="1"/>
  <c r="J12" i="42" s="1"/>
  <c r="K13" i="42" s="1"/>
  <c r="L14" i="42" s="1"/>
  <c r="M15" i="42" s="1"/>
  <c r="N16" i="42" s="1"/>
  <c r="N4" i="42"/>
  <c r="L4" i="42"/>
  <c r="M5" i="42" s="1"/>
  <c r="N6" i="42" s="1"/>
  <c r="J4" i="42"/>
  <c r="H4" i="42"/>
  <c r="I5" i="42" s="1"/>
  <c r="J6" i="42" s="1"/>
  <c r="K7" i="42" s="1"/>
  <c r="L8" i="42" s="1"/>
  <c r="M9" i="42" s="1"/>
  <c r="N10" i="42" s="1"/>
  <c r="F4" i="42"/>
  <c r="C4" i="42"/>
  <c r="D5" i="42" s="1"/>
  <c r="E6" i="42" s="1"/>
  <c r="F7" i="42" s="1"/>
  <c r="G8" i="42" s="1"/>
  <c r="H9" i="42" s="1"/>
  <c r="I10" i="42" s="1"/>
  <c r="J11" i="42" s="1"/>
  <c r="K12" i="42" s="1"/>
  <c r="L13" i="42" s="1"/>
  <c r="M14" i="42" s="1"/>
  <c r="N15" i="42" s="1"/>
  <c r="N3" i="42"/>
  <c r="M3" i="42"/>
  <c r="L3" i="42"/>
  <c r="M4" i="42" s="1"/>
  <c r="N5" i="42" s="1"/>
  <c r="K3" i="42"/>
  <c r="J3" i="42"/>
  <c r="K4" i="42" s="1"/>
  <c r="L5" i="42" s="1"/>
  <c r="M6" i="42" s="1"/>
  <c r="N7" i="42" s="1"/>
  <c r="I3" i="42"/>
  <c r="H3" i="42"/>
  <c r="I4" i="42" s="1"/>
  <c r="J5" i="42" s="1"/>
  <c r="K6" i="42" s="1"/>
  <c r="L7" i="42" s="1"/>
  <c r="M8" i="42" s="1"/>
  <c r="N9" i="42" s="1"/>
  <c r="G3" i="42"/>
  <c r="F3" i="42"/>
  <c r="G4" i="42" s="1"/>
  <c r="H5" i="42" s="1"/>
  <c r="I6" i="42" s="1"/>
  <c r="J7" i="42" s="1"/>
  <c r="K8" i="42" s="1"/>
  <c r="L9" i="42" s="1"/>
  <c r="M10" i="42" s="1"/>
  <c r="N11" i="42" s="1"/>
  <c r="E3" i="42"/>
  <c r="D3" i="42"/>
  <c r="E4" i="42" s="1"/>
  <c r="F5" i="42" s="1"/>
  <c r="G6" i="42" s="1"/>
  <c r="H7" i="42" s="1"/>
  <c r="I8" i="42" s="1"/>
  <c r="J9" i="42" s="1"/>
  <c r="K10" i="42" s="1"/>
  <c r="L11" i="42" s="1"/>
  <c r="M12" i="42" s="1"/>
  <c r="N13" i="42" s="1"/>
  <c r="C3" i="42"/>
  <c r="D4" i="42" s="1"/>
  <c r="E5" i="42" s="1"/>
  <c r="F6" i="42" s="1"/>
  <c r="G7" i="42" s="1"/>
  <c r="H8" i="42" s="1"/>
  <c r="I9" i="42" s="1"/>
  <c r="J10" i="42" s="1"/>
  <c r="K11" i="42" s="1"/>
  <c r="L12" i="42" s="1"/>
  <c r="M13" i="42" s="1"/>
  <c r="N14" i="42" s="1"/>
  <c r="Q17" i="39" a="1"/>
  <c r="R17" i="39" s="1"/>
  <c r="B75" i="39"/>
  <c r="B74" i="39"/>
  <c r="B73" i="39"/>
  <c r="B9" i="39"/>
  <c r="B5" i="39"/>
  <c r="Q18" i="44" l="1"/>
  <c r="T19" i="44"/>
  <c r="W20" i="44"/>
  <c r="Z21" i="44"/>
  <c r="AC22" i="44"/>
  <c r="S24" i="44"/>
  <c r="V25" i="44"/>
  <c r="Y26" i="44"/>
  <c r="AB27" i="44"/>
  <c r="R29" i="44"/>
  <c r="R17" i="44"/>
  <c r="U18" i="44"/>
  <c r="X19" i="44"/>
  <c r="AA20" i="44"/>
  <c r="Q22" i="44"/>
  <c r="T23" i="44"/>
  <c r="W24" i="44"/>
  <c r="Z25" i="44"/>
  <c r="AC26" i="44"/>
  <c r="S28" i="44"/>
  <c r="V29" i="44"/>
  <c r="V17" i="44"/>
  <c r="Y18" i="44"/>
  <c r="AB19" i="44"/>
  <c r="R21" i="44"/>
  <c r="U22" i="44"/>
  <c r="X23" i="44"/>
  <c r="AA24" i="44"/>
  <c r="Q26" i="44"/>
  <c r="T27" i="44"/>
  <c r="W28" i="44"/>
  <c r="Z29" i="44"/>
  <c r="Z17" i="44"/>
  <c r="AC18" i="44"/>
  <c r="S20" i="44"/>
  <c r="V21" i="44"/>
  <c r="Y22" i="44"/>
  <c r="AB23" i="44"/>
  <c r="R25" i="44"/>
  <c r="U26" i="44"/>
  <c r="X27" i="44"/>
  <c r="AA28" i="44"/>
  <c r="S17" i="44"/>
  <c r="W17" i="44"/>
  <c r="AA17" i="44"/>
  <c r="R18" i="44"/>
  <c r="V18" i="44"/>
  <c r="Z18" i="44"/>
  <c r="Q19" i="44"/>
  <c r="U19" i="44"/>
  <c r="Y19" i="44"/>
  <c r="AC19" i="44"/>
  <c r="T20" i="44"/>
  <c r="X20" i="44"/>
  <c r="AB20" i="44"/>
  <c r="S21" i="44"/>
  <c r="W21" i="44"/>
  <c r="AA21" i="44"/>
  <c r="R22" i="44"/>
  <c r="V22" i="44"/>
  <c r="Z22" i="44"/>
  <c r="Q23" i="44"/>
  <c r="U23" i="44"/>
  <c r="Y23" i="44"/>
  <c r="AC23" i="44"/>
  <c r="T24" i="44"/>
  <c r="X24" i="44"/>
  <c r="AB24" i="44"/>
  <c r="S25" i="44"/>
  <c r="W25" i="44"/>
  <c r="AA25" i="44"/>
  <c r="R26" i="44"/>
  <c r="V26" i="44"/>
  <c r="Z26" i="44"/>
  <c r="Q27" i="44"/>
  <c r="U27" i="44"/>
  <c r="Y27" i="44"/>
  <c r="AC27" i="44"/>
  <c r="T28" i="44"/>
  <c r="X28" i="44"/>
  <c r="AB28" i="44"/>
  <c r="S29" i="44"/>
  <c r="W29" i="44"/>
  <c r="AA29" i="44"/>
  <c r="T17" i="44"/>
  <c r="X17" i="44"/>
  <c r="AB17" i="44"/>
  <c r="S18" i="44"/>
  <c r="W18" i="44"/>
  <c r="AA18" i="44"/>
  <c r="R19" i="44"/>
  <c r="V19" i="44"/>
  <c r="Z19" i="44"/>
  <c r="Q20" i="44"/>
  <c r="U20" i="44"/>
  <c r="Y20" i="44"/>
  <c r="AC20" i="44"/>
  <c r="T21" i="44"/>
  <c r="X21" i="44"/>
  <c r="AB21" i="44"/>
  <c r="S22" i="44"/>
  <c r="W22" i="44"/>
  <c r="AA22" i="44"/>
  <c r="R23" i="44"/>
  <c r="V23" i="44"/>
  <c r="Z23" i="44"/>
  <c r="Q24" i="44"/>
  <c r="U24" i="44"/>
  <c r="Y24" i="44"/>
  <c r="AC24" i="44"/>
  <c r="T25" i="44"/>
  <c r="X25" i="44"/>
  <c r="AB25" i="44"/>
  <c r="S26" i="44"/>
  <c r="W26" i="44"/>
  <c r="AA26" i="44"/>
  <c r="R27" i="44"/>
  <c r="V27" i="44"/>
  <c r="Z27" i="44"/>
  <c r="Q28" i="44"/>
  <c r="U28" i="44"/>
  <c r="Y28" i="44"/>
  <c r="AC28" i="44"/>
  <c r="T29" i="44"/>
  <c r="X29" i="44"/>
  <c r="AB29" i="44"/>
  <c r="Q17" i="44"/>
  <c r="U17" i="44"/>
  <c r="Y17" i="44"/>
  <c r="AC17" i="44"/>
  <c r="T18" i="44"/>
  <c r="X18" i="44"/>
  <c r="AB18" i="44"/>
  <c r="S19" i="44"/>
  <c r="W19" i="44"/>
  <c r="AA19" i="44"/>
  <c r="R20" i="44"/>
  <c r="V20" i="44"/>
  <c r="Z20" i="44"/>
  <c r="Q21" i="44"/>
  <c r="U21" i="44"/>
  <c r="Y21" i="44"/>
  <c r="AC21" i="44"/>
  <c r="T22" i="44"/>
  <c r="X22" i="44"/>
  <c r="AB22" i="44"/>
  <c r="S23" i="44"/>
  <c r="W23" i="44"/>
  <c r="AA23" i="44"/>
  <c r="R24" i="44"/>
  <c r="V24" i="44"/>
  <c r="Z24" i="44"/>
  <c r="Q25" i="44"/>
  <c r="U25" i="44"/>
  <c r="Y25" i="44"/>
  <c r="AC25" i="44"/>
  <c r="T26" i="44"/>
  <c r="X26" i="44"/>
  <c r="AB26" i="44"/>
  <c r="S27" i="44"/>
  <c r="W27" i="44"/>
  <c r="AA27" i="44"/>
  <c r="R28" i="44"/>
  <c r="V28" i="44"/>
  <c r="Z28" i="44"/>
  <c r="Q29" i="44"/>
  <c r="U29" i="44"/>
  <c r="Y29" i="44"/>
  <c r="AC17" i="43"/>
  <c r="X19" i="43"/>
  <c r="S21" i="43"/>
  <c r="AB22" i="43"/>
  <c r="W24" i="43"/>
  <c r="R26" i="43"/>
  <c r="AA27" i="43"/>
  <c r="V29" i="43"/>
  <c r="U18" i="43"/>
  <c r="AC19" i="43"/>
  <c r="Y21" i="43"/>
  <c r="T23" i="43"/>
  <c r="AB24" i="43"/>
  <c r="X26" i="43"/>
  <c r="S28" i="43"/>
  <c r="AA29" i="43"/>
  <c r="R17" i="43"/>
  <c r="Z18" i="43"/>
  <c r="V20" i="43"/>
  <c r="Q22" i="43"/>
  <c r="Y23" i="43"/>
  <c r="U25" i="43"/>
  <c r="AC26" i="43"/>
  <c r="X28" i="43"/>
  <c r="W17" i="43"/>
  <c r="S19" i="43"/>
  <c r="AA20" i="43"/>
  <c r="V22" i="43"/>
  <c r="R24" i="43"/>
  <c r="Z25" i="43"/>
  <c r="U27" i="43"/>
  <c r="Q29" i="43"/>
  <c r="S17" i="43"/>
  <c r="Y17" i="43"/>
  <c r="Q18" i="43"/>
  <c r="V18" i="43"/>
  <c r="AB18" i="43"/>
  <c r="T19" i="43"/>
  <c r="Y19" i="43"/>
  <c r="R20" i="43"/>
  <c r="W20" i="43"/>
  <c r="AB20" i="43"/>
  <c r="U21" i="43"/>
  <c r="Z21" i="43"/>
  <c r="R22" i="43"/>
  <c r="X22" i="43"/>
  <c r="AC22" i="43"/>
  <c r="U23" i="43"/>
  <c r="AA23" i="43"/>
  <c r="S24" i="43"/>
  <c r="X24" i="43"/>
  <c r="Q25" i="43"/>
  <c r="V25" i="43"/>
  <c r="AA25" i="43"/>
  <c r="T26" i="43"/>
  <c r="Y26" i="43"/>
  <c r="Q27" i="43"/>
  <c r="W27" i="43"/>
  <c r="AB27" i="43"/>
  <c r="T28" i="43"/>
  <c r="Z28" i="43"/>
  <c r="R29" i="43"/>
  <c r="W29" i="43"/>
  <c r="AC29" i="43"/>
  <c r="U17" i="43"/>
  <c r="Z17" i="43"/>
  <c r="R18" i="43"/>
  <c r="X18" i="43"/>
  <c r="AC18" i="43"/>
  <c r="U19" i="43"/>
  <c r="AA19" i="43"/>
  <c r="S20" i="43"/>
  <c r="X20" i="43"/>
  <c r="Q21" i="43"/>
  <c r="V21" i="43"/>
  <c r="AA21" i="43"/>
  <c r="T22" i="43"/>
  <c r="Y22" i="43"/>
  <c r="Q23" i="43"/>
  <c r="W23" i="43"/>
  <c r="AB23" i="43"/>
  <c r="T24" i="43"/>
  <c r="Z24" i="43"/>
  <c r="R25" i="43"/>
  <c r="W25" i="43"/>
  <c r="AC25" i="43"/>
  <c r="U26" i="43"/>
  <c r="Z26" i="43"/>
  <c r="S27" i="43"/>
  <c r="X27" i="43"/>
  <c r="AC27" i="43"/>
  <c r="V28" i="43"/>
  <c r="AA28" i="43"/>
  <c r="S29" i="43"/>
  <c r="Y29" i="43"/>
  <c r="Q17" i="43"/>
  <c r="V17" i="43"/>
  <c r="AA17" i="43"/>
  <c r="T18" i="43"/>
  <c r="Y18" i="43"/>
  <c r="Q19" i="43"/>
  <c r="W19" i="43"/>
  <c r="AB19" i="43"/>
  <c r="T20" i="43"/>
  <c r="Z20" i="43"/>
  <c r="R21" i="43"/>
  <c r="W21" i="43"/>
  <c r="AC21" i="43"/>
  <c r="U22" i="43"/>
  <c r="Z22" i="43"/>
  <c r="S23" i="43"/>
  <c r="X23" i="43"/>
  <c r="AC23" i="43"/>
  <c r="V24" i="43"/>
  <c r="AA24" i="43"/>
  <c r="S25" i="43"/>
  <c r="Y25" i="43"/>
  <c r="Q26" i="43"/>
  <c r="V26" i="43"/>
  <c r="AB26" i="43"/>
  <c r="T27" i="43"/>
  <c r="Y27" i="43"/>
  <c r="R28" i="43"/>
  <c r="W28" i="43"/>
  <c r="AB28" i="43"/>
  <c r="U29" i="43"/>
  <c r="Z29" i="43"/>
  <c r="T17" i="43"/>
  <c r="X17" i="43"/>
  <c r="AB17" i="43"/>
  <c r="S18" i="43"/>
  <c r="W18" i="43"/>
  <c r="AA18" i="43"/>
  <c r="R19" i="43"/>
  <c r="V19" i="43"/>
  <c r="Z19" i="43"/>
  <c r="Q20" i="43"/>
  <c r="U20" i="43"/>
  <c r="Y20" i="43"/>
  <c r="AC20" i="43"/>
  <c r="T21" i="43"/>
  <c r="X21" i="43"/>
  <c r="AB21" i="43"/>
  <c r="S22" i="43"/>
  <c r="W22" i="43"/>
  <c r="AA22" i="43"/>
  <c r="R23" i="43"/>
  <c r="V23" i="43"/>
  <c r="Z23" i="43"/>
  <c r="Q24" i="43"/>
  <c r="U24" i="43"/>
  <c r="Y24" i="43"/>
  <c r="AC24" i="43"/>
  <c r="T25" i="43"/>
  <c r="X25" i="43"/>
  <c r="AB25" i="43"/>
  <c r="S26" i="43"/>
  <c r="W26" i="43"/>
  <c r="AA26" i="43"/>
  <c r="R27" i="43"/>
  <c r="V27" i="43"/>
  <c r="Z27" i="43"/>
  <c r="Q28" i="43"/>
  <c r="U28" i="43"/>
  <c r="Y28" i="43"/>
  <c r="AC28" i="43"/>
  <c r="T29" i="43"/>
  <c r="X29" i="43"/>
  <c r="S17" i="42"/>
  <c r="Y17" i="42"/>
  <c r="Q18" i="42"/>
  <c r="V18" i="42"/>
  <c r="AB18" i="42"/>
  <c r="T19" i="42"/>
  <c r="Y19" i="42"/>
  <c r="R20" i="42"/>
  <c r="W20" i="42"/>
  <c r="AB20" i="42"/>
  <c r="U21" i="42"/>
  <c r="Z21" i="42"/>
  <c r="R22" i="42"/>
  <c r="X22" i="42"/>
  <c r="AC22" i="42"/>
  <c r="U23" i="42"/>
  <c r="AA23" i="42"/>
  <c r="S24" i="42"/>
  <c r="X24" i="42"/>
  <c r="Q25" i="42"/>
  <c r="V25" i="42"/>
  <c r="AA25" i="42"/>
  <c r="T26" i="42"/>
  <c r="Y26" i="42"/>
  <c r="Q27" i="42"/>
  <c r="W27" i="42"/>
  <c r="AB27" i="42"/>
  <c r="T28" i="42"/>
  <c r="Z28" i="42"/>
  <c r="R29" i="42"/>
  <c r="W29" i="42"/>
  <c r="AC29" i="42"/>
  <c r="U17" i="42"/>
  <c r="Z17" i="42"/>
  <c r="R18" i="42"/>
  <c r="X18" i="42"/>
  <c r="AC18" i="42"/>
  <c r="U19" i="42"/>
  <c r="AA19" i="42"/>
  <c r="S20" i="42"/>
  <c r="X20" i="42"/>
  <c r="Q21" i="42"/>
  <c r="V21" i="42"/>
  <c r="AA21" i="42"/>
  <c r="T22" i="42"/>
  <c r="Y22" i="42"/>
  <c r="Q23" i="42"/>
  <c r="W23" i="42"/>
  <c r="AB23" i="42"/>
  <c r="T24" i="42"/>
  <c r="Z24" i="42"/>
  <c r="R25" i="42"/>
  <c r="W25" i="42"/>
  <c r="AC25" i="42"/>
  <c r="U26" i="42"/>
  <c r="Z26" i="42"/>
  <c r="S27" i="42"/>
  <c r="X27" i="42"/>
  <c r="AC27" i="42"/>
  <c r="V28" i="42"/>
  <c r="AA28" i="42"/>
  <c r="S29" i="42"/>
  <c r="Y29" i="42"/>
  <c r="Q17" i="42"/>
  <c r="V17" i="42"/>
  <c r="AA17" i="42"/>
  <c r="T18" i="42"/>
  <c r="Y18" i="42"/>
  <c r="Q19" i="42"/>
  <c r="W19" i="42"/>
  <c r="AB19" i="42"/>
  <c r="T20" i="42"/>
  <c r="Z20" i="42"/>
  <c r="R21" i="42"/>
  <c r="W21" i="42"/>
  <c r="AC21" i="42"/>
  <c r="U22" i="42"/>
  <c r="Z22" i="42"/>
  <c r="S23" i="42"/>
  <c r="X23" i="42"/>
  <c r="AC23" i="42"/>
  <c r="V24" i="42"/>
  <c r="AA24" i="42"/>
  <c r="S25" i="42"/>
  <c r="Y25" i="42"/>
  <c r="Q26" i="42"/>
  <c r="V26" i="42"/>
  <c r="AB26" i="42"/>
  <c r="T27" i="42"/>
  <c r="Y27" i="42"/>
  <c r="R28" i="42"/>
  <c r="W28" i="42"/>
  <c r="AB28" i="42"/>
  <c r="U29" i="42"/>
  <c r="Z29" i="42"/>
  <c r="R17" i="42"/>
  <c r="W17" i="42"/>
  <c r="AC17" i="42"/>
  <c r="U18" i="42"/>
  <c r="Z18" i="42"/>
  <c r="S19" i="42"/>
  <c r="X19" i="42"/>
  <c r="AC19" i="42"/>
  <c r="V20" i="42"/>
  <c r="AA20" i="42"/>
  <c r="S21" i="42"/>
  <c r="Y21" i="42"/>
  <c r="Q22" i="42"/>
  <c r="V22" i="42"/>
  <c r="AB22" i="42"/>
  <c r="T23" i="42"/>
  <c r="Y23" i="42"/>
  <c r="R24" i="42"/>
  <c r="W24" i="42"/>
  <c r="AB24" i="42"/>
  <c r="U25" i="42"/>
  <c r="Z25" i="42"/>
  <c r="R26" i="42"/>
  <c r="X26" i="42"/>
  <c r="AC26" i="42"/>
  <c r="U27" i="42"/>
  <c r="AA27" i="42"/>
  <c r="S28" i="42"/>
  <c r="X28" i="42"/>
  <c r="Q29" i="42"/>
  <c r="V29" i="42"/>
  <c r="AA29" i="42"/>
  <c r="T17" i="42"/>
  <c r="X17" i="42"/>
  <c r="AB17" i="42"/>
  <c r="S18" i="42"/>
  <c r="W18" i="42"/>
  <c r="AA18" i="42"/>
  <c r="R19" i="42"/>
  <c r="V19" i="42"/>
  <c r="Z19" i="42"/>
  <c r="Q20" i="42"/>
  <c r="U20" i="42"/>
  <c r="Y20" i="42"/>
  <c r="AC20" i="42"/>
  <c r="T21" i="42"/>
  <c r="X21" i="42"/>
  <c r="AB21" i="42"/>
  <c r="S22" i="42"/>
  <c r="W22" i="42"/>
  <c r="AA22" i="42"/>
  <c r="R23" i="42"/>
  <c r="V23" i="42"/>
  <c r="Z23" i="42"/>
  <c r="Q24" i="42"/>
  <c r="U24" i="42"/>
  <c r="Y24" i="42"/>
  <c r="AC24" i="42"/>
  <c r="T25" i="42"/>
  <c r="X25" i="42"/>
  <c r="AB25" i="42"/>
  <c r="S26" i="42"/>
  <c r="W26" i="42"/>
  <c r="AA26" i="42"/>
  <c r="R27" i="42"/>
  <c r="V27" i="42"/>
  <c r="Z27" i="42"/>
  <c r="Q28" i="42"/>
  <c r="U28" i="42"/>
  <c r="Y28" i="42"/>
  <c r="AC28" i="42"/>
  <c r="T29" i="42"/>
  <c r="X29" i="42"/>
  <c r="U29" i="39"/>
  <c r="R28" i="39"/>
  <c r="AB26" i="39"/>
  <c r="Y25" i="39"/>
  <c r="V24" i="39"/>
  <c r="S23" i="39"/>
  <c r="AC21" i="39"/>
  <c r="Z20" i="39"/>
  <c r="W19" i="39"/>
  <c r="T18" i="39"/>
  <c r="Q29" i="39"/>
  <c r="AA27" i="39"/>
  <c r="X26" i="39"/>
  <c r="U25" i="39"/>
  <c r="R24" i="39"/>
  <c r="AB22" i="39"/>
  <c r="Y21" i="39"/>
  <c r="V20" i="39"/>
  <c r="S19" i="39"/>
  <c r="AC17" i="39"/>
  <c r="AC29" i="39"/>
  <c r="Z28" i="39"/>
  <c r="W27" i="39"/>
  <c r="T26" i="39"/>
  <c r="Q25" i="39"/>
  <c r="AA23" i="39"/>
  <c r="X22" i="39"/>
  <c r="U21" i="39"/>
  <c r="R20" i="39"/>
  <c r="AB18" i="39"/>
  <c r="Y17" i="39"/>
  <c r="Y29" i="39"/>
  <c r="V28" i="39"/>
  <c r="S27" i="39"/>
  <c r="AC25" i="39"/>
  <c r="Z24" i="39"/>
  <c r="W23" i="39"/>
  <c r="T22" i="39"/>
  <c r="Q21" i="39"/>
  <c r="AA19" i="39"/>
  <c r="X18" i="39"/>
  <c r="U17" i="39"/>
  <c r="Q17" i="39"/>
  <c r="AB29" i="39"/>
  <c r="X29" i="39"/>
  <c r="T29" i="39"/>
  <c r="AC28" i="39"/>
  <c r="Y28" i="39"/>
  <c r="U28" i="39"/>
  <c r="Q28" i="39"/>
  <c r="Z27" i="39"/>
  <c r="V27" i="39"/>
  <c r="R27" i="39"/>
  <c r="AA26" i="39"/>
  <c r="W26" i="39"/>
  <c r="S26" i="39"/>
  <c r="AB25" i="39"/>
  <c r="X25" i="39"/>
  <c r="T25" i="39"/>
  <c r="AC24" i="39"/>
  <c r="Y24" i="39"/>
  <c r="U24" i="39"/>
  <c r="Q24" i="39"/>
  <c r="Z23" i="39"/>
  <c r="V23" i="39"/>
  <c r="R23" i="39"/>
  <c r="AA22" i="39"/>
  <c r="W22" i="39"/>
  <c r="S22" i="39"/>
  <c r="AB21" i="39"/>
  <c r="X21" i="39"/>
  <c r="T21" i="39"/>
  <c r="AC20" i="39"/>
  <c r="Y20" i="39"/>
  <c r="U20" i="39"/>
  <c r="Q20" i="39"/>
  <c r="Z19" i="39"/>
  <c r="V19" i="39"/>
  <c r="R19" i="39"/>
  <c r="AA18" i="39"/>
  <c r="W18" i="39"/>
  <c r="S18" i="39"/>
  <c r="AB17" i="39"/>
  <c r="X17" i="39"/>
  <c r="T17" i="39"/>
  <c r="AA29" i="39"/>
  <c r="W29" i="39"/>
  <c r="S29" i="39"/>
  <c r="AB28" i="39"/>
  <c r="X28" i="39"/>
  <c r="T28" i="39"/>
  <c r="AC27" i="39"/>
  <c r="Y27" i="39"/>
  <c r="U27" i="39"/>
  <c r="Q27" i="39"/>
  <c r="Z26" i="39"/>
  <c r="V26" i="39"/>
  <c r="R26" i="39"/>
  <c r="AA25" i="39"/>
  <c r="W25" i="39"/>
  <c r="S25" i="39"/>
  <c r="AB24" i="39"/>
  <c r="X24" i="39"/>
  <c r="T24" i="39"/>
  <c r="AC23" i="39"/>
  <c r="Y23" i="39"/>
  <c r="U23" i="39"/>
  <c r="Q23" i="39"/>
  <c r="Z22" i="39"/>
  <c r="V22" i="39"/>
  <c r="R22" i="39"/>
  <c r="AA21" i="39"/>
  <c r="W21" i="39"/>
  <c r="S21" i="39"/>
  <c r="AB20" i="39"/>
  <c r="X20" i="39"/>
  <c r="T20" i="39"/>
  <c r="AC19" i="39"/>
  <c r="Y19" i="39"/>
  <c r="U19" i="39"/>
  <c r="Q19" i="39"/>
  <c r="Z18" i="39"/>
  <c r="V18" i="39"/>
  <c r="R18" i="39"/>
  <c r="AA17" i="39"/>
  <c r="W17" i="39"/>
  <c r="S17" i="39"/>
  <c r="Z29" i="39"/>
  <c r="V29" i="39"/>
  <c r="R29" i="39"/>
  <c r="AA28" i="39"/>
  <c r="W28" i="39"/>
  <c r="S28" i="39"/>
  <c r="AB27" i="39"/>
  <c r="X27" i="39"/>
  <c r="T27" i="39"/>
  <c r="AC26" i="39"/>
  <c r="Y26" i="39"/>
  <c r="U26" i="39"/>
  <c r="Q26" i="39"/>
  <c r="Z25" i="39"/>
  <c r="V25" i="39"/>
  <c r="R25" i="39"/>
  <c r="AA24" i="39"/>
  <c r="W24" i="39"/>
  <c r="S24" i="39"/>
  <c r="AB23" i="39"/>
  <c r="X23" i="39"/>
  <c r="T23" i="39"/>
  <c r="AC22" i="39"/>
  <c r="Y22" i="39"/>
  <c r="U22" i="39"/>
  <c r="Q22" i="39"/>
  <c r="Z21" i="39"/>
  <c r="V21" i="39"/>
  <c r="R21" i="39"/>
  <c r="AA20" i="39"/>
  <c r="W20" i="39"/>
  <c r="S20" i="39"/>
  <c r="AB19" i="39"/>
  <c r="X19" i="39"/>
  <c r="T19" i="39"/>
  <c r="AC18" i="39"/>
  <c r="Y18" i="39"/>
  <c r="U18" i="39"/>
  <c r="Q18" i="39"/>
  <c r="Z17" i="39"/>
  <c r="V17" i="39"/>
  <c r="Q32" i="44" l="1" a="1"/>
  <c r="Q32" i="43" a="1"/>
  <c r="Z44" i="43" s="1"/>
  <c r="Q32" i="42" a="1"/>
  <c r="AB44" i="42" s="1"/>
  <c r="Q32" i="39" a="1"/>
  <c r="R44" i="39" s="1"/>
  <c r="AA44" i="44" l="1"/>
  <c r="W44" i="44"/>
  <c r="S44" i="44"/>
  <c r="AB43" i="44"/>
  <c r="X43" i="44"/>
  <c r="T43" i="44"/>
  <c r="AC42" i="44"/>
  <c r="Y42" i="44"/>
  <c r="U42" i="44"/>
  <c r="Q42" i="44"/>
  <c r="Z41" i="44"/>
  <c r="V41" i="44"/>
  <c r="R41" i="44"/>
  <c r="AA40" i="44"/>
  <c r="W40" i="44"/>
  <c r="S40" i="44"/>
  <c r="AB39" i="44"/>
  <c r="X39" i="44"/>
  <c r="T39" i="44"/>
  <c r="AC38" i="44"/>
  <c r="Y38" i="44"/>
  <c r="U38" i="44"/>
  <c r="Q38" i="44"/>
  <c r="Z37" i="44"/>
  <c r="V37" i="44"/>
  <c r="R37" i="44"/>
  <c r="AA36" i="44"/>
  <c r="W36" i="44"/>
  <c r="S36" i="44"/>
  <c r="AB35" i="44"/>
  <c r="X35" i="44"/>
  <c r="T35" i="44"/>
  <c r="AC34" i="44"/>
  <c r="Y34" i="44"/>
  <c r="U34" i="44"/>
  <c r="Q34" i="44"/>
  <c r="Z33" i="44"/>
  <c r="V33" i="44"/>
  <c r="R33" i="44"/>
  <c r="AA32" i="44"/>
  <c r="W32" i="44"/>
  <c r="S32" i="44"/>
  <c r="AB44" i="44"/>
  <c r="T44" i="44"/>
  <c r="U43" i="44"/>
  <c r="R42" i="44"/>
  <c r="S41" i="44"/>
  <c r="AC39" i="44"/>
  <c r="Q39" i="44"/>
  <c r="AA37" i="44"/>
  <c r="AB36" i="44"/>
  <c r="Y35" i="44"/>
  <c r="Z34" i="44"/>
  <c r="AA33" i="44"/>
  <c r="AB32" i="44"/>
  <c r="Z44" i="44"/>
  <c r="V44" i="44"/>
  <c r="R44" i="44"/>
  <c r="AA43" i="44"/>
  <c r="W43" i="44"/>
  <c r="S43" i="44"/>
  <c r="AB42" i="44"/>
  <c r="X42" i="44"/>
  <c r="T42" i="44"/>
  <c r="T57" i="44" s="1" a="1"/>
  <c r="T57" i="44" s="1"/>
  <c r="AC41" i="44"/>
  <c r="Y41" i="44"/>
  <c r="U41" i="44"/>
  <c r="Q41" i="44"/>
  <c r="Z40" i="44"/>
  <c r="V40" i="44"/>
  <c r="R40" i="44"/>
  <c r="AA39" i="44"/>
  <c r="AA54" i="44" s="1" a="1"/>
  <c r="AA54" i="44" s="1"/>
  <c r="W39" i="44"/>
  <c r="S39" i="44"/>
  <c r="AB38" i="44"/>
  <c r="X38" i="44"/>
  <c r="T38" i="44"/>
  <c r="AC37" i="44"/>
  <c r="Y37" i="44"/>
  <c r="U37" i="44"/>
  <c r="Q37" i="44"/>
  <c r="Z36" i="44"/>
  <c r="V36" i="44"/>
  <c r="R36" i="44"/>
  <c r="AA35" i="44"/>
  <c r="W35" i="44"/>
  <c r="S35" i="44"/>
  <c r="AB34" i="44"/>
  <c r="AB49" i="44" s="1" a="1"/>
  <c r="AB49" i="44" s="1"/>
  <c r="X34" i="44"/>
  <c r="T34" i="44"/>
  <c r="AC33" i="44"/>
  <c r="Y33" i="44"/>
  <c r="U33" i="44"/>
  <c r="Q33" i="44"/>
  <c r="Z32" i="44"/>
  <c r="V32" i="44"/>
  <c r="V47" i="44" s="1" a="1"/>
  <c r="V47" i="44" s="1"/>
  <c r="R32" i="44"/>
  <c r="X44" i="44"/>
  <c r="Y43" i="44"/>
  <c r="Q43" i="44"/>
  <c r="Q58" i="44" s="1" a="1"/>
  <c r="Q58" i="44" s="1"/>
  <c r="V42" i="44"/>
  <c r="W41" i="44"/>
  <c r="AB40" i="44"/>
  <c r="T40" i="44"/>
  <c r="T55" i="44" s="1" a="1"/>
  <c r="T55" i="44" s="1"/>
  <c r="Y39" i="44"/>
  <c r="Z38" i="44"/>
  <c r="R38" i="44"/>
  <c r="W37" i="44"/>
  <c r="X36" i="44"/>
  <c r="AC35" i="44"/>
  <c r="Q35" i="44"/>
  <c r="R34" i="44"/>
  <c r="R49" i="44" s="1" a="1"/>
  <c r="R49" i="44" s="1"/>
  <c r="S33" i="44"/>
  <c r="T32" i="44"/>
  <c r="AC44" i="44"/>
  <c r="Y44" i="44"/>
  <c r="Y59" i="44" s="1" a="1"/>
  <c r="Y59" i="44" s="1"/>
  <c r="U44" i="44"/>
  <c r="Q44" i="44"/>
  <c r="Z43" i="44"/>
  <c r="V43" i="44"/>
  <c r="V58" i="44" s="1" a="1"/>
  <c r="V58" i="44" s="1"/>
  <c r="R43" i="44"/>
  <c r="AA42" i="44"/>
  <c r="W42" i="44"/>
  <c r="S42" i="44"/>
  <c r="S57" i="44" s="1" a="1"/>
  <c r="S57" i="44" s="1"/>
  <c r="AB41" i="44"/>
  <c r="X41" i="44"/>
  <c r="T41" i="44"/>
  <c r="AC40" i="44"/>
  <c r="AC55" i="44" s="1" a="1"/>
  <c r="AC55" i="44" s="1"/>
  <c r="Y40" i="44"/>
  <c r="U40" i="44"/>
  <c r="Q40" i="44"/>
  <c r="Z39" i="44"/>
  <c r="Z54" i="44" s="1" a="1"/>
  <c r="Z54" i="44" s="1"/>
  <c r="V39" i="44"/>
  <c r="R39" i="44"/>
  <c r="AA38" i="44"/>
  <c r="W38" i="44"/>
  <c r="S38" i="44"/>
  <c r="AB37" i="44"/>
  <c r="X37" i="44"/>
  <c r="T37" i="44"/>
  <c r="T52" i="44" s="1" a="1"/>
  <c r="T52" i="44" s="1"/>
  <c r="AC36" i="44"/>
  <c r="Y36" i="44"/>
  <c r="U36" i="44"/>
  <c r="Q36" i="44"/>
  <c r="Q51" i="44" s="1" a="1"/>
  <c r="Q51" i="44" s="1"/>
  <c r="Z35" i="44"/>
  <c r="V35" i="44"/>
  <c r="R35" i="44"/>
  <c r="AA34" i="44"/>
  <c r="AA49" i="44" s="1" a="1"/>
  <c r="AA49" i="44" s="1"/>
  <c r="W34" i="44"/>
  <c r="S34" i="44"/>
  <c r="AB33" i="44"/>
  <c r="X33" i="44"/>
  <c r="X48" i="44" s="1" a="1"/>
  <c r="X48" i="44" s="1"/>
  <c r="T33" i="44"/>
  <c r="AC32" i="44"/>
  <c r="Y32" i="44"/>
  <c r="U32" i="44"/>
  <c r="U47" i="44" s="1" a="1"/>
  <c r="U47" i="44" s="1"/>
  <c r="Q32" i="44"/>
  <c r="AC43" i="44"/>
  <c r="Z42" i="44"/>
  <c r="AA41" i="44"/>
  <c r="AA56" i="44" s="1" a="1"/>
  <c r="AA56" i="44" s="1"/>
  <c r="X40" i="44"/>
  <c r="U39" i="44"/>
  <c r="V38" i="44"/>
  <c r="S37" i="44"/>
  <c r="S52" i="44" s="1" a="1"/>
  <c r="S52" i="44" s="1"/>
  <c r="T36" i="44"/>
  <c r="U35" i="44"/>
  <c r="V34" i="44"/>
  <c r="W33" i="44"/>
  <c r="W48" i="44" s="1" a="1"/>
  <c r="W48" i="44" s="1"/>
  <c r="X32" i="44"/>
  <c r="AC34" i="43"/>
  <c r="Q39" i="43"/>
  <c r="AA44" i="43"/>
  <c r="AB37" i="43"/>
  <c r="Q44" i="43"/>
  <c r="Z34" i="43"/>
  <c r="Q38" i="43"/>
  <c r="T41" i="43"/>
  <c r="X44" i="43"/>
  <c r="AC36" i="43"/>
  <c r="V33" i="43"/>
  <c r="AC39" i="43"/>
  <c r="S33" i="43"/>
  <c r="W36" i="43"/>
  <c r="Z39" i="43"/>
  <c r="Q43" i="43"/>
  <c r="Q33" i="43"/>
  <c r="W35" i="43"/>
  <c r="AC37" i="43"/>
  <c r="V40" i="43"/>
  <c r="AB42" i="43"/>
  <c r="Y38" i="43"/>
  <c r="U44" i="43"/>
  <c r="U34" i="43"/>
  <c r="X32" i="43"/>
  <c r="R39" i="43"/>
  <c r="Q36" i="43"/>
  <c r="U39" i="43"/>
  <c r="Y42" i="43"/>
  <c r="Z32" i="43"/>
  <c r="S35" i="43"/>
  <c r="X42" i="43"/>
  <c r="X36" i="43"/>
  <c r="AB41" i="43"/>
  <c r="AA33" i="43"/>
  <c r="U40" i="43"/>
  <c r="Y32" i="43"/>
  <c r="AC35" i="43"/>
  <c r="T39" i="43"/>
  <c r="W42" i="43"/>
  <c r="W32" i="43"/>
  <c r="R41" i="43"/>
  <c r="AB35" i="43"/>
  <c r="V42" i="43"/>
  <c r="V34" i="43"/>
  <c r="Z37" i="43"/>
  <c r="AC40" i="43"/>
  <c r="T44" i="43"/>
  <c r="AC33" i="43"/>
  <c r="V36" i="43"/>
  <c r="AB38" i="43"/>
  <c r="U41" i="43"/>
  <c r="AA43" i="43"/>
  <c r="R34" i="43"/>
  <c r="R37" i="43"/>
  <c r="T43" i="43"/>
  <c r="X37" i="43"/>
  <c r="AB40" i="43"/>
  <c r="S44" i="43"/>
  <c r="Z35" i="43"/>
  <c r="AA32" i="43"/>
  <c r="R40" i="43"/>
  <c r="V37" i="43"/>
  <c r="Z42" i="43"/>
  <c r="Y34" i="43"/>
  <c r="S41" i="43"/>
  <c r="R33" i="43"/>
  <c r="U36" i="43"/>
  <c r="Y39" i="43"/>
  <c r="AC42" i="43"/>
  <c r="AB32" i="43"/>
  <c r="W41" i="43"/>
  <c r="Y36" i="43"/>
  <c r="Y43" i="43"/>
  <c r="AA34" i="43"/>
  <c r="R38" i="43"/>
  <c r="V41" i="43"/>
  <c r="Y44" i="43"/>
  <c r="T34" i="43"/>
  <c r="Z36" i="43"/>
  <c r="S39" i="43"/>
  <c r="Y41" i="43"/>
  <c r="R44" i="43"/>
  <c r="Y37" i="43"/>
  <c r="U35" i="43"/>
  <c r="AA37" i="43"/>
  <c r="V39" i="43"/>
  <c r="R43" i="43"/>
  <c r="S32" i="43"/>
  <c r="V35" i="43"/>
  <c r="Z38" i="43"/>
  <c r="Q42" i="43"/>
  <c r="AB44" i="43"/>
  <c r="W33" i="43"/>
  <c r="R35" i="43"/>
  <c r="AA36" i="43"/>
  <c r="V38" i="43"/>
  <c r="Q40" i="43"/>
  <c r="Z41" i="43"/>
  <c r="U43" i="43"/>
  <c r="AC44" i="43"/>
  <c r="T33" i="43"/>
  <c r="AB39" i="43"/>
  <c r="U42" i="43"/>
  <c r="S34" i="43"/>
  <c r="AC49" i="43" s="1" a="1"/>
  <c r="AC49" i="43" s="1"/>
  <c r="W37" i="43"/>
  <c r="AA40" i="43"/>
  <c r="W44" i="43"/>
  <c r="X33" i="43"/>
  <c r="T35" i="43"/>
  <c r="AB36" i="43"/>
  <c r="W38" i="43"/>
  <c r="S40" i="43"/>
  <c r="AA41" i="43"/>
  <c r="V43" i="43"/>
  <c r="R32" i="43"/>
  <c r="U33" i="43"/>
  <c r="X34" i="43"/>
  <c r="AA35" i="43"/>
  <c r="Q37" i="43"/>
  <c r="T38" i="43"/>
  <c r="W39" i="43"/>
  <c r="Z40" i="43"/>
  <c r="AC41" i="43"/>
  <c r="S43" i="43"/>
  <c r="V44" i="43"/>
  <c r="Z33" i="43"/>
  <c r="S36" i="43"/>
  <c r="S51" i="43" s="1" a="1"/>
  <c r="S51" i="43" s="1"/>
  <c r="S38" i="43"/>
  <c r="Y40" i="43"/>
  <c r="AC43" i="43"/>
  <c r="AC32" i="43"/>
  <c r="T36" i="43"/>
  <c r="X39" i="43"/>
  <c r="AA42" i="43"/>
  <c r="T32" i="43"/>
  <c r="AB33" i="43"/>
  <c r="X35" i="43"/>
  <c r="X50" i="43" s="1" a="1"/>
  <c r="X50" i="43" s="1"/>
  <c r="S37" i="43"/>
  <c r="AA38" i="43"/>
  <c r="W40" i="43"/>
  <c r="R42" i="43"/>
  <c r="Z43" i="43"/>
  <c r="Q32" i="43"/>
  <c r="W34" i="43"/>
  <c r="T40" i="43"/>
  <c r="T55" i="43" s="1" a="1"/>
  <c r="T55" i="43" s="1"/>
  <c r="X43" i="43"/>
  <c r="Q35" i="43"/>
  <c r="U38" i="43"/>
  <c r="X41" i="43"/>
  <c r="U32" i="43"/>
  <c r="Q34" i="43"/>
  <c r="Y35" i="43"/>
  <c r="T37" i="43"/>
  <c r="AC38" i="43"/>
  <c r="X40" i="43"/>
  <c r="S42" i="43"/>
  <c r="AB43" i="43"/>
  <c r="V32" i="43"/>
  <c r="Y33" i="43"/>
  <c r="AB34" i="43"/>
  <c r="R36" i="43"/>
  <c r="U37" i="43"/>
  <c r="X38" i="43"/>
  <c r="AA39" i="43"/>
  <c r="Q41" i="43"/>
  <c r="T42" i="43"/>
  <c r="W43" i="43"/>
  <c r="T33" i="42"/>
  <c r="Y36" i="42"/>
  <c r="U40" i="42"/>
  <c r="Y44" i="42"/>
  <c r="Q33" i="42"/>
  <c r="T34" i="42"/>
  <c r="W35" i="42"/>
  <c r="Z36" i="42"/>
  <c r="AC37" i="42"/>
  <c r="S39" i="42"/>
  <c r="V40" i="42"/>
  <c r="Y41" i="42"/>
  <c r="AB42" i="42"/>
  <c r="R44" i="42"/>
  <c r="Y32" i="42"/>
  <c r="U36" i="42"/>
  <c r="Q40" i="42"/>
  <c r="V43" i="42"/>
  <c r="AA32" i="42"/>
  <c r="Q34" i="42"/>
  <c r="T35" i="42"/>
  <c r="W36" i="42"/>
  <c r="Z37" i="42"/>
  <c r="AC38" i="42"/>
  <c r="S40" i="42"/>
  <c r="V41" i="42"/>
  <c r="Y42" i="42"/>
  <c r="AB43" i="42"/>
  <c r="AC32" i="42"/>
  <c r="AC36" i="42"/>
  <c r="Y40" i="42"/>
  <c r="Q44" i="42"/>
  <c r="AB32" i="42"/>
  <c r="R34" i="42"/>
  <c r="U35" i="42"/>
  <c r="X36" i="42"/>
  <c r="AA37" i="42"/>
  <c r="Q39" i="42"/>
  <c r="T40" i="42"/>
  <c r="W41" i="42"/>
  <c r="Z42" i="42"/>
  <c r="AC43" i="42"/>
  <c r="S34" i="42"/>
  <c r="X37" i="42"/>
  <c r="X41" i="42"/>
  <c r="R32" i="42"/>
  <c r="U33" i="42"/>
  <c r="X34" i="42"/>
  <c r="AA35" i="42"/>
  <c r="Q37" i="42"/>
  <c r="T38" i="42"/>
  <c r="W39" i="42"/>
  <c r="Z40" i="42"/>
  <c r="AC41" i="42"/>
  <c r="S43" i="42"/>
  <c r="V44" i="42"/>
  <c r="X33" i="42"/>
  <c r="T37" i="42"/>
  <c r="AC40" i="42"/>
  <c r="U44" i="42"/>
  <c r="R33" i="42"/>
  <c r="U34" i="42"/>
  <c r="X35" i="42"/>
  <c r="AA36" i="42"/>
  <c r="Q38" i="42"/>
  <c r="T39" i="42"/>
  <c r="W40" i="42"/>
  <c r="Z41" i="42"/>
  <c r="AC42" i="42"/>
  <c r="S44" i="42"/>
  <c r="AB33" i="42"/>
  <c r="AB37" i="42"/>
  <c r="T41" i="42"/>
  <c r="AC44" i="42"/>
  <c r="S33" i="42"/>
  <c r="V34" i="42"/>
  <c r="Y35" i="42"/>
  <c r="AB36" i="42"/>
  <c r="R38" i="42"/>
  <c r="U39" i="42"/>
  <c r="X40" i="42"/>
  <c r="AA41" i="42"/>
  <c r="Q43" i="42"/>
  <c r="T44" i="42"/>
  <c r="R35" i="42"/>
  <c r="R50" i="42" s="1" a="1"/>
  <c r="R50" i="42" s="1"/>
  <c r="W38" i="42"/>
  <c r="AA42" i="42"/>
  <c r="V32" i="42"/>
  <c r="Y33" i="42"/>
  <c r="AB34" i="42"/>
  <c r="R36" i="42"/>
  <c r="U37" i="42"/>
  <c r="X38" i="42"/>
  <c r="AA39" i="42"/>
  <c r="Q41" i="42"/>
  <c r="T42" i="42"/>
  <c r="W43" i="42"/>
  <c r="Z44" i="42"/>
  <c r="W34" i="42"/>
  <c r="S38" i="42"/>
  <c r="AB41" i="42"/>
  <c r="S32" i="42"/>
  <c r="V33" i="42"/>
  <c r="Y34" i="42"/>
  <c r="AB35" i="42"/>
  <c r="R37" i="42"/>
  <c r="U38" i="42"/>
  <c r="X39" i="42"/>
  <c r="AA40" i="42"/>
  <c r="Q42" i="42"/>
  <c r="T43" i="42"/>
  <c r="W44" i="42"/>
  <c r="AA34" i="42"/>
  <c r="AA38" i="42"/>
  <c r="S42" i="42"/>
  <c r="S57" i="42" s="1" a="1"/>
  <c r="S57" i="42" s="1"/>
  <c r="T32" i="42"/>
  <c r="W33" i="42"/>
  <c r="Z34" i="42"/>
  <c r="AC35" i="42"/>
  <c r="S37" i="42"/>
  <c r="V38" i="42"/>
  <c r="Y39" i="42"/>
  <c r="AB40" i="42"/>
  <c r="R42" i="42"/>
  <c r="U43" i="42"/>
  <c r="X44" i="42"/>
  <c r="U32" i="42"/>
  <c r="Q36" i="42"/>
  <c r="V39" i="42"/>
  <c r="Z43" i="42"/>
  <c r="Z32" i="42"/>
  <c r="AC33" i="42"/>
  <c r="S35" i="42"/>
  <c r="V36" i="42"/>
  <c r="Y37" i="42"/>
  <c r="AB38" i="42"/>
  <c r="R40" i="42"/>
  <c r="U41" i="42"/>
  <c r="X42" i="42"/>
  <c r="AA43" i="42"/>
  <c r="Q32" i="42"/>
  <c r="V35" i="42"/>
  <c r="R39" i="42"/>
  <c r="W42" i="42"/>
  <c r="W32" i="42"/>
  <c r="Z33" i="42"/>
  <c r="AC34" i="42"/>
  <c r="S36" i="42"/>
  <c r="V37" i="42"/>
  <c r="Y38" i="42"/>
  <c r="AB39" i="42"/>
  <c r="R41" i="42"/>
  <c r="U42" i="42"/>
  <c r="X43" i="42"/>
  <c r="AA44" i="42"/>
  <c r="Z35" i="42"/>
  <c r="Z39" i="42"/>
  <c r="R43" i="42"/>
  <c r="X32" i="42"/>
  <c r="AA33" i="42"/>
  <c r="Q35" i="42"/>
  <c r="Q50" i="42" s="1" a="1"/>
  <c r="Q50" i="42" s="1"/>
  <c r="T36" i="42"/>
  <c r="W37" i="42"/>
  <c r="Z38" i="42"/>
  <c r="AC39" i="42"/>
  <c r="S41" i="42"/>
  <c r="V42" i="42"/>
  <c r="Y43" i="42"/>
  <c r="AC37" i="39"/>
  <c r="AA33" i="39"/>
  <c r="U34" i="39"/>
  <c r="T40" i="39"/>
  <c r="Q43" i="39"/>
  <c r="V36" i="39"/>
  <c r="U35" i="39"/>
  <c r="Y35" i="39"/>
  <c r="U37" i="39"/>
  <c r="Q35" i="39"/>
  <c r="X35" i="39"/>
  <c r="AB42" i="39"/>
  <c r="Q36" i="39"/>
  <c r="S37" i="39"/>
  <c r="U38" i="39"/>
  <c r="U36" i="39"/>
  <c r="U41" i="39"/>
  <c r="Q32" i="39"/>
  <c r="Q40" i="39"/>
  <c r="T42" i="39"/>
  <c r="V35" i="39"/>
  <c r="V38" i="39"/>
  <c r="Q33" i="39"/>
  <c r="Y43" i="39"/>
  <c r="S44" i="39"/>
  <c r="U42" i="39"/>
  <c r="X36" i="39"/>
  <c r="X51" i="39" s="1" a="1"/>
  <c r="X51" i="39" s="1"/>
  <c r="U44" i="39"/>
  <c r="V44" i="39"/>
  <c r="Q42" i="39"/>
  <c r="V32" i="39"/>
  <c r="AB44" i="39"/>
  <c r="AC40" i="39"/>
  <c r="S40" i="39"/>
  <c r="AB36" i="39"/>
  <c r="U33" i="39"/>
  <c r="X43" i="39"/>
  <c r="S38" i="39"/>
  <c r="Q37" i="39"/>
  <c r="S36" i="39"/>
  <c r="S51" i="39" s="1" a="1"/>
  <c r="S51" i="39" s="1"/>
  <c r="U40" i="39"/>
  <c r="V41" i="39"/>
  <c r="Y41" i="39"/>
  <c r="Y44" i="39"/>
  <c r="AA34" i="39"/>
  <c r="AA32" i="39"/>
  <c r="Y39" i="39"/>
  <c r="Y54" i="39" s="1" a="1"/>
  <c r="Y54" i="39" s="1"/>
  <c r="R43" i="39"/>
  <c r="T43" i="39"/>
  <c r="S43" i="39"/>
  <c r="AB33" i="39"/>
  <c r="W41" i="39"/>
  <c r="R40" i="39"/>
  <c r="AB41" i="39"/>
  <c r="U39" i="39"/>
  <c r="AC41" i="39"/>
  <c r="X37" i="39"/>
  <c r="R34" i="39"/>
  <c r="Q41" i="39"/>
  <c r="Q56" i="39" s="1" a="1"/>
  <c r="Q56" i="39" s="1"/>
  <c r="R39" i="39"/>
  <c r="Q38" i="39"/>
  <c r="V40" i="39"/>
  <c r="W35" i="39"/>
  <c r="V43" i="39"/>
  <c r="W38" i="39"/>
  <c r="X33" i="39"/>
  <c r="Z38" i="39"/>
  <c r="T35" i="39"/>
  <c r="T32" i="39"/>
  <c r="R42" i="39"/>
  <c r="T39" i="39"/>
  <c r="T54" i="39" s="1" a="1"/>
  <c r="T54" i="39" s="1"/>
  <c r="T33" i="39"/>
  <c r="T44" i="39"/>
  <c r="AB32" i="39"/>
  <c r="AC34" i="39"/>
  <c r="W39" i="39"/>
  <c r="T41" i="39"/>
  <c r="S33" i="39"/>
  <c r="X39" i="39"/>
  <c r="X58" i="39" s="1" a="1"/>
  <c r="X58" i="39" s="1"/>
  <c r="Z33" i="39"/>
  <c r="AA43" i="39"/>
  <c r="AB38" i="39"/>
  <c r="AC33" i="39"/>
  <c r="Y40" i="39"/>
  <c r="U55" i="39" s="1" a="1"/>
  <c r="U55" i="39" s="1"/>
  <c r="Z35" i="39"/>
  <c r="V33" i="39"/>
  <c r="V37" i="39"/>
  <c r="Z40" i="39"/>
  <c r="R32" i="39"/>
  <c r="R35" i="39"/>
  <c r="S32" i="39"/>
  <c r="Q39" i="39"/>
  <c r="Z44" i="39"/>
  <c r="AA39" i="39"/>
  <c r="AB34" i="39"/>
  <c r="AA42" i="39"/>
  <c r="U57" i="39" s="1" a="1"/>
  <c r="U57" i="39" s="1"/>
  <c r="AB37" i="39"/>
  <c r="AC32" i="39"/>
  <c r="AC39" i="39"/>
  <c r="AC54" i="39" s="1" a="1"/>
  <c r="AC54" i="39" s="1"/>
  <c r="W36" i="39"/>
  <c r="W51" i="39" s="1" a="1"/>
  <c r="W51" i="39" s="1"/>
  <c r="W33" i="39"/>
  <c r="U43" i="39"/>
  <c r="W40" i="39"/>
  <c r="Z36" i="39"/>
  <c r="Z39" i="39"/>
  <c r="T36" i="39"/>
  <c r="Y42" i="39"/>
  <c r="AA36" i="39"/>
  <c r="AA51" i="39" s="1" a="1"/>
  <c r="AA51" i="39" s="1"/>
  <c r="AA41" i="39"/>
  <c r="W32" i="39"/>
  <c r="Z43" i="39"/>
  <c r="Y34" i="39"/>
  <c r="AC44" i="39"/>
  <c r="S35" i="39"/>
  <c r="AC36" i="39"/>
  <c r="Z42" i="39"/>
  <c r="X34" i="39"/>
  <c r="X40" i="39"/>
  <c r="R41" i="39"/>
  <c r="R36" i="39"/>
  <c r="Q44" i="39"/>
  <c r="S34" i="39"/>
  <c r="W37" i="39"/>
  <c r="W52" i="39" s="1" a="1"/>
  <c r="W52" i="39" s="1"/>
  <c r="Q34" i="39"/>
  <c r="AB43" i="39"/>
  <c r="Y58" i="39" s="1" a="1"/>
  <c r="Y58" i="39" s="1"/>
  <c r="AB40" i="39"/>
  <c r="S39" i="39"/>
  <c r="T34" i="39"/>
  <c r="S42" i="39"/>
  <c r="T37" i="39"/>
  <c r="U32" i="39"/>
  <c r="S41" i="39"/>
  <c r="Z37" i="39"/>
  <c r="Z34" i="39"/>
  <c r="X44" i="39"/>
  <c r="X59" i="39" s="1" a="1"/>
  <c r="X59" i="39" s="1"/>
  <c r="Z41" i="39"/>
  <c r="W56" i="39" s="1" a="1"/>
  <c r="W56" i="39" s="1"/>
  <c r="V34" i="39"/>
  <c r="AB35" i="39"/>
  <c r="AA37" i="39"/>
  <c r="AB39" i="39"/>
  <c r="AA35" i="39"/>
  <c r="AA38" i="39"/>
  <c r="R38" i="39"/>
  <c r="W44" i="39"/>
  <c r="W59" i="39" s="1" a="1"/>
  <c r="W59" i="39" s="1"/>
  <c r="Y38" i="39"/>
  <c r="X42" i="39"/>
  <c r="Y37" i="39"/>
  <c r="Z32" i="39"/>
  <c r="Z47" i="39" s="1" a="1"/>
  <c r="Z47" i="39" s="1"/>
  <c r="V39" i="39"/>
  <c r="W34" i="39"/>
  <c r="AA40" i="39"/>
  <c r="AA44" i="39"/>
  <c r="AA59" i="39" s="1" a="1"/>
  <c r="AA59" i="39" s="1"/>
  <c r="T38" i="39"/>
  <c r="W42" i="39"/>
  <c r="Y32" i="39"/>
  <c r="R37" i="39"/>
  <c r="AC43" i="39"/>
  <c r="AC58" i="39" s="1" a="1"/>
  <c r="AC58" i="39" s="1"/>
  <c r="W43" i="39"/>
  <c r="X38" i="39"/>
  <c r="X53" i="39" s="1" a="1"/>
  <c r="X53" i="39" s="1"/>
  <c r="Y33" i="39"/>
  <c r="X41" i="39"/>
  <c r="Y36" i="39"/>
  <c r="X32" i="39"/>
  <c r="X47" i="39" s="1" a="1"/>
  <c r="X47" i="39" s="1"/>
  <c r="V42" i="39"/>
  <c r="AC38" i="39"/>
  <c r="AC35" i="39"/>
  <c r="R33" i="39"/>
  <c r="R49" i="39" s="1" a="1"/>
  <c r="R49" i="39" s="1"/>
  <c r="AC42" i="39"/>
  <c r="AC47" i="39" a="1"/>
  <c r="AC47" i="39" s="1"/>
  <c r="X52" i="39" a="1"/>
  <c r="X52" i="39" s="1"/>
  <c r="Q59" i="39" a="1"/>
  <c r="Q59" i="39" s="1"/>
  <c r="Q57" i="39" a="1"/>
  <c r="Q57" i="39" s="1"/>
  <c r="AC53" i="39" a="1"/>
  <c r="AC53" i="39" s="1"/>
  <c r="AC57" i="39" a="1"/>
  <c r="AC57" i="39" s="1"/>
  <c r="D3" i="39"/>
  <c r="E4" i="39" s="1"/>
  <c r="F5" i="39" s="1"/>
  <c r="G6" i="39" s="1"/>
  <c r="H7" i="39" s="1"/>
  <c r="I8" i="39" s="1"/>
  <c r="J9" i="39" s="1"/>
  <c r="K10" i="39" s="1"/>
  <c r="L11" i="39" s="1"/>
  <c r="M12" i="39" s="1"/>
  <c r="N13" i="39" s="1"/>
  <c r="E3" i="39"/>
  <c r="F3" i="39"/>
  <c r="G3" i="39"/>
  <c r="H4" i="39" s="1"/>
  <c r="I5" i="39" s="1"/>
  <c r="J6" i="39" s="1"/>
  <c r="K7" i="39" s="1"/>
  <c r="L8" i="39" s="1"/>
  <c r="M9" i="39" s="1"/>
  <c r="N10" i="39" s="1"/>
  <c r="H3" i="39"/>
  <c r="I4" i="39" s="1"/>
  <c r="J5" i="39" s="1"/>
  <c r="K6" i="39" s="1"/>
  <c r="L7" i="39" s="1"/>
  <c r="M8" i="39" s="1"/>
  <c r="N9" i="39" s="1"/>
  <c r="I3" i="39"/>
  <c r="J3" i="39"/>
  <c r="K4" i="39" s="1"/>
  <c r="L5" i="39" s="1"/>
  <c r="M6" i="39" s="1"/>
  <c r="N7" i="39" s="1"/>
  <c r="K3" i="39"/>
  <c r="L4" i="39" s="1"/>
  <c r="M5" i="39" s="1"/>
  <c r="N6" i="39" s="1"/>
  <c r="L3" i="39"/>
  <c r="M3" i="39"/>
  <c r="N3" i="39"/>
  <c r="F4" i="39"/>
  <c r="G5" i="39" s="1"/>
  <c r="H6" i="39" s="1"/>
  <c r="I7" i="39" s="1"/>
  <c r="J8" i="39" s="1"/>
  <c r="K9" i="39" s="1"/>
  <c r="L10" i="39" s="1"/>
  <c r="M11" i="39" s="1"/>
  <c r="N12" i="39" s="1"/>
  <c r="G4" i="39"/>
  <c r="J4" i="39"/>
  <c r="K5" i="39" s="1"/>
  <c r="L6" i="39" s="1"/>
  <c r="M7" i="39" s="1"/>
  <c r="N8" i="39" s="1"/>
  <c r="M4" i="39"/>
  <c r="N5" i="39" s="1"/>
  <c r="N4" i="39"/>
  <c r="H5" i="39"/>
  <c r="I6" i="39" s="1"/>
  <c r="J7" i="39" s="1"/>
  <c r="K8" i="39" s="1"/>
  <c r="L9" i="39" s="1"/>
  <c r="M10" i="39" s="1"/>
  <c r="N11" i="39" s="1"/>
  <c r="C4" i="39"/>
  <c r="D5" i="39" s="1"/>
  <c r="E6" i="39" s="1"/>
  <c r="F7" i="39" s="1"/>
  <c r="G8" i="39" s="1"/>
  <c r="H9" i="39" s="1"/>
  <c r="I10" i="39" s="1"/>
  <c r="J11" i="39" s="1"/>
  <c r="K12" i="39" s="1"/>
  <c r="L13" i="39" s="1"/>
  <c r="M14" i="39" s="1"/>
  <c r="N15" i="39" s="1"/>
  <c r="C5" i="39"/>
  <c r="D6" i="39" s="1"/>
  <c r="E7" i="39" s="1"/>
  <c r="F8" i="39" s="1"/>
  <c r="G9" i="39" s="1"/>
  <c r="H10" i="39" s="1"/>
  <c r="I11" i="39" s="1"/>
  <c r="J12" i="39" s="1"/>
  <c r="K13" i="39" s="1"/>
  <c r="L14" i="39" s="1"/>
  <c r="M15" i="39" s="1"/>
  <c r="N16" i="39" s="1"/>
  <c r="C6" i="39"/>
  <c r="D7" i="39" s="1"/>
  <c r="E8" i="39" s="1"/>
  <c r="F9" i="39" s="1"/>
  <c r="G10" i="39" s="1"/>
  <c r="H11" i="39" s="1"/>
  <c r="I12" i="39" s="1"/>
  <c r="J13" i="39" s="1"/>
  <c r="K14" i="39" s="1"/>
  <c r="L15" i="39" s="1"/>
  <c r="M16" i="39" s="1"/>
  <c r="N17" i="39" s="1"/>
  <c r="C7" i="39"/>
  <c r="D8" i="39" s="1"/>
  <c r="E9" i="39" s="1"/>
  <c r="F10" i="39" s="1"/>
  <c r="G11" i="39" s="1"/>
  <c r="H12" i="39" s="1"/>
  <c r="I13" i="39" s="1"/>
  <c r="J14" i="39" s="1"/>
  <c r="K15" i="39" s="1"/>
  <c r="L16" i="39" s="1"/>
  <c r="M17" i="39" s="1"/>
  <c r="N18" i="39" s="1"/>
  <c r="C8" i="39"/>
  <c r="D9" i="39" s="1"/>
  <c r="E10" i="39" s="1"/>
  <c r="F11" i="39" s="1"/>
  <c r="G12" i="39" s="1"/>
  <c r="H13" i="39" s="1"/>
  <c r="I14" i="39" s="1"/>
  <c r="J15" i="39" s="1"/>
  <c r="K16" i="39" s="1"/>
  <c r="L17" i="39" s="1"/>
  <c r="M18" i="39" s="1"/>
  <c r="N19" i="39" s="1"/>
  <c r="C9" i="39"/>
  <c r="D10" i="39" s="1"/>
  <c r="E11" i="39" s="1"/>
  <c r="F12" i="39" s="1"/>
  <c r="G13" i="39" s="1"/>
  <c r="H14" i="39" s="1"/>
  <c r="I15" i="39" s="1"/>
  <c r="J16" i="39" s="1"/>
  <c r="K17" i="39" s="1"/>
  <c r="L18" i="39" s="1"/>
  <c r="M19" i="39" s="1"/>
  <c r="N20" i="39" s="1"/>
  <c r="C10" i="39"/>
  <c r="D11" i="39" s="1"/>
  <c r="E12" i="39" s="1"/>
  <c r="F13" i="39" s="1"/>
  <c r="G14" i="39" s="1"/>
  <c r="H15" i="39" s="1"/>
  <c r="I16" i="39" s="1"/>
  <c r="J17" i="39" s="1"/>
  <c r="K18" i="39" s="1"/>
  <c r="L19" i="39" s="1"/>
  <c r="M20" i="39" s="1"/>
  <c r="N21" i="39" s="1"/>
  <c r="C11" i="39"/>
  <c r="D12" i="39" s="1"/>
  <c r="E13" i="39" s="1"/>
  <c r="F14" i="39" s="1"/>
  <c r="G15" i="39" s="1"/>
  <c r="H16" i="39" s="1"/>
  <c r="I17" i="39" s="1"/>
  <c r="J18" i="39" s="1"/>
  <c r="K19" i="39" s="1"/>
  <c r="L20" i="39" s="1"/>
  <c r="M21" i="39" s="1"/>
  <c r="N22" i="39" s="1"/>
  <c r="C12" i="39"/>
  <c r="D13" i="39" s="1"/>
  <c r="E14" i="39" s="1"/>
  <c r="F15" i="39" s="1"/>
  <c r="G16" i="39" s="1"/>
  <c r="H17" i="39" s="1"/>
  <c r="I18" i="39" s="1"/>
  <c r="J19" i="39" s="1"/>
  <c r="K20" i="39" s="1"/>
  <c r="L21" i="39" s="1"/>
  <c r="M22" i="39" s="1"/>
  <c r="N23" i="39" s="1"/>
  <c r="C13" i="39"/>
  <c r="D14" i="39" s="1"/>
  <c r="E15" i="39" s="1"/>
  <c r="F16" i="39" s="1"/>
  <c r="G17" i="39" s="1"/>
  <c r="H18" i="39" s="1"/>
  <c r="I19" i="39" s="1"/>
  <c r="J20" i="39" s="1"/>
  <c r="K21" i="39" s="1"/>
  <c r="L22" i="39" s="1"/>
  <c r="M23" i="39" s="1"/>
  <c r="N24" i="39" s="1"/>
  <c r="C14" i="39"/>
  <c r="D15" i="39" s="1"/>
  <c r="E16" i="39" s="1"/>
  <c r="F17" i="39" s="1"/>
  <c r="G18" i="39" s="1"/>
  <c r="H19" i="39" s="1"/>
  <c r="I20" i="39" s="1"/>
  <c r="J21" i="39" s="1"/>
  <c r="K22" i="39" s="1"/>
  <c r="L23" i="39" s="1"/>
  <c r="M24" i="39" s="1"/>
  <c r="N25" i="39" s="1"/>
  <c r="C15" i="39"/>
  <c r="D16" i="39" s="1"/>
  <c r="E17" i="39" s="1"/>
  <c r="F18" i="39" s="1"/>
  <c r="G19" i="39" s="1"/>
  <c r="H20" i="39" s="1"/>
  <c r="I21" i="39" s="1"/>
  <c r="J22" i="39" s="1"/>
  <c r="K23" i="39" s="1"/>
  <c r="L24" i="39" s="1"/>
  <c r="M25" i="39" s="1"/>
  <c r="N26" i="39" s="1"/>
  <c r="C16" i="39"/>
  <c r="D17" i="39" s="1"/>
  <c r="E18" i="39" s="1"/>
  <c r="F19" i="39" s="1"/>
  <c r="G20" i="39" s="1"/>
  <c r="H21" i="39" s="1"/>
  <c r="I22" i="39" s="1"/>
  <c r="J23" i="39" s="1"/>
  <c r="K24" i="39" s="1"/>
  <c r="L25" i="39" s="1"/>
  <c r="M26" i="39" s="1"/>
  <c r="N27" i="39" s="1"/>
  <c r="C17" i="39"/>
  <c r="D18" i="39" s="1"/>
  <c r="E19" i="39" s="1"/>
  <c r="F20" i="39" s="1"/>
  <c r="G21" i="39" s="1"/>
  <c r="H22" i="39" s="1"/>
  <c r="I23" i="39" s="1"/>
  <c r="J24" i="39" s="1"/>
  <c r="K25" i="39" s="1"/>
  <c r="L26" i="39" s="1"/>
  <c r="M27" i="39" s="1"/>
  <c r="N28" i="39" s="1"/>
  <c r="C18" i="39"/>
  <c r="D19" i="39" s="1"/>
  <c r="E20" i="39" s="1"/>
  <c r="F21" i="39" s="1"/>
  <c r="G22" i="39" s="1"/>
  <c r="H23" i="39" s="1"/>
  <c r="I24" i="39" s="1"/>
  <c r="J25" i="39" s="1"/>
  <c r="K26" i="39" s="1"/>
  <c r="L27" i="39" s="1"/>
  <c r="M28" i="39" s="1"/>
  <c r="N29" i="39" s="1"/>
  <c r="C19" i="39"/>
  <c r="D20" i="39" s="1"/>
  <c r="E21" i="39" s="1"/>
  <c r="F22" i="39" s="1"/>
  <c r="G23" i="39" s="1"/>
  <c r="H24" i="39" s="1"/>
  <c r="I25" i="39" s="1"/>
  <c r="J26" i="39" s="1"/>
  <c r="K27" i="39" s="1"/>
  <c r="L28" i="39" s="1"/>
  <c r="M29" i="39" s="1"/>
  <c r="N30" i="39" s="1"/>
  <c r="C20" i="39"/>
  <c r="D21" i="39" s="1"/>
  <c r="E22" i="39" s="1"/>
  <c r="F23" i="39" s="1"/>
  <c r="G24" i="39" s="1"/>
  <c r="H25" i="39" s="1"/>
  <c r="I26" i="39" s="1"/>
  <c r="J27" i="39" s="1"/>
  <c r="K28" i="39" s="1"/>
  <c r="L29" i="39" s="1"/>
  <c r="M30" i="39" s="1"/>
  <c r="N31" i="39" s="1"/>
  <c r="C21" i="39"/>
  <c r="D22" i="39" s="1"/>
  <c r="E23" i="39" s="1"/>
  <c r="F24" i="39" s="1"/>
  <c r="G25" i="39" s="1"/>
  <c r="H26" i="39" s="1"/>
  <c r="I27" i="39" s="1"/>
  <c r="J28" i="39" s="1"/>
  <c r="K29" i="39" s="1"/>
  <c r="L30" i="39" s="1"/>
  <c r="M31" i="39" s="1"/>
  <c r="N32" i="39" s="1"/>
  <c r="C22" i="39"/>
  <c r="D23" i="39" s="1"/>
  <c r="E24" i="39" s="1"/>
  <c r="F25" i="39" s="1"/>
  <c r="G26" i="39" s="1"/>
  <c r="H27" i="39" s="1"/>
  <c r="I28" i="39" s="1"/>
  <c r="J29" i="39" s="1"/>
  <c r="K30" i="39" s="1"/>
  <c r="L31" i="39" s="1"/>
  <c r="M32" i="39" s="1"/>
  <c r="N33" i="39" s="1"/>
  <c r="C23" i="39"/>
  <c r="D24" i="39" s="1"/>
  <c r="E25" i="39" s="1"/>
  <c r="F26" i="39" s="1"/>
  <c r="G27" i="39" s="1"/>
  <c r="H28" i="39" s="1"/>
  <c r="I29" i="39" s="1"/>
  <c r="J30" i="39" s="1"/>
  <c r="K31" i="39" s="1"/>
  <c r="L32" i="39" s="1"/>
  <c r="M33" i="39" s="1"/>
  <c r="N34" i="39" s="1"/>
  <c r="C24" i="39"/>
  <c r="D25" i="39" s="1"/>
  <c r="E26" i="39" s="1"/>
  <c r="F27" i="39" s="1"/>
  <c r="G28" i="39" s="1"/>
  <c r="H29" i="39" s="1"/>
  <c r="I30" i="39" s="1"/>
  <c r="J31" i="39" s="1"/>
  <c r="K32" i="39" s="1"/>
  <c r="L33" i="39" s="1"/>
  <c r="M34" i="39" s="1"/>
  <c r="N35" i="39" s="1"/>
  <c r="C25" i="39"/>
  <c r="D26" i="39" s="1"/>
  <c r="E27" i="39" s="1"/>
  <c r="F28" i="39" s="1"/>
  <c r="G29" i="39" s="1"/>
  <c r="H30" i="39" s="1"/>
  <c r="I31" i="39" s="1"/>
  <c r="J32" i="39" s="1"/>
  <c r="K33" i="39" s="1"/>
  <c r="L34" i="39" s="1"/>
  <c r="M35" i="39" s="1"/>
  <c r="N36" i="39" s="1"/>
  <c r="C26" i="39"/>
  <c r="D27" i="39" s="1"/>
  <c r="E28" i="39" s="1"/>
  <c r="F29" i="39" s="1"/>
  <c r="G30" i="39" s="1"/>
  <c r="H31" i="39" s="1"/>
  <c r="I32" i="39" s="1"/>
  <c r="J33" i="39" s="1"/>
  <c r="K34" i="39" s="1"/>
  <c r="L35" i="39" s="1"/>
  <c r="M36" i="39" s="1"/>
  <c r="N37" i="39" s="1"/>
  <c r="C27" i="39"/>
  <c r="D28" i="39" s="1"/>
  <c r="E29" i="39" s="1"/>
  <c r="F30" i="39" s="1"/>
  <c r="G31" i="39" s="1"/>
  <c r="H32" i="39" s="1"/>
  <c r="I33" i="39" s="1"/>
  <c r="J34" i="39" s="1"/>
  <c r="K35" i="39" s="1"/>
  <c r="L36" i="39" s="1"/>
  <c r="M37" i="39" s="1"/>
  <c r="N38" i="39" s="1"/>
  <c r="C28" i="39"/>
  <c r="D29" i="39" s="1"/>
  <c r="E30" i="39" s="1"/>
  <c r="F31" i="39" s="1"/>
  <c r="G32" i="39" s="1"/>
  <c r="H33" i="39" s="1"/>
  <c r="I34" i="39" s="1"/>
  <c r="J35" i="39" s="1"/>
  <c r="K36" i="39" s="1"/>
  <c r="L37" i="39" s="1"/>
  <c r="M38" i="39" s="1"/>
  <c r="N39" i="39" s="1"/>
  <c r="C29" i="39"/>
  <c r="D30" i="39" s="1"/>
  <c r="E31" i="39" s="1"/>
  <c r="F32" i="39" s="1"/>
  <c r="G33" i="39" s="1"/>
  <c r="H34" i="39" s="1"/>
  <c r="I35" i="39" s="1"/>
  <c r="J36" i="39" s="1"/>
  <c r="K37" i="39" s="1"/>
  <c r="L38" i="39" s="1"/>
  <c r="M39" i="39" s="1"/>
  <c r="N40" i="39" s="1"/>
  <c r="C30" i="39"/>
  <c r="D31" i="39" s="1"/>
  <c r="E32" i="39" s="1"/>
  <c r="F33" i="39" s="1"/>
  <c r="G34" i="39" s="1"/>
  <c r="H35" i="39" s="1"/>
  <c r="I36" i="39" s="1"/>
  <c r="J37" i="39" s="1"/>
  <c r="K38" i="39" s="1"/>
  <c r="L39" i="39" s="1"/>
  <c r="M40" i="39" s="1"/>
  <c r="N41" i="39" s="1"/>
  <c r="C31" i="39"/>
  <c r="D32" i="39" s="1"/>
  <c r="E33" i="39" s="1"/>
  <c r="F34" i="39" s="1"/>
  <c r="G35" i="39" s="1"/>
  <c r="H36" i="39" s="1"/>
  <c r="I37" i="39" s="1"/>
  <c r="J38" i="39" s="1"/>
  <c r="K39" i="39" s="1"/>
  <c r="L40" i="39" s="1"/>
  <c r="M41" i="39" s="1"/>
  <c r="N42" i="39" s="1"/>
  <c r="C32" i="39"/>
  <c r="D33" i="39" s="1"/>
  <c r="E34" i="39" s="1"/>
  <c r="F35" i="39" s="1"/>
  <c r="G36" i="39" s="1"/>
  <c r="H37" i="39" s="1"/>
  <c r="I38" i="39" s="1"/>
  <c r="J39" i="39" s="1"/>
  <c r="K40" i="39" s="1"/>
  <c r="L41" i="39" s="1"/>
  <c r="M42" i="39" s="1"/>
  <c r="N43" i="39" s="1"/>
  <c r="C33" i="39"/>
  <c r="D34" i="39" s="1"/>
  <c r="E35" i="39" s="1"/>
  <c r="F36" i="39" s="1"/>
  <c r="G37" i="39" s="1"/>
  <c r="H38" i="39" s="1"/>
  <c r="I39" i="39" s="1"/>
  <c r="J40" i="39" s="1"/>
  <c r="K41" i="39" s="1"/>
  <c r="L42" i="39" s="1"/>
  <c r="M43" i="39" s="1"/>
  <c r="N44" i="39" s="1"/>
  <c r="C34" i="39"/>
  <c r="D35" i="39" s="1"/>
  <c r="E36" i="39" s="1"/>
  <c r="F37" i="39" s="1"/>
  <c r="G38" i="39" s="1"/>
  <c r="H39" i="39" s="1"/>
  <c r="I40" i="39" s="1"/>
  <c r="J41" i="39" s="1"/>
  <c r="K42" i="39" s="1"/>
  <c r="L43" i="39" s="1"/>
  <c r="M44" i="39" s="1"/>
  <c r="N45" i="39" s="1"/>
  <c r="C35" i="39"/>
  <c r="D36" i="39" s="1"/>
  <c r="E37" i="39" s="1"/>
  <c r="F38" i="39" s="1"/>
  <c r="G39" i="39" s="1"/>
  <c r="H40" i="39" s="1"/>
  <c r="I41" i="39" s="1"/>
  <c r="J42" i="39" s="1"/>
  <c r="K43" i="39" s="1"/>
  <c r="L44" i="39" s="1"/>
  <c r="M45" i="39" s="1"/>
  <c r="N46" i="39" s="1"/>
  <c r="C36" i="39"/>
  <c r="D37" i="39" s="1"/>
  <c r="E38" i="39" s="1"/>
  <c r="F39" i="39" s="1"/>
  <c r="G40" i="39" s="1"/>
  <c r="H41" i="39" s="1"/>
  <c r="I42" i="39" s="1"/>
  <c r="J43" i="39" s="1"/>
  <c r="K44" i="39" s="1"/>
  <c r="L45" i="39" s="1"/>
  <c r="M46" i="39" s="1"/>
  <c r="N47" i="39" s="1"/>
  <c r="C37" i="39"/>
  <c r="D38" i="39" s="1"/>
  <c r="E39" i="39" s="1"/>
  <c r="F40" i="39" s="1"/>
  <c r="G41" i="39" s="1"/>
  <c r="H42" i="39" s="1"/>
  <c r="I43" i="39" s="1"/>
  <c r="J44" i="39" s="1"/>
  <c r="K45" i="39" s="1"/>
  <c r="L46" i="39" s="1"/>
  <c r="M47" i="39" s="1"/>
  <c r="N48" i="39" s="1"/>
  <c r="C38" i="39"/>
  <c r="D39" i="39" s="1"/>
  <c r="E40" i="39" s="1"/>
  <c r="F41" i="39" s="1"/>
  <c r="G42" i="39" s="1"/>
  <c r="H43" i="39" s="1"/>
  <c r="I44" i="39" s="1"/>
  <c r="J45" i="39" s="1"/>
  <c r="K46" i="39" s="1"/>
  <c r="L47" i="39" s="1"/>
  <c r="M48" i="39" s="1"/>
  <c r="N49" i="39" s="1"/>
  <c r="C39" i="39"/>
  <c r="D40" i="39" s="1"/>
  <c r="E41" i="39" s="1"/>
  <c r="F42" i="39" s="1"/>
  <c r="G43" i="39" s="1"/>
  <c r="H44" i="39" s="1"/>
  <c r="I45" i="39" s="1"/>
  <c r="J46" i="39" s="1"/>
  <c r="K47" i="39" s="1"/>
  <c r="L48" i="39" s="1"/>
  <c r="M49" i="39" s="1"/>
  <c r="N50" i="39" s="1"/>
  <c r="C40" i="39"/>
  <c r="D41" i="39" s="1"/>
  <c r="E42" i="39" s="1"/>
  <c r="F43" i="39" s="1"/>
  <c r="G44" i="39" s="1"/>
  <c r="H45" i="39" s="1"/>
  <c r="I46" i="39" s="1"/>
  <c r="J47" i="39" s="1"/>
  <c r="K48" i="39" s="1"/>
  <c r="L49" i="39" s="1"/>
  <c r="M50" i="39" s="1"/>
  <c r="N51" i="39" s="1"/>
  <c r="C41" i="39"/>
  <c r="D42" i="39" s="1"/>
  <c r="E43" i="39" s="1"/>
  <c r="F44" i="39" s="1"/>
  <c r="G45" i="39" s="1"/>
  <c r="H46" i="39" s="1"/>
  <c r="I47" i="39" s="1"/>
  <c r="J48" i="39" s="1"/>
  <c r="K49" i="39" s="1"/>
  <c r="L50" i="39" s="1"/>
  <c r="M51" i="39" s="1"/>
  <c r="N52" i="39" s="1"/>
  <c r="C42" i="39"/>
  <c r="D43" i="39" s="1"/>
  <c r="E44" i="39" s="1"/>
  <c r="F45" i="39" s="1"/>
  <c r="G46" i="39" s="1"/>
  <c r="H47" i="39" s="1"/>
  <c r="I48" i="39" s="1"/>
  <c r="J49" i="39" s="1"/>
  <c r="K50" i="39" s="1"/>
  <c r="L51" i="39" s="1"/>
  <c r="M52" i="39" s="1"/>
  <c r="N53" i="39" s="1"/>
  <c r="C43" i="39"/>
  <c r="D44" i="39" s="1"/>
  <c r="E45" i="39" s="1"/>
  <c r="F46" i="39" s="1"/>
  <c r="G47" i="39" s="1"/>
  <c r="H48" i="39" s="1"/>
  <c r="I49" i="39" s="1"/>
  <c r="J50" i="39" s="1"/>
  <c r="K51" i="39" s="1"/>
  <c r="L52" i="39" s="1"/>
  <c r="M53" i="39" s="1"/>
  <c r="N54" i="39" s="1"/>
  <c r="C44" i="39"/>
  <c r="D45" i="39" s="1"/>
  <c r="E46" i="39" s="1"/>
  <c r="F47" i="39" s="1"/>
  <c r="G48" i="39" s="1"/>
  <c r="H49" i="39" s="1"/>
  <c r="I50" i="39" s="1"/>
  <c r="J51" i="39" s="1"/>
  <c r="K52" i="39" s="1"/>
  <c r="L53" i="39" s="1"/>
  <c r="M54" i="39" s="1"/>
  <c r="N55" i="39" s="1"/>
  <c r="C45" i="39"/>
  <c r="D46" i="39" s="1"/>
  <c r="E47" i="39" s="1"/>
  <c r="F48" i="39" s="1"/>
  <c r="G49" i="39" s="1"/>
  <c r="H50" i="39" s="1"/>
  <c r="I51" i="39" s="1"/>
  <c r="J52" i="39" s="1"/>
  <c r="K53" i="39" s="1"/>
  <c r="L54" i="39" s="1"/>
  <c r="M55" i="39" s="1"/>
  <c r="N56" i="39" s="1"/>
  <c r="C46" i="39"/>
  <c r="D47" i="39" s="1"/>
  <c r="E48" i="39" s="1"/>
  <c r="F49" i="39" s="1"/>
  <c r="G50" i="39" s="1"/>
  <c r="H51" i="39" s="1"/>
  <c r="I52" i="39" s="1"/>
  <c r="J53" i="39" s="1"/>
  <c r="K54" i="39" s="1"/>
  <c r="L55" i="39" s="1"/>
  <c r="M56" i="39" s="1"/>
  <c r="N57" i="39" s="1"/>
  <c r="C47" i="39"/>
  <c r="D48" i="39" s="1"/>
  <c r="E49" i="39" s="1"/>
  <c r="F50" i="39" s="1"/>
  <c r="G51" i="39" s="1"/>
  <c r="H52" i="39" s="1"/>
  <c r="I53" i="39" s="1"/>
  <c r="J54" i="39" s="1"/>
  <c r="K55" i="39" s="1"/>
  <c r="L56" i="39" s="1"/>
  <c r="M57" i="39" s="1"/>
  <c r="N58" i="39" s="1"/>
  <c r="C48" i="39"/>
  <c r="D49" i="39" s="1"/>
  <c r="E50" i="39" s="1"/>
  <c r="F51" i="39" s="1"/>
  <c r="G52" i="39" s="1"/>
  <c r="H53" i="39" s="1"/>
  <c r="I54" i="39" s="1"/>
  <c r="J55" i="39" s="1"/>
  <c r="K56" i="39" s="1"/>
  <c r="L57" i="39" s="1"/>
  <c r="M58" i="39" s="1"/>
  <c r="N59" i="39" s="1"/>
  <c r="C49" i="39"/>
  <c r="D50" i="39" s="1"/>
  <c r="E51" i="39" s="1"/>
  <c r="F52" i="39" s="1"/>
  <c r="G53" i="39" s="1"/>
  <c r="H54" i="39" s="1"/>
  <c r="I55" i="39" s="1"/>
  <c r="J56" i="39" s="1"/>
  <c r="K57" i="39" s="1"/>
  <c r="L58" i="39" s="1"/>
  <c r="M59" i="39" s="1"/>
  <c r="N60" i="39" s="1"/>
  <c r="C50" i="39"/>
  <c r="D51" i="39" s="1"/>
  <c r="E52" i="39" s="1"/>
  <c r="F53" i="39" s="1"/>
  <c r="G54" i="39" s="1"/>
  <c r="H55" i="39" s="1"/>
  <c r="I56" i="39" s="1"/>
  <c r="J57" i="39" s="1"/>
  <c r="K58" i="39" s="1"/>
  <c r="L59" i="39" s="1"/>
  <c r="M60" i="39" s="1"/>
  <c r="N61" i="39" s="1"/>
  <c r="C51" i="39"/>
  <c r="D52" i="39" s="1"/>
  <c r="E53" i="39" s="1"/>
  <c r="F54" i="39" s="1"/>
  <c r="G55" i="39" s="1"/>
  <c r="H56" i="39" s="1"/>
  <c r="I57" i="39" s="1"/>
  <c r="J58" i="39" s="1"/>
  <c r="K59" i="39" s="1"/>
  <c r="L60" i="39" s="1"/>
  <c r="M61" i="39" s="1"/>
  <c r="N62" i="39" s="1"/>
  <c r="C52" i="39"/>
  <c r="D53" i="39" s="1"/>
  <c r="E54" i="39" s="1"/>
  <c r="F55" i="39" s="1"/>
  <c r="G56" i="39" s="1"/>
  <c r="H57" i="39" s="1"/>
  <c r="I58" i="39" s="1"/>
  <c r="J59" i="39" s="1"/>
  <c r="K60" i="39" s="1"/>
  <c r="L61" i="39" s="1"/>
  <c r="M62" i="39" s="1"/>
  <c r="N63" i="39" s="1"/>
  <c r="C53" i="39"/>
  <c r="D54" i="39" s="1"/>
  <c r="E55" i="39" s="1"/>
  <c r="F56" i="39" s="1"/>
  <c r="G57" i="39" s="1"/>
  <c r="H58" i="39" s="1"/>
  <c r="I59" i="39" s="1"/>
  <c r="J60" i="39" s="1"/>
  <c r="K61" i="39" s="1"/>
  <c r="L62" i="39" s="1"/>
  <c r="M63" i="39" s="1"/>
  <c r="N64" i="39" s="1"/>
  <c r="C54" i="39"/>
  <c r="D55" i="39" s="1"/>
  <c r="E56" i="39" s="1"/>
  <c r="F57" i="39" s="1"/>
  <c r="G58" i="39" s="1"/>
  <c r="H59" i="39" s="1"/>
  <c r="I60" i="39" s="1"/>
  <c r="J61" i="39" s="1"/>
  <c r="K62" i="39" s="1"/>
  <c r="L63" i="39" s="1"/>
  <c r="M64" i="39" s="1"/>
  <c r="N65" i="39" s="1"/>
  <c r="C55" i="39"/>
  <c r="D56" i="39" s="1"/>
  <c r="E57" i="39" s="1"/>
  <c r="F58" i="39" s="1"/>
  <c r="G59" i="39" s="1"/>
  <c r="H60" i="39" s="1"/>
  <c r="I61" i="39" s="1"/>
  <c r="J62" i="39" s="1"/>
  <c r="K63" i="39" s="1"/>
  <c r="L64" i="39" s="1"/>
  <c r="M65" i="39" s="1"/>
  <c r="N66" i="39" s="1"/>
  <c r="C56" i="39"/>
  <c r="D57" i="39" s="1"/>
  <c r="E58" i="39" s="1"/>
  <c r="F59" i="39" s="1"/>
  <c r="G60" i="39" s="1"/>
  <c r="H61" i="39" s="1"/>
  <c r="I62" i="39" s="1"/>
  <c r="J63" i="39" s="1"/>
  <c r="K64" i="39" s="1"/>
  <c r="L65" i="39" s="1"/>
  <c r="M66" i="39" s="1"/>
  <c r="N67" i="39" s="1"/>
  <c r="C57" i="39"/>
  <c r="D58" i="39" s="1"/>
  <c r="E59" i="39" s="1"/>
  <c r="F60" i="39" s="1"/>
  <c r="G61" i="39" s="1"/>
  <c r="H62" i="39" s="1"/>
  <c r="I63" i="39" s="1"/>
  <c r="J64" i="39" s="1"/>
  <c r="K65" i="39" s="1"/>
  <c r="L66" i="39" s="1"/>
  <c r="M67" i="39" s="1"/>
  <c r="N68" i="39" s="1"/>
  <c r="C58" i="39"/>
  <c r="D59" i="39" s="1"/>
  <c r="E60" i="39" s="1"/>
  <c r="F61" i="39" s="1"/>
  <c r="G62" i="39" s="1"/>
  <c r="H63" i="39" s="1"/>
  <c r="I64" i="39" s="1"/>
  <c r="J65" i="39" s="1"/>
  <c r="K66" i="39" s="1"/>
  <c r="L67" i="39" s="1"/>
  <c r="M68" i="39" s="1"/>
  <c r="N69" i="39" s="1"/>
  <c r="C59" i="39"/>
  <c r="D60" i="39" s="1"/>
  <c r="E61" i="39" s="1"/>
  <c r="F62" i="39" s="1"/>
  <c r="G63" i="39" s="1"/>
  <c r="H64" i="39" s="1"/>
  <c r="I65" i="39" s="1"/>
  <c r="J66" i="39" s="1"/>
  <c r="K67" i="39" s="1"/>
  <c r="L68" i="39" s="1"/>
  <c r="M69" i="39" s="1"/>
  <c r="N70" i="39" s="1"/>
  <c r="C60" i="39"/>
  <c r="D61" i="39" s="1"/>
  <c r="E62" i="39" s="1"/>
  <c r="F63" i="39" s="1"/>
  <c r="G64" i="39" s="1"/>
  <c r="H65" i="39" s="1"/>
  <c r="I66" i="39" s="1"/>
  <c r="J67" i="39" s="1"/>
  <c r="K68" i="39" s="1"/>
  <c r="L69" i="39" s="1"/>
  <c r="M70" i="39" s="1"/>
  <c r="N71" i="39" s="1"/>
  <c r="C61" i="39"/>
  <c r="D62" i="39" s="1"/>
  <c r="E63" i="39" s="1"/>
  <c r="F64" i="39" s="1"/>
  <c r="G65" i="39" s="1"/>
  <c r="H66" i="39" s="1"/>
  <c r="I67" i="39" s="1"/>
  <c r="J68" i="39" s="1"/>
  <c r="K69" i="39" s="1"/>
  <c r="L70" i="39" s="1"/>
  <c r="M71" i="39" s="1"/>
  <c r="N72" i="39" s="1"/>
  <c r="C62" i="39"/>
  <c r="D63" i="39" s="1"/>
  <c r="E64" i="39" s="1"/>
  <c r="F65" i="39" s="1"/>
  <c r="G66" i="39" s="1"/>
  <c r="H67" i="39" s="1"/>
  <c r="I68" i="39" s="1"/>
  <c r="J69" i="39" s="1"/>
  <c r="K70" i="39" s="1"/>
  <c r="L71" i="39" s="1"/>
  <c r="M72" i="39" s="1"/>
  <c r="N73" i="39" s="1"/>
  <c r="C63" i="39"/>
  <c r="D64" i="39" s="1"/>
  <c r="E65" i="39" s="1"/>
  <c r="F66" i="39" s="1"/>
  <c r="G67" i="39" s="1"/>
  <c r="H68" i="39" s="1"/>
  <c r="I69" i="39" s="1"/>
  <c r="J70" i="39" s="1"/>
  <c r="K71" i="39" s="1"/>
  <c r="L72" i="39" s="1"/>
  <c r="M73" i="39" s="1"/>
  <c r="N74" i="39" s="1"/>
  <c r="C64" i="39"/>
  <c r="D65" i="39" s="1"/>
  <c r="E66" i="39" s="1"/>
  <c r="F67" i="39" s="1"/>
  <c r="G68" i="39" s="1"/>
  <c r="H69" i="39" s="1"/>
  <c r="I70" i="39" s="1"/>
  <c r="J71" i="39" s="1"/>
  <c r="K72" i="39" s="1"/>
  <c r="L73" i="39" s="1"/>
  <c r="M74" i="39" s="1"/>
  <c r="N75" i="39" s="1"/>
  <c r="C65" i="39"/>
  <c r="D66" i="39" s="1"/>
  <c r="E67" i="39" s="1"/>
  <c r="F68" i="39" s="1"/>
  <c r="G69" i="39" s="1"/>
  <c r="H70" i="39" s="1"/>
  <c r="I71" i="39" s="1"/>
  <c r="J72" i="39" s="1"/>
  <c r="K73" i="39" s="1"/>
  <c r="L74" i="39" s="1"/>
  <c r="M75" i="39" s="1"/>
  <c r="N76" i="39" s="1"/>
  <c r="C66" i="39"/>
  <c r="D67" i="39" s="1"/>
  <c r="E68" i="39" s="1"/>
  <c r="F69" i="39" s="1"/>
  <c r="G70" i="39" s="1"/>
  <c r="H71" i="39" s="1"/>
  <c r="I72" i="39" s="1"/>
  <c r="J73" i="39" s="1"/>
  <c r="K74" i="39" s="1"/>
  <c r="L75" i="39" s="1"/>
  <c r="M76" i="39" s="1"/>
  <c r="N77" i="39" s="1"/>
  <c r="C67" i="39"/>
  <c r="D68" i="39" s="1"/>
  <c r="E69" i="39" s="1"/>
  <c r="F70" i="39" s="1"/>
  <c r="G71" i="39" s="1"/>
  <c r="H72" i="39" s="1"/>
  <c r="I73" i="39" s="1"/>
  <c r="J74" i="39" s="1"/>
  <c r="K75" i="39" s="1"/>
  <c r="L76" i="39" s="1"/>
  <c r="M77" i="39" s="1"/>
  <c r="N78" i="39" s="1"/>
  <c r="C68" i="39"/>
  <c r="D69" i="39" s="1"/>
  <c r="E70" i="39" s="1"/>
  <c r="F71" i="39" s="1"/>
  <c r="G72" i="39" s="1"/>
  <c r="H73" i="39" s="1"/>
  <c r="I74" i="39" s="1"/>
  <c r="J75" i="39" s="1"/>
  <c r="K76" i="39" s="1"/>
  <c r="L77" i="39" s="1"/>
  <c r="M78" i="39" s="1"/>
  <c r="N79" i="39" s="1"/>
  <c r="C69" i="39"/>
  <c r="D70" i="39" s="1"/>
  <c r="E71" i="39" s="1"/>
  <c r="F72" i="39" s="1"/>
  <c r="G73" i="39" s="1"/>
  <c r="H74" i="39" s="1"/>
  <c r="I75" i="39" s="1"/>
  <c r="J76" i="39" s="1"/>
  <c r="K77" i="39" s="1"/>
  <c r="L78" i="39" s="1"/>
  <c r="M79" i="39" s="1"/>
  <c r="N80" i="39" s="1"/>
  <c r="C70" i="39"/>
  <c r="D71" i="39" s="1"/>
  <c r="E72" i="39" s="1"/>
  <c r="F73" i="39" s="1"/>
  <c r="G74" i="39" s="1"/>
  <c r="H75" i="39" s="1"/>
  <c r="I76" i="39" s="1"/>
  <c r="J77" i="39" s="1"/>
  <c r="K78" i="39" s="1"/>
  <c r="L79" i="39" s="1"/>
  <c r="M80" i="39" s="1"/>
  <c r="N81" i="39" s="1"/>
  <c r="C71" i="39"/>
  <c r="D72" i="39" s="1"/>
  <c r="E73" i="39" s="1"/>
  <c r="F74" i="39" s="1"/>
  <c r="G75" i="39" s="1"/>
  <c r="H76" i="39" s="1"/>
  <c r="I77" i="39" s="1"/>
  <c r="J78" i="39" s="1"/>
  <c r="K79" i="39" s="1"/>
  <c r="L80" i="39" s="1"/>
  <c r="M81" i="39" s="1"/>
  <c r="N82" i="39" s="1"/>
  <c r="C72" i="39"/>
  <c r="D73" i="39" s="1"/>
  <c r="E74" i="39" s="1"/>
  <c r="F75" i="39" s="1"/>
  <c r="G76" i="39" s="1"/>
  <c r="H77" i="39" s="1"/>
  <c r="I78" i="39" s="1"/>
  <c r="J79" i="39" s="1"/>
  <c r="K80" i="39" s="1"/>
  <c r="L81" i="39" s="1"/>
  <c r="M82" i="39" s="1"/>
  <c r="N83" i="39" s="1"/>
  <c r="C73" i="39"/>
  <c r="D74" i="39" s="1"/>
  <c r="E75" i="39" s="1"/>
  <c r="F76" i="39" s="1"/>
  <c r="G77" i="39" s="1"/>
  <c r="H78" i="39" s="1"/>
  <c r="I79" i="39" s="1"/>
  <c r="J80" i="39" s="1"/>
  <c r="K81" i="39" s="1"/>
  <c r="L82" i="39" s="1"/>
  <c r="M83" i="39" s="1"/>
  <c r="N84" i="39" s="1"/>
  <c r="C74" i="39"/>
  <c r="D75" i="39" s="1"/>
  <c r="E76" i="39" s="1"/>
  <c r="F77" i="39" s="1"/>
  <c r="G78" i="39" s="1"/>
  <c r="H79" i="39" s="1"/>
  <c r="I80" i="39" s="1"/>
  <c r="J81" i="39" s="1"/>
  <c r="K82" i="39" s="1"/>
  <c r="L83" i="39" s="1"/>
  <c r="M84" i="39" s="1"/>
  <c r="N85" i="39" s="1"/>
  <c r="C75" i="39"/>
  <c r="D76" i="39" s="1"/>
  <c r="E77" i="39" s="1"/>
  <c r="F78" i="39" s="1"/>
  <c r="G79" i="39" s="1"/>
  <c r="H80" i="39" s="1"/>
  <c r="I81" i="39" s="1"/>
  <c r="J82" i="39" s="1"/>
  <c r="K83" i="39" s="1"/>
  <c r="L84" i="39" s="1"/>
  <c r="M85" i="39" s="1"/>
  <c r="N86" i="39" s="1"/>
  <c r="C76" i="39"/>
  <c r="D77" i="39" s="1"/>
  <c r="E78" i="39" s="1"/>
  <c r="F79" i="39" s="1"/>
  <c r="G80" i="39" s="1"/>
  <c r="H81" i="39" s="1"/>
  <c r="I82" i="39" s="1"/>
  <c r="J83" i="39" s="1"/>
  <c r="K84" i="39" s="1"/>
  <c r="L85" i="39" s="1"/>
  <c r="M86" i="39" s="1"/>
  <c r="N87" i="39" s="1"/>
  <c r="C77" i="39"/>
  <c r="D78" i="39" s="1"/>
  <c r="E79" i="39" s="1"/>
  <c r="F80" i="39" s="1"/>
  <c r="G81" i="39" s="1"/>
  <c r="H82" i="39" s="1"/>
  <c r="I83" i="39" s="1"/>
  <c r="J84" i="39" s="1"/>
  <c r="K85" i="39" s="1"/>
  <c r="L86" i="39" s="1"/>
  <c r="M87" i="39" s="1"/>
  <c r="N88" i="39" s="1"/>
  <c r="C78" i="39"/>
  <c r="D79" i="39" s="1"/>
  <c r="E80" i="39" s="1"/>
  <c r="F81" i="39" s="1"/>
  <c r="G82" i="39" s="1"/>
  <c r="H83" i="39" s="1"/>
  <c r="I84" i="39" s="1"/>
  <c r="J85" i="39" s="1"/>
  <c r="K86" i="39" s="1"/>
  <c r="L87" i="39" s="1"/>
  <c r="M88" i="39" s="1"/>
  <c r="N89" i="39" s="1"/>
  <c r="C79" i="39"/>
  <c r="D80" i="39" s="1"/>
  <c r="E81" i="39" s="1"/>
  <c r="F82" i="39" s="1"/>
  <c r="G83" i="39" s="1"/>
  <c r="H84" i="39" s="1"/>
  <c r="I85" i="39" s="1"/>
  <c r="J86" i="39" s="1"/>
  <c r="K87" i="39" s="1"/>
  <c r="L88" i="39" s="1"/>
  <c r="M89" i="39" s="1"/>
  <c r="N90" i="39" s="1"/>
  <c r="C80" i="39"/>
  <c r="D81" i="39" s="1"/>
  <c r="E82" i="39" s="1"/>
  <c r="F83" i="39" s="1"/>
  <c r="G84" i="39" s="1"/>
  <c r="H85" i="39" s="1"/>
  <c r="I86" i="39" s="1"/>
  <c r="J87" i="39" s="1"/>
  <c r="K88" i="39" s="1"/>
  <c r="L89" i="39" s="1"/>
  <c r="M90" i="39" s="1"/>
  <c r="N91" i="39" s="1"/>
  <c r="C81" i="39"/>
  <c r="D82" i="39" s="1"/>
  <c r="E83" i="39" s="1"/>
  <c r="F84" i="39" s="1"/>
  <c r="G85" i="39" s="1"/>
  <c r="H86" i="39" s="1"/>
  <c r="I87" i="39" s="1"/>
  <c r="J88" i="39" s="1"/>
  <c r="K89" i="39" s="1"/>
  <c r="L90" i="39" s="1"/>
  <c r="M91" i="39" s="1"/>
  <c r="N92" i="39" s="1"/>
  <c r="C82" i="39"/>
  <c r="D83" i="39" s="1"/>
  <c r="E84" i="39" s="1"/>
  <c r="F85" i="39" s="1"/>
  <c r="G86" i="39" s="1"/>
  <c r="H87" i="39" s="1"/>
  <c r="I88" i="39" s="1"/>
  <c r="J89" i="39" s="1"/>
  <c r="K90" i="39" s="1"/>
  <c r="L91" i="39" s="1"/>
  <c r="M92" i="39" s="1"/>
  <c r="N93" i="39" s="1"/>
  <c r="C83" i="39"/>
  <c r="D84" i="39" s="1"/>
  <c r="E85" i="39" s="1"/>
  <c r="F86" i="39" s="1"/>
  <c r="G87" i="39" s="1"/>
  <c r="H88" i="39" s="1"/>
  <c r="I89" i="39" s="1"/>
  <c r="J90" i="39" s="1"/>
  <c r="K91" i="39" s="1"/>
  <c r="L92" i="39" s="1"/>
  <c r="M93" i="39" s="1"/>
  <c r="N94" i="39" s="1"/>
  <c r="C84" i="39"/>
  <c r="D85" i="39" s="1"/>
  <c r="E86" i="39" s="1"/>
  <c r="F87" i="39" s="1"/>
  <c r="G88" i="39" s="1"/>
  <c r="H89" i="39" s="1"/>
  <c r="I90" i="39" s="1"/>
  <c r="J91" i="39" s="1"/>
  <c r="K92" i="39" s="1"/>
  <c r="L93" i="39" s="1"/>
  <c r="M94" i="39" s="1"/>
  <c r="N95" i="39" s="1"/>
  <c r="C85" i="39"/>
  <c r="D86" i="39" s="1"/>
  <c r="E87" i="39" s="1"/>
  <c r="F88" i="39" s="1"/>
  <c r="G89" i="39" s="1"/>
  <c r="H90" i="39" s="1"/>
  <c r="I91" i="39" s="1"/>
  <c r="J92" i="39" s="1"/>
  <c r="K93" i="39" s="1"/>
  <c r="L94" i="39" s="1"/>
  <c r="M95" i="39" s="1"/>
  <c r="N96" i="39" s="1"/>
  <c r="C86" i="39"/>
  <c r="D87" i="39" s="1"/>
  <c r="E88" i="39" s="1"/>
  <c r="F89" i="39" s="1"/>
  <c r="G90" i="39" s="1"/>
  <c r="H91" i="39" s="1"/>
  <c r="I92" i="39" s="1"/>
  <c r="J93" i="39" s="1"/>
  <c r="K94" i="39" s="1"/>
  <c r="L95" i="39" s="1"/>
  <c r="M96" i="39" s="1"/>
  <c r="N97" i="39" s="1"/>
  <c r="C87" i="39"/>
  <c r="D88" i="39" s="1"/>
  <c r="E89" i="39" s="1"/>
  <c r="F90" i="39" s="1"/>
  <c r="G91" i="39" s="1"/>
  <c r="H92" i="39" s="1"/>
  <c r="I93" i="39" s="1"/>
  <c r="J94" i="39" s="1"/>
  <c r="K95" i="39" s="1"/>
  <c r="L96" i="39" s="1"/>
  <c r="M97" i="39" s="1"/>
  <c r="N98" i="39" s="1"/>
  <c r="C88" i="39"/>
  <c r="D89" i="39" s="1"/>
  <c r="E90" i="39" s="1"/>
  <c r="F91" i="39" s="1"/>
  <c r="G92" i="39" s="1"/>
  <c r="H93" i="39" s="1"/>
  <c r="I94" i="39" s="1"/>
  <c r="J95" i="39" s="1"/>
  <c r="K96" i="39" s="1"/>
  <c r="L97" i="39" s="1"/>
  <c r="M98" i="39" s="1"/>
  <c r="N99" i="39" s="1"/>
  <c r="C89" i="39"/>
  <c r="D90" i="39" s="1"/>
  <c r="E91" i="39" s="1"/>
  <c r="F92" i="39" s="1"/>
  <c r="G93" i="39" s="1"/>
  <c r="H94" i="39" s="1"/>
  <c r="I95" i="39" s="1"/>
  <c r="J96" i="39" s="1"/>
  <c r="K97" i="39" s="1"/>
  <c r="L98" i="39" s="1"/>
  <c r="M99" i="39" s="1"/>
  <c r="N100" i="39" s="1"/>
  <c r="C90" i="39"/>
  <c r="D91" i="39" s="1"/>
  <c r="E92" i="39" s="1"/>
  <c r="F93" i="39" s="1"/>
  <c r="G94" i="39" s="1"/>
  <c r="H95" i="39" s="1"/>
  <c r="I96" i="39" s="1"/>
  <c r="J97" i="39" s="1"/>
  <c r="K98" i="39" s="1"/>
  <c r="L99" i="39" s="1"/>
  <c r="M100" i="39" s="1"/>
  <c r="N101" i="39" s="1"/>
  <c r="C91" i="39"/>
  <c r="D92" i="39" s="1"/>
  <c r="E93" i="39" s="1"/>
  <c r="F94" i="39" s="1"/>
  <c r="G95" i="39" s="1"/>
  <c r="H96" i="39" s="1"/>
  <c r="I97" i="39" s="1"/>
  <c r="J98" i="39" s="1"/>
  <c r="K99" i="39" s="1"/>
  <c r="L100" i="39" s="1"/>
  <c r="M101" i="39" s="1"/>
  <c r="N102" i="39" s="1"/>
  <c r="C92" i="39"/>
  <c r="D93" i="39" s="1"/>
  <c r="E94" i="39" s="1"/>
  <c r="F95" i="39" s="1"/>
  <c r="G96" i="39" s="1"/>
  <c r="H97" i="39" s="1"/>
  <c r="I98" i="39" s="1"/>
  <c r="J99" i="39" s="1"/>
  <c r="K100" i="39" s="1"/>
  <c r="L101" i="39" s="1"/>
  <c r="M102" i="39" s="1"/>
  <c r="N103" i="39" s="1"/>
  <c r="C93" i="39"/>
  <c r="D94" i="39" s="1"/>
  <c r="E95" i="39" s="1"/>
  <c r="F96" i="39" s="1"/>
  <c r="G97" i="39" s="1"/>
  <c r="H98" i="39" s="1"/>
  <c r="I99" i="39" s="1"/>
  <c r="J100" i="39" s="1"/>
  <c r="K101" i="39" s="1"/>
  <c r="L102" i="39" s="1"/>
  <c r="M103" i="39" s="1"/>
  <c r="N104" i="39" s="1"/>
  <c r="C94" i="39"/>
  <c r="D95" i="39" s="1"/>
  <c r="E96" i="39" s="1"/>
  <c r="F97" i="39" s="1"/>
  <c r="G98" i="39" s="1"/>
  <c r="H99" i="39" s="1"/>
  <c r="I100" i="39" s="1"/>
  <c r="J101" i="39" s="1"/>
  <c r="K102" i="39" s="1"/>
  <c r="L103" i="39" s="1"/>
  <c r="M104" i="39" s="1"/>
  <c r="N105" i="39" s="1"/>
  <c r="C95" i="39"/>
  <c r="D96" i="39" s="1"/>
  <c r="E97" i="39" s="1"/>
  <c r="F98" i="39" s="1"/>
  <c r="G99" i="39" s="1"/>
  <c r="H100" i="39" s="1"/>
  <c r="I101" i="39" s="1"/>
  <c r="J102" i="39" s="1"/>
  <c r="K103" i="39" s="1"/>
  <c r="L104" i="39" s="1"/>
  <c r="M105" i="39" s="1"/>
  <c r="N106" i="39" s="1"/>
  <c r="C96" i="39"/>
  <c r="D97" i="39" s="1"/>
  <c r="E98" i="39" s="1"/>
  <c r="F99" i="39" s="1"/>
  <c r="G100" i="39" s="1"/>
  <c r="H101" i="39" s="1"/>
  <c r="I102" i="39" s="1"/>
  <c r="J103" i="39" s="1"/>
  <c r="K104" i="39" s="1"/>
  <c r="L105" i="39" s="1"/>
  <c r="M106" i="39" s="1"/>
  <c r="N107" i="39" s="1"/>
  <c r="C97" i="39"/>
  <c r="D98" i="39" s="1"/>
  <c r="E99" i="39" s="1"/>
  <c r="F100" i="39" s="1"/>
  <c r="G101" i="39" s="1"/>
  <c r="H102" i="39" s="1"/>
  <c r="I103" i="39" s="1"/>
  <c r="J104" i="39" s="1"/>
  <c r="K105" i="39" s="1"/>
  <c r="L106" i="39" s="1"/>
  <c r="M107" i="39" s="1"/>
  <c r="N108" i="39" s="1"/>
  <c r="C98" i="39"/>
  <c r="D99" i="39" s="1"/>
  <c r="E100" i="39" s="1"/>
  <c r="F101" i="39" s="1"/>
  <c r="G102" i="39" s="1"/>
  <c r="H103" i="39" s="1"/>
  <c r="I104" i="39" s="1"/>
  <c r="J105" i="39" s="1"/>
  <c r="K106" i="39" s="1"/>
  <c r="L107" i="39" s="1"/>
  <c r="M108" i="39" s="1"/>
  <c r="N109" i="39" s="1"/>
  <c r="C99" i="39"/>
  <c r="D100" i="39" s="1"/>
  <c r="E101" i="39" s="1"/>
  <c r="F102" i="39" s="1"/>
  <c r="G103" i="39" s="1"/>
  <c r="H104" i="39" s="1"/>
  <c r="I105" i="39" s="1"/>
  <c r="J106" i="39" s="1"/>
  <c r="K107" i="39" s="1"/>
  <c r="L108" i="39" s="1"/>
  <c r="M109" i="39" s="1"/>
  <c r="N110" i="39" s="1"/>
  <c r="C100" i="39"/>
  <c r="D101" i="39" s="1"/>
  <c r="E102" i="39" s="1"/>
  <c r="F103" i="39" s="1"/>
  <c r="G104" i="39" s="1"/>
  <c r="H105" i="39" s="1"/>
  <c r="I106" i="39" s="1"/>
  <c r="J107" i="39" s="1"/>
  <c r="K108" i="39" s="1"/>
  <c r="L109" i="39" s="1"/>
  <c r="M110" i="39" s="1"/>
  <c r="N111" i="39" s="1"/>
  <c r="C101" i="39"/>
  <c r="D102" i="39" s="1"/>
  <c r="E103" i="39" s="1"/>
  <c r="F104" i="39" s="1"/>
  <c r="G105" i="39" s="1"/>
  <c r="H106" i="39" s="1"/>
  <c r="I107" i="39" s="1"/>
  <c r="J108" i="39" s="1"/>
  <c r="K109" i="39" s="1"/>
  <c r="L110" i="39" s="1"/>
  <c r="M111" i="39" s="1"/>
  <c r="N112" i="39" s="1"/>
  <c r="C102" i="39"/>
  <c r="D103" i="39" s="1"/>
  <c r="E104" i="39" s="1"/>
  <c r="F105" i="39" s="1"/>
  <c r="G106" i="39" s="1"/>
  <c r="H107" i="39" s="1"/>
  <c r="I108" i="39" s="1"/>
  <c r="J109" i="39" s="1"/>
  <c r="K110" i="39" s="1"/>
  <c r="L111" i="39" s="1"/>
  <c r="M112" i="39" s="1"/>
  <c r="N113" i="39" s="1"/>
  <c r="C103" i="39"/>
  <c r="D104" i="39" s="1"/>
  <c r="E105" i="39" s="1"/>
  <c r="F106" i="39" s="1"/>
  <c r="G107" i="39" s="1"/>
  <c r="H108" i="39" s="1"/>
  <c r="I109" i="39" s="1"/>
  <c r="J110" i="39" s="1"/>
  <c r="K111" i="39" s="1"/>
  <c r="L112" i="39" s="1"/>
  <c r="M113" i="39" s="1"/>
  <c r="N114" i="39" s="1"/>
  <c r="C104" i="39"/>
  <c r="D105" i="39" s="1"/>
  <c r="E106" i="39" s="1"/>
  <c r="F107" i="39" s="1"/>
  <c r="G108" i="39" s="1"/>
  <c r="H109" i="39" s="1"/>
  <c r="I110" i="39" s="1"/>
  <c r="J111" i="39" s="1"/>
  <c r="K112" i="39" s="1"/>
  <c r="L113" i="39" s="1"/>
  <c r="M114" i="39" s="1"/>
  <c r="N115" i="39" s="1"/>
  <c r="C105" i="39"/>
  <c r="D106" i="39" s="1"/>
  <c r="E107" i="39" s="1"/>
  <c r="F108" i="39" s="1"/>
  <c r="G109" i="39" s="1"/>
  <c r="H110" i="39" s="1"/>
  <c r="I111" i="39" s="1"/>
  <c r="J112" i="39" s="1"/>
  <c r="K113" i="39" s="1"/>
  <c r="L114" i="39" s="1"/>
  <c r="M115" i="39" s="1"/>
  <c r="N116" i="39" s="1"/>
  <c r="C106" i="39"/>
  <c r="D107" i="39" s="1"/>
  <c r="E108" i="39" s="1"/>
  <c r="F109" i="39" s="1"/>
  <c r="G110" i="39" s="1"/>
  <c r="H111" i="39" s="1"/>
  <c r="I112" i="39" s="1"/>
  <c r="J113" i="39" s="1"/>
  <c r="K114" i="39" s="1"/>
  <c r="L115" i="39" s="1"/>
  <c r="M116" i="39" s="1"/>
  <c r="N117" i="39" s="1"/>
  <c r="C107" i="39"/>
  <c r="D108" i="39" s="1"/>
  <c r="E109" i="39" s="1"/>
  <c r="F110" i="39" s="1"/>
  <c r="G111" i="39" s="1"/>
  <c r="H112" i="39" s="1"/>
  <c r="I113" i="39" s="1"/>
  <c r="J114" i="39" s="1"/>
  <c r="K115" i="39" s="1"/>
  <c r="L116" i="39" s="1"/>
  <c r="M117" i="39" s="1"/>
  <c r="N118" i="39" s="1"/>
  <c r="C108" i="39"/>
  <c r="D109" i="39" s="1"/>
  <c r="E110" i="39" s="1"/>
  <c r="F111" i="39" s="1"/>
  <c r="G112" i="39" s="1"/>
  <c r="H113" i="39" s="1"/>
  <c r="I114" i="39" s="1"/>
  <c r="J115" i="39" s="1"/>
  <c r="K116" i="39" s="1"/>
  <c r="L117" i="39" s="1"/>
  <c r="M118" i="39" s="1"/>
  <c r="N119" i="39" s="1"/>
  <c r="C109" i="39"/>
  <c r="D110" i="39" s="1"/>
  <c r="E111" i="39" s="1"/>
  <c r="F112" i="39" s="1"/>
  <c r="G113" i="39" s="1"/>
  <c r="H114" i="39" s="1"/>
  <c r="I115" i="39" s="1"/>
  <c r="J116" i="39" s="1"/>
  <c r="K117" i="39" s="1"/>
  <c r="L118" i="39" s="1"/>
  <c r="M119" i="39" s="1"/>
  <c r="N120" i="39" s="1"/>
  <c r="C110" i="39"/>
  <c r="D111" i="39" s="1"/>
  <c r="E112" i="39" s="1"/>
  <c r="F113" i="39" s="1"/>
  <c r="G114" i="39" s="1"/>
  <c r="H115" i="39" s="1"/>
  <c r="I116" i="39" s="1"/>
  <c r="J117" i="39" s="1"/>
  <c r="K118" i="39" s="1"/>
  <c r="L119" i="39" s="1"/>
  <c r="M120" i="39" s="1"/>
  <c r="N121" i="39" s="1"/>
  <c r="C111" i="39"/>
  <c r="D112" i="39" s="1"/>
  <c r="E113" i="39" s="1"/>
  <c r="F114" i="39" s="1"/>
  <c r="G115" i="39" s="1"/>
  <c r="H116" i="39" s="1"/>
  <c r="I117" i="39" s="1"/>
  <c r="J118" i="39" s="1"/>
  <c r="K119" i="39" s="1"/>
  <c r="L120" i="39" s="1"/>
  <c r="M121" i="39" s="1"/>
  <c r="N122" i="39" s="1"/>
  <c r="C112" i="39"/>
  <c r="D113" i="39" s="1"/>
  <c r="E114" i="39" s="1"/>
  <c r="F115" i="39" s="1"/>
  <c r="G116" i="39" s="1"/>
  <c r="H117" i="39" s="1"/>
  <c r="I118" i="39" s="1"/>
  <c r="J119" i="39" s="1"/>
  <c r="K120" i="39" s="1"/>
  <c r="L121" i="39" s="1"/>
  <c r="M122" i="39" s="1"/>
  <c r="N123" i="39" s="1"/>
  <c r="C113" i="39"/>
  <c r="D114" i="39" s="1"/>
  <c r="E115" i="39" s="1"/>
  <c r="F116" i="39" s="1"/>
  <c r="G117" i="39" s="1"/>
  <c r="H118" i="39" s="1"/>
  <c r="I119" i="39" s="1"/>
  <c r="J120" i="39" s="1"/>
  <c r="K121" i="39" s="1"/>
  <c r="L122" i="39" s="1"/>
  <c r="M123" i="39" s="1"/>
  <c r="N124" i="39" s="1"/>
  <c r="C114" i="39"/>
  <c r="D115" i="39" s="1"/>
  <c r="E116" i="39" s="1"/>
  <c r="F117" i="39" s="1"/>
  <c r="G118" i="39" s="1"/>
  <c r="H119" i="39" s="1"/>
  <c r="I120" i="39" s="1"/>
  <c r="J121" i="39" s="1"/>
  <c r="K122" i="39" s="1"/>
  <c r="L123" i="39" s="1"/>
  <c r="M124" i="39" s="1"/>
  <c r="N125" i="39" s="1"/>
  <c r="C115" i="39"/>
  <c r="D116" i="39" s="1"/>
  <c r="E117" i="39" s="1"/>
  <c r="F118" i="39" s="1"/>
  <c r="G119" i="39" s="1"/>
  <c r="H120" i="39" s="1"/>
  <c r="I121" i="39" s="1"/>
  <c r="J122" i="39" s="1"/>
  <c r="K123" i="39" s="1"/>
  <c r="L124" i="39" s="1"/>
  <c r="M125" i="39" s="1"/>
  <c r="N126" i="39" s="1"/>
  <c r="C116" i="39"/>
  <c r="D117" i="39" s="1"/>
  <c r="E118" i="39" s="1"/>
  <c r="F119" i="39" s="1"/>
  <c r="G120" i="39" s="1"/>
  <c r="H121" i="39" s="1"/>
  <c r="I122" i="39" s="1"/>
  <c r="J123" i="39" s="1"/>
  <c r="K124" i="39" s="1"/>
  <c r="L125" i="39" s="1"/>
  <c r="M126" i="39" s="1"/>
  <c r="N127" i="39" s="1"/>
  <c r="C117" i="39"/>
  <c r="D118" i="39" s="1"/>
  <c r="E119" i="39" s="1"/>
  <c r="F120" i="39" s="1"/>
  <c r="G121" i="39" s="1"/>
  <c r="H122" i="39" s="1"/>
  <c r="I123" i="39" s="1"/>
  <c r="J124" i="39" s="1"/>
  <c r="K125" i="39" s="1"/>
  <c r="L126" i="39" s="1"/>
  <c r="M127" i="39" s="1"/>
  <c r="N128" i="39" s="1"/>
  <c r="C118" i="39"/>
  <c r="D119" i="39" s="1"/>
  <c r="E120" i="39" s="1"/>
  <c r="F121" i="39" s="1"/>
  <c r="G122" i="39" s="1"/>
  <c r="H123" i="39" s="1"/>
  <c r="I124" i="39" s="1"/>
  <c r="J125" i="39" s="1"/>
  <c r="K126" i="39" s="1"/>
  <c r="L127" i="39" s="1"/>
  <c r="M128" i="39" s="1"/>
  <c r="N129" i="39" s="1"/>
  <c r="C119" i="39"/>
  <c r="D120" i="39" s="1"/>
  <c r="E121" i="39" s="1"/>
  <c r="F122" i="39" s="1"/>
  <c r="G123" i="39" s="1"/>
  <c r="H124" i="39" s="1"/>
  <c r="I125" i="39" s="1"/>
  <c r="J126" i="39" s="1"/>
  <c r="K127" i="39" s="1"/>
  <c r="L128" i="39" s="1"/>
  <c r="M129" i="39" s="1"/>
  <c r="N130" i="39" s="1"/>
  <c r="C120" i="39"/>
  <c r="D121" i="39" s="1"/>
  <c r="E122" i="39" s="1"/>
  <c r="F123" i="39" s="1"/>
  <c r="G124" i="39" s="1"/>
  <c r="H125" i="39" s="1"/>
  <c r="I126" i="39" s="1"/>
  <c r="J127" i="39" s="1"/>
  <c r="K128" i="39" s="1"/>
  <c r="L129" i="39" s="1"/>
  <c r="M130" i="39" s="1"/>
  <c r="N131" i="39" s="1"/>
  <c r="C121" i="39"/>
  <c r="D122" i="39" s="1"/>
  <c r="E123" i="39" s="1"/>
  <c r="F124" i="39" s="1"/>
  <c r="G125" i="39" s="1"/>
  <c r="H126" i="39" s="1"/>
  <c r="I127" i="39" s="1"/>
  <c r="J128" i="39" s="1"/>
  <c r="K129" i="39" s="1"/>
  <c r="L130" i="39" s="1"/>
  <c r="M131" i="39" s="1"/>
  <c r="N132" i="39" s="1"/>
  <c r="C122" i="39"/>
  <c r="D123" i="39" s="1"/>
  <c r="E124" i="39" s="1"/>
  <c r="F125" i="39" s="1"/>
  <c r="G126" i="39" s="1"/>
  <c r="H127" i="39" s="1"/>
  <c r="I128" i="39" s="1"/>
  <c r="J129" i="39" s="1"/>
  <c r="K130" i="39" s="1"/>
  <c r="L131" i="39" s="1"/>
  <c r="M132" i="39" s="1"/>
  <c r="N133" i="39" s="1"/>
  <c r="C123" i="39"/>
  <c r="D124" i="39" s="1"/>
  <c r="E125" i="39" s="1"/>
  <c r="F126" i="39" s="1"/>
  <c r="G127" i="39" s="1"/>
  <c r="H128" i="39" s="1"/>
  <c r="I129" i="39" s="1"/>
  <c r="J130" i="39" s="1"/>
  <c r="K131" i="39" s="1"/>
  <c r="L132" i="39" s="1"/>
  <c r="M133" i="39" s="1"/>
  <c r="N134" i="39" s="1"/>
  <c r="C124" i="39"/>
  <c r="D125" i="39" s="1"/>
  <c r="E126" i="39" s="1"/>
  <c r="F127" i="39" s="1"/>
  <c r="G128" i="39" s="1"/>
  <c r="H129" i="39" s="1"/>
  <c r="I130" i="39" s="1"/>
  <c r="J131" i="39" s="1"/>
  <c r="K132" i="39" s="1"/>
  <c r="L133" i="39" s="1"/>
  <c r="M134" i="39" s="1"/>
  <c r="N135" i="39" s="1"/>
  <c r="C125" i="39"/>
  <c r="D126" i="39" s="1"/>
  <c r="E127" i="39" s="1"/>
  <c r="F128" i="39" s="1"/>
  <c r="G129" i="39" s="1"/>
  <c r="H130" i="39" s="1"/>
  <c r="I131" i="39" s="1"/>
  <c r="J132" i="39" s="1"/>
  <c r="K133" i="39" s="1"/>
  <c r="L134" i="39" s="1"/>
  <c r="M135" i="39" s="1"/>
  <c r="N136" i="39" s="1"/>
  <c r="C126" i="39"/>
  <c r="D127" i="39" s="1"/>
  <c r="E128" i="39" s="1"/>
  <c r="F129" i="39" s="1"/>
  <c r="G130" i="39" s="1"/>
  <c r="H131" i="39" s="1"/>
  <c r="I132" i="39" s="1"/>
  <c r="J133" i="39" s="1"/>
  <c r="K134" i="39" s="1"/>
  <c r="L135" i="39" s="1"/>
  <c r="M136" i="39" s="1"/>
  <c r="N137" i="39" s="1"/>
  <c r="C127" i="39"/>
  <c r="D128" i="39" s="1"/>
  <c r="E129" i="39" s="1"/>
  <c r="F130" i="39" s="1"/>
  <c r="G131" i="39" s="1"/>
  <c r="H132" i="39" s="1"/>
  <c r="I133" i="39" s="1"/>
  <c r="J134" i="39" s="1"/>
  <c r="K135" i="39" s="1"/>
  <c r="L136" i="39" s="1"/>
  <c r="M137" i="39" s="1"/>
  <c r="N138" i="39" s="1"/>
  <c r="C128" i="39"/>
  <c r="D129" i="39" s="1"/>
  <c r="E130" i="39" s="1"/>
  <c r="F131" i="39" s="1"/>
  <c r="G132" i="39" s="1"/>
  <c r="H133" i="39" s="1"/>
  <c r="I134" i="39" s="1"/>
  <c r="J135" i="39" s="1"/>
  <c r="K136" i="39" s="1"/>
  <c r="L137" i="39" s="1"/>
  <c r="M138" i="39" s="1"/>
  <c r="N139" i="39" s="1"/>
  <c r="C129" i="39"/>
  <c r="D130" i="39" s="1"/>
  <c r="E131" i="39" s="1"/>
  <c r="F132" i="39" s="1"/>
  <c r="G133" i="39" s="1"/>
  <c r="H134" i="39" s="1"/>
  <c r="I135" i="39" s="1"/>
  <c r="J136" i="39" s="1"/>
  <c r="K137" i="39" s="1"/>
  <c r="L138" i="39" s="1"/>
  <c r="M139" i="39" s="1"/>
  <c r="N140" i="39" s="1"/>
  <c r="C130" i="39"/>
  <c r="D131" i="39" s="1"/>
  <c r="E132" i="39" s="1"/>
  <c r="F133" i="39" s="1"/>
  <c r="G134" i="39" s="1"/>
  <c r="H135" i="39" s="1"/>
  <c r="I136" i="39" s="1"/>
  <c r="J137" i="39" s="1"/>
  <c r="K138" i="39" s="1"/>
  <c r="L139" i="39" s="1"/>
  <c r="M140" i="39" s="1"/>
  <c r="N141" i="39" s="1"/>
  <c r="C131" i="39"/>
  <c r="D132" i="39" s="1"/>
  <c r="E133" i="39" s="1"/>
  <c r="F134" i="39" s="1"/>
  <c r="G135" i="39" s="1"/>
  <c r="H136" i="39" s="1"/>
  <c r="I137" i="39" s="1"/>
  <c r="J138" i="39" s="1"/>
  <c r="K139" i="39" s="1"/>
  <c r="L140" i="39" s="1"/>
  <c r="M141" i="39" s="1"/>
  <c r="N142" i="39" s="1"/>
  <c r="C132" i="39"/>
  <c r="D133" i="39" s="1"/>
  <c r="E134" i="39" s="1"/>
  <c r="F135" i="39" s="1"/>
  <c r="G136" i="39" s="1"/>
  <c r="H137" i="39" s="1"/>
  <c r="I138" i="39" s="1"/>
  <c r="J139" i="39" s="1"/>
  <c r="K140" i="39" s="1"/>
  <c r="L141" i="39" s="1"/>
  <c r="M142" i="39" s="1"/>
  <c r="N143" i="39" s="1"/>
  <c r="C133" i="39"/>
  <c r="D134" i="39" s="1"/>
  <c r="E135" i="39" s="1"/>
  <c r="F136" i="39" s="1"/>
  <c r="G137" i="39" s="1"/>
  <c r="H138" i="39" s="1"/>
  <c r="I139" i="39" s="1"/>
  <c r="J140" i="39" s="1"/>
  <c r="K141" i="39" s="1"/>
  <c r="L142" i="39" s="1"/>
  <c r="M143" i="39" s="1"/>
  <c r="N144" i="39" s="1"/>
  <c r="C134" i="39"/>
  <c r="D135" i="39" s="1"/>
  <c r="E136" i="39" s="1"/>
  <c r="F137" i="39" s="1"/>
  <c r="G138" i="39" s="1"/>
  <c r="H139" i="39" s="1"/>
  <c r="I140" i="39" s="1"/>
  <c r="J141" i="39" s="1"/>
  <c r="K142" i="39" s="1"/>
  <c r="L143" i="39" s="1"/>
  <c r="M144" i="39" s="1"/>
  <c r="N145" i="39" s="1"/>
  <c r="C135" i="39"/>
  <c r="D136" i="39" s="1"/>
  <c r="E137" i="39" s="1"/>
  <c r="F138" i="39" s="1"/>
  <c r="G139" i="39" s="1"/>
  <c r="H140" i="39" s="1"/>
  <c r="I141" i="39" s="1"/>
  <c r="J142" i="39" s="1"/>
  <c r="K143" i="39" s="1"/>
  <c r="L144" i="39" s="1"/>
  <c r="M145" i="39" s="1"/>
  <c r="N146" i="39" s="1"/>
  <c r="C136" i="39"/>
  <c r="D137" i="39" s="1"/>
  <c r="E138" i="39" s="1"/>
  <c r="F139" i="39" s="1"/>
  <c r="G140" i="39" s="1"/>
  <c r="H141" i="39" s="1"/>
  <c r="I142" i="39" s="1"/>
  <c r="J143" i="39" s="1"/>
  <c r="K144" i="39" s="1"/>
  <c r="L145" i="39" s="1"/>
  <c r="M146" i="39" s="1"/>
  <c r="N147" i="39" s="1"/>
  <c r="C137" i="39"/>
  <c r="D138" i="39" s="1"/>
  <c r="E139" i="39" s="1"/>
  <c r="F140" i="39" s="1"/>
  <c r="G141" i="39" s="1"/>
  <c r="H142" i="39" s="1"/>
  <c r="I143" i="39" s="1"/>
  <c r="J144" i="39" s="1"/>
  <c r="K145" i="39" s="1"/>
  <c r="L146" i="39" s="1"/>
  <c r="M147" i="39" s="1"/>
  <c r="N148" i="39" s="1"/>
  <c r="C138" i="39"/>
  <c r="D139" i="39" s="1"/>
  <c r="E140" i="39" s="1"/>
  <c r="F141" i="39" s="1"/>
  <c r="G142" i="39" s="1"/>
  <c r="H143" i="39" s="1"/>
  <c r="I144" i="39" s="1"/>
  <c r="J145" i="39" s="1"/>
  <c r="K146" i="39" s="1"/>
  <c r="L147" i="39" s="1"/>
  <c r="M148" i="39" s="1"/>
  <c r="N149" i="39" s="1"/>
  <c r="C139" i="39"/>
  <c r="D140" i="39" s="1"/>
  <c r="E141" i="39" s="1"/>
  <c r="F142" i="39" s="1"/>
  <c r="G143" i="39" s="1"/>
  <c r="H144" i="39" s="1"/>
  <c r="I145" i="39" s="1"/>
  <c r="J146" i="39" s="1"/>
  <c r="K147" i="39" s="1"/>
  <c r="L148" i="39" s="1"/>
  <c r="M149" i="39" s="1"/>
  <c r="N150" i="39" s="1"/>
  <c r="C140" i="39"/>
  <c r="D141" i="39" s="1"/>
  <c r="E142" i="39" s="1"/>
  <c r="F143" i="39" s="1"/>
  <c r="G144" i="39" s="1"/>
  <c r="H145" i="39" s="1"/>
  <c r="I146" i="39" s="1"/>
  <c r="J147" i="39" s="1"/>
  <c r="K148" i="39" s="1"/>
  <c r="L149" i="39" s="1"/>
  <c r="M150" i="39" s="1"/>
  <c r="N151" i="39" s="1"/>
  <c r="C141" i="39"/>
  <c r="D142" i="39" s="1"/>
  <c r="E143" i="39" s="1"/>
  <c r="F144" i="39" s="1"/>
  <c r="G145" i="39" s="1"/>
  <c r="H146" i="39" s="1"/>
  <c r="I147" i="39" s="1"/>
  <c r="J148" i="39" s="1"/>
  <c r="K149" i="39" s="1"/>
  <c r="L150" i="39" s="1"/>
  <c r="M151" i="39" s="1"/>
  <c r="N152" i="39" s="1"/>
  <c r="C142" i="39"/>
  <c r="D143" i="39" s="1"/>
  <c r="E144" i="39" s="1"/>
  <c r="F145" i="39" s="1"/>
  <c r="G146" i="39" s="1"/>
  <c r="H147" i="39" s="1"/>
  <c r="I148" i="39" s="1"/>
  <c r="J149" i="39" s="1"/>
  <c r="K150" i="39" s="1"/>
  <c r="L151" i="39" s="1"/>
  <c r="M152" i="39" s="1"/>
  <c r="N153" i="39" s="1"/>
  <c r="C143" i="39"/>
  <c r="D144" i="39" s="1"/>
  <c r="E145" i="39" s="1"/>
  <c r="F146" i="39" s="1"/>
  <c r="G147" i="39" s="1"/>
  <c r="H148" i="39" s="1"/>
  <c r="I149" i="39" s="1"/>
  <c r="J150" i="39" s="1"/>
  <c r="K151" i="39" s="1"/>
  <c r="L152" i="39" s="1"/>
  <c r="M153" i="39" s="1"/>
  <c r="N154" i="39" s="1"/>
  <c r="C144" i="39"/>
  <c r="D145" i="39" s="1"/>
  <c r="E146" i="39" s="1"/>
  <c r="F147" i="39" s="1"/>
  <c r="G148" i="39" s="1"/>
  <c r="H149" i="39" s="1"/>
  <c r="I150" i="39" s="1"/>
  <c r="J151" i="39" s="1"/>
  <c r="K152" i="39" s="1"/>
  <c r="L153" i="39" s="1"/>
  <c r="M154" i="39" s="1"/>
  <c r="N155" i="39" s="1"/>
  <c r="C145" i="39"/>
  <c r="D146" i="39" s="1"/>
  <c r="E147" i="39" s="1"/>
  <c r="F148" i="39" s="1"/>
  <c r="G149" i="39" s="1"/>
  <c r="H150" i="39" s="1"/>
  <c r="I151" i="39" s="1"/>
  <c r="J152" i="39" s="1"/>
  <c r="K153" i="39" s="1"/>
  <c r="L154" i="39" s="1"/>
  <c r="M155" i="39" s="1"/>
  <c r="N156" i="39" s="1"/>
  <c r="C146" i="39"/>
  <c r="D147" i="39" s="1"/>
  <c r="E148" i="39" s="1"/>
  <c r="F149" i="39" s="1"/>
  <c r="G150" i="39" s="1"/>
  <c r="H151" i="39" s="1"/>
  <c r="I152" i="39" s="1"/>
  <c r="J153" i="39" s="1"/>
  <c r="K154" i="39" s="1"/>
  <c r="L155" i="39" s="1"/>
  <c r="M156" i="39" s="1"/>
  <c r="N157" i="39" s="1"/>
  <c r="C147" i="39"/>
  <c r="D148" i="39" s="1"/>
  <c r="E149" i="39" s="1"/>
  <c r="F150" i="39" s="1"/>
  <c r="G151" i="39" s="1"/>
  <c r="H152" i="39" s="1"/>
  <c r="I153" i="39" s="1"/>
  <c r="J154" i="39" s="1"/>
  <c r="K155" i="39" s="1"/>
  <c r="L156" i="39" s="1"/>
  <c r="M157" i="39" s="1"/>
  <c r="N158" i="39" s="1"/>
  <c r="C148" i="39"/>
  <c r="D149" i="39" s="1"/>
  <c r="E150" i="39" s="1"/>
  <c r="F151" i="39" s="1"/>
  <c r="G152" i="39" s="1"/>
  <c r="H153" i="39" s="1"/>
  <c r="I154" i="39" s="1"/>
  <c r="J155" i="39" s="1"/>
  <c r="K156" i="39" s="1"/>
  <c r="L157" i="39" s="1"/>
  <c r="M158" i="39" s="1"/>
  <c r="N159" i="39" s="1"/>
  <c r="C149" i="39"/>
  <c r="D150" i="39" s="1"/>
  <c r="E151" i="39" s="1"/>
  <c r="F152" i="39" s="1"/>
  <c r="G153" i="39" s="1"/>
  <c r="H154" i="39" s="1"/>
  <c r="I155" i="39" s="1"/>
  <c r="J156" i="39" s="1"/>
  <c r="K157" i="39" s="1"/>
  <c r="L158" i="39" s="1"/>
  <c r="M159" i="39" s="1"/>
  <c r="N160" i="39" s="1"/>
  <c r="C150" i="39"/>
  <c r="D151" i="39" s="1"/>
  <c r="E152" i="39" s="1"/>
  <c r="F153" i="39" s="1"/>
  <c r="G154" i="39" s="1"/>
  <c r="H155" i="39" s="1"/>
  <c r="I156" i="39" s="1"/>
  <c r="J157" i="39" s="1"/>
  <c r="K158" i="39" s="1"/>
  <c r="L159" i="39" s="1"/>
  <c r="M160" i="39" s="1"/>
  <c r="N161" i="39" s="1"/>
  <c r="C151" i="39"/>
  <c r="D152" i="39" s="1"/>
  <c r="E153" i="39" s="1"/>
  <c r="F154" i="39" s="1"/>
  <c r="G155" i="39" s="1"/>
  <c r="H156" i="39" s="1"/>
  <c r="I157" i="39" s="1"/>
  <c r="J158" i="39" s="1"/>
  <c r="K159" i="39" s="1"/>
  <c r="L160" i="39" s="1"/>
  <c r="M161" i="39" s="1"/>
  <c r="N162" i="39" s="1"/>
  <c r="C152" i="39"/>
  <c r="D153" i="39" s="1"/>
  <c r="E154" i="39" s="1"/>
  <c r="F155" i="39" s="1"/>
  <c r="G156" i="39" s="1"/>
  <c r="H157" i="39" s="1"/>
  <c r="I158" i="39" s="1"/>
  <c r="J159" i="39" s="1"/>
  <c r="K160" i="39" s="1"/>
  <c r="L161" i="39" s="1"/>
  <c r="M162" i="39" s="1"/>
  <c r="N163" i="39" s="1"/>
  <c r="C153" i="39"/>
  <c r="D154" i="39" s="1"/>
  <c r="E155" i="39" s="1"/>
  <c r="F156" i="39" s="1"/>
  <c r="G157" i="39" s="1"/>
  <c r="H158" i="39" s="1"/>
  <c r="I159" i="39" s="1"/>
  <c r="J160" i="39" s="1"/>
  <c r="K161" i="39" s="1"/>
  <c r="L162" i="39" s="1"/>
  <c r="M163" i="39" s="1"/>
  <c r="N164" i="39" s="1"/>
  <c r="C154" i="39"/>
  <c r="D155" i="39" s="1"/>
  <c r="E156" i="39" s="1"/>
  <c r="F157" i="39" s="1"/>
  <c r="G158" i="39" s="1"/>
  <c r="H159" i="39" s="1"/>
  <c r="I160" i="39" s="1"/>
  <c r="J161" i="39" s="1"/>
  <c r="K162" i="39" s="1"/>
  <c r="L163" i="39" s="1"/>
  <c r="M164" i="39" s="1"/>
  <c r="N165" i="39" s="1"/>
  <c r="C155" i="39"/>
  <c r="D156" i="39" s="1"/>
  <c r="E157" i="39" s="1"/>
  <c r="F158" i="39" s="1"/>
  <c r="G159" i="39" s="1"/>
  <c r="H160" i="39" s="1"/>
  <c r="I161" i="39" s="1"/>
  <c r="J162" i="39" s="1"/>
  <c r="K163" i="39" s="1"/>
  <c r="L164" i="39" s="1"/>
  <c r="M165" i="39" s="1"/>
  <c r="N166" i="39" s="1"/>
  <c r="C156" i="39"/>
  <c r="D157" i="39" s="1"/>
  <c r="E158" i="39" s="1"/>
  <c r="F159" i="39" s="1"/>
  <c r="G160" i="39" s="1"/>
  <c r="H161" i="39" s="1"/>
  <c r="I162" i="39" s="1"/>
  <c r="J163" i="39" s="1"/>
  <c r="K164" i="39" s="1"/>
  <c r="L165" i="39" s="1"/>
  <c r="M166" i="39" s="1"/>
  <c r="N167" i="39" s="1"/>
  <c r="C157" i="39"/>
  <c r="D158" i="39" s="1"/>
  <c r="E159" i="39" s="1"/>
  <c r="F160" i="39" s="1"/>
  <c r="G161" i="39" s="1"/>
  <c r="H162" i="39" s="1"/>
  <c r="I163" i="39" s="1"/>
  <c r="J164" i="39" s="1"/>
  <c r="K165" i="39" s="1"/>
  <c r="L166" i="39" s="1"/>
  <c r="M167" i="39" s="1"/>
  <c r="N168" i="39" s="1"/>
  <c r="C158" i="39"/>
  <c r="D159" i="39" s="1"/>
  <c r="E160" i="39" s="1"/>
  <c r="F161" i="39" s="1"/>
  <c r="G162" i="39" s="1"/>
  <c r="H163" i="39" s="1"/>
  <c r="I164" i="39" s="1"/>
  <c r="J165" i="39" s="1"/>
  <c r="K166" i="39" s="1"/>
  <c r="L167" i="39" s="1"/>
  <c r="M168" i="39" s="1"/>
  <c r="N169" i="39" s="1"/>
  <c r="C159" i="39"/>
  <c r="D160" i="39" s="1"/>
  <c r="E161" i="39" s="1"/>
  <c r="F162" i="39" s="1"/>
  <c r="G163" i="39" s="1"/>
  <c r="H164" i="39" s="1"/>
  <c r="I165" i="39" s="1"/>
  <c r="J166" i="39" s="1"/>
  <c r="K167" i="39" s="1"/>
  <c r="L168" i="39" s="1"/>
  <c r="M169" i="39" s="1"/>
  <c r="N170" i="39" s="1"/>
  <c r="C160" i="39"/>
  <c r="D161" i="39" s="1"/>
  <c r="E162" i="39" s="1"/>
  <c r="F163" i="39" s="1"/>
  <c r="G164" i="39" s="1"/>
  <c r="H165" i="39" s="1"/>
  <c r="I166" i="39" s="1"/>
  <c r="J167" i="39" s="1"/>
  <c r="K168" i="39" s="1"/>
  <c r="L169" i="39" s="1"/>
  <c r="M170" i="39" s="1"/>
  <c r="N171" i="39" s="1"/>
  <c r="C161" i="39"/>
  <c r="D162" i="39" s="1"/>
  <c r="E163" i="39" s="1"/>
  <c r="F164" i="39" s="1"/>
  <c r="G165" i="39" s="1"/>
  <c r="H166" i="39" s="1"/>
  <c r="I167" i="39" s="1"/>
  <c r="J168" i="39" s="1"/>
  <c r="K169" i="39" s="1"/>
  <c r="L170" i="39" s="1"/>
  <c r="M171" i="39" s="1"/>
  <c r="N172" i="39" s="1"/>
  <c r="C162" i="39"/>
  <c r="D163" i="39" s="1"/>
  <c r="E164" i="39" s="1"/>
  <c r="F165" i="39" s="1"/>
  <c r="G166" i="39" s="1"/>
  <c r="H167" i="39" s="1"/>
  <c r="I168" i="39" s="1"/>
  <c r="J169" i="39" s="1"/>
  <c r="K170" i="39" s="1"/>
  <c r="L171" i="39" s="1"/>
  <c r="M172" i="39" s="1"/>
  <c r="N173" i="39" s="1"/>
  <c r="C163" i="39"/>
  <c r="D164" i="39" s="1"/>
  <c r="E165" i="39" s="1"/>
  <c r="F166" i="39" s="1"/>
  <c r="G167" i="39" s="1"/>
  <c r="H168" i="39" s="1"/>
  <c r="I169" i="39" s="1"/>
  <c r="J170" i="39" s="1"/>
  <c r="K171" i="39" s="1"/>
  <c r="L172" i="39" s="1"/>
  <c r="M173" i="39" s="1"/>
  <c r="N174" i="39" s="1"/>
  <c r="C164" i="39"/>
  <c r="D165" i="39" s="1"/>
  <c r="E166" i="39" s="1"/>
  <c r="F167" i="39" s="1"/>
  <c r="G168" i="39" s="1"/>
  <c r="H169" i="39" s="1"/>
  <c r="I170" i="39" s="1"/>
  <c r="J171" i="39" s="1"/>
  <c r="K172" i="39" s="1"/>
  <c r="L173" i="39" s="1"/>
  <c r="M174" i="39" s="1"/>
  <c r="N175" i="39" s="1"/>
  <c r="C165" i="39"/>
  <c r="D166" i="39" s="1"/>
  <c r="E167" i="39" s="1"/>
  <c r="F168" i="39" s="1"/>
  <c r="G169" i="39" s="1"/>
  <c r="H170" i="39" s="1"/>
  <c r="I171" i="39" s="1"/>
  <c r="J172" i="39" s="1"/>
  <c r="K173" i="39" s="1"/>
  <c r="L174" i="39" s="1"/>
  <c r="M175" i="39" s="1"/>
  <c r="N176" i="39" s="1"/>
  <c r="C166" i="39"/>
  <c r="D167" i="39" s="1"/>
  <c r="E168" i="39" s="1"/>
  <c r="F169" i="39" s="1"/>
  <c r="G170" i="39" s="1"/>
  <c r="H171" i="39" s="1"/>
  <c r="I172" i="39" s="1"/>
  <c r="J173" i="39" s="1"/>
  <c r="K174" i="39" s="1"/>
  <c r="L175" i="39" s="1"/>
  <c r="M176" i="39" s="1"/>
  <c r="N177" i="39" s="1"/>
  <c r="C167" i="39"/>
  <c r="D168" i="39" s="1"/>
  <c r="E169" i="39" s="1"/>
  <c r="F170" i="39" s="1"/>
  <c r="G171" i="39" s="1"/>
  <c r="H172" i="39" s="1"/>
  <c r="I173" i="39" s="1"/>
  <c r="J174" i="39" s="1"/>
  <c r="K175" i="39" s="1"/>
  <c r="L176" i="39" s="1"/>
  <c r="M177" i="39" s="1"/>
  <c r="N178" i="39" s="1"/>
  <c r="C168" i="39"/>
  <c r="D169" i="39" s="1"/>
  <c r="E170" i="39" s="1"/>
  <c r="F171" i="39" s="1"/>
  <c r="G172" i="39" s="1"/>
  <c r="H173" i="39" s="1"/>
  <c r="I174" i="39" s="1"/>
  <c r="J175" i="39" s="1"/>
  <c r="K176" i="39" s="1"/>
  <c r="L177" i="39" s="1"/>
  <c r="M178" i="39" s="1"/>
  <c r="N179" i="39" s="1"/>
  <c r="C169" i="39"/>
  <c r="D170" i="39" s="1"/>
  <c r="E171" i="39" s="1"/>
  <c r="F172" i="39" s="1"/>
  <c r="G173" i="39" s="1"/>
  <c r="H174" i="39" s="1"/>
  <c r="I175" i="39" s="1"/>
  <c r="J176" i="39" s="1"/>
  <c r="K177" i="39" s="1"/>
  <c r="L178" i="39" s="1"/>
  <c r="M179" i="39" s="1"/>
  <c r="N180" i="39" s="1"/>
  <c r="C170" i="39"/>
  <c r="D171" i="39" s="1"/>
  <c r="E172" i="39" s="1"/>
  <c r="F173" i="39" s="1"/>
  <c r="G174" i="39" s="1"/>
  <c r="H175" i="39" s="1"/>
  <c r="I176" i="39" s="1"/>
  <c r="J177" i="39" s="1"/>
  <c r="K178" i="39" s="1"/>
  <c r="L179" i="39" s="1"/>
  <c r="M180" i="39" s="1"/>
  <c r="N181" i="39" s="1"/>
  <c r="C171" i="39"/>
  <c r="D172" i="39" s="1"/>
  <c r="E173" i="39" s="1"/>
  <c r="F174" i="39" s="1"/>
  <c r="G175" i="39" s="1"/>
  <c r="H176" i="39" s="1"/>
  <c r="I177" i="39" s="1"/>
  <c r="J178" i="39" s="1"/>
  <c r="K179" i="39" s="1"/>
  <c r="L180" i="39" s="1"/>
  <c r="M181" i="39" s="1"/>
  <c r="N182" i="39" s="1"/>
  <c r="C172" i="39"/>
  <c r="D173" i="39" s="1"/>
  <c r="E174" i="39" s="1"/>
  <c r="F175" i="39" s="1"/>
  <c r="G176" i="39" s="1"/>
  <c r="H177" i="39" s="1"/>
  <c r="I178" i="39" s="1"/>
  <c r="J179" i="39" s="1"/>
  <c r="K180" i="39" s="1"/>
  <c r="L181" i="39" s="1"/>
  <c r="M182" i="39" s="1"/>
  <c r="N183" i="39" s="1"/>
  <c r="C173" i="39"/>
  <c r="D174" i="39" s="1"/>
  <c r="E175" i="39" s="1"/>
  <c r="F176" i="39" s="1"/>
  <c r="G177" i="39" s="1"/>
  <c r="H178" i="39" s="1"/>
  <c r="I179" i="39" s="1"/>
  <c r="J180" i="39" s="1"/>
  <c r="K181" i="39" s="1"/>
  <c r="L182" i="39" s="1"/>
  <c r="M183" i="39" s="1"/>
  <c r="N184" i="39" s="1"/>
  <c r="C174" i="39"/>
  <c r="D175" i="39" s="1"/>
  <c r="E176" i="39" s="1"/>
  <c r="F177" i="39" s="1"/>
  <c r="G178" i="39" s="1"/>
  <c r="H179" i="39" s="1"/>
  <c r="I180" i="39" s="1"/>
  <c r="J181" i="39" s="1"/>
  <c r="K182" i="39" s="1"/>
  <c r="L183" i="39" s="1"/>
  <c r="M184" i="39" s="1"/>
  <c r="N185" i="39" s="1"/>
  <c r="C175" i="39"/>
  <c r="D176" i="39" s="1"/>
  <c r="E177" i="39" s="1"/>
  <c r="F178" i="39" s="1"/>
  <c r="G179" i="39" s="1"/>
  <c r="H180" i="39" s="1"/>
  <c r="I181" i="39" s="1"/>
  <c r="J182" i="39" s="1"/>
  <c r="K183" i="39" s="1"/>
  <c r="L184" i="39" s="1"/>
  <c r="M185" i="39" s="1"/>
  <c r="N186" i="39" s="1"/>
  <c r="C176" i="39"/>
  <c r="D177" i="39" s="1"/>
  <c r="E178" i="39" s="1"/>
  <c r="F179" i="39" s="1"/>
  <c r="G180" i="39" s="1"/>
  <c r="H181" i="39" s="1"/>
  <c r="I182" i="39" s="1"/>
  <c r="J183" i="39" s="1"/>
  <c r="K184" i="39" s="1"/>
  <c r="L185" i="39" s="1"/>
  <c r="M186" i="39" s="1"/>
  <c r="N187" i="39" s="1"/>
  <c r="C177" i="39"/>
  <c r="D178" i="39" s="1"/>
  <c r="E179" i="39" s="1"/>
  <c r="F180" i="39" s="1"/>
  <c r="G181" i="39" s="1"/>
  <c r="H182" i="39" s="1"/>
  <c r="I183" i="39" s="1"/>
  <c r="J184" i="39" s="1"/>
  <c r="K185" i="39" s="1"/>
  <c r="L186" i="39" s="1"/>
  <c r="M187" i="39" s="1"/>
  <c r="N188" i="39" s="1"/>
  <c r="C178" i="39"/>
  <c r="D179" i="39" s="1"/>
  <c r="E180" i="39" s="1"/>
  <c r="F181" i="39" s="1"/>
  <c r="G182" i="39" s="1"/>
  <c r="H183" i="39" s="1"/>
  <c r="I184" i="39" s="1"/>
  <c r="J185" i="39" s="1"/>
  <c r="K186" i="39" s="1"/>
  <c r="L187" i="39" s="1"/>
  <c r="M188" i="39" s="1"/>
  <c r="N189" i="39" s="1"/>
  <c r="C179" i="39"/>
  <c r="D180" i="39" s="1"/>
  <c r="E181" i="39" s="1"/>
  <c r="F182" i="39" s="1"/>
  <c r="G183" i="39" s="1"/>
  <c r="H184" i="39" s="1"/>
  <c r="I185" i="39" s="1"/>
  <c r="J186" i="39" s="1"/>
  <c r="K187" i="39" s="1"/>
  <c r="L188" i="39" s="1"/>
  <c r="M189" i="39" s="1"/>
  <c r="N190" i="39" s="1"/>
  <c r="C180" i="39"/>
  <c r="D181" i="39" s="1"/>
  <c r="E182" i="39" s="1"/>
  <c r="F183" i="39" s="1"/>
  <c r="G184" i="39" s="1"/>
  <c r="H185" i="39" s="1"/>
  <c r="I186" i="39" s="1"/>
  <c r="J187" i="39" s="1"/>
  <c r="K188" i="39" s="1"/>
  <c r="L189" i="39" s="1"/>
  <c r="M190" i="39" s="1"/>
  <c r="N191" i="39" s="1"/>
  <c r="C181" i="39"/>
  <c r="D182" i="39" s="1"/>
  <c r="E183" i="39" s="1"/>
  <c r="F184" i="39" s="1"/>
  <c r="G185" i="39" s="1"/>
  <c r="H186" i="39" s="1"/>
  <c r="I187" i="39" s="1"/>
  <c r="J188" i="39" s="1"/>
  <c r="K189" i="39" s="1"/>
  <c r="L190" i="39" s="1"/>
  <c r="M191" i="39" s="1"/>
  <c r="N192" i="39" s="1"/>
  <c r="C182" i="39"/>
  <c r="D183" i="39" s="1"/>
  <c r="E184" i="39" s="1"/>
  <c r="F185" i="39" s="1"/>
  <c r="G186" i="39" s="1"/>
  <c r="H187" i="39" s="1"/>
  <c r="I188" i="39" s="1"/>
  <c r="J189" i="39" s="1"/>
  <c r="K190" i="39" s="1"/>
  <c r="L191" i="39" s="1"/>
  <c r="M192" i="39" s="1"/>
  <c r="N193" i="39" s="1"/>
  <c r="C183" i="39"/>
  <c r="D184" i="39" s="1"/>
  <c r="E185" i="39" s="1"/>
  <c r="F186" i="39" s="1"/>
  <c r="G187" i="39" s="1"/>
  <c r="H188" i="39" s="1"/>
  <c r="I189" i="39" s="1"/>
  <c r="J190" i="39" s="1"/>
  <c r="K191" i="39" s="1"/>
  <c r="L192" i="39" s="1"/>
  <c r="M193" i="39" s="1"/>
  <c r="N194" i="39" s="1"/>
  <c r="C184" i="39"/>
  <c r="D185" i="39" s="1"/>
  <c r="E186" i="39" s="1"/>
  <c r="F187" i="39" s="1"/>
  <c r="G188" i="39" s="1"/>
  <c r="H189" i="39" s="1"/>
  <c r="I190" i="39" s="1"/>
  <c r="J191" i="39" s="1"/>
  <c r="K192" i="39" s="1"/>
  <c r="L193" i="39" s="1"/>
  <c r="M194" i="39" s="1"/>
  <c r="N195" i="39" s="1"/>
  <c r="C185" i="39"/>
  <c r="D186" i="39" s="1"/>
  <c r="E187" i="39" s="1"/>
  <c r="F188" i="39" s="1"/>
  <c r="G189" i="39" s="1"/>
  <c r="H190" i="39" s="1"/>
  <c r="I191" i="39" s="1"/>
  <c r="J192" i="39" s="1"/>
  <c r="K193" i="39" s="1"/>
  <c r="L194" i="39" s="1"/>
  <c r="M195" i="39" s="1"/>
  <c r="N196" i="39" s="1"/>
  <c r="C186" i="39"/>
  <c r="D187" i="39" s="1"/>
  <c r="E188" i="39" s="1"/>
  <c r="F189" i="39" s="1"/>
  <c r="G190" i="39" s="1"/>
  <c r="H191" i="39" s="1"/>
  <c r="I192" i="39" s="1"/>
  <c r="J193" i="39" s="1"/>
  <c r="K194" i="39" s="1"/>
  <c r="L195" i="39" s="1"/>
  <c r="M196" i="39" s="1"/>
  <c r="N197" i="39" s="1"/>
  <c r="C187" i="39"/>
  <c r="D188" i="39" s="1"/>
  <c r="E189" i="39" s="1"/>
  <c r="F190" i="39" s="1"/>
  <c r="G191" i="39" s="1"/>
  <c r="H192" i="39" s="1"/>
  <c r="I193" i="39" s="1"/>
  <c r="J194" i="39" s="1"/>
  <c r="K195" i="39" s="1"/>
  <c r="L196" i="39" s="1"/>
  <c r="M197" i="39" s="1"/>
  <c r="N198" i="39" s="1"/>
  <c r="C188" i="39"/>
  <c r="D189" i="39" s="1"/>
  <c r="E190" i="39" s="1"/>
  <c r="F191" i="39" s="1"/>
  <c r="G192" i="39" s="1"/>
  <c r="H193" i="39" s="1"/>
  <c r="I194" i="39" s="1"/>
  <c r="J195" i="39" s="1"/>
  <c r="K196" i="39" s="1"/>
  <c r="L197" i="39" s="1"/>
  <c r="M198" i="39" s="1"/>
  <c r="N199" i="39" s="1"/>
  <c r="C189" i="39"/>
  <c r="D190" i="39" s="1"/>
  <c r="E191" i="39" s="1"/>
  <c r="F192" i="39" s="1"/>
  <c r="G193" i="39" s="1"/>
  <c r="H194" i="39" s="1"/>
  <c r="I195" i="39" s="1"/>
  <c r="J196" i="39" s="1"/>
  <c r="K197" i="39" s="1"/>
  <c r="L198" i="39" s="1"/>
  <c r="M199" i="39" s="1"/>
  <c r="N200" i="39" s="1"/>
  <c r="C190" i="39"/>
  <c r="D191" i="39" s="1"/>
  <c r="E192" i="39" s="1"/>
  <c r="F193" i="39" s="1"/>
  <c r="G194" i="39" s="1"/>
  <c r="H195" i="39" s="1"/>
  <c r="I196" i="39" s="1"/>
  <c r="J197" i="39" s="1"/>
  <c r="K198" i="39" s="1"/>
  <c r="L199" i="39" s="1"/>
  <c r="M200" i="39" s="1"/>
  <c r="N201" i="39" s="1"/>
  <c r="C191" i="39"/>
  <c r="D192" i="39" s="1"/>
  <c r="E193" i="39" s="1"/>
  <c r="F194" i="39" s="1"/>
  <c r="G195" i="39" s="1"/>
  <c r="H196" i="39" s="1"/>
  <c r="I197" i="39" s="1"/>
  <c r="J198" i="39" s="1"/>
  <c r="K199" i="39" s="1"/>
  <c r="L200" i="39" s="1"/>
  <c r="M201" i="39" s="1"/>
  <c r="N202" i="39" s="1"/>
  <c r="C192" i="39"/>
  <c r="D193" i="39" s="1"/>
  <c r="E194" i="39" s="1"/>
  <c r="F195" i="39" s="1"/>
  <c r="G196" i="39" s="1"/>
  <c r="H197" i="39" s="1"/>
  <c r="I198" i="39" s="1"/>
  <c r="J199" i="39" s="1"/>
  <c r="K200" i="39" s="1"/>
  <c r="L201" i="39" s="1"/>
  <c r="M202" i="39" s="1"/>
  <c r="N203" i="39" s="1"/>
  <c r="C193" i="39"/>
  <c r="D194" i="39" s="1"/>
  <c r="E195" i="39" s="1"/>
  <c r="F196" i="39" s="1"/>
  <c r="G197" i="39" s="1"/>
  <c r="H198" i="39" s="1"/>
  <c r="I199" i="39" s="1"/>
  <c r="J200" i="39" s="1"/>
  <c r="K201" i="39" s="1"/>
  <c r="L202" i="39" s="1"/>
  <c r="M203" i="39" s="1"/>
  <c r="N204" i="39" s="1"/>
  <c r="C194" i="39"/>
  <c r="D195" i="39" s="1"/>
  <c r="E196" i="39" s="1"/>
  <c r="F197" i="39" s="1"/>
  <c r="G198" i="39" s="1"/>
  <c r="H199" i="39" s="1"/>
  <c r="I200" i="39" s="1"/>
  <c r="J201" i="39" s="1"/>
  <c r="K202" i="39" s="1"/>
  <c r="L203" i="39" s="1"/>
  <c r="M204" i="39" s="1"/>
  <c r="N205" i="39" s="1"/>
  <c r="C195" i="39"/>
  <c r="D196" i="39" s="1"/>
  <c r="E197" i="39" s="1"/>
  <c r="F198" i="39" s="1"/>
  <c r="G199" i="39" s="1"/>
  <c r="H200" i="39" s="1"/>
  <c r="I201" i="39" s="1"/>
  <c r="J202" i="39" s="1"/>
  <c r="K203" i="39" s="1"/>
  <c r="L204" i="39" s="1"/>
  <c r="M205" i="39" s="1"/>
  <c r="N206" i="39" s="1"/>
  <c r="C196" i="39"/>
  <c r="D197" i="39" s="1"/>
  <c r="E198" i="39" s="1"/>
  <c r="F199" i="39" s="1"/>
  <c r="G200" i="39" s="1"/>
  <c r="H201" i="39" s="1"/>
  <c r="I202" i="39" s="1"/>
  <c r="J203" i="39" s="1"/>
  <c r="K204" i="39" s="1"/>
  <c r="L205" i="39" s="1"/>
  <c r="M206" i="39" s="1"/>
  <c r="N207" i="39" s="1"/>
  <c r="C197" i="39"/>
  <c r="D198" i="39" s="1"/>
  <c r="E199" i="39" s="1"/>
  <c r="F200" i="39" s="1"/>
  <c r="G201" i="39" s="1"/>
  <c r="H202" i="39" s="1"/>
  <c r="I203" i="39" s="1"/>
  <c r="J204" i="39" s="1"/>
  <c r="K205" i="39" s="1"/>
  <c r="L206" i="39" s="1"/>
  <c r="M207" i="39" s="1"/>
  <c r="N208" i="39" s="1"/>
  <c r="C198" i="39"/>
  <c r="D199" i="39" s="1"/>
  <c r="E200" i="39" s="1"/>
  <c r="F201" i="39" s="1"/>
  <c r="G202" i="39" s="1"/>
  <c r="H203" i="39" s="1"/>
  <c r="I204" i="39" s="1"/>
  <c r="J205" i="39" s="1"/>
  <c r="K206" i="39" s="1"/>
  <c r="L207" i="39" s="1"/>
  <c r="M208" i="39" s="1"/>
  <c r="N209" i="39" s="1"/>
  <c r="C199" i="39"/>
  <c r="D200" i="39" s="1"/>
  <c r="E201" i="39" s="1"/>
  <c r="F202" i="39" s="1"/>
  <c r="G203" i="39" s="1"/>
  <c r="H204" i="39" s="1"/>
  <c r="I205" i="39" s="1"/>
  <c r="J206" i="39" s="1"/>
  <c r="K207" i="39" s="1"/>
  <c r="L208" i="39" s="1"/>
  <c r="M209" i="39" s="1"/>
  <c r="N210" i="39" s="1"/>
  <c r="C200" i="39"/>
  <c r="D201" i="39" s="1"/>
  <c r="E202" i="39" s="1"/>
  <c r="F203" i="39" s="1"/>
  <c r="G204" i="39" s="1"/>
  <c r="H205" i="39" s="1"/>
  <c r="I206" i="39" s="1"/>
  <c r="J207" i="39" s="1"/>
  <c r="K208" i="39" s="1"/>
  <c r="L209" i="39" s="1"/>
  <c r="M210" i="39" s="1"/>
  <c r="N211" i="39" s="1"/>
  <c r="C201" i="39"/>
  <c r="D202" i="39" s="1"/>
  <c r="E203" i="39" s="1"/>
  <c r="F204" i="39" s="1"/>
  <c r="G205" i="39" s="1"/>
  <c r="H206" i="39" s="1"/>
  <c r="I207" i="39" s="1"/>
  <c r="J208" i="39" s="1"/>
  <c r="K209" i="39" s="1"/>
  <c r="L210" i="39" s="1"/>
  <c r="M211" i="39" s="1"/>
  <c r="N212" i="39" s="1"/>
  <c r="C202" i="39"/>
  <c r="D203" i="39" s="1"/>
  <c r="E204" i="39" s="1"/>
  <c r="F205" i="39" s="1"/>
  <c r="G206" i="39" s="1"/>
  <c r="H207" i="39" s="1"/>
  <c r="I208" i="39" s="1"/>
  <c r="J209" i="39" s="1"/>
  <c r="K210" i="39" s="1"/>
  <c r="L211" i="39" s="1"/>
  <c r="M212" i="39" s="1"/>
  <c r="N213" i="39" s="1"/>
  <c r="C203" i="39"/>
  <c r="D204" i="39" s="1"/>
  <c r="E205" i="39" s="1"/>
  <c r="F206" i="39" s="1"/>
  <c r="G207" i="39" s="1"/>
  <c r="H208" i="39" s="1"/>
  <c r="I209" i="39" s="1"/>
  <c r="J210" i="39" s="1"/>
  <c r="K211" i="39" s="1"/>
  <c r="L212" i="39" s="1"/>
  <c r="M213" i="39" s="1"/>
  <c r="N214" i="39" s="1"/>
  <c r="C204" i="39"/>
  <c r="D205" i="39" s="1"/>
  <c r="E206" i="39" s="1"/>
  <c r="F207" i="39" s="1"/>
  <c r="G208" i="39" s="1"/>
  <c r="H209" i="39" s="1"/>
  <c r="I210" i="39" s="1"/>
  <c r="J211" i="39" s="1"/>
  <c r="K212" i="39" s="1"/>
  <c r="L213" i="39" s="1"/>
  <c r="M214" i="39" s="1"/>
  <c r="N215" i="39" s="1"/>
  <c r="C205" i="39"/>
  <c r="D206" i="39" s="1"/>
  <c r="E207" i="39" s="1"/>
  <c r="F208" i="39" s="1"/>
  <c r="G209" i="39" s="1"/>
  <c r="H210" i="39" s="1"/>
  <c r="I211" i="39" s="1"/>
  <c r="J212" i="39" s="1"/>
  <c r="K213" i="39" s="1"/>
  <c r="L214" i="39" s="1"/>
  <c r="M215" i="39" s="1"/>
  <c r="N216" i="39" s="1"/>
  <c r="C206" i="39"/>
  <c r="D207" i="39" s="1"/>
  <c r="E208" i="39" s="1"/>
  <c r="F209" i="39" s="1"/>
  <c r="G210" i="39" s="1"/>
  <c r="H211" i="39" s="1"/>
  <c r="I212" i="39" s="1"/>
  <c r="J213" i="39" s="1"/>
  <c r="K214" i="39" s="1"/>
  <c r="L215" i="39" s="1"/>
  <c r="M216" i="39" s="1"/>
  <c r="N217" i="39" s="1"/>
  <c r="C207" i="39"/>
  <c r="D208" i="39" s="1"/>
  <c r="E209" i="39" s="1"/>
  <c r="F210" i="39" s="1"/>
  <c r="G211" i="39" s="1"/>
  <c r="H212" i="39" s="1"/>
  <c r="I213" i="39" s="1"/>
  <c r="J214" i="39" s="1"/>
  <c r="K215" i="39" s="1"/>
  <c r="L216" i="39" s="1"/>
  <c r="M217" i="39" s="1"/>
  <c r="N218" i="39" s="1"/>
  <c r="C208" i="39"/>
  <c r="D209" i="39" s="1"/>
  <c r="E210" i="39" s="1"/>
  <c r="F211" i="39" s="1"/>
  <c r="G212" i="39" s="1"/>
  <c r="H213" i="39" s="1"/>
  <c r="I214" i="39" s="1"/>
  <c r="J215" i="39" s="1"/>
  <c r="K216" i="39" s="1"/>
  <c r="L217" i="39" s="1"/>
  <c r="M218" i="39" s="1"/>
  <c r="N219" i="39" s="1"/>
  <c r="C209" i="39"/>
  <c r="D210" i="39" s="1"/>
  <c r="E211" i="39" s="1"/>
  <c r="F212" i="39" s="1"/>
  <c r="G213" i="39" s="1"/>
  <c r="H214" i="39" s="1"/>
  <c r="I215" i="39" s="1"/>
  <c r="J216" i="39" s="1"/>
  <c r="K217" i="39" s="1"/>
  <c r="L218" i="39" s="1"/>
  <c r="M219" i="39" s="1"/>
  <c r="N220" i="39" s="1"/>
  <c r="C210" i="39"/>
  <c r="D211" i="39" s="1"/>
  <c r="E212" i="39" s="1"/>
  <c r="F213" i="39" s="1"/>
  <c r="G214" i="39" s="1"/>
  <c r="H215" i="39" s="1"/>
  <c r="I216" i="39" s="1"/>
  <c r="J217" i="39" s="1"/>
  <c r="K218" i="39" s="1"/>
  <c r="L219" i="39" s="1"/>
  <c r="M220" i="39" s="1"/>
  <c r="N221" i="39" s="1"/>
  <c r="C211" i="39"/>
  <c r="D212" i="39" s="1"/>
  <c r="E213" i="39" s="1"/>
  <c r="F214" i="39" s="1"/>
  <c r="G215" i="39" s="1"/>
  <c r="H216" i="39" s="1"/>
  <c r="I217" i="39" s="1"/>
  <c r="J218" i="39" s="1"/>
  <c r="K219" i="39" s="1"/>
  <c r="L220" i="39" s="1"/>
  <c r="M221" i="39" s="1"/>
  <c r="N222" i="39" s="1"/>
  <c r="C212" i="39"/>
  <c r="D213" i="39" s="1"/>
  <c r="E214" i="39" s="1"/>
  <c r="F215" i="39" s="1"/>
  <c r="G216" i="39" s="1"/>
  <c r="H217" i="39" s="1"/>
  <c r="I218" i="39" s="1"/>
  <c r="J219" i="39" s="1"/>
  <c r="K220" i="39" s="1"/>
  <c r="L221" i="39" s="1"/>
  <c r="M222" i="39" s="1"/>
  <c r="N223" i="39" s="1"/>
  <c r="C213" i="39"/>
  <c r="D214" i="39" s="1"/>
  <c r="E215" i="39" s="1"/>
  <c r="F216" i="39" s="1"/>
  <c r="G217" i="39" s="1"/>
  <c r="H218" i="39" s="1"/>
  <c r="I219" i="39" s="1"/>
  <c r="J220" i="39" s="1"/>
  <c r="K221" i="39" s="1"/>
  <c r="L222" i="39" s="1"/>
  <c r="M223" i="39" s="1"/>
  <c r="N224" i="39" s="1"/>
  <c r="C214" i="39"/>
  <c r="D215" i="39" s="1"/>
  <c r="E216" i="39" s="1"/>
  <c r="F217" i="39" s="1"/>
  <c r="G218" i="39" s="1"/>
  <c r="H219" i="39" s="1"/>
  <c r="I220" i="39" s="1"/>
  <c r="J221" i="39" s="1"/>
  <c r="K222" i="39" s="1"/>
  <c r="L223" i="39" s="1"/>
  <c r="M224" i="39" s="1"/>
  <c r="N225" i="39" s="1"/>
  <c r="C215" i="39"/>
  <c r="D216" i="39" s="1"/>
  <c r="E217" i="39" s="1"/>
  <c r="F218" i="39" s="1"/>
  <c r="G219" i="39" s="1"/>
  <c r="H220" i="39" s="1"/>
  <c r="I221" i="39" s="1"/>
  <c r="J222" i="39" s="1"/>
  <c r="K223" i="39" s="1"/>
  <c r="L224" i="39" s="1"/>
  <c r="M225" i="39" s="1"/>
  <c r="N226" i="39" s="1"/>
  <c r="C216" i="39"/>
  <c r="D217" i="39" s="1"/>
  <c r="E218" i="39" s="1"/>
  <c r="F219" i="39" s="1"/>
  <c r="G220" i="39" s="1"/>
  <c r="H221" i="39" s="1"/>
  <c r="I222" i="39" s="1"/>
  <c r="J223" i="39" s="1"/>
  <c r="K224" i="39" s="1"/>
  <c r="L225" i="39" s="1"/>
  <c r="M226" i="39" s="1"/>
  <c r="N227" i="39" s="1"/>
  <c r="C217" i="39"/>
  <c r="D218" i="39" s="1"/>
  <c r="E219" i="39" s="1"/>
  <c r="F220" i="39" s="1"/>
  <c r="G221" i="39" s="1"/>
  <c r="H222" i="39" s="1"/>
  <c r="I223" i="39" s="1"/>
  <c r="J224" i="39" s="1"/>
  <c r="K225" i="39" s="1"/>
  <c r="L226" i="39" s="1"/>
  <c r="M227" i="39" s="1"/>
  <c r="N228" i="39" s="1"/>
  <c r="C218" i="39"/>
  <c r="D219" i="39" s="1"/>
  <c r="E220" i="39" s="1"/>
  <c r="F221" i="39" s="1"/>
  <c r="G222" i="39" s="1"/>
  <c r="H223" i="39" s="1"/>
  <c r="I224" i="39" s="1"/>
  <c r="J225" i="39" s="1"/>
  <c r="K226" i="39" s="1"/>
  <c r="L227" i="39" s="1"/>
  <c r="M228" i="39" s="1"/>
  <c r="N229" i="39" s="1"/>
  <c r="C219" i="39"/>
  <c r="D220" i="39" s="1"/>
  <c r="E221" i="39" s="1"/>
  <c r="F222" i="39" s="1"/>
  <c r="G223" i="39" s="1"/>
  <c r="H224" i="39" s="1"/>
  <c r="I225" i="39" s="1"/>
  <c r="J226" i="39" s="1"/>
  <c r="K227" i="39" s="1"/>
  <c r="L228" i="39" s="1"/>
  <c r="M229" i="39" s="1"/>
  <c r="N230" i="39" s="1"/>
  <c r="C220" i="39"/>
  <c r="D221" i="39" s="1"/>
  <c r="E222" i="39" s="1"/>
  <c r="F223" i="39" s="1"/>
  <c r="G224" i="39" s="1"/>
  <c r="H225" i="39" s="1"/>
  <c r="I226" i="39" s="1"/>
  <c r="J227" i="39" s="1"/>
  <c r="K228" i="39" s="1"/>
  <c r="L229" i="39" s="1"/>
  <c r="M230" i="39" s="1"/>
  <c r="N231" i="39" s="1"/>
  <c r="C221" i="39"/>
  <c r="D222" i="39" s="1"/>
  <c r="E223" i="39" s="1"/>
  <c r="F224" i="39" s="1"/>
  <c r="G225" i="39" s="1"/>
  <c r="H226" i="39" s="1"/>
  <c r="I227" i="39" s="1"/>
  <c r="J228" i="39" s="1"/>
  <c r="K229" i="39" s="1"/>
  <c r="L230" i="39" s="1"/>
  <c r="M231" i="39" s="1"/>
  <c r="N232" i="39" s="1"/>
  <c r="C222" i="39"/>
  <c r="D223" i="39" s="1"/>
  <c r="E224" i="39" s="1"/>
  <c r="F225" i="39" s="1"/>
  <c r="G226" i="39" s="1"/>
  <c r="H227" i="39" s="1"/>
  <c r="I228" i="39" s="1"/>
  <c r="J229" i="39" s="1"/>
  <c r="K230" i="39" s="1"/>
  <c r="L231" i="39" s="1"/>
  <c r="M232" i="39" s="1"/>
  <c r="N233" i="39" s="1"/>
  <c r="C223" i="39"/>
  <c r="D224" i="39" s="1"/>
  <c r="E225" i="39" s="1"/>
  <c r="F226" i="39" s="1"/>
  <c r="G227" i="39" s="1"/>
  <c r="H228" i="39" s="1"/>
  <c r="I229" i="39" s="1"/>
  <c r="J230" i="39" s="1"/>
  <c r="K231" i="39" s="1"/>
  <c r="L232" i="39" s="1"/>
  <c r="M233" i="39" s="1"/>
  <c r="N234" i="39" s="1"/>
  <c r="C224" i="39"/>
  <c r="D225" i="39" s="1"/>
  <c r="E226" i="39" s="1"/>
  <c r="F227" i="39" s="1"/>
  <c r="G228" i="39" s="1"/>
  <c r="H229" i="39" s="1"/>
  <c r="I230" i="39" s="1"/>
  <c r="J231" i="39" s="1"/>
  <c r="K232" i="39" s="1"/>
  <c r="L233" i="39" s="1"/>
  <c r="M234" i="39" s="1"/>
  <c r="N235" i="39" s="1"/>
  <c r="C225" i="39"/>
  <c r="D226" i="39" s="1"/>
  <c r="E227" i="39" s="1"/>
  <c r="F228" i="39" s="1"/>
  <c r="G229" i="39" s="1"/>
  <c r="H230" i="39" s="1"/>
  <c r="I231" i="39" s="1"/>
  <c r="J232" i="39" s="1"/>
  <c r="K233" i="39" s="1"/>
  <c r="L234" i="39" s="1"/>
  <c r="M235" i="39" s="1"/>
  <c r="N236" i="39" s="1"/>
  <c r="C226" i="39"/>
  <c r="D227" i="39" s="1"/>
  <c r="E228" i="39" s="1"/>
  <c r="F229" i="39" s="1"/>
  <c r="G230" i="39" s="1"/>
  <c r="H231" i="39" s="1"/>
  <c r="I232" i="39" s="1"/>
  <c r="J233" i="39" s="1"/>
  <c r="K234" i="39" s="1"/>
  <c r="L235" i="39" s="1"/>
  <c r="M236" i="39" s="1"/>
  <c r="N237" i="39" s="1"/>
  <c r="C227" i="39"/>
  <c r="D228" i="39" s="1"/>
  <c r="E229" i="39" s="1"/>
  <c r="F230" i="39" s="1"/>
  <c r="G231" i="39" s="1"/>
  <c r="H232" i="39" s="1"/>
  <c r="I233" i="39" s="1"/>
  <c r="J234" i="39" s="1"/>
  <c r="K235" i="39" s="1"/>
  <c r="L236" i="39" s="1"/>
  <c r="M237" i="39" s="1"/>
  <c r="N238" i="39" s="1"/>
  <c r="C228" i="39"/>
  <c r="D229" i="39" s="1"/>
  <c r="E230" i="39" s="1"/>
  <c r="F231" i="39" s="1"/>
  <c r="G232" i="39" s="1"/>
  <c r="H233" i="39" s="1"/>
  <c r="I234" i="39" s="1"/>
  <c r="J235" i="39" s="1"/>
  <c r="K236" i="39" s="1"/>
  <c r="L237" i="39" s="1"/>
  <c r="M238" i="39" s="1"/>
  <c r="N239" i="39" s="1"/>
  <c r="C229" i="39"/>
  <c r="D230" i="39" s="1"/>
  <c r="E231" i="39" s="1"/>
  <c r="F232" i="39" s="1"/>
  <c r="G233" i="39" s="1"/>
  <c r="H234" i="39" s="1"/>
  <c r="I235" i="39" s="1"/>
  <c r="J236" i="39" s="1"/>
  <c r="K237" i="39" s="1"/>
  <c r="L238" i="39" s="1"/>
  <c r="M239" i="39" s="1"/>
  <c r="N240" i="39" s="1"/>
  <c r="C230" i="39"/>
  <c r="D231" i="39" s="1"/>
  <c r="E232" i="39" s="1"/>
  <c r="F233" i="39" s="1"/>
  <c r="G234" i="39" s="1"/>
  <c r="H235" i="39" s="1"/>
  <c r="I236" i="39" s="1"/>
  <c r="J237" i="39" s="1"/>
  <c r="K238" i="39" s="1"/>
  <c r="L239" i="39" s="1"/>
  <c r="M240" i="39" s="1"/>
  <c r="N241" i="39" s="1"/>
  <c r="C231" i="39"/>
  <c r="D232" i="39" s="1"/>
  <c r="E233" i="39" s="1"/>
  <c r="F234" i="39" s="1"/>
  <c r="G235" i="39" s="1"/>
  <c r="H236" i="39" s="1"/>
  <c r="I237" i="39" s="1"/>
  <c r="J238" i="39" s="1"/>
  <c r="K239" i="39" s="1"/>
  <c r="L240" i="39" s="1"/>
  <c r="M241" i="39" s="1"/>
  <c r="N242" i="39" s="1"/>
  <c r="C232" i="39"/>
  <c r="D233" i="39" s="1"/>
  <c r="E234" i="39" s="1"/>
  <c r="F235" i="39" s="1"/>
  <c r="G236" i="39" s="1"/>
  <c r="H237" i="39" s="1"/>
  <c r="I238" i="39" s="1"/>
  <c r="J239" i="39" s="1"/>
  <c r="K240" i="39" s="1"/>
  <c r="L241" i="39" s="1"/>
  <c r="M242" i="39" s="1"/>
  <c r="N243" i="39" s="1"/>
  <c r="C233" i="39"/>
  <c r="D234" i="39" s="1"/>
  <c r="E235" i="39" s="1"/>
  <c r="F236" i="39" s="1"/>
  <c r="G237" i="39" s="1"/>
  <c r="H238" i="39" s="1"/>
  <c r="I239" i="39" s="1"/>
  <c r="J240" i="39" s="1"/>
  <c r="K241" i="39" s="1"/>
  <c r="L242" i="39" s="1"/>
  <c r="M243" i="39" s="1"/>
  <c r="N244" i="39" s="1"/>
  <c r="C234" i="39"/>
  <c r="D235" i="39" s="1"/>
  <c r="E236" i="39" s="1"/>
  <c r="F237" i="39" s="1"/>
  <c r="G238" i="39" s="1"/>
  <c r="H239" i="39" s="1"/>
  <c r="I240" i="39" s="1"/>
  <c r="J241" i="39" s="1"/>
  <c r="K242" i="39" s="1"/>
  <c r="L243" i="39" s="1"/>
  <c r="M244" i="39" s="1"/>
  <c r="N245" i="39" s="1"/>
  <c r="C235" i="39"/>
  <c r="D236" i="39" s="1"/>
  <c r="E237" i="39" s="1"/>
  <c r="F238" i="39" s="1"/>
  <c r="G239" i="39" s="1"/>
  <c r="H240" i="39" s="1"/>
  <c r="I241" i="39" s="1"/>
  <c r="J242" i="39" s="1"/>
  <c r="K243" i="39" s="1"/>
  <c r="L244" i="39" s="1"/>
  <c r="M245" i="39" s="1"/>
  <c r="N246" i="39" s="1"/>
  <c r="C236" i="39"/>
  <c r="D237" i="39" s="1"/>
  <c r="E238" i="39" s="1"/>
  <c r="F239" i="39" s="1"/>
  <c r="G240" i="39" s="1"/>
  <c r="H241" i="39" s="1"/>
  <c r="I242" i="39" s="1"/>
  <c r="J243" i="39" s="1"/>
  <c r="K244" i="39" s="1"/>
  <c r="L245" i="39" s="1"/>
  <c r="M246" i="39" s="1"/>
  <c r="N247" i="39" s="1"/>
  <c r="C237" i="39"/>
  <c r="D238" i="39" s="1"/>
  <c r="E239" i="39" s="1"/>
  <c r="F240" i="39" s="1"/>
  <c r="G241" i="39" s="1"/>
  <c r="H242" i="39" s="1"/>
  <c r="I243" i="39" s="1"/>
  <c r="J244" i="39" s="1"/>
  <c r="K245" i="39" s="1"/>
  <c r="L246" i="39" s="1"/>
  <c r="M247" i="39" s="1"/>
  <c r="N248" i="39" s="1"/>
  <c r="C238" i="39"/>
  <c r="D239" i="39" s="1"/>
  <c r="E240" i="39" s="1"/>
  <c r="F241" i="39" s="1"/>
  <c r="G242" i="39" s="1"/>
  <c r="H243" i="39" s="1"/>
  <c r="I244" i="39" s="1"/>
  <c r="J245" i="39" s="1"/>
  <c r="K246" i="39" s="1"/>
  <c r="L247" i="39" s="1"/>
  <c r="M248" i="39" s="1"/>
  <c r="N249" i="39" s="1"/>
  <c r="C239" i="39"/>
  <c r="D240" i="39" s="1"/>
  <c r="E241" i="39" s="1"/>
  <c r="F242" i="39" s="1"/>
  <c r="G243" i="39" s="1"/>
  <c r="H244" i="39" s="1"/>
  <c r="I245" i="39" s="1"/>
  <c r="J246" i="39" s="1"/>
  <c r="K247" i="39" s="1"/>
  <c r="L248" i="39" s="1"/>
  <c r="M249" i="39" s="1"/>
  <c r="N250" i="39" s="1"/>
  <c r="C240" i="39"/>
  <c r="D241" i="39" s="1"/>
  <c r="E242" i="39" s="1"/>
  <c r="F243" i="39" s="1"/>
  <c r="G244" i="39" s="1"/>
  <c r="H245" i="39" s="1"/>
  <c r="I246" i="39" s="1"/>
  <c r="J247" i="39" s="1"/>
  <c r="K248" i="39" s="1"/>
  <c r="L249" i="39" s="1"/>
  <c r="M250" i="39" s="1"/>
  <c r="N251" i="39" s="1"/>
  <c r="C241" i="39"/>
  <c r="D242" i="39" s="1"/>
  <c r="E243" i="39" s="1"/>
  <c r="F244" i="39" s="1"/>
  <c r="G245" i="39" s="1"/>
  <c r="H246" i="39" s="1"/>
  <c r="I247" i="39" s="1"/>
  <c r="J248" i="39" s="1"/>
  <c r="K249" i="39" s="1"/>
  <c r="L250" i="39" s="1"/>
  <c r="M251" i="39" s="1"/>
  <c r="N252" i="39" s="1"/>
  <c r="C242" i="39"/>
  <c r="D243" i="39" s="1"/>
  <c r="E244" i="39" s="1"/>
  <c r="F245" i="39" s="1"/>
  <c r="G246" i="39" s="1"/>
  <c r="H247" i="39" s="1"/>
  <c r="I248" i="39" s="1"/>
  <c r="J249" i="39" s="1"/>
  <c r="K250" i="39" s="1"/>
  <c r="L251" i="39" s="1"/>
  <c r="M252" i="39" s="1"/>
  <c r="N253" i="39" s="1"/>
  <c r="C243" i="39"/>
  <c r="D244" i="39" s="1"/>
  <c r="E245" i="39" s="1"/>
  <c r="F246" i="39" s="1"/>
  <c r="G247" i="39" s="1"/>
  <c r="H248" i="39" s="1"/>
  <c r="I249" i="39" s="1"/>
  <c r="J250" i="39" s="1"/>
  <c r="K251" i="39" s="1"/>
  <c r="L252" i="39" s="1"/>
  <c r="M253" i="39" s="1"/>
  <c r="N254" i="39" s="1"/>
  <c r="C244" i="39"/>
  <c r="D245" i="39" s="1"/>
  <c r="E246" i="39" s="1"/>
  <c r="F247" i="39" s="1"/>
  <c r="G248" i="39" s="1"/>
  <c r="H249" i="39" s="1"/>
  <c r="I250" i="39" s="1"/>
  <c r="J251" i="39" s="1"/>
  <c r="K252" i="39" s="1"/>
  <c r="L253" i="39" s="1"/>
  <c r="M254" i="39" s="1"/>
  <c r="N255" i="39" s="1"/>
  <c r="C245" i="39"/>
  <c r="D246" i="39" s="1"/>
  <c r="E247" i="39" s="1"/>
  <c r="F248" i="39" s="1"/>
  <c r="G249" i="39" s="1"/>
  <c r="H250" i="39" s="1"/>
  <c r="I251" i="39" s="1"/>
  <c r="J252" i="39" s="1"/>
  <c r="K253" i="39" s="1"/>
  <c r="L254" i="39" s="1"/>
  <c r="M255" i="39" s="1"/>
  <c r="N256" i="39" s="1"/>
  <c r="C246" i="39"/>
  <c r="D247" i="39" s="1"/>
  <c r="E248" i="39" s="1"/>
  <c r="F249" i="39" s="1"/>
  <c r="G250" i="39" s="1"/>
  <c r="H251" i="39" s="1"/>
  <c r="I252" i="39" s="1"/>
  <c r="J253" i="39" s="1"/>
  <c r="K254" i="39" s="1"/>
  <c r="L255" i="39" s="1"/>
  <c r="M256" i="39" s="1"/>
  <c r="N257" i="39" s="1"/>
  <c r="C247" i="39"/>
  <c r="D248" i="39" s="1"/>
  <c r="E249" i="39" s="1"/>
  <c r="F250" i="39" s="1"/>
  <c r="G251" i="39" s="1"/>
  <c r="H252" i="39" s="1"/>
  <c r="I253" i="39" s="1"/>
  <c r="J254" i="39" s="1"/>
  <c r="K255" i="39" s="1"/>
  <c r="L256" i="39" s="1"/>
  <c r="M257" i="39" s="1"/>
  <c r="N258" i="39" s="1"/>
  <c r="C248" i="39"/>
  <c r="D249" i="39" s="1"/>
  <c r="E250" i="39" s="1"/>
  <c r="F251" i="39" s="1"/>
  <c r="G252" i="39" s="1"/>
  <c r="H253" i="39" s="1"/>
  <c r="I254" i="39" s="1"/>
  <c r="J255" i="39" s="1"/>
  <c r="K256" i="39" s="1"/>
  <c r="L257" i="39" s="1"/>
  <c r="M258" i="39" s="1"/>
  <c r="N259" i="39" s="1"/>
  <c r="C249" i="39"/>
  <c r="D250" i="39" s="1"/>
  <c r="E251" i="39" s="1"/>
  <c r="F252" i="39" s="1"/>
  <c r="G253" i="39" s="1"/>
  <c r="H254" i="39" s="1"/>
  <c r="I255" i="39" s="1"/>
  <c r="J256" i="39" s="1"/>
  <c r="K257" i="39" s="1"/>
  <c r="L258" i="39" s="1"/>
  <c r="M259" i="39" s="1"/>
  <c r="N260" i="39" s="1"/>
  <c r="C250" i="39"/>
  <c r="D251" i="39" s="1"/>
  <c r="E252" i="39" s="1"/>
  <c r="F253" i="39" s="1"/>
  <c r="G254" i="39" s="1"/>
  <c r="H255" i="39" s="1"/>
  <c r="I256" i="39" s="1"/>
  <c r="J257" i="39" s="1"/>
  <c r="K258" i="39" s="1"/>
  <c r="L259" i="39" s="1"/>
  <c r="M260" i="39" s="1"/>
  <c r="N261" i="39" s="1"/>
  <c r="C251" i="39"/>
  <c r="D252" i="39" s="1"/>
  <c r="E253" i="39" s="1"/>
  <c r="F254" i="39" s="1"/>
  <c r="G255" i="39" s="1"/>
  <c r="H256" i="39" s="1"/>
  <c r="I257" i="39" s="1"/>
  <c r="J258" i="39" s="1"/>
  <c r="K259" i="39" s="1"/>
  <c r="L260" i="39" s="1"/>
  <c r="M261" i="39" s="1"/>
  <c r="N262" i="39" s="1"/>
  <c r="C252" i="39"/>
  <c r="D253" i="39" s="1"/>
  <c r="E254" i="39" s="1"/>
  <c r="F255" i="39" s="1"/>
  <c r="G256" i="39" s="1"/>
  <c r="H257" i="39" s="1"/>
  <c r="I258" i="39" s="1"/>
  <c r="J259" i="39" s="1"/>
  <c r="K260" i="39" s="1"/>
  <c r="L261" i="39" s="1"/>
  <c r="M262" i="39" s="1"/>
  <c r="N263" i="39" s="1"/>
  <c r="C253" i="39"/>
  <c r="D254" i="39" s="1"/>
  <c r="E255" i="39" s="1"/>
  <c r="F256" i="39" s="1"/>
  <c r="G257" i="39" s="1"/>
  <c r="H258" i="39" s="1"/>
  <c r="I259" i="39" s="1"/>
  <c r="J260" i="39" s="1"/>
  <c r="K261" i="39" s="1"/>
  <c r="L262" i="39" s="1"/>
  <c r="M263" i="39" s="1"/>
  <c r="N264" i="39" s="1"/>
  <c r="C254" i="39"/>
  <c r="D255" i="39" s="1"/>
  <c r="E256" i="39" s="1"/>
  <c r="F257" i="39" s="1"/>
  <c r="G258" i="39" s="1"/>
  <c r="H259" i="39" s="1"/>
  <c r="I260" i="39" s="1"/>
  <c r="J261" i="39" s="1"/>
  <c r="K262" i="39" s="1"/>
  <c r="L263" i="39" s="1"/>
  <c r="M264" i="39" s="1"/>
  <c r="N265" i="39" s="1"/>
  <c r="C255" i="39"/>
  <c r="D256" i="39" s="1"/>
  <c r="E257" i="39" s="1"/>
  <c r="F258" i="39" s="1"/>
  <c r="G259" i="39" s="1"/>
  <c r="H260" i="39" s="1"/>
  <c r="I261" i="39" s="1"/>
  <c r="J262" i="39" s="1"/>
  <c r="K263" i="39" s="1"/>
  <c r="L264" i="39" s="1"/>
  <c r="M265" i="39" s="1"/>
  <c r="N266" i="39" s="1"/>
  <c r="C256" i="39"/>
  <c r="D257" i="39" s="1"/>
  <c r="E258" i="39" s="1"/>
  <c r="F259" i="39" s="1"/>
  <c r="G260" i="39" s="1"/>
  <c r="H261" i="39" s="1"/>
  <c r="I262" i="39" s="1"/>
  <c r="J263" i="39" s="1"/>
  <c r="K264" i="39" s="1"/>
  <c r="L265" i="39" s="1"/>
  <c r="M266" i="39" s="1"/>
  <c r="N267" i="39" s="1"/>
  <c r="C257" i="39"/>
  <c r="D258" i="39" s="1"/>
  <c r="E259" i="39" s="1"/>
  <c r="F260" i="39" s="1"/>
  <c r="G261" i="39" s="1"/>
  <c r="H262" i="39" s="1"/>
  <c r="I263" i="39" s="1"/>
  <c r="J264" i="39" s="1"/>
  <c r="K265" i="39" s="1"/>
  <c r="L266" i="39" s="1"/>
  <c r="M267" i="39" s="1"/>
  <c r="N268" i="39" s="1"/>
  <c r="C258" i="39"/>
  <c r="D259" i="39" s="1"/>
  <c r="E260" i="39" s="1"/>
  <c r="F261" i="39" s="1"/>
  <c r="G262" i="39" s="1"/>
  <c r="H263" i="39" s="1"/>
  <c r="I264" i="39" s="1"/>
  <c r="J265" i="39" s="1"/>
  <c r="K266" i="39" s="1"/>
  <c r="L267" i="39" s="1"/>
  <c r="M268" i="39" s="1"/>
  <c r="N269" i="39" s="1"/>
  <c r="C259" i="39"/>
  <c r="D260" i="39" s="1"/>
  <c r="E261" i="39" s="1"/>
  <c r="F262" i="39" s="1"/>
  <c r="G263" i="39" s="1"/>
  <c r="H264" i="39" s="1"/>
  <c r="I265" i="39" s="1"/>
  <c r="J266" i="39" s="1"/>
  <c r="K267" i="39" s="1"/>
  <c r="L268" i="39" s="1"/>
  <c r="M269" i="39" s="1"/>
  <c r="N270" i="39" s="1"/>
  <c r="C260" i="39"/>
  <c r="D261" i="39" s="1"/>
  <c r="E262" i="39" s="1"/>
  <c r="F263" i="39" s="1"/>
  <c r="G264" i="39" s="1"/>
  <c r="H265" i="39" s="1"/>
  <c r="I266" i="39" s="1"/>
  <c r="J267" i="39" s="1"/>
  <c r="K268" i="39" s="1"/>
  <c r="L269" i="39" s="1"/>
  <c r="M270" i="39" s="1"/>
  <c r="N271" i="39" s="1"/>
  <c r="C261" i="39"/>
  <c r="D262" i="39" s="1"/>
  <c r="E263" i="39" s="1"/>
  <c r="F264" i="39" s="1"/>
  <c r="G265" i="39" s="1"/>
  <c r="H266" i="39" s="1"/>
  <c r="I267" i="39" s="1"/>
  <c r="J268" i="39" s="1"/>
  <c r="K269" i="39" s="1"/>
  <c r="L270" i="39" s="1"/>
  <c r="M271" i="39" s="1"/>
  <c r="N272" i="39" s="1"/>
  <c r="C262" i="39"/>
  <c r="D263" i="39" s="1"/>
  <c r="E264" i="39" s="1"/>
  <c r="F265" i="39" s="1"/>
  <c r="G266" i="39" s="1"/>
  <c r="H267" i="39" s="1"/>
  <c r="I268" i="39" s="1"/>
  <c r="J269" i="39" s="1"/>
  <c r="K270" i="39" s="1"/>
  <c r="L271" i="39" s="1"/>
  <c r="M272" i="39" s="1"/>
  <c r="N273" i="39" s="1"/>
  <c r="C263" i="39"/>
  <c r="D264" i="39" s="1"/>
  <c r="E265" i="39" s="1"/>
  <c r="F266" i="39" s="1"/>
  <c r="G267" i="39" s="1"/>
  <c r="H268" i="39" s="1"/>
  <c r="I269" i="39" s="1"/>
  <c r="J270" i="39" s="1"/>
  <c r="K271" i="39" s="1"/>
  <c r="L272" i="39" s="1"/>
  <c r="M273" i="39" s="1"/>
  <c r="N274" i="39" s="1"/>
  <c r="C264" i="39"/>
  <c r="D265" i="39" s="1"/>
  <c r="E266" i="39" s="1"/>
  <c r="F267" i="39" s="1"/>
  <c r="G268" i="39" s="1"/>
  <c r="H269" i="39" s="1"/>
  <c r="I270" i="39" s="1"/>
  <c r="J271" i="39" s="1"/>
  <c r="K272" i="39" s="1"/>
  <c r="L273" i="39" s="1"/>
  <c r="M274" i="39" s="1"/>
  <c r="N275" i="39" s="1"/>
  <c r="C265" i="39"/>
  <c r="D266" i="39" s="1"/>
  <c r="E267" i="39" s="1"/>
  <c r="F268" i="39" s="1"/>
  <c r="G269" i="39" s="1"/>
  <c r="H270" i="39" s="1"/>
  <c r="I271" i="39" s="1"/>
  <c r="J272" i="39" s="1"/>
  <c r="K273" i="39" s="1"/>
  <c r="L274" i="39" s="1"/>
  <c r="M275" i="39" s="1"/>
  <c r="N276" i="39" s="1"/>
  <c r="C266" i="39"/>
  <c r="D267" i="39" s="1"/>
  <c r="E268" i="39" s="1"/>
  <c r="F269" i="39" s="1"/>
  <c r="G270" i="39" s="1"/>
  <c r="H271" i="39" s="1"/>
  <c r="I272" i="39" s="1"/>
  <c r="J273" i="39" s="1"/>
  <c r="K274" i="39" s="1"/>
  <c r="L275" i="39" s="1"/>
  <c r="M276" i="39" s="1"/>
  <c r="N277" i="39" s="1"/>
  <c r="C267" i="39"/>
  <c r="D268" i="39" s="1"/>
  <c r="E269" i="39" s="1"/>
  <c r="F270" i="39" s="1"/>
  <c r="G271" i="39" s="1"/>
  <c r="H272" i="39" s="1"/>
  <c r="I273" i="39" s="1"/>
  <c r="J274" i="39" s="1"/>
  <c r="K275" i="39" s="1"/>
  <c r="L276" i="39" s="1"/>
  <c r="M277" i="39" s="1"/>
  <c r="N278" i="39" s="1"/>
  <c r="C268" i="39"/>
  <c r="D269" i="39" s="1"/>
  <c r="E270" i="39" s="1"/>
  <c r="F271" i="39" s="1"/>
  <c r="G272" i="39" s="1"/>
  <c r="H273" i="39" s="1"/>
  <c r="I274" i="39" s="1"/>
  <c r="J275" i="39" s="1"/>
  <c r="K276" i="39" s="1"/>
  <c r="L277" i="39" s="1"/>
  <c r="M278" i="39" s="1"/>
  <c r="N279" i="39" s="1"/>
  <c r="C269" i="39"/>
  <c r="D270" i="39" s="1"/>
  <c r="E271" i="39" s="1"/>
  <c r="F272" i="39" s="1"/>
  <c r="G273" i="39" s="1"/>
  <c r="H274" i="39" s="1"/>
  <c r="I275" i="39" s="1"/>
  <c r="J276" i="39" s="1"/>
  <c r="K277" i="39" s="1"/>
  <c r="L278" i="39" s="1"/>
  <c r="M279" i="39" s="1"/>
  <c r="N280" i="39" s="1"/>
  <c r="C270" i="39"/>
  <c r="D271" i="39" s="1"/>
  <c r="E272" i="39" s="1"/>
  <c r="F273" i="39" s="1"/>
  <c r="G274" i="39" s="1"/>
  <c r="H275" i="39" s="1"/>
  <c r="I276" i="39" s="1"/>
  <c r="J277" i="39" s="1"/>
  <c r="K278" i="39" s="1"/>
  <c r="L279" i="39" s="1"/>
  <c r="M280" i="39" s="1"/>
  <c r="N281" i="39" s="1"/>
  <c r="C271" i="39"/>
  <c r="D272" i="39" s="1"/>
  <c r="E273" i="39" s="1"/>
  <c r="F274" i="39" s="1"/>
  <c r="G275" i="39" s="1"/>
  <c r="H276" i="39" s="1"/>
  <c r="I277" i="39" s="1"/>
  <c r="J278" i="39" s="1"/>
  <c r="K279" i="39" s="1"/>
  <c r="L280" i="39" s="1"/>
  <c r="M281" i="39" s="1"/>
  <c r="N282" i="39" s="1"/>
  <c r="C272" i="39"/>
  <c r="D273" i="39" s="1"/>
  <c r="E274" i="39" s="1"/>
  <c r="F275" i="39" s="1"/>
  <c r="G276" i="39" s="1"/>
  <c r="H277" i="39" s="1"/>
  <c r="I278" i="39" s="1"/>
  <c r="J279" i="39" s="1"/>
  <c r="K280" i="39" s="1"/>
  <c r="L281" i="39" s="1"/>
  <c r="M282" i="39" s="1"/>
  <c r="N283" i="39" s="1"/>
  <c r="C273" i="39"/>
  <c r="D274" i="39" s="1"/>
  <c r="E275" i="39" s="1"/>
  <c r="F276" i="39" s="1"/>
  <c r="G277" i="39" s="1"/>
  <c r="H278" i="39" s="1"/>
  <c r="I279" i="39" s="1"/>
  <c r="J280" i="39" s="1"/>
  <c r="K281" i="39" s="1"/>
  <c r="L282" i="39" s="1"/>
  <c r="M283" i="39" s="1"/>
  <c r="N284" i="39" s="1"/>
  <c r="C274" i="39"/>
  <c r="D275" i="39" s="1"/>
  <c r="E276" i="39" s="1"/>
  <c r="F277" i="39" s="1"/>
  <c r="G278" i="39" s="1"/>
  <c r="H279" i="39" s="1"/>
  <c r="I280" i="39" s="1"/>
  <c r="J281" i="39" s="1"/>
  <c r="K282" i="39" s="1"/>
  <c r="L283" i="39" s="1"/>
  <c r="M284" i="39" s="1"/>
  <c r="N285" i="39" s="1"/>
  <c r="C275" i="39"/>
  <c r="D276" i="39" s="1"/>
  <c r="E277" i="39" s="1"/>
  <c r="F278" i="39" s="1"/>
  <c r="G279" i="39" s="1"/>
  <c r="H280" i="39" s="1"/>
  <c r="I281" i="39" s="1"/>
  <c r="J282" i="39" s="1"/>
  <c r="K283" i="39" s="1"/>
  <c r="L284" i="39" s="1"/>
  <c r="M285" i="39" s="1"/>
  <c r="N286" i="39" s="1"/>
  <c r="C276" i="39"/>
  <c r="D277" i="39" s="1"/>
  <c r="E278" i="39" s="1"/>
  <c r="F279" i="39" s="1"/>
  <c r="G280" i="39" s="1"/>
  <c r="H281" i="39" s="1"/>
  <c r="I282" i="39" s="1"/>
  <c r="J283" i="39" s="1"/>
  <c r="K284" i="39" s="1"/>
  <c r="L285" i="39" s="1"/>
  <c r="M286" i="39" s="1"/>
  <c r="N287" i="39" s="1"/>
  <c r="C277" i="39"/>
  <c r="D278" i="39" s="1"/>
  <c r="E279" i="39" s="1"/>
  <c r="F280" i="39" s="1"/>
  <c r="G281" i="39" s="1"/>
  <c r="H282" i="39" s="1"/>
  <c r="I283" i="39" s="1"/>
  <c r="J284" i="39" s="1"/>
  <c r="K285" i="39" s="1"/>
  <c r="L286" i="39" s="1"/>
  <c r="M287" i="39" s="1"/>
  <c r="N288" i="39" s="1"/>
  <c r="C278" i="39"/>
  <c r="D279" i="39" s="1"/>
  <c r="E280" i="39" s="1"/>
  <c r="F281" i="39" s="1"/>
  <c r="G282" i="39" s="1"/>
  <c r="H283" i="39" s="1"/>
  <c r="I284" i="39" s="1"/>
  <c r="J285" i="39" s="1"/>
  <c r="K286" i="39" s="1"/>
  <c r="L287" i="39" s="1"/>
  <c r="M288" i="39" s="1"/>
  <c r="N289" i="39" s="1"/>
  <c r="C279" i="39"/>
  <c r="D280" i="39" s="1"/>
  <c r="E281" i="39" s="1"/>
  <c r="F282" i="39" s="1"/>
  <c r="G283" i="39" s="1"/>
  <c r="H284" i="39" s="1"/>
  <c r="I285" i="39" s="1"/>
  <c r="J286" i="39" s="1"/>
  <c r="K287" i="39" s="1"/>
  <c r="L288" i="39" s="1"/>
  <c r="M289" i="39" s="1"/>
  <c r="N290" i="39" s="1"/>
  <c r="C280" i="39"/>
  <c r="D281" i="39" s="1"/>
  <c r="E282" i="39" s="1"/>
  <c r="F283" i="39" s="1"/>
  <c r="G284" i="39" s="1"/>
  <c r="H285" i="39" s="1"/>
  <c r="I286" i="39" s="1"/>
  <c r="J287" i="39" s="1"/>
  <c r="K288" i="39" s="1"/>
  <c r="L289" i="39" s="1"/>
  <c r="M290" i="39" s="1"/>
  <c r="N291" i="39" s="1"/>
  <c r="C281" i="39"/>
  <c r="D282" i="39" s="1"/>
  <c r="E283" i="39" s="1"/>
  <c r="F284" i="39" s="1"/>
  <c r="G285" i="39" s="1"/>
  <c r="H286" i="39" s="1"/>
  <c r="I287" i="39" s="1"/>
  <c r="J288" i="39" s="1"/>
  <c r="K289" i="39" s="1"/>
  <c r="L290" i="39" s="1"/>
  <c r="M291" i="39" s="1"/>
  <c r="N292" i="39" s="1"/>
  <c r="C282" i="39"/>
  <c r="D283" i="39" s="1"/>
  <c r="E284" i="39" s="1"/>
  <c r="F285" i="39" s="1"/>
  <c r="G286" i="39" s="1"/>
  <c r="H287" i="39" s="1"/>
  <c r="I288" i="39" s="1"/>
  <c r="J289" i="39" s="1"/>
  <c r="K290" i="39" s="1"/>
  <c r="L291" i="39" s="1"/>
  <c r="M292" i="39" s="1"/>
  <c r="N293" i="39" s="1"/>
  <c r="C283" i="39"/>
  <c r="D284" i="39" s="1"/>
  <c r="E285" i="39" s="1"/>
  <c r="F286" i="39" s="1"/>
  <c r="G287" i="39" s="1"/>
  <c r="H288" i="39" s="1"/>
  <c r="I289" i="39" s="1"/>
  <c r="J290" i="39" s="1"/>
  <c r="K291" i="39" s="1"/>
  <c r="L292" i="39" s="1"/>
  <c r="M293" i="39" s="1"/>
  <c r="N294" i="39" s="1"/>
  <c r="C284" i="39"/>
  <c r="D285" i="39" s="1"/>
  <c r="E286" i="39" s="1"/>
  <c r="F287" i="39" s="1"/>
  <c r="G288" i="39" s="1"/>
  <c r="H289" i="39" s="1"/>
  <c r="I290" i="39" s="1"/>
  <c r="J291" i="39" s="1"/>
  <c r="K292" i="39" s="1"/>
  <c r="L293" i="39" s="1"/>
  <c r="M294" i="39" s="1"/>
  <c r="N295" i="39" s="1"/>
  <c r="C285" i="39"/>
  <c r="D286" i="39" s="1"/>
  <c r="E287" i="39" s="1"/>
  <c r="F288" i="39" s="1"/>
  <c r="G289" i="39" s="1"/>
  <c r="H290" i="39" s="1"/>
  <c r="I291" i="39" s="1"/>
  <c r="J292" i="39" s="1"/>
  <c r="K293" i="39" s="1"/>
  <c r="L294" i="39" s="1"/>
  <c r="M295" i="39" s="1"/>
  <c r="N296" i="39" s="1"/>
  <c r="C286" i="39"/>
  <c r="D287" i="39" s="1"/>
  <c r="E288" i="39" s="1"/>
  <c r="F289" i="39" s="1"/>
  <c r="G290" i="39" s="1"/>
  <c r="H291" i="39" s="1"/>
  <c r="I292" i="39" s="1"/>
  <c r="J293" i="39" s="1"/>
  <c r="K294" i="39" s="1"/>
  <c r="L295" i="39" s="1"/>
  <c r="M296" i="39" s="1"/>
  <c r="N297" i="39" s="1"/>
  <c r="C287" i="39"/>
  <c r="D288" i="39" s="1"/>
  <c r="E289" i="39" s="1"/>
  <c r="F290" i="39" s="1"/>
  <c r="G291" i="39" s="1"/>
  <c r="H292" i="39" s="1"/>
  <c r="I293" i="39" s="1"/>
  <c r="J294" i="39" s="1"/>
  <c r="K295" i="39" s="1"/>
  <c r="L296" i="39" s="1"/>
  <c r="M297" i="39" s="1"/>
  <c r="N298" i="39" s="1"/>
  <c r="C288" i="39"/>
  <c r="D289" i="39" s="1"/>
  <c r="E290" i="39" s="1"/>
  <c r="F291" i="39" s="1"/>
  <c r="G292" i="39" s="1"/>
  <c r="H293" i="39" s="1"/>
  <c r="I294" i="39" s="1"/>
  <c r="J295" i="39" s="1"/>
  <c r="K296" i="39" s="1"/>
  <c r="L297" i="39" s="1"/>
  <c r="M298" i="39" s="1"/>
  <c r="N299" i="39" s="1"/>
  <c r="C289" i="39"/>
  <c r="D290" i="39" s="1"/>
  <c r="E291" i="39" s="1"/>
  <c r="F292" i="39" s="1"/>
  <c r="G293" i="39" s="1"/>
  <c r="H294" i="39" s="1"/>
  <c r="I295" i="39" s="1"/>
  <c r="J296" i="39" s="1"/>
  <c r="K297" i="39" s="1"/>
  <c r="L298" i="39" s="1"/>
  <c r="M299" i="39" s="1"/>
  <c r="N300" i="39" s="1"/>
  <c r="C290" i="39"/>
  <c r="D291" i="39" s="1"/>
  <c r="E292" i="39" s="1"/>
  <c r="F293" i="39" s="1"/>
  <c r="G294" i="39" s="1"/>
  <c r="H295" i="39" s="1"/>
  <c r="I296" i="39" s="1"/>
  <c r="J297" i="39" s="1"/>
  <c r="K298" i="39" s="1"/>
  <c r="L299" i="39" s="1"/>
  <c r="M300" i="39" s="1"/>
  <c r="N301" i="39" s="1"/>
  <c r="C291" i="39"/>
  <c r="D292" i="39" s="1"/>
  <c r="E293" i="39" s="1"/>
  <c r="F294" i="39" s="1"/>
  <c r="G295" i="39" s="1"/>
  <c r="H296" i="39" s="1"/>
  <c r="I297" i="39" s="1"/>
  <c r="J298" i="39" s="1"/>
  <c r="K299" i="39" s="1"/>
  <c r="L300" i="39" s="1"/>
  <c r="M301" i="39" s="1"/>
  <c r="N302" i="39" s="1"/>
  <c r="C292" i="39"/>
  <c r="D293" i="39" s="1"/>
  <c r="E294" i="39" s="1"/>
  <c r="F295" i="39" s="1"/>
  <c r="G296" i="39" s="1"/>
  <c r="H297" i="39" s="1"/>
  <c r="I298" i="39" s="1"/>
  <c r="J299" i="39" s="1"/>
  <c r="K300" i="39" s="1"/>
  <c r="L301" i="39" s="1"/>
  <c r="M302" i="39" s="1"/>
  <c r="N303" i="39" s="1"/>
  <c r="C293" i="39"/>
  <c r="D294" i="39" s="1"/>
  <c r="E295" i="39" s="1"/>
  <c r="F296" i="39" s="1"/>
  <c r="G297" i="39" s="1"/>
  <c r="H298" i="39" s="1"/>
  <c r="I299" i="39" s="1"/>
  <c r="J300" i="39" s="1"/>
  <c r="K301" i="39" s="1"/>
  <c r="L302" i="39" s="1"/>
  <c r="M303" i="39" s="1"/>
  <c r="N304" i="39" s="1"/>
  <c r="C294" i="39"/>
  <c r="D295" i="39" s="1"/>
  <c r="E296" i="39" s="1"/>
  <c r="F297" i="39" s="1"/>
  <c r="G298" i="39" s="1"/>
  <c r="H299" i="39" s="1"/>
  <c r="I300" i="39" s="1"/>
  <c r="J301" i="39" s="1"/>
  <c r="K302" i="39" s="1"/>
  <c r="L303" i="39" s="1"/>
  <c r="M304" i="39" s="1"/>
  <c r="N305" i="39" s="1"/>
  <c r="C295" i="39"/>
  <c r="D296" i="39" s="1"/>
  <c r="E297" i="39" s="1"/>
  <c r="F298" i="39" s="1"/>
  <c r="G299" i="39" s="1"/>
  <c r="H300" i="39" s="1"/>
  <c r="I301" i="39" s="1"/>
  <c r="J302" i="39" s="1"/>
  <c r="K303" i="39" s="1"/>
  <c r="L304" i="39" s="1"/>
  <c r="M305" i="39" s="1"/>
  <c r="N306" i="39" s="1"/>
  <c r="C296" i="39"/>
  <c r="D297" i="39" s="1"/>
  <c r="E298" i="39" s="1"/>
  <c r="F299" i="39" s="1"/>
  <c r="G300" i="39" s="1"/>
  <c r="H301" i="39" s="1"/>
  <c r="I302" i="39" s="1"/>
  <c r="J303" i="39" s="1"/>
  <c r="K304" i="39" s="1"/>
  <c r="L305" i="39" s="1"/>
  <c r="M306" i="39" s="1"/>
  <c r="N307" i="39" s="1"/>
  <c r="C297" i="39"/>
  <c r="D298" i="39" s="1"/>
  <c r="E299" i="39" s="1"/>
  <c r="F300" i="39" s="1"/>
  <c r="G301" i="39" s="1"/>
  <c r="H302" i="39" s="1"/>
  <c r="I303" i="39" s="1"/>
  <c r="J304" i="39" s="1"/>
  <c r="K305" i="39" s="1"/>
  <c r="L306" i="39" s="1"/>
  <c r="M307" i="39" s="1"/>
  <c r="N308" i="39" s="1"/>
  <c r="C298" i="39"/>
  <c r="D299" i="39" s="1"/>
  <c r="E300" i="39" s="1"/>
  <c r="F301" i="39" s="1"/>
  <c r="G302" i="39" s="1"/>
  <c r="H303" i="39" s="1"/>
  <c r="I304" i="39" s="1"/>
  <c r="J305" i="39" s="1"/>
  <c r="K306" i="39" s="1"/>
  <c r="L307" i="39" s="1"/>
  <c r="M308" i="39" s="1"/>
  <c r="N309" i="39" s="1"/>
  <c r="C299" i="39"/>
  <c r="D300" i="39" s="1"/>
  <c r="E301" i="39" s="1"/>
  <c r="F302" i="39" s="1"/>
  <c r="G303" i="39" s="1"/>
  <c r="H304" i="39" s="1"/>
  <c r="I305" i="39" s="1"/>
  <c r="J306" i="39" s="1"/>
  <c r="K307" i="39" s="1"/>
  <c r="L308" i="39" s="1"/>
  <c r="M309" i="39" s="1"/>
  <c r="N310" i="39" s="1"/>
  <c r="C300" i="39"/>
  <c r="D301" i="39" s="1"/>
  <c r="E302" i="39" s="1"/>
  <c r="F303" i="39" s="1"/>
  <c r="G304" i="39" s="1"/>
  <c r="H305" i="39" s="1"/>
  <c r="I306" i="39" s="1"/>
  <c r="J307" i="39" s="1"/>
  <c r="K308" i="39" s="1"/>
  <c r="L309" i="39" s="1"/>
  <c r="M310" i="39" s="1"/>
  <c r="N311" i="39" s="1"/>
  <c r="C301" i="39"/>
  <c r="D302" i="39" s="1"/>
  <c r="E303" i="39" s="1"/>
  <c r="F304" i="39" s="1"/>
  <c r="G305" i="39" s="1"/>
  <c r="H306" i="39" s="1"/>
  <c r="I307" i="39" s="1"/>
  <c r="J308" i="39" s="1"/>
  <c r="K309" i="39" s="1"/>
  <c r="L310" i="39" s="1"/>
  <c r="M311" i="39" s="1"/>
  <c r="N312" i="39" s="1"/>
  <c r="C302" i="39"/>
  <c r="D303" i="39" s="1"/>
  <c r="E304" i="39" s="1"/>
  <c r="F305" i="39" s="1"/>
  <c r="G306" i="39" s="1"/>
  <c r="H307" i="39" s="1"/>
  <c r="I308" i="39" s="1"/>
  <c r="J309" i="39" s="1"/>
  <c r="K310" i="39" s="1"/>
  <c r="L311" i="39" s="1"/>
  <c r="M312" i="39" s="1"/>
  <c r="N313" i="39" s="1"/>
  <c r="C303" i="39"/>
  <c r="D304" i="39" s="1"/>
  <c r="E305" i="39" s="1"/>
  <c r="F306" i="39" s="1"/>
  <c r="G307" i="39" s="1"/>
  <c r="H308" i="39" s="1"/>
  <c r="I309" i="39" s="1"/>
  <c r="J310" i="39" s="1"/>
  <c r="K311" i="39" s="1"/>
  <c r="L312" i="39" s="1"/>
  <c r="M313" i="39" s="1"/>
  <c r="N314" i="39" s="1"/>
  <c r="C304" i="39"/>
  <c r="D305" i="39" s="1"/>
  <c r="E306" i="39" s="1"/>
  <c r="F307" i="39" s="1"/>
  <c r="G308" i="39" s="1"/>
  <c r="H309" i="39" s="1"/>
  <c r="I310" i="39" s="1"/>
  <c r="J311" i="39" s="1"/>
  <c r="K312" i="39" s="1"/>
  <c r="L313" i="39" s="1"/>
  <c r="M314" i="39" s="1"/>
  <c r="N315" i="39" s="1"/>
  <c r="C305" i="39"/>
  <c r="D306" i="39" s="1"/>
  <c r="E307" i="39" s="1"/>
  <c r="F308" i="39" s="1"/>
  <c r="G309" i="39" s="1"/>
  <c r="H310" i="39" s="1"/>
  <c r="I311" i="39" s="1"/>
  <c r="J312" i="39" s="1"/>
  <c r="K313" i="39" s="1"/>
  <c r="L314" i="39" s="1"/>
  <c r="M315" i="39" s="1"/>
  <c r="N316" i="39" s="1"/>
  <c r="C306" i="39"/>
  <c r="D307" i="39" s="1"/>
  <c r="E308" i="39" s="1"/>
  <c r="F309" i="39" s="1"/>
  <c r="G310" i="39" s="1"/>
  <c r="H311" i="39" s="1"/>
  <c r="I312" i="39" s="1"/>
  <c r="J313" i="39" s="1"/>
  <c r="K314" i="39" s="1"/>
  <c r="L315" i="39" s="1"/>
  <c r="M316" i="39" s="1"/>
  <c r="N317" i="39" s="1"/>
  <c r="C307" i="39"/>
  <c r="D308" i="39" s="1"/>
  <c r="E309" i="39" s="1"/>
  <c r="F310" i="39" s="1"/>
  <c r="G311" i="39" s="1"/>
  <c r="H312" i="39" s="1"/>
  <c r="I313" i="39" s="1"/>
  <c r="J314" i="39" s="1"/>
  <c r="K315" i="39" s="1"/>
  <c r="L316" i="39" s="1"/>
  <c r="M317" i="39" s="1"/>
  <c r="N318" i="39" s="1"/>
  <c r="C308" i="39"/>
  <c r="D309" i="39" s="1"/>
  <c r="E310" i="39" s="1"/>
  <c r="F311" i="39" s="1"/>
  <c r="G312" i="39" s="1"/>
  <c r="H313" i="39" s="1"/>
  <c r="I314" i="39" s="1"/>
  <c r="J315" i="39" s="1"/>
  <c r="K316" i="39" s="1"/>
  <c r="L317" i="39" s="1"/>
  <c r="M318" i="39" s="1"/>
  <c r="N319" i="39" s="1"/>
  <c r="C309" i="39"/>
  <c r="D310" i="39" s="1"/>
  <c r="E311" i="39" s="1"/>
  <c r="F312" i="39" s="1"/>
  <c r="G313" i="39" s="1"/>
  <c r="H314" i="39" s="1"/>
  <c r="I315" i="39" s="1"/>
  <c r="J316" i="39" s="1"/>
  <c r="K317" i="39" s="1"/>
  <c r="L318" i="39" s="1"/>
  <c r="M319" i="39" s="1"/>
  <c r="N320" i="39" s="1"/>
  <c r="C310" i="39"/>
  <c r="D311" i="39" s="1"/>
  <c r="E312" i="39" s="1"/>
  <c r="F313" i="39" s="1"/>
  <c r="G314" i="39" s="1"/>
  <c r="H315" i="39" s="1"/>
  <c r="I316" i="39" s="1"/>
  <c r="J317" i="39" s="1"/>
  <c r="K318" i="39" s="1"/>
  <c r="L319" i="39" s="1"/>
  <c r="M320" i="39" s="1"/>
  <c r="N321" i="39" s="1"/>
  <c r="C311" i="39"/>
  <c r="D312" i="39" s="1"/>
  <c r="E313" i="39" s="1"/>
  <c r="F314" i="39" s="1"/>
  <c r="G315" i="39" s="1"/>
  <c r="H316" i="39" s="1"/>
  <c r="I317" i="39" s="1"/>
  <c r="J318" i="39" s="1"/>
  <c r="K319" i="39" s="1"/>
  <c r="L320" i="39" s="1"/>
  <c r="M321" i="39" s="1"/>
  <c r="N322" i="39" s="1"/>
  <c r="C312" i="39"/>
  <c r="D313" i="39" s="1"/>
  <c r="E314" i="39" s="1"/>
  <c r="F315" i="39" s="1"/>
  <c r="G316" i="39" s="1"/>
  <c r="H317" i="39" s="1"/>
  <c r="I318" i="39" s="1"/>
  <c r="J319" i="39" s="1"/>
  <c r="K320" i="39" s="1"/>
  <c r="L321" i="39" s="1"/>
  <c r="M322" i="39" s="1"/>
  <c r="N323" i="39" s="1"/>
  <c r="C313" i="39"/>
  <c r="D314" i="39" s="1"/>
  <c r="E315" i="39" s="1"/>
  <c r="F316" i="39" s="1"/>
  <c r="G317" i="39" s="1"/>
  <c r="H318" i="39" s="1"/>
  <c r="I319" i="39" s="1"/>
  <c r="J320" i="39" s="1"/>
  <c r="K321" i="39" s="1"/>
  <c r="L322" i="39" s="1"/>
  <c r="M323" i="39" s="1"/>
  <c r="N324" i="39" s="1"/>
  <c r="C314" i="39"/>
  <c r="D315" i="39" s="1"/>
  <c r="E316" i="39" s="1"/>
  <c r="F317" i="39" s="1"/>
  <c r="G318" i="39" s="1"/>
  <c r="H319" i="39" s="1"/>
  <c r="I320" i="39" s="1"/>
  <c r="J321" i="39" s="1"/>
  <c r="K322" i="39" s="1"/>
  <c r="L323" i="39" s="1"/>
  <c r="M324" i="39" s="1"/>
  <c r="N325" i="39" s="1"/>
  <c r="C315" i="39"/>
  <c r="D316" i="39" s="1"/>
  <c r="E317" i="39" s="1"/>
  <c r="F318" i="39" s="1"/>
  <c r="G319" i="39" s="1"/>
  <c r="H320" i="39" s="1"/>
  <c r="I321" i="39" s="1"/>
  <c r="J322" i="39" s="1"/>
  <c r="K323" i="39" s="1"/>
  <c r="L324" i="39" s="1"/>
  <c r="M325" i="39" s="1"/>
  <c r="N326" i="39" s="1"/>
  <c r="C316" i="39"/>
  <c r="D317" i="39" s="1"/>
  <c r="E318" i="39" s="1"/>
  <c r="F319" i="39" s="1"/>
  <c r="G320" i="39" s="1"/>
  <c r="H321" i="39" s="1"/>
  <c r="I322" i="39" s="1"/>
  <c r="J323" i="39" s="1"/>
  <c r="K324" i="39" s="1"/>
  <c r="L325" i="39" s="1"/>
  <c r="M326" i="39" s="1"/>
  <c r="N327" i="39" s="1"/>
  <c r="C317" i="39"/>
  <c r="D318" i="39" s="1"/>
  <c r="E319" i="39" s="1"/>
  <c r="F320" i="39" s="1"/>
  <c r="G321" i="39" s="1"/>
  <c r="H322" i="39" s="1"/>
  <c r="I323" i="39" s="1"/>
  <c r="J324" i="39" s="1"/>
  <c r="K325" i="39" s="1"/>
  <c r="L326" i="39" s="1"/>
  <c r="M327" i="39" s="1"/>
  <c r="N328" i="39" s="1"/>
  <c r="C318" i="39"/>
  <c r="D319" i="39" s="1"/>
  <c r="E320" i="39" s="1"/>
  <c r="F321" i="39" s="1"/>
  <c r="G322" i="39" s="1"/>
  <c r="H323" i="39" s="1"/>
  <c r="I324" i="39" s="1"/>
  <c r="J325" i="39" s="1"/>
  <c r="K326" i="39" s="1"/>
  <c r="L327" i="39" s="1"/>
  <c r="M328" i="39" s="1"/>
  <c r="N329" i="39" s="1"/>
  <c r="C319" i="39"/>
  <c r="D320" i="39" s="1"/>
  <c r="E321" i="39" s="1"/>
  <c r="F322" i="39" s="1"/>
  <c r="G323" i="39" s="1"/>
  <c r="H324" i="39" s="1"/>
  <c r="I325" i="39" s="1"/>
  <c r="J326" i="39" s="1"/>
  <c r="K327" i="39" s="1"/>
  <c r="L328" i="39" s="1"/>
  <c r="M329" i="39" s="1"/>
  <c r="N330" i="39" s="1"/>
  <c r="C320" i="39"/>
  <c r="D321" i="39" s="1"/>
  <c r="E322" i="39" s="1"/>
  <c r="F323" i="39" s="1"/>
  <c r="G324" i="39" s="1"/>
  <c r="H325" i="39" s="1"/>
  <c r="I326" i="39" s="1"/>
  <c r="J327" i="39" s="1"/>
  <c r="K328" i="39" s="1"/>
  <c r="L329" i="39" s="1"/>
  <c r="M330" i="39" s="1"/>
  <c r="N331" i="39" s="1"/>
  <c r="C321" i="39"/>
  <c r="D322" i="39" s="1"/>
  <c r="E323" i="39" s="1"/>
  <c r="F324" i="39" s="1"/>
  <c r="G325" i="39" s="1"/>
  <c r="H326" i="39" s="1"/>
  <c r="I327" i="39" s="1"/>
  <c r="J328" i="39" s="1"/>
  <c r="K329" i="39" s="1"/>
  <c r="L330" i="39" s="1"/>
  <c r="M331" i="39" s="1"/>
  <c r="N332" i="39" s="1"/>
  <c r="C322" i="39"/>
  <c r="D323" i="39" s="1"/>
  <c r="E324" i="39" s="1"/>
  <c r="F325" i="39" s="1"/>
  <c r="G326" i="39" s="1"/>
  <c r="H327" i="39" s="1"/>
  <c r="I328" i="39" s="1"/>
  <c r="J329" i="39" s="1"/>
  <c r="K330" i="39" s="1"/>
  <c r="L331" i="39" s="1"/>
  <c r="M332" i="39" s="1"/>
  <c r="N333" i="39" s="1"/>
  <c r="C323" i="39"/>
  <c r="D324" i="39" s="1"/>
  <c r="E325" i="39" s="1"/>
  <c r="F326" i="39" s="1"/>
  <c r="G327" i="39" s="1"/>
  <c r="H328" i="39" s="1"/>
  <c r="I329" i="39" s="1"/>
  <c r="J330" i="39" s="1"/>
  <c r="K331" i="39" s="1"/>
  <c r="L332" i="39" s="1"/>
  <c r="M333" i="39" s="1"/>
  <c r="N334" i="39" s="1"/>
  <c r="C324" i="39"/>
  <c r="D325" i="39" s="1"/>
  <c r="E326" i="39" s="1"/>
  <c r="F327" i="39" s="1"/>
  <c r="G328" i="39" s="1"/>
  <c r="H329" i="39" s="1"/>
  <c r="I330" i="39" s="1"/>
  <c r="J331" i="39" s="1"/>
  <c r="K332" i="39" s="1"/>
  <c r="L333" i="39" s="1"/>
  <c r="M334" i="39" s="1"/>
  <c r="N335" i="39" s="1"/>
  <c r="C325" i="39"/>
  <c r="D326" i="39" s="1"/>
  <c r="E327" i="39" s="1"/>
  <c r="F328" i="39" s="1"/>
  <c r="G329" i="39" s="1"/>
  <c r="H330" i="39" s="1"/>
  <c r="I331" i="39" s="1"/>
  <c r="J332" i="39" s="1"/>
  <c r="K333" i="39" s="1"/>
  <c r="L334" i="39" s="1"/>
  <c r="M335" i="39" s="1"/>
  <c r="N336" i="39" s="1"/>
  <c r="C326" i="39"/>
  <c r="D327" i="39" s="1"/>
  <c r="E328" i="39" s="1"/>
  <c r="F329" i="39" s="1"/>
  <c r="G330" i="39" s="1"/>
  <c r="H331" i="39" s="1"/>
  <c r="I332" i="39" s="1"/>
  <c r="J333" i="39" s="1"/>
  <c r="K334" i="39" s="1"/>
  <c r="L335" i="39" s="1"/>
  <c r="M336" i="39" s="1"/>
  <c r="N337" i="39" s="1"/>
  <c r="C327" i="39"/>
  <c r="D328" i="39" s="1"/>
  <c r="E329" i="39" s="1"/>
  <c r="F330" i="39" s="1"/>
  <c r="G331" i="39" s="1"/>
  <c r="H332" i="39" s="1"/>
  <c r="I333" i="39" s="1"/>
  <c r="J334" i="39" s="1"/>
  <c r="K335" i="39" s="1"/>
  <c r="L336" i="39" s="1"/>
  <c r="M337" i="39" s="1"/>
  <c r="N338" i="39" s="1"/>
  <c r="C328" i="39"/>
  <c r="D329" i="39" s="1"/>
  <c r="E330" i="39" s="1"/>
  <c r="F331" i="39" s="1"/>
  <c r="G332" i="39" s="1"/>
  <c r="H333" i="39" s="1"/>
  <c r="I334" i="39" s="1"/>
  <c r="J335" i="39" s="1"/>
  <c r="K336" i="39" s="1"/>
  <c r="L337" i="39" s="1"/>
  <c r="M338" i="39" s="1"/>
  <c r="N339" i="39" s="1"/>
  <c r="C329" i="39"/>
  <c r="D330" i="39" s="1"/>
  <c r="E331" i="39" s="1"/>
  <c r="F332" i="39" s="1"/>
  <c r="G333" i="39" s="1"/>
  <c r="H334" i="39" s="1"/>
  <c r="I335" i="39" s="1"/>
  <c r="J336" i="39" s="1"/>
  <c r="K337" i="39" s="1"/>
  <c r="L338" i="39" s="1"/>
  <c r="M339" i="39" s="1"/>
  <c r="N340" i="39" s="1"/>
  <c r="C330" i="39"/>
  <c r="D331" i="39" s="1"/>
  <c r="E332" i="39" s="1"/>
  <c r="F333" i="39" s="1"/>
  <c r="G334" i="39" s="1"/>
  <c r="H335" i="39" s="1"/>
  <c r="I336" i="39" s="1"/>
  <c r="J337" i="39" s="1"/>
  <c r="K338" i="39" s="1"/>
  <c r="L339" i="39" s="1"/>
  <c r="M340" i="39" s="1"/>
  <c r="N341" i="39" s="1"/>
  <c r="C331" i="39"/>
  <c r="D332" i="39" s="1"/>
  <c r="E333" i="39" s="1"/>
  <c r="F334" i="39" s="1"/>
  <c r="G335" i="39" s="1"/>
  <c r="H336" i="39" s="1"/>
  <c r="I337" i="39" s="1"/>
  <c r="J338" i="39" s="1"/>
  <c r="K339" i="39" s="1"/>
  <c r="L340" i="39" s="1"/>
  <c r="M341" i="39" s="1"/>
  <c r="N342" i="39" s="1"/>
  <c r="C332" i="39"/>
  <c r="D333" i="39" s="1"/>
  <c r="E334" i="39" s="1"/>
  <c r="F335" i="39" s="1"/>
  <c r="G336" i="39" s="1"/>
  <c r="H337" i="39" s="1"/>
  <c r="I338" i="39" s="1"/>
  <c r="J339" i="39" s="1"/>
  <c r="K340" i="39" s="1"/>
  <c r="L341" i="39" s="1"/>
  <c r="M342" i="39" s="1"/>
  <c r="N343" i="39" s="1"/>
  <c r="C333" i="39"/>
  <c r="D334" i="39" s="1"/>
  <c r="E335" i="39" s="1"/>
  <c r="F336" i="39" s="1"/>
  <c r="G337" i="39" s="1"/>
  <c r="H338" i="39" s="1"/>
  <c r="I339" i="39" s="1"/>
  <c r="J340" i="39" s="1"/>
  <c r="K341" i="39" s="1"/>
  <c r="L342" i="39" s="1"/>
  <c r="M343" i="39" s="1"/>
  <c r="N344" i="39" s="1"/>
  <c r="C334" i="39"/>
  <c r="D335" i="39" s="1"/>
  <c r="E336" i="39" s="1"/>
  <c r="F337" i="39" s="1"/>
  <c r="G338" i="39" s="1"/>
  <c r="H339" i="39" s="1"/>
  <c r="I340" i="39" s="1"/>
  <c r="J341" i="39" s="1"/>
  <c r="K342" i="39" s="1"/>
  <c r="L343" i="39" s="1"/>
  <c r="M344" i="39" s="1"/>
  <c r="N345" i="39" s="1"/>
  <c r="C335" i="39"/>
  <c r="D336" i="39" s="1"/>
  <c r="E337" i="39" s="1"/>
  <c r="F338" i="39" s="1"/>
  <c r="G339" i="39" s="1"/>
  <c r="H340" i="39" s="1"/>
  <c r="I341" i="39" s="1"/>
  <c r="J342" i="39" s="1"/>
  <c r="K343" i="39" s="1"/>
  <c r="L344" i="39" s="1"/>
  <c r="M345" i="39" s="1"/>
  <c r="N346" i="39" s="1"/>
  <c r="C336" i="39"/>
  <c r="D337" i="39" s="1"/>
  <c r="E338" i="39" s="1"/>
  <c r="F339" i="39" s="1"/>
  <c r="G340" i="39" s="1"/>
  <c r="H341" i="39" s="1"/>
  <c r="I342" i="39" s="1"/>
  <c r="J343" i="39" s="1"/>
  <c r="K344" i="39" s="1"/>
  <c r="L345" i="39" s="1"/>
  <c r="M346" i="39" s="1"/>
  <c r="N347" i="39" s="1"/>
  <c r="C337" i="39"/>
  <c r="D338" i="39" s="1"/>
  <c r="E339" i="39" s="1"/>
  <c r="F340" i="39" s="1"/>
  <c r="G341" i="39" s="1"/>
  <c r="H342" i="39" s="1"/>
  <c r="I343" i="39" s="1"/>
  <c r="J344" i="39" s="1"/>
  <c r="K345" i="39" s="1"/>
  <c r="L346" i="39" s="1"/>
  <c r="M347" i="39" s="1"/>
  <c r="N348" i="39" s="1"/>
  <c r="C338" i="39"/>
  <c r="D339" i="39" s="1"/>
  <c r="E340" i="39" s="1"/>
  <c r="F341" i="39" s="1"/>
  <c r="G342" i="39" s="1"/>
  <c r="H343" i="39" s="1"/>
  <c r="I344" i="39" s="1"/>
  <c r="J345" i="39" s="1"/>
  <c r="K346" i="39" s="1"/>
  <c r="L347" i="39" s="1"/>
  <c r="M348" i="39" s="1"/>
  <c r="N349" i="39" s="1"/>
  <c r="C339" i="39"/>
  <c r="D340" i="39" s="1"/>
  <c r="E341" i="39" s="1"/>
  <c r="F342" i="39" s="1"/>
  <c r="G343" i="39" s="1"/>
  <c r="H344" i="39" s="1"/>
  <c r="I345" i="39" s="1"/>
  <c r="J346" i="39" s="1"/>
  <c r="K347" i="39" s="1"/>
  <c r="L348" i="39" s="1"/>
  <c r="M349" i="39" s="1"/>
  <c r="N350" i="39" s="1"/>
  <c r="C340" i="39"/>
  <c r="D341" i="39" s="1"/>
  <c r="E342" i="39" s="1"/>
  <c r="F343" i="39" s="1"/>
  <c r="G344" i="39" s="1"/>
  <c r="H345" i="39" s="1"/>
  <c r="I346" i="39" s="1"/>
  <c r="J347" i="39" s="1"/>
  <c r="K348" i="39" s="1"/>
  <c r="L349" i="39" s="1"/>
  <c r="M350" i="39" s="1"/>
  <c r="N351" i="39" s="1"/>
  <c r="C341" i="39"/>
  <c r="D342" i="39" s="1"/>
  <c r="E343" i="39" s="1"/>
  <c r="F344" i="39" s="1"/>
  <c r="G345" i="39" s="1"/>
  <c r="H346" i="39" s="1"/>
  <c r="I347" i="39" s="1"/>
  <c r="J348" i="39" s="1"/>
  <c r="K349" i="39" s="1"/>
  <c r="L350" i="39" s="1"/>
  <c r="M351" i="39" s="1"/>
  <c r="N352" i="39" s="1"/>
  <c r="C342" i="39"/>
  <c r="D343" i="39" s="1"/>
  <c r="E344" i="39" s="1"/>
  <c r="F345" i="39" s="1"/>
  <c r="G346" i="39" s="1"/>
  <c r="H347" i="39" s="1"/>
  <c r="I348" i="39" s="1"/>
  <c r="J349" i="39" s="1"/>
  <c r="K350" i="39" s="1"/>
  <c r="L351" i="39" s="1"/>
  <c r="M352" i="39" s="1"/>
  <c r="N353" i="39" s="1"/>
  <c r="C343" i="39"/>
  <c r="D344" i="39" s="1"/>
  <c r="E345" i="39" s="1"/>
  <c r="F346" i="39" s="1"/>
  <c r="G347" i="39" s="1"/>
  <c r="H348" i="39" s="1"/>
  <c r="I349" i="39" s="1"/>
  <c r="J350" i="39" s="1"/>
  <c r="K351" i="39" s="1"/>
  <c r="L352" i="39" s="1"/>
  <c r="M353" i="39" s="1"/>
  <c r="N354" i="39" s="1"/>
  <c r="C344" i="39"/>
  <c r="D345" i="39" s="1"/>
  <c r="E346" i="39" s="1"/>
  <c r="F347" i="39" s="1"/>
  <c r="G348" i="39" s="1"/>
  <c r="H349" i="39" s="1"/>
  <c r="I350" i="39" s="1"/>
  <c r="J351" i="39" s="1"/>
  <c r="K352" i="39" s="1"/>
  <c r="L353" i="39" s="1"/>
  <c r="M354" i="39" s="1"/>
  <c r="N355" i="39" s="1"/>
  <c r="C345" i="39"/>
  <c r="D346" i="39" s="1"/>
  <c r="E347" i="39" s="1"/>
  <c r="F348" i="39" s="1"/>
  <c r="G349" i="39" s="1"/>
  <c r="H350" i="39" s="1"/>
  <c r="I351" i="39" s="1"/>
  <c r="J352" i="39" s="1"/>
  <c r="K353" i="39" s="1"/>
  <c r="L354" i="39" s="1"/>
  <c r="M355" i="39" s="1"/>
  <c r="N356" i="39" s="1"/>
  <c r="C346" i="39"/>
  <c r="D347" i="39" s="1"/>
  <c r="E348" i="39" s="1"/>
  <c r="F349" i="39" s="1"/>
  <c r="G350" i="39" s="1"/>
  <c r="H351" i="39" s="1"/>
  <c r="I352" i="39" s="1"/>
  <c r="J353" i="39" s="1"/>
  <c r="K354" i="39" s="1"/>
  <c r="L355" i="39" s="1"/>
  <c r="M356" i="39" s="1"/>
  <c r="N357" i="39" s="1"/>
  <c r="C347" i="39"/>
  <c r="D348" i="39" s="1"/>
  <c r="E349" i="39" s="1"/>
  <c r="F350" i="39" s="1"/>
  <c r="G351" i="39" s="1"/>
  <c r="H352" i="39" s="1"/>
  <c r="I353" i="39" s="1"/>
  <c r="J354" i="39" s="1"/>
  <c r="K355" i="39" s="1"/>
  <c r="L356" i="39" s="1"/>
  <c r="M357" i="39" s="1"/>
  <c r="N358" i="39" s="1"/>
  <c r="C348" i="39"/>
  <c r="D349" i="39" s="1"/>
  <c r="E350" i="39" s="1"/>
  <c r="F351" i="39" s="1"/>
  <c r="G352" i="39" s="1"/>
  <c r="H353" i="39" s="1"/>
  <c r="I354" i="39" s="1"/>
  <c r="J355" i="39" s="1"/>
  <c r="K356" i="39" s="1"/>
  <c r="L357" i="39" s="1"/>
  <c r="M358" i="39" s="1"/>
  <c r="N359" i="39" s="1"/>
  <c r="C349" i="39"/>
  <c r="D350" i="39" s="1"/>
  <c r="E351" i="39" s="1"/>
  <c r="F352" i="39" s="1"/>
  <c r="G353" i="39" s="1"/>
  <c r="H354" i="39" s="1"/>
  <c r="I355" i="39" s="1"/>
  <c r="J356" i="39" s="1"/>
  <c r="K357" i="39" s="1"/>
  <c r="L358" i="39" s="1"/>
  <c r="M359" i="39" s="1"/>
  <c r="N360" i="39" s="1"/>
  <c r="C350" i="39"/>
  <c r="D351" i="39" s="1"/>
  <c r="E352" i="39" s="1"/>
  <c r="F353" i="39" s="1"/>
  <c r="G354" i="39" s="1"/>
  <c r="H355" i="39" s="1"/>
  <c r="I356" i="39" s="1"/>
  <c r="J357" i="39" s="1"/>
  <c r="K358" i="39" s="1"/>
  <c r="L359" i="39" s="1"/>
  <c r="M360" i="39" s="1"/>
  <c r="N361" i="39" s="1"/>
  <c r="C351" i="39"/>
  <c r="D352" i="39" s="1"/>
  <c r="E353" i="39" s="1"/>
  <c r="F354" i="39" s="1"/>
  <c r="G355" i="39" s="1"/>
  <c r="H356" i="39" s="1"/>
  <c r="I357" i="39" s="1"/>
  <c r="J358" i="39" s="1"/>
  <c r="K359" i="39" s="1"/>
  <c r="L360" i="39" s="1"/>
  <c r="M361" i="39" s="1"/>
  <c r="N362" i="39" s="1"/>
  <c r="C352" i="39"/>
  <c r="D353" i="39" s="1"/>
  <c r="E354" i="39" s="1"/>
  <c r="F355" i="39" s="1"/>
  <c r="G356" i="39" s="1"/>
  <c r="H357" i="39" s="1"/>
  <c r="I358" i="39" s="1"/>
  <c r="J359" i="39" s="1"/>
  <c r="K360" i="39" s="1"/>
  <c r="L361" i="39" s="1"/>
  <c r="M362" i="39" s="1"/>
  <c r="N363" i="39" s="1"/>
  <c r="C353" i="39"/>
  <c r="D354" i="39" s="1"/>
  <c r="E355" i="39" s="1"/>
  <c r="F356" i="39" s="1"/>
  <c r="G357" i="39" s="1"/>
  <c r="H358" i="39" s="1"/>
  <c r="I359" i="39" s="1"/>
  <c r="J360" i="39" s="1"/>
  <c r="K361" i="39" s="1"/>
  <c r="L362" i="39" s="1"/>
  <c r="M363" i="39" s="1"/>
  <c r="N364" i="39" s="1"/>
  <c r="C354" i="39"/>
  <c r="D355" i="39" s="1"/>
  <c r="E356" i="39" s="1"/>
  <c r="F357" i="39" s="1"/>
  <c r="G358" i="39" s="1"/>
  <c r="H359" i="39" s="1"/>
  <c r="I360" i="39" s="1"/>
  <c r="J361" i="39" s="1"/>
  <c r="K362" i="39" s="1"/>
  <c r="L363" i="39" s="1"/>
  <c r="M364" i="39" s="1"/>
  <c r="N365" i="39" s="1"/>
  <c r="C355" i="39"/>
  <c r="D356" i="39" s="1"/>
  <c r="E357" i="39" s="1"/>
  <c r="F358" i="39" s="1"/>
  <c r="G359" i="39" s="1"/>
  <c r="H360" i="39" s="1"/>
  <c r="I361" i="39" s="1"/>
  <c r="J362" i="39" s="1"/>
  <c r="K363" i="39" s="1"/>
  <c r="L364" i="39" s="1"/>
  <c r="M365" i="39" s="1"/>
  <c r="N366" i="39" s="1"/>
  <c r="C356" i="39"/>
  <c r="D357" i="39" s="1"/>
  <c r="E358" i="39" s="1"/>
  <c r="F359" i="39" s="1"/>
  <c r="G360" i="39" s="1"/>
  <c r="H361" i="39" s="1"/>
  <c r="I362" i="39" s="1"/>
  <c r="J363" i="39" s="1"/>
  <c r="K364" i="39" s="1"/>
  <c r="L365" i="39" s="1"/>
  <c r="M366" i="39" s="1"/>
  <c r="N367" i="39" s="1"/>
  <c r="C357" i="39"/>
  <c r="D358" i="39" s="1"/>
  <c r="E359" i="39" s="1"/>
  <c r="F360" i="39" s="1"/>
  <c r="G361" i="39" s="1"/>
  <c r="H362" i="39" s="1"/>
  <c r="I363" i="39" s="1"/>
  <c r="J364" i="39" s="1"/>
  <c r="K365" i="39" s="1"/>
  <c r="L366" i="39" s="1"/>
  <c r="M367" i="39" s="1"/>
  <c r="N368" i="39" s="1"/>
  <c r="C358" i="39"/>
  <c r="D359" i="39" s="1"/>
  <c r="E360" i="39" s="1"/>
  <c r="F361" i="39" s="1"/>
  <c r="G362" i="39" s="1"/>
  <c r="H363" i="39" s="1"/>
  <c r="I364" i="39" s="1"/>
  <c r="J365" i="39" s="1"/>
  <c r="K366" i="39" s="1"/>
  <c r="L367" i="39" s="1"/>
  <c r="M368" i="39" s="1"/>
  <c r="N369" i="39" s="1"/>
  <c r="C359" i="39"/>
  <c r="D360" i="39" s="1"/>
  <c r="E361" i="39" s="1"/>
  <c r="F362" i="39" s="1"/>
  <c r="G363" i="39" s="1"/>
  <c r="H364" i="39" s="1"/>
  <c r="I365" i="39" s="1"/>
  <c r="J366" i="39" s="1"/>
  <c r="K367" i="39" s="1"/>
  <c r="L368" i="39" s="1"/>
  <c r="M369" i="39" s="1"/>
  <c r="N370" i="39" s="1"/>
  <c r="C360" i="39"/>
  <c r="D361" i="39" s="1"/>
  <c r="E362" i="39" s="1"/>
  <c r="F363" i="39" s="1"/>
  <c r="G364" i="39" s="1"/>
  <c r="H365" i="39" s="1"/>
  <c r="I366" i="39" s="1"/>
  <c r="J367" i="39" s="1"/>
  <c r="K368" i="39" s="1"/>
  <c r="L369" i="39" s="1"/>
  <c r="M370" i="39" s="1"/>
  <c r="N371" i="39" s="1"/>
  <c r="C361" i="39"/>
  <c r="D362" i="39" s="1"/>
  <c r="E363" i="39" s="1"/>
  <c r="F364" i="39" s="1"/>
  <c r="G365" i="39" s="1"/>
  <c r="H366" i="39" s="1"/>
  <c r="I367" i="39" s="1"/>
  <c r="J368" i="39" s="1"/>
  <c r="K369" i="39" s="1"/>
  <c r="L370" i="39" s="1"/>
  <c r="M371" i="39" s="1"/>
  <c r="N372" i="39" s="1"/>
  <c r="C362" i="39"/>
  <c r="D363" i="39" s="1"/>
  <c r="E364" i="39" s="1"/>
  <c r="F365" i="39" s="1"/>
  <c r="G366" i="39" s="1"/>
  <c r="H367" i="39" s="1"/>
  <c r="I368" i="39" s="1"/>
  <c r="J369" i="39" s="1"/>
  <c r="K370" i="39" s="1"/>
  <c r="L371" i="39" s="1"/>
  <c r="M372" i="39" s="1"/>
  <c r="N373" i="39" s="1"/>
  <c r="C363" i="39"/>
  <c r="D364" i="39" s="1"/>
  <c r="E365" i="39" s="1"/>
  <c r="F366" i="39" s="1"/>
  <c r="G367" i="39" s="1"/>
  <c r="H368" i="39" s="1"/>
  <c r="I369" i="39" s="1"/>
  <c r="J370" i="39" s="1"/>
  <c r="K371" i="39" s="1"/>
  <c r="L372" i="39" s="1"/>
  <c r="M373" i="39" s="1"/>
  <c r="N374" i="39" s="1"/>
  <c r="C364" i="39"/>
  <c r="D365" i="39" s="1"/>
  <c r="E366" i="39" s="1"/>
  <c r="F367" i="39" s="1"/>
  <c r="G368" i="39" s="1"/>
  <c r="H369" i="39" s="1"/>
  <c r="I370" i="39" s="1"/>
  <c r="J371" i="39" s="1"/>
  <c r="K372" i="39" s="1"/>
  <c r="L373" i="39" s="1"/>
  <c r="M374" i="39" s="1"/>
  <c r="N375" i="39" s="1"/>
  <c r="C365" i="39"/>
  <c r="D366" i="39" s="1"/>
  <c r="E367" i="39" s="1"/>
  <c r="F368" i="39" s="1"/>
  <c r="G369" i="39" s="1"/>
  <c r="H370" i="39" s="1"/>
  <c r="I371" i="39" s="1"/>
  <c r="J372" i="39" s="1"/>
  <c r="K373" i="39" s="1"/>
  <c r="L374" i="39" s="1"/>
  <c r="M375" i="39" s="1"/>
  <c r="N376" i="39" s="1"/>
  <c r="C366" i="39"/>
  <c r="D367" i="39" s="1"/>
  <c r="E368" i="39" s="1"/>
  <c r="F369" i="39" s="1"/>
  <c r="G370" i="39" s="1"/>
  <c r="H371" i="39" s="1"/>
  <c r="I372" i="39" s="1"/>
  <c r="J373" i="39" s="1"/>
  <c r="K374" i="39" s="1"/>
  <c r="L375" i="39" s="1"/>
  <c r="M376" i="39" s="1"/>
  <c r="N377" i="39" s="1"/>
  <c r="C367" i="39"/>
  <c r="D368" i="39" s="1"/>
  <c r="E369" i="39" s="1"/>
  <c r="F370" i="39" s="1"/>
  <c r="G371" i="39" s="1"/>
  <c r="H372" i="39" s="1"/>
  <c r="I373" i="39" s="1"/>
  <c r="J374" i="39" s="1"/>
  <c r="K375" i="39" s="1"/>
  <c r="L376" i="39" s="1"/>
  <c r="M377" i="39" s="1"/>
  <c r="N378" i="39" s="1"/>
  <c r="C368" i="39"/>
  <c r="D369" i="39" s="1"/>
  <c r="E370" i="39" s="1"/>
  <c r="F371" i="39" s="1"/>
  <c r="G372" i="39" s="1"/>
  <c r="H373" i="39" s="1"/>
  <c r="I374" i="39" s="1"/>
  <c r="J375" i="39" s="1"/>
  <c r="K376" i="39" s="1"/>
  <c r="L377" i="39" s="1"/>
  <c r="M378" i="39" s="1"/>
  <c r="N379" i="39" s="1"/>
  <c r="C369" i="39"/>
  <c r="D370" i="39" s="1"/>
  <c r="E371" i="39" s="1"/>
  <c r="F372" i="39" s="1"/>
  <c r="G373" i="39" s="1"/>
  <c r="H374" i="39" s="1"/>
  <c r="I375" i="39" s="1"/>
  <c r="J376" i="39" s="1"/>
  <c r="K377" i="39" s="1"/>
  <c r="L378" i="39" s="1"/>
  <c r="M379" i="39" s="1"/>
  <c r="N380" i="39" s="1"/>
  <c r="C370" i="39"/>
  <c r="D371" i="39" s="1"/>
  <c r="E372" i="39" s="1"/>
  <c r="F373" i="39" s="1"/>
  <c r="G374" i="39" s="1"/>
  <c r="H375" i="39" s="1"/>
  <c r="I376" i="39" s="1"/>
  <c r="J377" i="39" s="1"/>
  <c r="K378" i="39" s="1"/>
  <c r="L379" i="39" s="1"/>
  <c r="M380" i="39" s="1"/>
  <c r="N381" i="39" s="1"/>
  <c r="C371" i="39"/>
  <c r="D372" i="39" s="1"/>
  <c r="E373" i="39" s="1"/>
  <c r="F374" i="39" s="1"/>
  <c r="G375" i="39" s="1"/>
  <c r="H376" i="39" s="1"/>
  <c r="I377" i="39" s="1"/>
  <c r="J378" i="39" s="1"/>
  <c r="K379" i="39" s="1"/>
  <c r="L380" i="39" s="1"/>
  <c r="M381" i="39" s="1"/>
  <c r="N382" i="39" s="1"/>
  <c r="C372" i="39"/>
  <c r="D373" i="39" s="1"/>
  <c r="E374" i="39" s="1"/>
  <c r="F375" i="39" s="1"/>
  <c r="G376" i="39" s="1"/>
  <c r="H377" i="39" s="1"/>
  <c r="I378" i="39" s="1"/>
  <c r="J379" i="39" s="1"/>
  <c r="K380" i="39" s="1"/>
  <c r="L381" i="39" s="1"/>
  <c r="M382" i="39" s="1"/>
  <c r="N383" i="39" s="1"/>
  <c r="C373" i="39"/>
  <c r="D374" i="39" s="1"/>
  <c r="E375" i="39" s="1"/>
  <c r="F376" i="39" s="1"/>
  <c r="G377" i="39" s="1"/>
  <c r="H378" i="39" s="1"/>
  <c r="I379" i="39" s="1"/>
  <c r="J380" i="39" s="1"/>
  <c r="K381" i="39" s="1"/>
  <c r="L382" i="39" s="1"/>
  <c r="M383" i="39" s="1"/>
  <c r="N384" i="39" s="1"/>
  <c r="C374" i="39"/>
  <c r="D375" i="39" s="1"/>
  <c r="E376" i="39" s="1"/>
  <c r="F377" i="39" s="1"/>
  <c r="G378" i="39" s="1"/>
  <c r="H379" i="39" s="1"/>
  <c r="I380" i="39" s="1"/>
  <c r="J381" i="39" s="1"/>
  <c r="K382" i="39" s="1"/>
  <c r="L383" i="39" s="1"/>
  <c r="M384" i="39" s="1"/>
  <c r="N385" i="39" s="1"/>
  <c r="C375" i="39"/>
  <c r="D376" i="39" s="1"/>
  <c r="E377" i="39" s="1"/>
  <c r="F378" i="39" s="1"/>
  <c r="G379" i="39" s="1"/>
  <c r="H380" i="39" s="1"/>
  <c r="I381" i="39" s="1"/>
  <c r="J382" i="39" s="1"/>
  <c r="K383" i="39" s="1"/>
  <c r="L384" i="39" s="1"/>
  <c r="M385" i="39" s="1"/>
  <c r="N386" i="39" s="1"/>
  <c r="C376" i="39"/>
  <c r="D377" i="39" s="1"/>
  <c r="E378" i="39" s="1"/>
  <c r="F379" i="39" s="1"/>
  <c r="G380" i="39" s="1"/>
  <c r="H381" i="39" s="1"/>
  <c r="I382" i="39" s="1"/>
  <c r="J383" i="39" s="1"/>
  <c r="K384" i="39" s="1"/>
  <c r="L385" i="39" s="1"/>
  <c r="M386" i="39" s="1"/>
  <c r="N387" i="39" s="1"/>
  <c r="C377" i="39"/>
  <c r="D378" i="39" s="1"/>
  <c r="E379" i="39" s="1"/>
  <c r="F380" i="39" s="1"/>
  <c r="G381" i="39" s="1"/>
  <c r="H382" i="39" s="1"/>
  <c r="I383" i="39" s="1"/>
  <c r="J384" i="39" s="1"/>
  <c r="K385" i="39" s="1"/>
  <c r="L386" i="39" s="1"/>
  <c r="M387" i="39" s="1"/>
  <c r="N388" i="39" s="1"/>
  <c r="C378" i="39"/>
  <c r="D379" i="39" s="1"/>
  <c r="E380" i="39" s="1"/>
  <c r="F381" i="39" s="1"/>
  <c r="G382" i="39" s="1"/>
  <c r="H383" i="39" s="1"/>
  <c r="I384" i="39" s="1"/>
  <c r="J385" i="39" s="1"/>
  <c r="K386" i="39" s="1"/>
  <c r="L387" i="39" s="1"/>
  <c r="M388" i="39" s="1"/>
  <c r="N389" i="39" s="1"/>
  <c r="C379" i="39"/>
  <c r="D380" i="39" s="1"/>
  <c r="E381" i="39" s="1"/>
  <c r="F382" i="39" s="1"/>
  <c r="G383" i="39" s="1"/>
  <c r="H384" i="39" s="1"/>
  <c r="I385" i="39" s="1"/>
  <c r="J386" i="39" s="1"/>
  <c r="K387" i="39" s="1"/>
  <c r="L388" i="39" s="1"/>
  <c r="M389" i="39" s="1"/>
  <c r="N390" i="39" s="1"/>
  <c r="C380" i="39"/>
  <c r="D381" i="39" s="1"/>
  <c r="E382" i="39" s="1"/>
  <c r="F383" i="39" s="1"/>
  <c r="G384" i="39" s="1"/>
  <c r="H385" i="39" s="1"/>
  <c r="I386" i="39" s="1"/>
  <c r="J387" i="39" s="1"/>
  <c r="K388" i="39" s="1"/>
  <c r="L389" i="39" s="1"/>
  <c r="M390" i="39" s="1"/>
  <c r="N391" i="39" s="1"/>
  <c r="C381" i="39"/>
  <c r="D382" i="39" s="1"/>
  <c r="E383" i="39" s="1"/>
  <c r="F384" i="39" s="1"/>
  <c r="G385" i="39" s="1"/>
  <c r="H386" i="39" s="1"/>
  <c r="I387" i="39" s="1"/>
  <c r="J388" i="39" s="1"/>
  <c r="K389" i="39" s="1"/>
  <c r="L390" i="39" s="1"/>
  <c r="M391" i="39" s="1"/>
  <c r="N392" i="39" s="1"/>
  <c r="C382" i="39"/>
  <c r="D383" i="39" s="1"/>
  <c r="E384" i="39" s="1"/>
  <c r="F385" i="39" s="1"/>
  <c r="G386" i="39" s="1"/>
  <c r="H387" i="39" s="1"/>
  <c r="I388" i="39" s="1"/>
  <c r="J389" i="39" s="1"/>
  <c r="K390" i="39" s="1"/>
  <c r="L391" i="39" s="1"/>
  <c r="M392" i="39" s="1"/>
  <c r="N393" i="39" s="1"/>
  <c r="C383" i="39"/>
  <c r="D384" i="39" s="1"/>
  <c r="E385" i="39" s="1"/>
  <c r="F386" i="39" s="1"/>
  <c r="G387" i="39" s="1"/>
  <c r="H388" i="39" s="1"/>
  <c r="I389" i="39" s="1"/>
  <c r="J390" i="39" s="1"/>
  <c r="K391" i="39" s="1"/>
  <c r="L392" i="39" s="1"/>
  <c r="M393" i="39" s="1"/>
  <c r="N394" i="39" s="1"/>
  <c r="C384" i="39"/>
  <c r="D385" i="39" s="1"/>
  <c r="E386" i="39" s="1"/>
  <c r="F387" i="39" s="1"/>
  <c r="G388" i="39" s="1"/>
  <c r="H389" i="39" s="1"/>
  <c r="I390" i="39" s="1"/>
  <c r="J391" i="39" s="1"/>
  <c r="K392" i="39" s="1"/>
  <c r="L393" i="39" s="1"/>
  <c r="M394" i="39" s="1"/>
  <c r="N395" i="39" s="1"/>
  <c r="C385" i="39"/>
  <c r="D386" i="39" s="1"/>
  <c r="E387" i="39" s="1"/>
  <c r="F388" i="39" s="1"/>
  <c r="G389" i="39" s="1"/>
  <c r="H390" i="39" s="1"/>
  <c r="I391" i="39" s="1"/>
  <c r="J392" i="39" s="1"/>
  <c r="K393" i="39" s="1"/>
  <c r="L394" i="39" s="1"/>
  <c r="M395" i="39" s="1"/>
  <c r="N396" i="39" s="1"/>
  <c r="C386" i="39"/>
  <c r="D387" i="39" s="1"/>
  <c r="E388" i="39" s="1"/>
  <c r="F389" i="39" s="1"/>
  <c r="G390" i="39" s="1"/>
  <c r="H391" i="39" s="1"/>
  <c r="I392" i="39" s="1"/>
  <c r="J393" i="39" s="1"/>
  <c r="K394" i="39" s="1"/>
  <c r="L395" i="39" s="1"/>
  <c r="M396" i="39" s="1"/>
  <c r="N397" i="39" s="1"/>
  <c r="C387" i="39"/>
  <c r="D388" i="39" s="1"/>
  <c r="E389" i="39" s="1"/>
  <c r="F390" i="39" s="1"/>
  <c r="G391" i="39" s="1"/>
  <c r="H392" i="39" s="1"/>
  <c r="I393" i="39" s="1"/>
  <c r="J394" i="39" s="1"/>
  <c r="K395" i="39" s="1"/>
  <c r="L396" i="39" s="1"/>
  <c r="M397" i="39" s="1"/>
  <c r="N398" i="39" s="1"/>
  <c r="C388" i="39"/>
  <c r="D389" i="39" s="1"/>
  <c r="E390" i="39" s="1"/>
  <c r="F391" i="39" s="1"/>
  <c r="G392" i="39" s="1"/>
  <c r="H393" i="39" s="1"/>
  <c r="I394" i="39" s="1"/>
  <c r="J395" i="39" s="1"/>
  <c r="K396" i="39" s="1"/>
  <c r="L397" i="39" s="1"/>
  <c r="M398" i="39" s="1"/>
  <c r="N399" i="39" s="1"/>
  <c r="C389" i="39"/>
  <c r="D390" i="39" s="1"/>
  <c r="E391" i="39" s="1"/>
  <c r="F392" i="39" s="1"/>
  <c r="G393" i="39" s="1"/>
  <c r="H394" i="39" s="1"/>
  <c r="I395" i="39" s="1"/>
  <c r="J396" i="39" s="1"/>
  <c r="K397" i="39" s="1"/>
  <c r="L398" i="39" s="1"/>
  <c r="M399" i="39" s="1"/>
  <c r="N400" i="39" s="1"/>
  <c r="C390" i="39"/>
  <c r="D391" i="39" s="1"/>
  <c r="E392" i="39" s="1"/>
  <c r="F393" i="39" s="1"/>
  <c r="G394" i="39" s="1"/>
  <c r="H395" i="39" s="1"/>
  <c r="I396" i="39" s="1"/>
  <c r="J397" i="39" s="1"/>
  <c r="K398" i="39" s="1"/>
  <c r="L399" i="39" s="1"/>
  <c r="M400" i="39" s="1"/>
  <c r="N401" i="39" s="1"/>
  <c r="C391" i="39"/>
  <c r="D392" i="39" s="1"/>
  <c r="E393" i="39" s="1"/>
  <c r="F394" i="39" s="1"/>
  <c r="G395" i="39" s="1"/>
  <c r="H396" i="39" s="1"/>
  <c r="I397" i="39" s="1"/>
  <c r="J398" i="39" s="1"/>
  <c r="K399" i="39" s="1"/>
  <c r="L400" i="39" s="1"/>
  <c r="M401" i="39" s="1"/>
  <c r="N402" i="39" s="1"/>
  <c r="C392" i="39"/>
  <c r="D393" i="39" s="1"/>
  <c r="E394" i="39" s="1"/>
  <c r="F395" i="39" s="1"/>
  <c r="G396" i="39" s="1"/>
  <c r="H397" i="39" s="1"/>
  <c r="I398" i="39" s="1"/>
  <c r="J399" i="39" s="1"/>
  <c r="K400" i="39" s="1"/>
  <c r="L401" i="39" s="1"/>
  <c r="M402" i="39" s="1"/>
  <c r="N403" i="39" s="1"/>
  <c r="C393" i="39"/>
  <c r="D394" i="39" s="1"/>
  <c r="E395" i="39" s="1"/>
  <c r="F396" i="39" s="1"/>
  <c r="G397" i="39" s="1"/>
  <c r="H398" i="39" s="1"/>
  <c r="I399" i="39" s="1"/>
  <c r="J400" i="39" s="1"/>
  <c r="K401" i="39" s="1"/>
  <c r="L402" i="39" s="1"/>
  <c r="M403" i="39" s="1"/>
  <c r="N404" i="39" s="1"/>
  <c r="C394" i="39"/>
  <c r="D395" i="39" s="1"/>
  <c r="E396" i="39" s="1"/>
  <c r="F397" i="39" s="1"/>
  <c r="G398" i="39" s="1"/>
  <c r="H399" i="39" s="1"/>
  <c r="I400" i="39" s="1"/>
  <c r="J401" i="39" s="1"/>
  <c r="K402" i="39" s="1"/>
  <c r="L403" i="39" s="1"/>
  <c r="M404" i="39" s="1"/>
  <c r="N405" i="39" s="1"/>
  <c r="C395" i="39"/>
  <c r="D396" i="39" s="1"/>
  <c r="E397" i="39" s="1"/>
  <c r="F398" i="39" s="1"/>
  <c r="G399" i="39" s="1"/>
  <c r="H400" i="39" s="1"/>
  <c r="I401" i="39" s="1"/>
  <c r="J402" i="39" s="1"/>
  <c r="K403" i="39" s="1"/>
  <c r="L404" i="39" s="1"/>
  <c r="M405" i="39" s="1"/>
  <c r="N406" i="39" s="1"/>
  <c r="C396" i="39"/>
  <c r="D397" i="39" s="1"/>
  <c r="E398" i="39" s="1"/>
  <c r="F399" i="39" s="1"/>
  <c r="G400" i="39" s="1"/>
  <c r="H401" i="39" s="1"/>
  <c r="I402" i="39" s="1"/>
  <c r="J403" i="39" s="1"/>
  <c r="K404" i="39" s="1"/>
  <c r="L405" i="39" s="1"/>
  <c r="M406" i="39" s="1"/>
  <c r="N407" i="39" s="1"/>
  <c r="C397" i="39"/>
  <c r="D398" i="39" s="1"/>
  <c r="E399" i="39" s="1"/>
  <c r="F400" i="39" s="1"/>
  <c r="G401" i="39" s="1"/>
  <c r="H402" i="39" s="1"/>
  <c r="I403" i="39" s="1"/>
  <c r="J404" i="39" s="1"/>
  <c r="K405" i="39" s="1"/>
  <c r="L406" i="39" s="1"/>
  <c r="M407" i="39" s="1"/>
  <c r="N408" i="39" s="1"/>
  <c r="C398" i="39"/>
  <c r="D399" i="39" s="1"/>
  <c r="E400" i="39" s="1"/>
  <c r="F401" i="39" s="1"/>
  <c r="G402" i="39" s="1"/>
  <c r="H403" i="39" s="1"/>
  <c r="I404" i="39" s="1"/>
  <c r="J405" i="39" s="1"/>
  <c r="K406" i="39" s="1"/>
  <c r="L407" i="39" s="1"/>
  <c r="M408" i="39" s="1"/>
  <c r="N409" i="39" s="1"/>
  <c r="C399" i="39"/>
  <c r="D400" i="39" s="1"/>
  <c r="E401" i="39" s="1"/>
  <c r="F402" i="39" s="1"/>
  <c r="G403" i="39" s="1"/>
  <c r="H404" i="39" s="1"/>
  <c r="I405" i="39" s="1"/>
  <c r="J406" i="39" s="1"/>
  <c r="K407" i="39" s="1"/>
  <c r="L408" i="39" s="1"/>
  <c r="M409" i="39" s="1"/>
  <c r="N410" i="39" s="1"/>
  <c r="C400" i="39"/>
  <c r="D401" i="39" s="1"/>
  <c r="E402" i="39" s="1"/>
  <c r="F403" i="39" s="1"/>
  <c r="G404" i="39" s="1"/>
  <c r="H405" i="39" s="1"/>
  <c r="I406" i="39" s="1"/>
  <c r="J407" i="39" s="1"/>
  <c r="K408" i="39" s="1"/>
  <c r="L409" i="39" s="1"/>
  <c r="M410" i="39" s="1"/>
  <c r="N411" i="39" s="1"/>
  <c r="C401" i="39"/>
  <c r="D402" i="39" s="1"/>
  <c r="E403" i="39" s="1"/>
  <c r="F404" i="39" s="1"/>
  <c r="G405" i="39" s="1"/>
  <c r="H406" i="39" s="1"/>
  <c r="I407" i="39" s="1"/>
  <c r="J408" i="39" s="1"/>
  <c r="K409" i="39" s="1"/>
  <c r="L410" i="39" s="1"/>
  <c r="M411" i="39" s="1"/>
  <c r="N412" i="39" s="1"/>
  <c r="C402" i="39"/>
  <c r="D403" i="39" s="1"/>
  <c r="E404" i="39" s="1"/>
  <c r="F405" i="39" s="1"/>
  <c r="G406" i="39" s="1"/>
  <c r="H407" i="39" s="1"/>
  <c r="I408" i="39" s="1"/>
  <c r="J409" i="39" s="1"/>
  <c r="K410" i="39" s="1"/>
  <c r="L411" i="39" s="1"/>
  <c r="M412" i="39" s="1"/>
  <c r="N413" i="39" s="1"/>
  <c r="C403" i="39"/>
  <c r="D404" i="39" s="1"/>
  <c r="E405" i="39" s="1"/>
  <c r="F406" i="39" s="1"/>
  <c r="G407" i="39" s="1"/>
  <c r="H408" i="39" s="1"/>
  <c r="I409" i="39" s="1"/>
  <c r="J410" i="39" s="1"/>
  <c r="K411" i="39" s="1"/>
  <c r="L412" i="39" s="1"/>
  <c r="M413" i="39" s="1"/>
  <c r="N414" i="39" s="1"/>
  <c r="C404" i="39"/>
  <c r="D405" i="39" s="1"/>
  <c r="E406" i="39" s="1"/>
  <c r="F407" i="39" s="1"/>
  <c r="G408" i="39" s="1"/>
  <c r="H409" i="39" s="1"/>
  <c r="I410" i="39" s="1"/>
  <c r="J411" i="39" s="1"/>
  <c r="K412" i="39" s="1"/>
  <c r="L413" i="39" s="1"/>
  <c r="M414" i="39" s="1"/>
  <c r="N415" i="39" s="1"/>
  <c r="C405" i="39"/>
  <c r="D406" i="39" s="1"/>
  <c r="E407" i="39" s="1"/>
  <c r="F408" i="39" s="1"/>
  <c r="G409" i="39" s="1"/>
  <c r="H410" i="39" s="1"/>
  <c r="I411" i="39" s="1"/>
  <c r="J412" i="39" s="1"/>
  <c r="K413" i="39" s="1"/>
  <c r="L414" i="39" s="1"/>
  <c r="M415" i="39" s="1"/>
  <c r="N416" i="39" s="1"/>
  <c r="C406" i="39"/>
  <c r="D407" i="39" s="1"/>
  <c r="E408" i="39" s="1"/>
  <c r="F409" i="39" s="1"/>
  <c r="G410" i="39" s="1"/>
  <c r="H411" i="39" s="1"/>
  <c r="I412" i="39" s="1"/>
  <c r="J413" i="39" s="1"/>
  <c r="K414" i="39" s="1"/>
  <c r="L415" i="39" s="1"/>
  <c r="M416" i="39" s="1"/>
  <c r="N417" i="39" s="1"/>
  <c r="C407" i="39"/>
  <c r="D408" i="39" s="1"/>
  <c r="E409" i="39" s="1"/>
  <c r="F410" i="39" s="1"/>
  <c r="G411" i="39" s="1"/>
  <c r="H412" i="39" s="1"/>
  <c r="I413" i="39" s="1"/>
  <c r="J414" i="39" s="1"/>
  <c r="K415" i="39" s="1"/>
  <c r="L416" i="39" s="1"/>
  <c r="M417" i="39" s="1"/>
  <c r="N418" i="39" s="1"/>
  <c r="C408" i="39"/>
  <c r="D409" i="39" s="1"/>
  <c r="E410" i="39" s="1"/>
  <c r="F411" i="39" s="1"/>
  <c r="G412" i="39" s="1"/>
  <c r="H413" i="39" s="1"/>
  <c r="I414" i="39" s="1"/>
  <c r="J415" i="39" s="1"/>
  <c r="K416" i="39" s="1"/>
  <c r="L417" i="39" s="1"/>
  <c r="M418" i="39" s="1"/>
  <c r="N419" i="39" s="1"/>
  <c r="C409" i="39"/>
  <c r="D410" i="39" s="1"/>
  <c r="E411" i="39" s="1"/>
  <c r="F412" i="39" s="1"/>
  <c r="G413" i="39" s="1"/>
  <c r="H414" i="39" s="1"/>
  <c r="I415" i="39" s="1"/>
  <c r="J416" i="39" s="1"/>
  <c r="K417" i="39" s="1"/>
  <c r="L418" i="39" s="1"/>
  <c r="M419" i="39" s="1"/>
  <c r="N420" i="39" s="1"/>
  <c r="C410" i="39"/>
  <c r="D411" i="39" s="1"/>
  <c r="E412" i="39" s="1"/>
  <c r="F413" i="39" s="1"/>
  <c r="G414" i="39" s="1"/>
  <c r="H415" i="39" s="1"/>
  <c r="I416" i="39" s="1"/>
  <c r="J417" i="39" s="1"/>
  <c r="K418" i="39" s="1"/>
  <c r="L419" i="39" s="1"/>
  <c r="M420" i="39" s="1"/>
  <c r="N421" i="39" s="1"/>
  <c r="C411" i="39"/>
  <c r="D412" i="39" s="1"/>
  <c r="E413" i="39" s="1"/>
  <c r="F414" i="39" s="1"/>
  <c r="G415" i="39" s="1"/>
  <c r="H416" i="39" s="1"/>
  <c r="I417" i="39" s="1"/>
  <c r="J418" i="39" s="1"/>
  <c r="K419" i="39" s="1"/>
  <c r="L420" i="39" s="1"/>
  <c r="M421" i="39" s="1"/>
  <c r="N422" i="39" s="1"/>
  <c r="C412" i="39"/>
  <c r="D413" i="39" s="1"/>
  <c r="E414" i="39" s="1"/>
  <c r="F415" i="39" s="1"/>
  <c r="G416" i="39" s="1"/>
  <c r="H417" i="39" s="1"/>
  <c r="I418" i="39" s="1"/>
  <c r="J419" i="39" s="1"/>
  <c r="K420" i="39" s="1"/>
  <c r="L421" i="39" s="1"/>
  <c r="M422" i="39" s="1"/>
  <c r="N423" i="39" s="1"/>
  <c r="C413" i="39"/>
  <c r="D414" i="39" s="1"/>
  <c r="E415" i="39" s="1"/>
  <c r="F416" i="39" s="1"/>
  <c r="G417" i="39" s="1"/>
  <c r="H418" i="39" s="1"/>
  <c r="I419" i="39" s="1"/>
  <c r="J420" i="39" s="1"/>
  <c r="K421" i="39" s="1"/>
  <c r="L422" i="39" s="1"/>
  <c r="M423" i="39" s="1"/>
  <c r="N424" i="39" s="1"/>
  <c r="C414" i="39"/>
  <c r="D415" i="39" s="1"/>
  <c r="E416" i="39" s="1"/>
  <c r="F417" i="39" s="1"/>
  <c r="G418" i="39" s="1"/>
  <c r="H419" i="39" s="1"/>
  <c r="I420" i="39" s="1"/>
  <c r="J421" i="39" s="1"/>
  <c r="K422" i="39" s="1"/>
  <c r="L423" i="39" s="1"/>
  <c r="M424" i="39" s="1"/>
  <c r="N425" i="39" s="1"/>
  <c r="C415" i="39"/>
  <c r="D416" i="39" s="1"/>
  <c r="E417" i="39" s="1"/>
  <c r="F418" i="39" s="1"/>
  <c r="G419" i="39" s="1"/>
  <c r="H420" i="39" s="1"/>
  <c r="I421" i="39" s="1"/>
  <c r="J422" i="39" s="1"/>
  <c r="K423" i="39" s="1"/>
  <c r="L424" i="39" s="1"/>
  <c r="M425" i="39" s="1"/>
  <c r="N426" i="39" s="1"/>
  <c r="C416" i="39"/>
  <c r="D417" i="39" s="1"/>
  <c r="E418" i="39" s="1"/>
  <c r="F419" i="39" s="1"/>
  <c r="G420" i="39" s="1"/>
  <c r="H421" i="39" s="1"/>
  <c r="I422" i="39" s="1"/>
  <c r="J423" i="39" s="1"/>
  <c r="K424" i="39" s="1"/>
  <c r="L425" i="39" s="1"/>
  <c r="M426" i="39" s="1"/>
  <c r="N427" i="39" s="1"/>
  <c r="C417" i="39"/>
  <c r="D418" i="39" s="1"/>
  <c r="E419" i="39" s="1"/>
  <c r="F420" i="39" s="1"/>
  <c r="G421" i="39" s="1"/>
  <c r="H422" i="39" s="1"/>
  <c r="I423" i="39" s="1"/>
  <c r="J424" i="39" s="1"/>
  <c r="K425" i="39" s="1"/>
  <c r="L426" i="39" s="1"/>
  <c r="M427" i="39" s="1"/>
  <c r="N428" i="39" s="1"/>
  <c r="C418" i="39"/>
  <c r="D419" i="39" s="1"/>
  <c r="E420" i="39" s="1"/>
  <c r="F421" i="39" s="1"/>
  <c r="G422" i="39" s="1"/>
  <c r="H423" i="39" s="1"/>
  <c r="I424" i="39" s="1"/>
  <c r="J425" i="39" s="1"/>
  <c r="K426" i="39" s="1"/>
  <c r="L427" i="39" s="1"/>
  <c r="M428" i="39" s="1"/>
  <c r="N429" i="39" s="1"/>
  <c r="C419" i="39"/>
  <c r="D420" i="39" s="1"/>
  <c r="E421" i="39" s="1"/>
  <c r="F422" i="39" s="1"/>
  <c r="G423" i="39" s="1"/>
  <c r="H424" i="39" s="1"/>
  <c r="I425" i="39" s="1"/>
  <c r="J426" i="39" s="1"/>
  <c r="K427" i="39" s="1"/>
  <c r="L428" i="39" s="1"/>
  <c r="M429" i="39" s="1"/>
  <c r="N430" i="39" s="1"/>
  <c r="C420" i="39"/>
  <c r="D421" i="39" s="1"/>
  <c r="E422" i="39" s="1"/>
  <c r="F423" i="39" s="1"/>
  <c r="G424" i="39" s="1"/>
  <c r="H425" i="39" s="1"/>
  <c r="I426" i="39" s="1"/>
  <c r="J427" i="39" s="1"/>
  <c r="K428" i="39" s="1"/>
  <c r="L429" i="39" s="1"/>
  <c r="M430" i="39" s="1"/>
  <c r="N431" i="39" s="1"/>
  <c r="C421" i="39"/>
  <c r="D422" i="39" s="1"/>
  <c r="E423" i="39" s="1"/>
  <c r="F424" i="39" s="1"/>
  <c r="G425" i="39" s="1"/>
  <c r="H426" i="39" s="1"/>
  <c r="I427" i="39" s="1"/>
  <c r="J428" i="39" s="1"/>
  <c r="K429" i="39" s="1"/>
  <c r="L430" i="39" s="1"/>
  <c r="M431" i="39" s="1"/>
  <c r="N432" i="39" s="1"/>
  <c r="C422" i="39"/>
  <c r="D423" i="39" s="1"/>
  <c r="E424" i="39" s="1"/>
  <c r="F425" i="39" s="1"/>
  <c r="G426" i="39" s="1"/>
  <c r="H427" i="39" s="1"/>
  <c r="I428" i="39" s="1"/>
  <c r="J429" i="39" s="1"/>
  <c r="K430" i="39" s="1"/>
  <c r="L431" i="39" s="1"/>
  <c r="M432" i="39" s="1"/>
  <c r="N433" i="39" s="1"/>
  <c r="C423" i="39"/>
  <c r="D424" i="39" s="1"/>
  <c r="E425" i="39" s="1"/>
  <c r="F426" i="39" s="1"/>
  <c r="G427" i="39" s="1"/>
  <c r="H428" i="39" s="1"/>
  <c r="I429" i="39" s="1"/>
  <c r="J430" i="39" s="1"/>
  <c r="K431" i="39" s="1"/>
  <c r="L432" i="39" s="1"/>
  <c r="M433" i="39" s="1"/>
  <c r="N434" i="39" s="1"/>
  <c r="C424" i="39"/>
  <c r="D425" i="39" s="1"/>
  <c r="E426" i="39" s="1"/>
  <c r="F427" i="39" s="1"/>
  <c r="G428" i="39" s="1"/>
  <c r="H429" i="39" s="1"/>
  <c r="I430" i="39" s="1"/>
  <c r="J431" i="39" s="1"/>
  <c r="K432" i="39" s="1"/>
  <c r="L433" i="39" s="1"/>
  <c r="M434" i="39" s="1"/>
  <c r="N435" i="39" s="1"/>
  <c r="C425" i="39"/>
  <c r="D426" i="39" s="1"/>
  <c r="E427" i="39" s="1"/>
  <c r="F428" i="39" s="1"/>
  <c r="G429" i="39" s="1"/>
  <c r="H430" i="39" s="1"/>
  <c r="I431" i="39" s="1"/>
  <c r="J432" i="39" s="1"/>
  <c r="K433" i="39" s="1"/>
  <c r="L434" i="39" s="1"/>
  <c r="M435" i="39" s="1"/>
  <c r="N436" i="39" s="1"/>
  <c r="C426" i="39"/>
  <c r="D427" i="39" s="1"/>
  <c r="E428" i="39" s="1"/>
  <c r="F429" i="39" s="1"/>
  <c r="G430" i="39" s="1"/>
  <c r="H431" i="39" s="1"/>
  <c r="I432" i="39" s="1"/>
  <c r="J433" i="39" s="1"/>
  <c r="K434" i="39" s="1"/>
  <c r="L435" i="39" s="1"/>
  <c r="M436" i="39" s="1"/>
  <c r="N437" i="39" s="1"/>
  <c r="C427" i="39"/>
  <c r="D428" i="39" s="1"/>
  <c r="E429" i="39" s="1"/>
  <c r="F430" i="39" s="1"/>
  <c r="G431" i="39" s="1"/>
  <c r="H432" i="39" s="1"/>
  <c r="I433" i="39" s="1"/>
  <c r="J434" i="39" s="1"/>
  <c r="K435" i="39" s="1"/>
  <c r="L436" i="39" s="1"/>
  <c r="M437" i="39" s="1"/>
  <c r="N438" i="39" s="1"/>
  <c r="C428" i="39"/>
  <c r="D429" i="39" s="1"/>
  <c r="E430" i="39" s="1"/>
  <c r="F431" i="39" s="1"/>
  <c r="G432" i="39" s="1"/>
  <c r="H433" i="39" s="1"/>
  <c r="I434" i="39" s="1"/>
  <c r="J435" i="39" s="1"/>
  <c r="K436" i="39" s="1"/>
  <c r="L437" i="39" s="1"/>
  <c r="M438" i="39" s="1"/>
  <c r="N439" i="39" s="1"/>
  <c r="C429" i="39"/>
  <c r="D430" i="39" s="1"/>
  <c r="E431" i="39" s="1"/>
  <c r="F432" i="39" s="1"/>
  <c r="G433" i="39" s="1"/>
  <c r="H434" i="39" s="1"/>
  <c r="I435" i="39" s="1"/>
  <c r="J436" i="39" s="1"/>
  <c r="K437" i="39" s="1"/>
  <c r="L438" i="39" s="1"/>
  <c r="M439" i="39" s="1"/>
  <c r="N440" i="39" s="1"/>
  <c r="C430" i="39"/>
  <c r="D431" i="39" s="1"/>
  <c r="E432" i="39" s="1"/>
  <c r="F433" i="39" s="1"/>
  <c r="G434" i="39" s="1"/>
  <c r="H435" i="39" s="1"/>
  <c r="I436" i="39" s="1"/>
  <c r="J437" i="39" s="1"/>
  <c r="K438" i="39" s="1"/>
  <c r="L439" i="39" s="1"/>
  <c r="M440" i="39" s="1"/>
  <c r="N441" i="39" s="1"/>
  <c r="C431" i="39"/>
  <c r="D432" i="39" s="1"/>
  <c r="E433" i="39" s="1"/>
  <c r="F434" i="39" s="1"/>
  <c r="G435" i="39" s="1"/>
  <c r="H436" i="39" s="1"/>
  <c r="I437" i="39" s="1"/>
  <c r="J438" i="39" s="1"/>
  <c r="K439" i="39" s="1"/>
  <c r="L440" i="39" s="1"/>
  <c r="M441" i="39" s="1"/>
  <c r="N442" i="39" s="1"/>
  <c r="C432" i="39"/>
  <c r="D433" i="39" s="1"/>
  <c r="E434" i="39" s="1"/>
  <c r="F435" i="39" s="1"/>
  <c r="G436" i="39" s="1"/>
  <c r="H437" i="39" s="1"/>
  <c r="I438" i="39" s="1"/>
  <c r="J439" i="39" s="1"/>
  <c r="K440" i="39" s="1"/>
  <c r="L441" i="39" s="1"/>
  <c r="M442" i="39" s="1"/>
  <c r="N443" i="39" s="1"/>
  <c r="C433" i="39"/>
  <c r="D434" i="39" s="1"/>
  <c r="E435" i="39" s="1"/>
  <c r="F436" i="39" s="1"/>
  <c r="G437" i="39" s="1"/>
  <c r="H438" i="39" s="1"/>
  <c r="I439" i="39" s="1"/>
  <c r="J440" i="39" s="1"/>
  <c r="K441" i="39" s="1"/>
  <c r="L442" i="39" s="1"/>
  <c r="M443" i="39" s="1"/>
  <c r="N444" i="39" s="1"/>
  <c r="C434" i="39"/>
  <c r="D435" i="39" s="1"/>
  <c r="E436" i="39" s="1"/>
  <c r="F437" i="39" s="1"/>
  <c r="G438" i="39" s="1"/>
  <c r="H439" i="39" s="1"/>
  <c r="I440" i="39" s="1"/>
  <c r="J441" i="39" s="1"/>
  <c r="K442" i="39" s="1"/>
  <c r="L443" i="39" s="1"/>
  <c r="M444" i="39" s="1"/>
  <c r="N445" i="39" s="1"/>
  <c r="C435" i="39"/>
  <c r="D436" i="39" s="1"/>
  <c r="E437" i="39" s="1"/>
  <c r="F438" i="39" s="1"/>
  <c r="G439" i="39" s="1"/>
  <c r="H440" i="39" s="1"/>
  <c r="I441" i="39" s="1"/>
  <c r="J442" i="39" s="1"/>
  <c r="K443" i="39" s="1"/>
  <c r="L444" i="39" s="1"/>
  <c r="M445" i="39" s="1"/>
  <c r="N446" i="39" s="1"/>
  <c r="C436" i="39"/>
  <c r="D437" i="39" s="1"/>
  <c r="E438" i="39" s="1"/>
  <c r="F439" i="39" s="1"/>
  <c r="G440" i="39" s="1"/>
  <c r="H441" i="39" s="1"/>
  <c r="I442" i="39" s="1"/>
  <c r="J443" i="39" s="1"/>
  <c r="K444" i="39" s="1"/>
  <c r="L445" i="39" s="1"/>
  <c r="M446" i="39" s="1"/>
  <c r="N447" i="39" s="1"/>
  <c r="C437" i="39"/>
  <c r="D438" i="39" s="1"/>
  <c r="E439" i="39" s="1"/>
  <c r="F440" i="39" s="1"/>
  <c r="G441" i="39" s="1"/>
  <c r="H442" i="39" s="1"/>
  <c r="I443" i="39" s="1"/>
  <c r="J444" i="39" s="1"/>
  <c r="K445" i="39" s="1"/>
  <c r="L446" i="39" s="1"/>
  <c r="M447" i="39" s="1"/>
  <c r="N448" i="39" s="1"/>
  <c r="C438" i="39"/>
  <c r="D439" i="39" s="1"/>
  <c r="E440" i="39" s="1"/>
  <c r="F441" i="39" s="1"/>
  <c r="G442" i="39" s="1"/>
  <c r="H443" i="39" s="1"/>
  <c r="I444" i="39" s="1"/>
  <c r="J445" i="39" s="1"/>
  <c r="K446" i="39" s="1"/>
  <c r="L447" i="39" s="1"/>
  <c r="M448" i="39" s="1"/>
  <c r="N449" i="39" s="1"/>
  <c r="C439" i="39"/>
  <c r="D440" i="39" s="1"/>
  <c r="E441" i="39" s="1"/>
  <c r="F442" i="39" s="1"/>
  <c r="G443" i="39" s="1"/>
  <c r="H444" i="39" s="1"/>
  <c r="I445" i="39" s="1"/>
  <c r="J446" i="39" s="1"/>
  <c r="K447" i="39" s="1"/>
  <c r="L448" i="39" s="1"/>
  <c r="M449" i="39" s="1"/>
  <c r="N450" i="39" s="1"/>
  <c r="C440" i="39"/>
  <c r="D441" i="39" s="1"/>
  <c r="E442" i="39" s="1"/>
  <c r="F443" i="39" s="1"/>
  <c r="G444" i="39" s="1"/>
  <c r="H445" i="39" s="1"/>
  <c r="I446" i="39" s="1"/>
  <c r="J447" i="39" s="1"/>
  <c r="K448" i="39" s="1"/>
  <c r="L449" i="39" s="1"/>
  <c r="M450" i="39" s="1"/>
  <c r="N451" i="39" s="1"/>
  <c r="C441" i="39"/>
  <c r="D442" i="39" s="1"/>
  <c r="E443" i="39" s="1"/>
  <c r="F444" i="39" s="1"/>
  <c r="G445" i="39" s="1"/>
  <c r="H446" i="39" s="1"/>
  <c r="I447" i="39" s="1"/>
  <c r="J448" i="39" s="1"/>
  <c r="K449" i="39" s="1"/>
  <c r="L450" i="39" s="1"/>
  <c r="M451" i="39" s="1"/>
  <c r="N452" i="39" s="1"/>
  <c r="C442" i="39"/>
  <c r="D443" i="39" s="1"/>
  <c r="E444" i="39" s="1"/>
  <c r="F445" i="39" s="1"/>
  <c r="G446" i="39" s="1"/>
  <c r="H447" i="39" s="1"/>
  <c r="I448" i="39" s="1"/>
  <c r="J449" i="39" s="1"/>
  <c r="K450" i="39" s="1"/>
  <c r="L451" i="39" s="1"/>
  <c r="M452" i="39" s="1"/>
  <c r="N453" i="39" s="1"/>
  <c r="C443" i="39"/>
  <c r="D444" i="39" s="1"/>
  <c r="E445" i="39" s="1"/>
  <c r="F446" i="39" s="1"/>
  <c r="G447" i="39" s="1"/>
  <c r="H448" i="39" s="1"/>
  <c r="I449" i="39" s="1"/>
  <c r="J450" i="39" s="1"/>
  <c r="K451" i="39" s="1"/>
  <c r="L452" i="39" s="1"/>
  <c r="M453" i="39" s="1"/>
  <c r="N454" i="39" s="1"/>
  <c r="C444" i="39"/>
  <c r="D445" i="39" s="1"/>
  <c r="E446" i="39" s="1"/>
  <c r="F447" i="39" s="1"/>
  <c r="G448" i="39" s="1"/>
  <c r="H449" i="39" s="1"/>
  <c r="I450" i="39" s="1"/>
  <c r="J451" i="39" s="1"/>
  <c r="K452" i="39" s="1"/>
  <c r="L453" i="39" s="1"/>
  <c r="M454" i="39" s="1"/>
  <c r="N455" i="39" s="1"/>
  <c r="C445" i="39"/>
  <c r="D446" i="39" s="1"/>
  <c r="E447" i="39" s="1"/>
  <c r="F448" i="39" s="1"/>
  <c r="G449" i="39" s="1"/>
  <c r="H450" i="39" s="1"/>
  <c r="I451" i="39" s="1"/>
  <c r="J452" i="39" s="1"/>
  <c r="K453" i="39" s="1"/>
  <c r="L454" i="39" s="1"/>
  <c r="M455" i="39" s="1"/>
  <c r="N456" i="39" s="1"/>
  <c r="C446" i="39"/>
  <c r="D447" i="39" s="1"/>
  <c r="E448" i="39" s="1"/>
  <c r="F449" i="39" s="1"/>
  <c r="G450" i="39" s="1"/>
  <c r="H451" i="39" s="1"/>
  <c r="I452" i="39" s="1"/>
  <c r="J453" i="39" s="1"/>
  <c r="K454" i="39" s="1"/>
  <c r="L455" i="39" s="1"/>
  <c r="M456" i="39" s="1"/>
  <c r="N457" i="39" s="1"/>
  <c r="C447" i="39"/>
  <c r="D448" i="39" s="1"/>
  <c r="E449" i="39" s="1"/>
  <c r="F450" i="39" s="1"/>
  <c r="G451" i="39" s="1"/>
  <c r="H452" i="39" s="1"/>
  <c r="I453" i="39" s="1"/>
  <c r="J454" i="39" s="1"/>
  <c r="K455" i="39" s="1"/>
  <c r="L456" i="39" s="1"/>
  <c r="M457" i="39" s="1"/>
  <c r="N458" i="39" s="1"/>
  <c r="C448" i="39"/>
  <c r="D449" i="39" s="1"/>
  <c r="E450" i="39" s="1"/>
  <c r="F451" i="39" s="1"/>
  <c r="G452" i="39" s="1"/>
  <c r="H453" i="39" s="1"/>
  <c r="I454" i="39" s="1"/>
  <c r="J455" i="39" s="1"/>
  <c r="K456" i="39" s="1"/>
  <c r="L457" i="39" s="1"/>
  <c r="M458" i="39" s="1"/>
  <c r="N459" i="39" s="1"/>
  <c r="C449" i="39"/>
  <c r="D450" i="39" s="1"/>
  <c r="E451" i="39" s="1"/>
  <c r="F452" i="39" s="1"/>
  <c r="G453" i="39" s="1"/>
  <c r="H454" i="39" s="1"/>
  <c r="I455" i="39" s="1"/>
  <c r="J456" i="39" s="1"/>
  <c r="K457" i="39" s="1"/>
  <c r="L458" i="39" s="1"/>
  <c r="M459" i="39" s="1"/>
  <c r="N460" i="39" s="1"/>
  <c r="C450" i="39"/>
  <c r="D451" i="39" s="1"/>
  <c r="E452" i="39" s="1"/>
  <c r="F453" i="39" s="1"/>
  <c r="G454" i="39" s="1"/>
  <c r="H455" i="39" s="1"/>
  <c r="I456" i="39" s="1"/>
  <c r="J457" i="39" s="1"/>
  <c r="K458" i="39" s="1"/>
  <c r="L459" i="39" s="1"/>
  <c r="M460" i="39" s="1"/>
  <c r="N461" i="39" s="1"/>
  <c r="C451" i="39"/>
  <c r="D452" i="39" s="1"/>
  <c r="E453" i="39" s="1"/>
  <c r="F454" i="39" s="1"/>
  <c r="G455" i="39" s="1"/>
  <c r="H456" i="39" s="1"/>
  <c r="I457" i="39" s="1"/>
  <c r="J458" i="39" s="1"/>
  <c r="K459" i="39" s="1"/>
  <c r="L460" i="39" s="1"/>
  <c r="M461" i="39" s="1"/>
  <c r="N462" i="39" s="1"/>
  <c r="C452" i="39"/>
  <c r="D453" i="39" s="1"/>
  <c r="E454" i="39" s="1"/>
  <c r="F455" i="39" s="1"/>
  <c r="G456" i="39" s="1"/>
  <c r="H457" i="39" s="1"/>
  <c r="I458" i="39" s="1"/>
  <c r="J459" i="39" s="1"/>
  <c r="K460" i="39" s="1"/>
  <c r="L461" i="39" s="1"/>
  <c r="M462" i="39" s="1"/>
  <c r="N463" i="39" s="1"/>
  <c r="C453" i="39"/>
  <c r="D454" i="39" s="1"/>
  <c r="E455" i="39" s="1"/>
  <c r="F456" i="39" s="1"/>
  <c r="G457" i="39" s="1"/>
  <c r="H458" i="39" s="1"/>
  <c r="I459" i="39" s="1"/>
  <c r="J460" i="39" s="1"/>
  <c r="K461" i="39" s="1"/>
  <c r="L462" i="39" s="1"/>
  <c r="M463" i="39" s="1"/>
  <c r="N464" i="39" s="1"/>
  <c r="C454" i="39"/>
  <c r="D455" i="39" s="1"/>
  <c r="E456" i="39" s="1"/>
  <c r="F457" i="39" s="1"/>
  <c r="G458" i="39" s="1"/>
  <c r="H459" i="39" s="1"/>
  <c r="I460" i="39" s="1"/>
  <c r="J461" i="39" s="1"/>
  <c r="K462" i="39" s="1"/>
  <c r="L463" i="39" s="1"/>
  <c r="M464" i="39" s="1"/>
  <c r="N465" i="39" s="1"/>
  <c r="C455" i="39"/>
  <c r="D456" i="39" s="1"/>
  <c r="E457" i="39" s="1"/>
  <c r="F458" i="39" s="1"/>
  <c r="G459" i="39" s="1"/>
  <c r="H460" i="39" s="1"/>
  <c r="I461" i="39" s="1"/>
  <c r="J462" i="39" s="1"/>
  <c r="K463" i="39" s="1"/>
  <c r="L464" i="39" s="1"/>
  <c r="M465" i="39" s="1"/>
  <c r="N466" i="39" s="1"/>
  <c r="C456" i="39"/>
  <c r="D457" i="39" s="1"/>
  <c r="E458" i="39" s="1"/>
  <c r="F459" i="39" s="1"/>
  <c r="G460" i="39" s="1"/>
  <c r="H461" i="39" s="1"/>
  <c r="I462" i="39" s="1"/>
  <c r="J463" i="39" s="1"/>
  <c r="K464" i="39" s="1"/>
  <c r="L465" i="39" s="1"/>
  <c r="M466" i="39" s="1"/>
  <c r="N467" i="39" s="1"/>
  <c r="C457" i="39"/>
  <c r="D458" i="39" s="1"/>
  <c r="E459" i="39" s="1"/>
  <c r="F460" i="39" s="1"/>
  <c r="G461" i="39" s="1"/>
  <c r="H462" i="39" s="1"/>
  <c r="I463" i="39" s="1"/>
  <c r="J464" i="39" s="1"/>
  <c r="K465" i="39" s="1"/>
  <c r="L466" i="39" s="1"/>
  <c r="M467" i="39" s="1"/>
  <c r="N468" i="39" s="1"/>
  <c r="C458" i="39"/>
  <c r="D459" i="39" s="1"/>
  <c r="E460" i="39" s="1"/>
  <c r="F461" i="39" s="1"/>
  <c r="G462" i="39" s="1"/>
  <c r="H463" i="39" s="1"/>
  <c r="I464" i="39" s="1"/>
  <c r="J465" i="39" s="1"/>
  <c r="K466" i="39" s="1"/>
  <c r="L467" i="39" s="1"/>
  <c r="M468" i="39" s="1"/>
  <c r="N469" i="39" s="1"/>
  <c r="C459" i="39"/>
  <c r="D460" i="39" s="1"/>
  <c r="E461" i="39" s="1"/>
  <c r="F462" i="39" s="1"/>
  <c r="G463" i="39" s="1"/>
  <c r="H464" i="39" s="1"/>
  <c r="I465" i="39" s="1"/>
  <c r="J466" i="39" s="1"/>
  <c r="K467" i="39" s="1"/>
  <c r="L468" i="39" s="1"/>
  <c r="M469" i="39" s="1"/>
  <c r="N470" i="39" s="1"/>
  <c r="C460" i="39"/>
  <c r="D461" i="39" s="1"/>
  <c r="E462" i="39" s="1"/>
  <c r="F463" i="39" s="1"/>
  <c r="G464" i="39" s="1"/>
  <c r="H465" i="39" s="1"/>
  <c r="I466" i="39" s="1"/>
  <c r="J467" i="39" s="1"/>
  <c r="K468" i="39" s="1"/>
  <c r="L469" i="39" s="1"/>
  <c r="M470" i="39" s="1"/>
  <c r="N471" i="39" s="1"/>
  <c r="C461" i="39"/>
  <c r="D462" i="39" s="1"/>
  <c r="E463" i="39" s="1"/>
  <c r="F464" i="39" s="1"/>
  <c r="G465" i="39" s="1"/>
  <c r="H466" i="39" s="1"/>
  <c r="I467" i="39" s="1"/>
  <c r="J468" i="39" s="1"/>
  <c r="K469" i="39" s="1"/>
  <c r="L470" i="39" s="1"/>
  <c r="M471" i="39" s="1"/>
  <c r="N472" i="39" s="1"/>
  <c r="C462" i="39"/>
  <c r="D463" i="39" s="1"/>
  <c r="E464" i="39" s="1"/>
  <c r="F465" i="39" s="1"/>
  <c r="G466" i="39" s="1"/>
  <c r="H467" i="39" s="1"/>
  <c r="I468" i="39" s="1"/>
  <c r="J469" i="39" s="1"/>
  <c r="K470" i="39" s="1"/>
  <c r="L471" i="39" s="1"/>
  <c r="M472" i="39" s="1"/>
  <c r="N473" i="39" s="1"/>
  <c r="C463" i="39"/>
  <c r="D464" i="39" s="1"/>
  <c r="E465" i="39" s="1"/>
  <c r="F466" i="39" s="1"/>
  <c r="G467" i="39" s="1"/>
  <c r="H468" i="39" s="1"/>
  <c r="I469" i="39" s="1"/>
  <c r="J470" i="39" s="1"/>
  <c r="K471" i="39" s="1"/>
  <c r="L472" i="39" s="1"/>
  <c r="M473" i="39" s="1"/>
  <c r="N474" i="39" s="1"/>
  <c r="C464" i="39"/>
  <c r="D465" i="39" s="1"/>
  <c r="E466" i="39" s="1"/>
  <c r="F467" i="39" s="1"/>
  <c r="G468" i="39" s="1"/>
  <c r="H469" i="39" s="1"/>
  <c r="I470" i="39" s="1"/>
  <c r="J471" i="39" s="1"/>
  <c r="K472" i="39" s="1"/>
  <c r="L473" i="39" s="1"/>
  <c r="M474" i="39" s="1"/>
  <c r="N475" i="39" s="1"/>
  <c r="C465" i="39"/>
  <c r="D466" i="39" s="1"/>
  <c r="E467" i="39" s="1"/>
  <c r="F468" i="39" s="1"/>
  <c r="G469" i="39" s="1"/>
  <c r="H470" i="39" s="1"/>
  <c r="I471" i="39" s="1"/>
  <c r="J472" i="39" s="1"/>
  <c r="K473" i="39" s="1"/>
  <c r="L474" i="39" s="1"/>
  <c r="M475" i="39" s="1"/>
  <c r="N476" i="39" s="1"/>
  <c r="C466" i="39"/>
  <c r="D467" i="39" s="1"/>
  <c r="E468" i="39" s="1"/>
  <c r="F469" i="39" s="1"/>
  <c r="G470" i="39" s="1"/>
  <c r="H471" i="39" s="1"/>
  <c r="I472" i="39" s="1"/>
  <c r="J473" i="39" s="1"/>
  <c r="K474" i="39" s="1"/>
  <c r="L475" i="39" s="1"/>
  <c r="M476" i="39" s="1"/>
  <c r="N477" i="39" s="1"/>
  <c r="C467" i="39"/>
  <c r="D468" i="39" s="1"/>
  <c r="E469" i="39" s="1"/>
  <c r="F470" i="39" s="1"/>
  <c r="G471" i="39" s="1"/>
  <c r="H472" i="39" s="1"/>
  <c r="I473" i="39" s="1"/>
  <c r="J474" i="39" s="1"/>
  <c r="K475" i="39" s="1"/>
  <c r="L476" i="39" s="1"/>
  <c r="M477" i="39" s="1"/>
  <c r="N478" i="39" s="1"/>
  <c r="C468" i="39"/>
  <c r="D469" i="39" s="1"/>
  <c r="E470" i="39" s="1"/>
  <c r="F471" i="39" s="1"/>
  <c r="G472" i="39" s="1"/>
  <c r="H473" i="39" s="1"/>
  <c r="I474" i="39" s="1"/>
  <c r="J475" i="39" s="1"/>
  <c r="K476" i="39" s="1"/>
  <c r="L477" i="39" s="1"/>
  <c r="M478" i="39" s="1"/>
  <c r="N479" i="39" s="1"/>
  <c r="C469" i="39"/>
  <c r="D470" i="39" s="1"/>
  <c r="E471" i="39" s="1"/>
  <c r="F472" i="39" s="1"/>
  <c r="G473" i="39" s="1"/>
  <c r="H474" i="39" s="1"/>
  <c r="I475" i="39" s="1"/>
  <c r="J476" i="39" s="1"/>
  <c r="K477" i="39" s="1"/>
  <c r="L478" i="39" s="1"/>
  <c r="M479" i="39" s="1"/>
  <c r="N480" i="39" s="1"/>
  <c r="C470" i="39"/>
  <c r="D471" i="39" s="1"/>
  <c r="E472" i="39" s="1"/>
  <c r="F473" i="39" s="1"/>
  <c r="G474" i="39" s="1"/>
  <c r="H475" i="39" s="1"/>
  <c r="I476" i="39" s="1"/>
  <c r="J477" i="39" s="1"/>
  <c r="K478" i="39" s="1"/>
  <c r="L479" i="39" s="1"/>
  <c r="M480" i="39" s="1"/>
  <c r="N481" i="39" s="1"/>
  <c r="C471" i="39"/>
  <c r="D472" i="39" s="1"/>
  <c r="E473" i="39" s="1"/>
  <c r="F474" i="39" s="1"/>
  <c r="G475" i="39" s="1"/>
  <c r="H476" i="39" s="1"/>
  <c r="I477" i="39" s="1"/>
  <c r="J478" i="39" s="1"/>
  <c r="K479" i="39" s="1"/>
  <c r="L480" i="39" s="1"/>
  <c r="M481" i="39" s="1"/>
  <c r="N482" i="39" s="1"/>
  <c r="C472" i="39"/>
  <c r="D473" i="39" s="1"/>
  <c r="E474" i="39" s="1"/>
  <c r="F475" i="39" s="1"/>
  <c r="G476" i="39" s="1"/>
  <c r="H477" i="39" s="1"/>
  <c r="I478" i="39" s="1"/>
  <c r="J479" i="39" s="1"/>
  <c r="K480" i="39" s="1"/>
  <c r="L481" i="39" s="1"/>
  <c r="M482" i="39" s="1"/>
  <c r="N483" i="39" s="1"/>
  <c r="C473" i="39"/>
  <c r="D474" i="39" s="1"/>
  <c r="E475" i="39" s="1"/>
  <c r="F476" i="39" s="1"/>
  <c r="G477" i="39" s="1"/>
  <c r="H478" i="39" s="1"/>
  <c r="I479" i="39" s="1"/>
  <c r="J480" i="39" s="1"/>
  <c r="K481" i="39" s="1"/>
  <c r="L482" i="39" s="1"/>
  <c r="M483" i="39" s="1"/>
  <c r="N484" i="39" s="1"/>
  <c r="C474" i="39"/>
  <c r="D475" i="39" s="1"/>
  <c r="E476" i="39" s="1"/>
  <c r="F477" i="39" s="1"/>
  <c r="G478" i="39" s="1"/>
  <c r="H479" i="39" s="1"/>
  <c r="I480" i="39" s="1"/>
  <c r="J481" i="39" s="1"/>
  <c r="K482" i="39" s="1"/>
  <c r="L483" i="39" s="1"/>
  <c r="M484" i="39" s="1"/>
  <c r="N485" i="39" s="1"/>
  <c r="C475" i="39"/>
  <c r="D476" i="39" s="1"/>
  <c r="E477" i="39" s="1"/>
  <c r="F478" i="39" s="1"/>
  <c r="G479" i="39" s="1"/>
  <c r="H480" i="39" s="1"/>
  <c r="I481" i="39" s="1"/>
  <c r="J482" i="39" s="1"/>
  <c r="K483" i="39" s="1"/>
  <c r="L484" i="39" s="1"/>
  <c r="M485" i="39" s="1"/>
  <c r="N486" i="39" s="1"/>
  <c r="C476" i="39"/>
  <c r="D477" i="39" s="1"/>
  <c r="E478" i="39" s="1"/>
  <c r="F479" i="39" s="1"/>
  <c r="G480" i="39" s="1"/>
  <c r="H481" i="39" s="1"/>
  <c r="I482" i="39" s="1"/>
  <c r="J483" i="39" s="1"/>
  <c r="K484" i="39" s="1"/>
  <c r="L485" i="39" s="1"/>
  <c r="M486" i="39" s="1"/>
  <c r="N487" i="39" s="1"/>
  <c r="C477" i="39"/>
  <c r="D478" i="39" s="1"/>
  <c r="E479" i="39" s="1"/>
  <c r="F480" i="39" s="1"/>
  <c r="G481" i="39" s="1"/>
  <c r="H482" i="39" s="1"/>
  <c r="I483" i="39" s="1"/>
  <c r="J484" i="39" s="1"/>
  <c r="K485" i="39" s="1"/>
  <c r="L486" i="39" s="1"/>
  <c r="M487" i="39" s="1"/>
  <c r="N488" i="39" s="1"/>
  <c r="C478" i="39"/>
  <c r="D479" i="39" s="1"/>
  <c r="E480" i="39" s="1"/>
  <c r="F481" i="39" s="1"/>
  <c r="G482" i="39" s="1"/>
  <c r="H483" i="39" s="1"/>
  <c r="I484" i="39" s="1"/>
  <c r="J485" i="39" s="1"/>
  <c r="K486" i="39" s="1"/>
  <c r="L487" i="39" s="1"/>
  <c r="M488" i="39" s="1"/>
  <c r="N489" i="39" s="1"/>
  <c r="C479" i="39"/>
  <c r="D480" i="39" s="1"/>
  <c r="E481" i="39" s="1"/>
  <c r="F482" i="39" s="1"/>
  <c r="G483" i="39" s="1"/>
  <c r="H484" i="39" s="1"/>
  <c r="I485" i="39" s="1"/>
  <c r="J486" i="39" s="1"/>
  <c r="K487" i="39" s="1"/>
  <c r="L488" i="39" s="1"/>
  <c r="M489" i="39" s="1"/>
  <c r="N490" i="39" s="1"/>
  <c r="C480" i="39"/>
  <c r="D481" i="39" s="1"/>
  <c r="E482" i="39" s="1"/>
  <c r="F483" i="39" s="1"/>
  <c r="G484" i="39" s="1"/>
  <c r="H485" i="39" s="1"/>
  <c r="I486" i="39" s="1"/>
  <c r="J487" i="39" s="1"/>
  <c r="K488" i="39" s="1"/>
  <c r="L489" i="39" s="1"/>
  <c r="M490" i="39" s="1"/>
  <c r="N491" i="39" s="1"/>
  <c r="C481" i="39"/>
  <c r="D482" i="39" s="1"/>
  <c r="E483" i="39" s="1"/>
  <c r="F484" i="39" s="1"/>
  <c r="G485" i="39" s="1"/>
  <c r="H486" i="39" s="1"/>
  <c r="I487" i="39" s="1"/>
  <c r="J488" i="39" s="1"/>
  <c r="K489" i="39" s="1"/>
  <c r="L490" i="39" s="1"/>
  <c r="M491" i="39" s="1"/>
  <c r="N492" i="39" s="1"/>
  <c r="C482" i="39"/>
  <c r="D483" i="39" s="1"/>
  <c r="E484" i="39" s="1"/>
  <c r="F485" i="39" s="1"/>
  <c r="G486" i="39" s="1"/>
  <c r="H487" i="39" s="1"/>
  <c r="I488" i="39" s="1"/>
  <c r="J489" i="39" s="1"/>
  <c r="K490" i="39" s="1"/>
  <c r="L491" i="39" s="1"/>
  <c r="M492" i="39" s="1"/>
  <c r="N493" i="39" s="1"/>
  <c r="C483" i="39"/>
  <c r="D484" i="39" s="1"/>
  <c r="E485" i="39" s="1"/>
  <c r="F486" i="39" s="1"/>
  <c r="G487" i="39" s="1"/>
  <c r="H488" i="39" s="1"/>
  <c r="I489" i="39" s="1"/>
  <c r="J490" i="39" s="1"/>
  <c r="K491" i="39" s="1"/>
  <c r="L492" i="39" s="1"/>
  <c r="M493" i="39" s="1"/>
  <c r="N494" i="39" s="1"/>
  <c r="C484" i="39"/>
  <c r="D485" i="39" s="1"/>
  <c r="E486" i="39" s="1"/>
  <c r="F487" i="39" s="1"/>
  <c r="G488" i="39" s="1"/>
  <c r="H489" i="39" s="1"/>
  <c r="I490" i="39" s="1"/>
  <c r="J491" i="39" s="1"/>
  <c r="K492" i="39" s="1"/>
  <c r="L493" i="39" s="1"/>
  <c r="M494" i="39" s="1"/>
  <c r="N495" i="39" s="1"/>
  <c r="C485" i="39"/>
  <c r="D486" i="39" s="1"/>
  <c r="E487" i="39" s="1"/>
  <c r="F488" i="39" s="1"/>
  <c r="G489" i="39" s="1"/>
  <c r="H490" i="39" s="1"/>
  <c r="I491" i="39" s="1"/>
  <c r="J492" i="39" s="1"/>
  <c r="K493" i="39" s="1"/>
  <c r="L494" i="39" s="1"/>
  <c r="M495" i="39" s="1"/>
  <c r="N496" i="39" s="1"/>
  <c r="C486" i="39"/>
  <c r="D487" i="39" s="1"/>
  <c r="E488" i="39" s="1"/>
  <c r="F489" i="39" s="1"/>
  <c r="G490" i="39" s="1"/>
  <c r="H491" i="39" s="1"/>
  <c r="I492" i="39" s="1"/>
  <c r="J493" i="39" s="1"/>
  <c r="K494" i="39" s="1"/>
  <c r="L495" i="39" s="1"/>
  <c r="M496" i="39" s="1"/>
  <c r="N497" i="39" s="1"/>
  <c r="C487" i="39"/>
  <c r="D488" i="39" s="1"/>
  <c r="E489" i="39" s="1"/>
  <c r="F490" i="39" s="1"/>
  <c r="G491" i="39" s="1"/>
  <c r="H492" i="39" s="1"/>
  <c r="I493" i="39" s="1"/>
  <c r="J494" i="39" s="1"/>
  <c r="K495" i="39" s="1"/>
  <c r="L496" i="39" s="1"/>
  <c r="M497" i="39" s="1"/>
  <c r="N498" i="39" s="1"/>
  <c r="C488" i="39"/>
  <c r="D489" i="39" s="1"/>
  <c r="E490" i="39" s="1"/>
  <c r="F491" i="39" s="1"/>
  <c r="G492" i="39" s="1"/>
  <c r="H493" i="39" s="1"/>
  <c r="I494" i="39" s="1"/>
  <c r="J495" i="39" s="1"/>
  <c r="K496" i="39" s="1"/>
  <c r="L497" i="39" s="1"/>
  <c r="M498" i="39" s="1"/>
  <c r="N499" i="39" s="1"/>
  <c r="C489" i="39"/>
  <c r="D490" i="39" s="1"/>
  <c r="E491" i="39" s="1"/>
  <c r="F492" i="39" s="1"/>
  <c r="G493" i="39" s="1"/>
  <c r="H494" i="39" s="1"/>
  <c r="I495" i="39" s="1"/>
  <c r="J496" i="39" s="1"/>
  <c r="K497" i="39" s="1"/>
  <c r="L498" i="39" s="1"/>
  <c r="M499" i="39" s="1"/>
  <c r="N500" i="39" s="1"/>
  <c r="C490" i="39"/>
  <c r="D491" i="39" s="1"/>
  <c r="E492" i="39" s="1"/>
  <c r="F493" i="39" s="1"/>
  <c r="G494" i="39" s="1"/>
  <c r="H495" i="39" s="1"/>
  <c r="I496" i="39" s="1"/>
  <c r="J497" i="39" s="1"/>
  <c r="K498" i="39" s="1"/>
  <c r="L499" i="39" s="1"/>
  <c r="M500" i="39" s="1"/>
  <c r="N501" i="39" s="1"/>
  <c r="C491" i="39"/>
  <c r="D492" i="39" s="1"/>
  <c r="E493" i="39" s="1"/>
  <c r="F494" i="39" s="1"/>
  <c r="G495" i="39" s="1"/>
  <c r="H496" i="39" s="1"/>
  <c r="I497" i="39" s="1"/>
  <c r="J498" i="39" s="1"/>
  <c r="K499" i="39" s="1"/>
  <c r="L500" i="39" s="1"/>
  <c r="M501" i="39" s="1"/>
  <c r="N502" i="39" s="1"/>
  <c r="C492" i="39"/>
  <c r="D493" i="39" s="1"/>
  <c r="E494" i="39" s="1"/>
  <c r="F495" i="39" s="1"/>
  <c r="G496" i="39" s="1"/>
  <c r="H497" i="39" s="1"/>
  <c r="I498" i="39" s="1"/>
  <c r="J499" i="39" s="1"/>
  <c r="K500" i="39" s="1"/>
  <c r="L501" i="39" s="1"/>
  <c r="M502" i="39" s="1"/>
  <c r="N503" i="39" s="1"/>
  <c r="C493" i="39"/>
  <c r="D494" i="39" s="1"/>
  <c r="E495" i="39" s="1"/>
  <c r="F496" i="39" s="1"/>
  <c r="G497" i="39" s="1"/>
  <c r="H498" i="39" s="1"/>
  <c r="I499" i="39" s="1"/>
  <c r="J500" i="39" s="1"/>
  <c r="K501" i="39" s="1"/>
  <c r="L502" i="39" s="1"/>
  <c r="M503" i="39" s="1"/>
  <c r="N504" i="39" s="1"/>
  <c r="C494" i="39"/>
  <c r="D495" i="39" s="1"/>
  <c r="E496" i="39" s="1"/>
  <c r="F497" i="39" s="1"/>
  <c r="G498" i="39" s="1"/>
  <c r="H499" i="39" s="1"/>
  <c r="I500" i="39" s="1"/>
  <c r="J501" i="39" s="1"/>
  <c r="K502" i="39" s="1"/>
  <c r="L503" i="39" s="1"/>
  <c r="M504" i="39" s="1"/>
  <c r="N505" i="39" s="1"/>
  <c r="C495" i="39"/>
  <c r="D496" i="39" s="1"/>
  <c r="E497" i="39" s="1"/>
  <c r="F498" i="39" s="1"/>
  <c r="G499" i="39" s="1"/>
  <c r="H500" i="39" s="1"/>
  <c r="I501" i="39" s="1"/>
  <c r="J502" i="39" s="1"/>
  <c r="K503" i="39" s="1"/>
  <c r="L504" i="39" s="1"/>
  <c r="M505" i="39" s="1"/>
  <c r="N506" i="39" s="1"/>
  <c r="C496" i="39"/>
  <c r="D497" i="39" s="1"/>
  <c r="E498" i="39" s="1"/>
  <c r="F499" i="39" s="1"/>
  <c r="G500" i="39" s="1"/>
  <c r="H501" i="39" s="1"/>
  <c r="I502" i="39" s="1"/>
  <c r="J503" i="39" s="1"/>
  <c r="K504" i="39" s="1"/>
  <c r="L505" i="39" s="1"/>
  <c r="M506" i="39" s="1"/>
  <c r="N507" i="39" s="1"/>
  <c r="C497" i="39"/>
  <c r="D498" i="39" s="1"/>
  <c r="E499" i="39" s="1"/>
  <c r="F500" i="39" s="1"/>
  <c r="G501" i="39" s="1"/>
  <c r="H502" i="39" s="1"/>
  <c r="I503" i="39" s="1"/>
  <c r="J504" i="39" s="1"/>
  <c r="K505" i="39" s="1"/>
  <c r="L506" i="39" s="1"/>
  <c r="M507" i="39" s="1"/>
  <c r="N508" i="39" s="1"/>
  <c r="C498" i="39"/>
  <c r="D499" i="39" s="1"/>
  <c r="E500" i="39" s="1"/>
  <c r="F501" i="39" s="1"/>
  <c r="G502" i="39" s="1"/>
  <c r="H503" i="39" s="1"/>
  <c r="I504" i="39" s="1"/>
  <c r="J505" i="39" s="1"/>
  <c r="K506" i="39" s="1"/>
  <c r="L507" i="39" s="1"/>
  <c r="M508" i="39" s="1"/>
  <c r="N509" i="39" s="1"/>
  <c r="C499" i="39"/>
  <c r="D500" i="39" s="1"/>
  <c r="E501" i="39" s="1"/>
  <c r="F502" i="39" s="1"/>
  <c r="G503" i="39" s="1"/>
  <c r="H504" i="39" s="1"/>
  <c r="I505" i="39" s="1"/>
  <c r="J506" i="39" s="1"/>
  <c r="K507" i="39" s="1"/>
  <c r="L508" i="39" s="1"/>
  <c r="M509" i="39" s="1"/>
  <c r="N510" i="39" s="1"/>
  <c r="C500" i="39"/>
  <c r="D501" i="39" s="1"/>
  <c r="E502" i="39" s="1"/>
  <c r="F503" i="39" s="1"/>
  <c r="G504" i="39" s="1"/>
  <c r="H505" i="39" s="1"/>
  <c r="I506" i="39" s="1"/>
  <c r="J507" i="39" s="1"/>
  <c r="K508" i="39" s="1"/>
  <c r="L509" i="39" s="1"/>
  <c r="M510" i="39" s="1"/>
  <c r="N511" i="39" s="1"/>
  <c r="C501" i="39"/>
  <c r="D502" i="39" s="1"/>
  <c r="E503" i="39" s="1"/>
  <c r="F504" i="39" s="1"/>
  <c r="G505" i="39" s="1"/>
  <c r="H506" i="39" s="1"/>
  <c r="I507" i="39" s="1"/>
  <c r="J508" i="39" s="1"/>
  <c r="K509" i="39" s="1"/>
  <c r="L510" i="39" s="1"/>
  <c r="M511" i="39" s="1"/>
  <c r="N512" i="39" s="1"/>
  <c r="C502" i="39"/>
  <c r="D503" i="39" s="1"/>
  <c r="E504" i="39" s="1"/>
  <c r="F505" i="39" s="1"/>
  <c r="G506" i="39" s="1"/>
  <c r="H507" i="39" s="1"/>
  <c r="I508" i="39" s="1"/>
  <c r="J509" i="39" s="1"/>
  <c r="K510" i="39" s="1"/>
  <c r="L511" i="39" s="1"/>
  <c r="M512" i="39" s="1"/>
  <c r="N513" i="39" s="1"/>
  <c r="C503" i="39"/>
  <c r="D504" i="39" s="1"/>
  <c r="E505" i="39" s="1"/>
  <c r="F506" i="39" s="1"/>
  <c r="G507" i="39" s="1"/>
  <c r="H508" i="39" s="1"/>
  <c r="I509" i="39" s="1"/>
  <c r="J510" i="39" s="1"/>
  <c r="K511" i="39" s="1"/>
  <c r="L512" i="39" s="1"/>
  <c r="M513" i="39" s="1"/>
  <c r="N514" i="39" s="1"/>
  <c r="C504" i="39"/>
  <c r="D505" i="39" s="1"/>
  <c r="E506" i="39" s="1"/>
  <c r="F507" i="39" s="1"/>
  <c r="G508" i="39" s="1"/>
  <c r="H509" i="39" s="1"/>
  <c r="I510" i="39" s="1"/>
  <c r="J511" i="39" s="1"/>
  <c r="K512" i="39" s="1"/>
  <c r="L513" i="39" s="1"/>
  <c r="M514" i="39" s="1"/>
  <c r="N515" i="39" s="1"/>
  <c r="C505" i="39"/>
  <c r="D506" i="39" s="1"/>
  <c r="E507" i="39" s="1"/>
  <c r="F508" i="39" s="1"/>
  <c r="G509" i="39" s="1"/>
  <c r="H510" i="39" s="1"/>
  <c r="I511" i="39" s="1"/>
  <c r="J512" i="39" s="1"/>
  <c r="K513" i="39" s="1"/>
  <c r="L514" i="39" s="1"/>
  <c r="M515" i="39" s="1"/>
  <c r="N516" i="39" s="1"/>
  <c r="C506" i="39"/>
  <c r="D507" i="39" s="1"/>
  <c r="E508" i="39" s="1"/>
  <c r="F509" i="39" s="1"/>
  <c r="G510" i="39" s="1"/>
  <c r="H511" i="39" s="1"/>
  <c r="I512" i="39" s="1"/>
  <c r="J513" i="39" s="1"/>
  <c r="K514" i="39" s="1"/>
  <c r="L515" i="39" s="1"/>
  <c r="M516" i="39" s="1"/>
  <c r="N517" i="39" s="1"/>
  <c r="C507" i="39"/>
  <c r="D508" i="39" s="1"/>
  <c r="E509" i="39" s="1"/>
  <c r="F510" i="39" s="1"/>
  <c r="G511" i="39" s="1"/>
  <c r="H512" i="39" s="1"/>
  <c r="I513" i="39" s="1"/>
  <c r="J514" i="39" s="1"/>
  <c r="K515" i="39" s="1"/>
  <c r="L516" i="39" s="1"/>
  <c r="M517" i="39" s="1"/>
  <c r="N518" i="39" s="1"/>
  <c r="C508" i="39"/>
  <c r="D509" i="39" s="1"/>
  <c r="E510" i="39" s="1"/>
  <c r="F511" i="39" s="1"/>
  <c r="G512" i="39" s="1"/>
  <c r="H513" i="39" s="1"/>
  <c r="I514" i="39" s="1"/>
  <c r="J515" i="39" s="1"/>
  <c r="K516" i="39" s="1"/>
  <c r="L517" i="39" s="1"/>
  <c r="M518" i="39" s="1"/>
  <c r="N519" i="39" s="1"/>
  <c r="C509" i="39"/>
  <c r="D510" i="39" s="1"/>
  <c r="E511" i="39" s="1"/>
  <c r="F512" i="39" s="1"/>
  <c r="G513" i="39" s="1"/>
  <c r="H514" i="39" s="1"/>
  <c r="I515" i="39" s="1"/>
  <c r="J516" i="39" s="1"/>
  <c r="K517" i="39" s="1"/>
  <c r="L518" i="39" s="1"/>
  <c r="M519" i="39" s="1"/>
  <c r="N520" i="39" s="1"/>
  <c r="C510" i="39"/>
  <c r="D511" i="39" s="1"/>
  <c r="E512" i="39" s="1"/>
  <c r="F513" i="39" s="1"/>
  <c r="G514" i="39" s="1"/>
  <c r="H515" i="39" s="1"/>
  <c r="I516" i="39" s="1"/>
  <c r="J517" i="39" s="1"/>
  <c r="K518" i="39" s="1"/>
  <c r="L519" i="39" s="1"/>
  <c r="M520" i="39" s="1"/>
  <c r="N521" i="39" s="1"/>
  <c r="C511" i="39"/>
  <c r="D512" i="39" s="1"/>
  <c r="E513" i="39" s="1"/>
  <c r="F514" i="39" s="1"/>
  <c r="G515" i="39" s="1"/>
  <c r="H516" i="39" s="1"/>
  <c r="I517" i="39" s="1"/>
  <c r="J518" i="39" s="1"/>
  <c r="K519" i="39" s="1"/>
  <c r="L520" i="39" s="1"/>
  <c r="M521" i="39" s="1"/>
  <c r="N522" i="39" s="1"/>
  <c r="C512" i="39"/>
  <c r="D513" i="39" s="1"/>
  <c r="E514" i="39" s="1"/>
  <c r="F515" i="39" s="1"/>
  <c r="G516" i="39" s="1"/>
  <c r="H517" i="39" s="1"/>
  <c r="I518" i="39" s="1"/>
  <c r="J519" i="39" s="1"/>
  <c r="K520" i="39" s="1"/>
  <c r="L521" i="39" s="1"/>
  <c r="M522" i="39" s="1"/>
  <c r="N523" i="39" s="1"/>
  <c r="C513" i="39"/>
  <c r="D514" i="39" s="1"/>
  <c r="E515" i="39" s="1"/>
  <c r="F516" i="39" s="1"/>
  <c r="G517" i="39" s="1"/>
  <c r="H518" i="39" s="1"/>
  <c r="I519" i="39" s="1"/>
  <c r="J520" i="39" s="1"/>
  <c r="K521" i="39" s="1"/>
  <c r="L522" i="39" s="1"/>
  <c r="M523" i="39" s="1"/>
  <c r="N524" i="39" s="1"/>
  <c r="C514" i="39"/>
  <c r="D515" i="39" s="1"/>
  <c r="E516" i="39" s="1"/>
  <c r="F517" i="39" s="1"/>
  <c r="G518" i="39" s="1"/>
  <c r="H519" i="39" s="1"/>
  <c r="I520" i="39" s="1"/>
  <c r="J521" i="39" s="1"/>
  <c r="K522" i="39" s="1"/>
  <c r="L523" i="39" s="1"/>
  <c r="M524" i="39" s="1"/>
  <c r="N525" i="39" s="1"/>
  <c r="C515" i="39"/>
  <c r="D516" i="39" s="1"/>
  <c r="E517" i="39" s="1"/>
  <c r="F518" i="39" s="1"/>
  <c r="G519" i="39" s="1"/>
  <c r="H520" i="39" s="1"/>
  <c r="I521" i="39" s="1"/>
  <c r="J522" i="39" s="1"/>
  <c r="K523" i="39" s="1"/>
  <c r="L524" i="39" s="1"/>
  <c r="M525" i="39" s="1"/>
  <c r="N526" i="39" s="1"/>
  <c r="C516" i="39"/>
  <c r="D517" i="39" s="1"/>
  <c r="E518" i="39" s="1"/>
  <c r="F519" i="39" s="1"/>
  <c r="G520" i="39" s="1"/>
  <c r="H521" i="39" s="1"/>
  <c r="I522" i="39" s="1"/>
  <c r="J523" i="39" s="1"/>
  <c r="K524" i="39" s="1"/>
  <c r="L525" i="39" s="1"/>
  <c r="M526" i="39" s="1"/>
  <c r="N527" i="39" s="1"/>
  <c r="C517" i="39"/>
  <c r="D518" i="39" s="1"/>
  <c r="E519" i="39" s="1"/>
  <c r="F520" i="39" s="1"/>
  <c r="G521" i="39" s="1"/>
  <c r="H522" i="39" s="1"/>
  <c r="I523" i="39" s="1"/>
  <c r="J524" i="39" s="1"/>
  <c r="K525" i="39" s="1"/>
  <c r="L526" i="39" s="1"/>
  <c r="M527" i="39" s="1"/>
  <c r="N528" i="39" s="1"/>
  <c r="C518" i="39"/>
  <c r="D519" i="39" s="1"/>
  <c r="E520" i="39" s="1"/>
  <c r="F521" i="39" s="1"/>
  <c r="G522" i="39" s="1"/>
  <c r="H523" i="39" s="1"/>
  <c r="I524" i="39" s="1"/>
  <c r="J525" i="39" s="1"/>
  <c r="K526" i="39" s="1"/>
  <c r="L527" i="39" s="1"/>
  <c r="M528" i="39" s="1"/>
  <c r="N529" i="39" s="1"/>
  <c r="C519" i="39"/>
  <c r="D520" i="39" s="1"/>
  <c r="E521" i="39" s="1"/>
  <c r="F522" i="39" s="1"/>
  <c r="G523" i="39" s="1"/>
  <c r="H524" i="39" s="1"/>
  <c r="I525" i="39" s="1"/>
  <c r="J526" i="39" s="1"/>
  <c r="K527" i="39" s="1"/>
  <c r="L528" i="39" s="1"/>
  <c r="M529" i="39" s="1"/>
  <c r="N530" i="39" s="1"/>
  <c r="C520" i="39"/>
  <c r="D521" i="39" s="1"/>
  <c r="E522" i="39" s="1"/>
  <c r="F523" i="39" s="1"/>
  <c r="G524" i="39" s="1"/>
  <c r="H525" i="39" s="1"/>
  <c r="I526" i="39" s="1"/>
  <c r="J527" i="39" s="1"/>
  <c r="K528" i="39" s="1"/>
  <c r="L529" i="39" s="1"/>
  <c r="M530" i="39" s="1"/>
  <c r="N531" i="39" s="1"/>
  <c r="C521" i="39"/>
  <c r="D522" i="39" s="1"/>
  <c r="E523" i="39" s="1"/>
  <c r="F524" i="39" s="1"/>
  <c r="G525" i="39" s="1"/>
  <c r="H526" i="39" s="1"/>
  <c r="I527" i="39" s="1"/>
  <c r="J528" i="39" s="1"/>
  <c r="K529" i="39" s="1"/>
  <c r="L530" i="39" s="1"/>
  <c r="M531" i="39" s="1"/>
  <c r="N532" i="39" s="1"/>
  <c r="C522" i="39"/>
  <c r="D523" i="39" s="1"/>
  <c r="E524" i="39" s="1"/>
  <c r="F525" i="39" s="1"/>
  <c r="G526" i="39" s="1"/>
  <c r="H527" i="39" s="1"/>
  <c r="I528" i="39" s="1"/>
  <c r="J529" i="39" s="1"/>
  <c r="K530" i="39" s="1"/>
  <c r="L531" i="39" s="1"/>
  <c r="M532" i="39" s="1"/>
  <c r="N533" i="39" s="1"/>
  <c r="C523" i="39"/>
  <c r="D524" i="39" s="1"/>
  <c r="E525" i="39" s="1"/>
  <c r="F526" i="39" s="1"/>
  <c r="G527" i="39" s="1"/>
  <c r="H528" i="39" s="1"/>
  <c r="I529" i="39" s="1"/>
  <c r="J530" i="39" s="1"/>
  <c r="K531" i="39" s="1"/>
  <c r="L532" i="39" s="1"/>
  <c r="M533" i="39" s="1"/>
  <c r="N534" i="39" s="1"/>
  <c r="C524" i="39"/>
  <c r="D525" i="39" s="1"/>
  <c r="E526" i="39" s="1"/>
  <c r="F527" i="39" s="1"/>
  <c r="G528" i="39" s="1"/>
  <c r="H529" i="39" s="1"/>
  <c r="I530" i="39" s="1"/>
  <c r="J531" i="39" s="1"/>
  <c r="K532" i="39" s="1"/>
  <c r="L533" i="39" s="1"/>
  <c r="M534" i="39" s="1"/>
  <c r="N535" i="39" s="1"/>
  <c r="C525" i="39"/>
  <c r="D526" i="39" s="1"/>
  <c r="E527" i="39" s="1"/>
  <c r="F528" i="39" s="1"/>
  <c r="G529" i="39" s="1"/>
  <c r="H530" i="39" s="1"/>
  <c r="I531" i="39" s="1"/>
  <c r="J532" i="39" s="1"/>
  <c r="K533" i="39" s="1"/>
  <c r="L534" i="39" s="1"/>
  <c r="M535" i="39" s="1"/>
  <c r="N536" i="39" s="1"/>
  <c r="C526" i="39"/>
  <c r="D527" i="39" s="1"/>
  <c r="E528" i="39" s="1"/>
  <c r="F529" i="39" s="1"/>
  <c r="G530" i="39" s="1"/>
  <c r="H531" i="39" s="1"/>
  <c r="I532" i="39" s="1"/>
  <c r="J533" i="39" s="1"/>
  <c r="K534" i="39" s="1"/>
  <c r="L535" i="39" s="1"/>
  <c r="M536" i="39" s="1"/>
  <c r="N537" i="39" s="1"/>
  <c r="C527" i="39"/>
  <c r="D528" i="39" s="1"/>
  <c r="E529" i="39" s="1"/>
  <c r="F530" i="39" s="1"/>
  <c r="G531" i="39" s="1"/>
  <c r="H532" i="39" s="1"/>
  <c r="I533" i="39" s="1"/>
  <c r="J534" i="39" s="1"/>
  <c r="K535" i="39" s="1"/>
  <c r="L536" i="39" s="1"/>
  <c r="M537" i="39" s="1"/>
  <c r="N538" i="39" s="1"/>
  <c r="C528" i="39"/>
  <c r="D529" i="39" s="1"/>
  <c r="E530" i="39" s="1"/>
  <c r="F531" i="39" s="1"/>
  <c r="G532" i="39" s="1"/>
  <c r="H533" i="39" s="1"/>
  <c r="I534" i="39" s="1"/>
  <c r="J535" i="39" s="1"/>
  <c r="K536" i="39" s="1"/>
  <c r="L537" i="39" s="1"/>
  <c r="M538" i="39" s="1"/>
  <c r="N539" i="39" s="1"/>
  <c r="C529" i="39"/>
  <c r="D530" i="39" s="1"/>
  <c r="E531" i="39" s="1"/>
  <c r="F532" i="39" s="1"/>
  <c r="G533" i="39" s="1"/>
  <c r="H534" i="39" s="1"/>
  <c r="I535" i="39" s="1"/>
  <c r="J536" i="39" s="1"/>
  <c r="K537" i="39" s="1"/>
  <c r="L538" i="39" s="1"/>
  <c r="M539" i="39" s="1"/>
  <c r="N540" i="39" s="1"/>
  <c r="C530" i="39"/>
  <c r="D531" i="39" s="1"/>
  <c r="E532" i="39" s="1"/>
  <c r="F533" i="39" s="1"/>
  <c r="G534" i="39" s="1"/>
  <c r="H535" i="39" s="1"/>
  <c r="I536" i="39" s="1"/>
  <c r="J537" i="39" s="1"/>
  <c r="K538" i="39" s="1"/>
  <c r="L539" i="39" s="1"/>
  <c r="M540" i="39" s="1"/>
  <c r="N541" i="39" s="1"/>
  <c r="C531" i="39"/>
  <c r="D532" i="39" s="1"/>
  <c r="E533" i="39" s="1"/>
  <c r="F534" i="39" s="1"/>
  <c r="G535" i="39" s="1"/>
  <c r="H536" i="39" s="1"/>
  <c r="I537" i="39" s="1"/>
  <c r="J538" i="39" s="1"/>
  <c r="K539" i="39" s="1"/>
  <c r="L540" i="39" s="1"/>
  <c r="M541" i="39" s="1"/>
  <c r="N542" i="39" s="1"/>
  <c r="C532" i="39"/>
  <c r="D533" i="39" s="1"/>
  <c r="E534" i="39" s="1"/>
  <c r="F535" i="39" s="1"/>
  <c r="G536" i="39" s="1"/>
  <c r="H537" i="39" s="1"/>
  <c r="I538" i="39" s="1"/>
  <c r="J539" i="39" s="1"/>
  <c r="K540" i="39" s="1"/>
  <c r="L541" i="39" s="1"/>
  <c r="M542" i="39" s="1"/>
  <c r="N543" i="39" s="1"/>
  <c r="C533" i="39"/>
  <c r="D534" i="39" s="1"/>
  <c r="E535" i="39" s="1"/>
  <c r="F536" i="39" s="1"/>
  <c r="G537" i="39" s="1"/>
  <c r="H538" i="39" s="1"/>
  <c r="I539" i="39" s="1"/>
  <c r="J540" i="39" s="1"/>
  <c r="K541" i="39" s="1"/>
  <c r="L542" i="39" s="1"/>
  <c r="M543" i="39" s="1"/>
  <c r="N544" i="39" s="1"/>
  <c r="C534" i="39"/>
  <c r="D535" i="39" s="1"/>
  <c r="E536" i="39" s="1"/>
  <c r="F537" i="39" s="1"/>
  <c r="G538" i="39" s="1"/>
  <c r="H539" i="39" s="1"/>
  <c r="I540" i="39" s="1"/>
  <c r="J541" i="39" s="1"/>
  <c r="K542" i="39" s="1"/>
  <c r="L543" i="39" s="1"/>
  <c r="M544" i="39" s="1"/>
  <c r="N545" i="39" s="1"/>
  <c r="C535" i="39"/>
  <c r="D536" i="39" s="1"/>
  <c r="E537" i="39" s="1"/>
  <c r="F538" i="39" s="1"/>
  <c r="G539" i="39" s="1"/>
  <c r="H540" i="39" s="1"/>
  <c r="I541" i="39" s="1"/>
  <c r="J542" i="39" s="1"/>
  <c r="K543" i="39" s="1"/>
  <c r="L544" i="39" s="1"/>
  <c r="M545" i="39" s="1"/>
  <c r="N546" i="39" s="1"/>
  <c r="C536" i="39"/>
  <c r="D537" i="39" s="1"/>
  <c r="E538" i="39" s="1"/>
  <c r="F539" i="39" s="1"/>
  <c r="G540" i="39" s="1"/>
  <c r="H541" i="39" s="1"/>
  <c r="I542" i="39" s="1"/>
  <c r="J543" i="39" s="1"/>
  <c r="K544" i="39" s="1"/>
  <c r="L545" i="39" s="1"/>
  <c r="M546" i="39" s="1"/>
  <c r="N547" i="39" s="1"/>
  <c r="C537" i="39"/>
  <c r="D538" i="39" s="1"/>
  <c r="E539" i="39" s="1"/>
  <c r="F540" i="39" s="1"/>
  <c r="G541" i="39" s="1"/>
  <c r="H542" i="39" s="1"/>
  <c r="I543" i="39" s="1"/>
  <c r="J544" i="39" s="1"/>
  <c r="K545" i="39" s="1"/>
  <c r="L546" i="39" s="1"/>
  <c r="M547" i="39" s="1"/>
  <c r="N548" i="39" s="1"/>
  <c r="C538" i="39"/>
  <c r="D539" i="39" s="1"/>
  <c r="E540" i="39" s="1"/>
  <c r="F541" i="39" s="1"/>
  <c r="G542" i="39" s="1"/>
  <c r="H543" i="39" s="1"/>
  <c r="I544" i="39" s="1"/>
  <c r="J545" i="39" s="1"/>
  <c r="K546" i="39" s="1"/>
  <c r="L547" i="39" s="1"/>
  <c r="M548" i="39" s="1"/>
  <c r="N549" i="39" s="1"/>
  <c r="C539" i="39"/>
  <c r="D540" i="39" s="1"/>
  <c r="E541" i="39" s="1"/>
  <c r="F542" i="39" s="1"/>
  <c r="G543" i="39" s="1"/>
  <c r="H544" i="39" s="1"/>
  <c r="I545" i="39" s="1"/>
  <c r="J546" i="39" s="1"/>
  <c r="K547" i="39" s="1"/>
  <c r="L548" i="39" s="1"/>
  <c r="M549" i="39" s="1"/>
  <c r="N550" i="39" s="1"/>
  <c r="C540" i="39"/>
  <c r="D541" i="39" s="1"/>
  <c r="E542" i="39" s="1"/>
  <c r="F543" i="39" s="1"/>
  <c r="G544" i="39" s="1"/>
  <c r="H545" i="39" s="1"/>
  <c r="I546" i="39" s="1"/>
  <c r="J547" i="39" s="1"/>
  <c r="K548" i="39" s="1"/>
  <c r="L549" i="39" s="1"/>
  <c r="M550" i="39" s="1"/>
  <c r="N551" i="39" s="1"/>
  <c r="C541" i="39"/>
  <c r="D542" i="39" s="1"/>
  <c r="E543" i="39" s="1"/>
  <c r="F544" i="39" s="1"/>
  <c r="G545" i="39" s="1"/>
  <c r="H546" i="39" s="1"/>
  <c r="I547" i="39" s="1"/>
  <c r="J548" i="39" s="1"/>
  <c r="K549" i="39" s="1"/>
  <c r="L550" i="39" s="1"/>
  <c r="M551" i="39" s="1"/>
  <c r="N552" i="39" s="1"/>
  <c r="C542" i="39"/>
  <c r="D543" i="39" s="1"/>
  <c r="E544" i="39" s="1"/>
  <c r="F545" i="39" s="1"/>
  <c r="G546" i="39" s="1"/>
  <c r="H547" i="39" s="1"/>
  <c r="I548" i="39" s="1"/>
  <c r="J549" i="39" s="1"/>
  <c r="K550" i="39" s="1"/>
  <c r="L551" i="39" s="1"/>
  <c r="M552" i="39" s="1"/>
  <c r="N553" i="39" s="1"/>
  <c r="C543" i="39"/>
  <c r="D544" i="39" s="1"/>
  <c r="E545" i="39" s="1"/>
  <c r="F546" i="39" s="1"/>
  <c r="G547" i="39" s="1"/>
  <c r="H548" i="39" s="1"/>
  <c r="I549" i="39" s="1"/>
  <c r="J550" i="39" s="1"/>
  <c r="K551" i="39" s="1"/>
  <c r="L552" i="39" s="1"/>
  <c r="M553" i="39" s="1"/>
  <c r="N554" i="39" s="1"/>
  <c r="C544" i="39"/>
  <c r="D545" i="39" s="1"/>
  <c r="E546" i="39" s="1"/>
  <c r="F547" i="39" s="1"/>
  <c r="G548" i="39" s="1"/>
  <c r="H549" i="39" s="1"/>
  <c r="I550" i="39" s="1"/>
  <c r="J551" i="39" s="1"/>
  <c r="K552" i="39" s="1"/>
  <c r="L553" i="39" s="1"/>
  <c r="M554" i="39" s="1"/>
  <c r="N555" i="39" s="1"/>
  <c r="C545" i="39"/>
  <c r="D546" i="39" s="1"/>
  <c r="E547" i="39" s="1"/>
  <c r="F548" i="39" s="1"/>
  <c r="G549" i="39" s="1"/>
  <c r="H550" i="39" s="1"/>
  <c r="I551" i="39" s="1"/>
  <c r="J552" i="39" s="1"/>
  <c r="K553" i="39" s="1"/>
  <c r="L554" i="39" s="1"/>
  <c r="M555" i="39" s="1"/>
  <c r="N556" i="39" s="1"/>
  <c r="C546" i="39"/>
  <c r="D547" i="39" s="1"/>
  <c r="E548" i="39" s="1"/>
  <c r="F549" i="39" s="1"/>
  <c r="G550" i="39" s="1"/>
  <c r="H551" i="39" s="1"/>
  <c r="I552" i="39" s="1"/>
  <c r="J553" i="39" s="1"/>
  <c r="K554" i="39" s="1"/>
  <c r="L555" i="39" s="1"/>
  <c r="M556" i="39" s="1"/>
  <c r="N557" i="39" s="1"/>
  <c r="C547" i="39"/>
  <c r="D548" i="39" s="1"/>
  <c r="E549" i="39" s="1"/>
  <c r="F550" i="39" s="1"/>
  <c r="G551" i="39" s="1"/>
  <c r="H552" i="39" s="1"/>
  <c r="I553" i="39" s="1"/>
  <c r="J554" i="39" s="1"/>
  <c r="K555" i="39" s="1"/>
  <c r="L556" i="39" s="1"/>
  <c r="M557" i="39" s="1"/>
  <c r="N558" i="39" s="1"/>
  <c r="C548" i="39"/>
  <c r="D549" i="39" s="1"/>
  <c r="E550" i="39" s="1"/>
  <c r="F551" i="39" s="1"/>
  <c r="G552" i="39" s="1"/>
  <c r="H553" i="39" s="1"/>
  <c r="I554" i="39" s="1"/>
  <c r="J555" i="39" s="1"/>
  <c r="K556" i="39" s="1"/>
  <c r="L557" i="39" s="1"/>
  <c r="M558" i="39" s="1"/>
  <c r="N559" i="39" s="1"/>
  <c r="C549" i="39"/>
  <c r="D550" i="39" s="1"/>
  <c r="E551" i="39" s="1"/>
  <c r="F552" i="39" s="1"/>
  <c r="G553" i="39" s="1"/>
  <c r="H554" i="39" s="1"/>
  <c r="I555" i="39" s="1"/>
  <c r="J556" i="39" s="1"/>
  <c r="K557" i="39" s="1"/>
  <c r="L558" i="39" s="1"/>
  <c r="M559" i="39" s="1"/>
  <c r="N560" i="39" s="1"/>
  <c r="C550" i="39"/>
  <c r="D551" i="39" s="1"/>
  <c r="E552" i="39" s="1"/>
  <c r="F553" i="39" s="1"/>
  <c r="G554" i="39" s="1"/>
  <c r="H555" i="39" s="1"/>
  <c r="I556" i="39" s="1"/>
  <c r="J557" i="39" s="1"/>
  <c r="K558" i="39" s="1"/>
  <c r="L559" i="39" s="1"/>
  <c r="M560" i="39" s="1"/>
  <c r="N561" i="39" s="1"/>
  <c r="C551" i="39"/>
  <c r="D552" i="39" s="1"/>
  <c r="E553" i="39" s="1"/>
  <c r="F554" i="39" s="1"/>
  <c r="G555" i="39" s="1"/>
  <c r="H556" i="39" s="1"/>
  <c r="I557" i="39" s="1"/>
  <c r="J558" i="39" s="1"/>
  <c r="K559" i="39" s="1"/>
  <c r="L560" i="39" s="1"/>
  <c r="M561" i="39" s="1"/>
  <c r="N562" i="39" s="1"/>
  <c r="C552" i="39"/>
  <c r="D553" i="39" s="1"/>
  <c r="E554" i="39" s="1"/>
  <c r="F555" i="39" s="1"/>
  <c r="G556" i="39" s="1"/>
  <c r="H557" i="39" s="1"/>
  <c r="I558" i="39" s="1"/>
  <c r="J559" i="39" s="1"/>
  <c r="K560" i="39" s="1"/>
  <c r="L561" i="39" s="1"/>
  <c r="M562" i="39" s="1"/>
  <c r="N563" i="39" s="1"/>
  <c r="C553" i="39"/>
  <c r="D554" i="39" s="1"/>
  <c r="E555" i="39" s="1"/>
  <c r="F556" i="39" s="1"/>
  <c r="G557" i="39" s="1"/>
  <c r="H558" i="39" s="1"/>
  <c r="I559" i="39" s="1"/>
  <c r="J560" i="39" s="1"/>
  <c r="K561" i="39" s="1"/>
  <c r="L562" i="39" s="1"/>
  <c r="M563" i="39" s="1"/>
  <c r="N564" i="39" s="1"/>
  <c r="C554" i="39"/>
  <c r="D555" i="39" s="1"/>
  <c r="E556" i="39" s="1"/>
  <c r="F557" i="39" s="1"/>
  <c r="G558" i="39" s="1"/>
  <c r="H559" i="39" s="1"/>
  <c r="I560" i="39" s="1"/>
  <c r="J561" i="39" s="1"/>
  <c r="K562" i="39" s="1"/>
  <c r="L563" i="39" s="1"/>
  <c r="M564" i="39" s="1"/>
  <c r="N565" i="39" s="1"/>
  <c r="C555" i="39"/>
  <c r="D556" i="39" s="1"/>
  <c r="E557" i="39" s="1"/>
  <c r="F558" i="39" s="1"/>
  <c r="G559" i="39" s="1"/>
  <c r="H560" i="39" s="1"/>
  <c r="I561" i="39" s="1"/>
  <c r="J562" i="39" s="1"/>
  <c r="K563" i="39" s="1"/>
  <c r="L564" i="39" s="1"/>
  <c r="M565" i="39" s="1"/>
  <c r="N566" i="39" s="1"/>
  <c r="C556" i="39"/>
  <c r="D557" i="39" s="1"/>
  <c r="E558" i="39" s="1"/>
  <c r="F559" i="39" s="1"/>
  <c r="G560" i="39" s="1"/>
  <c r="H561" i="39" s="1"/>
  <c r="I562" i="39" s="1"/>
  <c r="J563" i="39" s="1"/>
  <c r="K564" i="39" s="1"/>
  <c r="L565" i="39" s="1"/>
  <c r="M566" i="39" s="1"/>
  <c r="N567" i="39" s="1"/>
  <c r="C557" i="39"/>
  <c r="D558" i="39" s="1"/>
  <c r="E559" i="39" s="1"/>
  <c r="F560" i="39" s="1"/>
  <c r="G561" i="39" s="1"/>
  <c r="H562" i="39" s="1"/>
  <c r="I563" i="39" s="1"/>
  <c r="J564" i="39" s="1"/>
  <c r="K565" i="39" s="1"/>
  <c r="L566" i="39" s="1"/>
  <c r="M567" i="39" s="1"/>
  <c r="N568" i="39" s="1"/>
  <c r="C558" i="39"/>
  <c r="D559" i="39" s="1"/>
  <c r="E560" i="39" s="1"/>
  <c r="F561" i="39" s="1"/>
  <c r="G562" i="39" s="1"/>
  <c r="H563" i="39" s="1"/>
  <c r="I564" i="39" s="1"/>
  <c r="J565" i="39" s="1"/>
  <c r="K566" i="39" s="1"/>
  <c r="L567" i="39" s="1"/>
  <c r="M568" i="39" s="1"/>
  <c r="N569" i="39" s="1"/>
  <c r="C559" i="39"/>
  <c r="D560" i="39" s="1"/>
  <c r="E561" i="39" s="1"/>
  <c r="F562" i="39" s="1"/>
  <c r="G563" i="39" s="1"/>
  <c r="H564" i="39" s="1"/>
  <c r="I565" i="39" s="1"/>
  <c r="J566" i="39" s="1"/>
  <c r="K567" i="39" s="1"/>
  <c r="L568" i="39" s="1"/>
  <c r="M569" i="39" s="1"/>
  <c r="N570" i="39" s="1"/>
  <c r="C560" i="39"/>
  <c r="D561" i="39" s="1"/>
  <c r="E562" i="39" s="1"/>
  <c r="F563" i="39" s="1"/>
  <c r="G564" i="39" s="1"/>
  <c r="H565" i="39" s="1"/>
  <c r="I566" i="39" s="1"/>
  <c r="J567" i="39" s="1"/>
  <c r="K568" i="39" s="1"/>
  <c r="L569" i="39" s="1"/>
  <c r="M570" i="39" s="1"/>
  <c r="N571" i="39" s="1"/>
  <c r="C561" i="39"/>
  <c r="D562" i="39" s="1"/>
  <c r="E563" i="39" s="1"/>
  <c r="F564" i="39" s="1"/>
  <c r="G565" i="39" s="1"/>
  <c r="H566" i="39" s="1"/>
  <c r="I567" i="39" s="1"/>
  <c r="J568" i="39" s="1"/>
  <c r="K569" i="39" s="1"/>
  <c r="L570" i="39" s="1"/>
  <c r="M571" i="39" s="1"/>
  <c r="N572" i="39" s="1"/>
  <c r="C562" i="39"/>
  <c r="D563" i="39" s="1"/>
  <c r="E564" i="39" s="1"/>
  <c r="F565" i="39" s="1"/>
  <c r="G566" i="39" s="1"/>
  <c r="H567" i="39" s="1"/>
  <c r="I568" i="39" s="1"/>
  <c r="J569" i="39" s="1"/>
  <c r="K570" i="39" s="1"/>
  <c r="L571" i="39" s="1"/>
  <c r="M572" i="39" s="1"/>
  <c r="N573" i="39" s="1"/>
  <c r="C563" i="39"/>
  <c r="D564" i="39" s="1"/>
  <c r="E565" i="39" s="1"/>
  <c r="F566" i="39" s="1"/>
  <c r="G567" i="39" s="1"/>
  <c r="H568" i="39" s="1"/>
  <c r="I569" i="39" s="1"/>
  <c r="J570" i="39" s="1"/>
  <c r="K571" i="39" s="1"/>
  <c r="L572" i="39" s="1"/>
  <c r="M573" i="39" s="1"/>
  <c r="N574" i="39" s="1"/>
  <c r="C564" i="39"/>
  <c r="D565" i="39" s="1"/>
  <c r="E566" i="39" s="1"/>
  <c r="F567" i="39" s="1"/>
  <c r="G568" i="39" s="1"/>
  <c r="H569" i="39" s="1"/>
  <c r="I570" i="39" s="1"/>
  <c r="J571" i="39" s="1"/>
  <c r="K572" i="39" s="1"/>
  <c r="L573" i="39" s="1"/>
  <c r="M574" i="39" s="1"/>
  <c r="N575" i="39" s="1"/>
  <c r="C565" i="39"/>
  <c r="D566" i="39" s="1"/>
  <c r="E567" i="39" s="1"/>
  <c r="F568" i="39" s="1"/>
  <c r="G569" i="39" s="1"/>
  <c r="H570" i="39" s="1"/>
  <c r="I571" i="39" s="1"/>
  <c r="J572" i="39" s="1"/>
  <c r="K573" i="39" s="1"/>
  <c r="L574" i="39" s="1"/>
  <c r="M575" i="39" s="1"/>
  <c r="N576" i="39" s="1"/>
  <c r="C566" i="39"/>
  <c r="D567" i="39" s="1"/>
  <c r="E568" i="39" s="1"/>
  <c r="F569" i="39" s="1"/>
  <c r="G570" i="39" s="1"/>
  <c r="H571" i="39" s="1"/>
  <c r="I572" i="39" s="1"/>
  <c r="J573" i="39" s="1"/>
  <c r="K574" i="39" s="1"/>
  <c r="L575" i="39" s="1"/>
  <c r="M576" i="39" s="1"/>
  <c r="N577" i="39" s="1"/>
  <c r="C567" i="39"/>
  <c r="D568" i="39" s="1"/>
  <c r="E569" i="39" s="1"/>
  <c r="F570" i="39" s="1"/>
  <c r="G571" i="39" s="1"/>
  <c r="H572" i="39" s="1"/>
  <c r="I573" i="39" s="1"/>
  <c r="J574" i="39" s="1"/>
  <c r="K575" i="39" s="1"/>
  <c r="L576" i="39" s="1"/>
  <c r="M577" i="39" s="1"/>
  <c r="N578" i="39" s="1"/>
  <c r="C568" i="39"/>
  <c r="D569" i="39" s="1"/>
  <c r="E570" i="39" s="1"/>
  <c r="F571" i="39" s="1"/>
  <c r="G572" i="39" s="1"/>
  <c r="H573" i="39" s="1"/>
  <c r="I574" i="39" s="1"/>
  <c r="J575" i="39" s="1"/>
  <c r="K576" i="39" s="1"/>
  <c r="L577" i="39" s="1"/>
  <c r="M578" i="39" s="1"/>
  <c r="N579" i="39" s="1"/>
  <c r="C569" i="39"/>
  <c r="D570" i="39" s="1"/>
  <c r="E571" i="39" s="1"/>
  <c r="F572" i="39" s="1"/>
  <c r="G573" i="39" s="1"/>
  <c r="H574" i="39" s="1"/>
  <c r="I575" i="39" s="1"/>
  <c r="J576" i="39" s="1"/>
  <c r="K577" i="39" s="1"/>
  <c r="L578" i="39" s="1"/>
  <c r="M579" i="39" s="1"/>
  <c r="N580" i="39" s="1"/>
  <c r="C570" i="39"/>
  <c r="D571" i="39" s="1"/>
  <c r="E572" i="39" s="1"/>
  <c r="F573" i="39" s="1"/>
  <c r="G574" i="39" s="1"/>
  <c r="H575" i="39" s="1"/>
  <c r="I576" i="39" s="1"/>
  <c r="J577" i="39" s="1"/>
  <c r="K578" i="39" s="1"/>
  <c r="L579" i="39" s="1"/>
  <c r="M580" i="39" s="1"/>
  <c r="N581" i="39" s="1"/>
  <c r="C571" i="39"/>
  <c r="D572" i="39" s="1"/>
  <c r="E573" i="39" s="1"/>
  <c r="F574" i="39" s="1"/>
  <c r="G575" i="39" s="1"/>
  <c r="H576" i="39" s="1"/>
  <c r="I577" i="39" s="1"/>
  <c r="J578" i="39" s="1"/>
  <c r="K579" i="39" s="1"/>
  <c r="L580" i="39" s="1"/>
  <c r="M581" i="39" s="1"/>
  <c r="N582" i="39" s="1"/>
  <c r="C572" i="39"/>
  <c r="D573" i="39" s="1"/>
  <c r="E574" i="39" s="1"/>
  <c r="F575" i="39" s="1"/>
  <c r="G576" i="39" s="1"/>
  <c r="H577" i="39" s="1"/>
  <c r="I578" i="39" s="1"/>
  <c r="J579" i="39" s="1"/>
  <c r="K580" i="39" s="1"/>
  <c r="L581" i="39" s="1"/>
  <c r="M582" i="39" s="1"/>
  <c r="N583" i="39" s="1"/>
  <c r="C573" i="39"/>
  <c r="D574" i="39" s="1"/>
  <c r="E575" i="39" s="1"/>
  <c r="F576" i="39" s="1"/>
  <c r="G577" i="39" s="1"/>
  <c r="H578" i="39" s="1"/>
  <c r="I579" i="39" s="1"/>
  <c r="J580" i="39" s="1"/>
  <c r="K581" i="39" s="1"/>
  <c r="L582" i="39" s="1"/>
  <c r="M583" i="39" s="1"/>
  <c r="N584" i="39" s="1"/>
  <c r="C574" i="39"/>
  <c r="D575" i="39" s="1"/>
  <c r="E576" i="39" s="1"/>
  <c r="F577" i="39" s="1"/>
  <c r="G578" i="39" s="1"/>
  <c r="H579" i="39" s="1"/>
  <c r="I580" i="39" s="1"/>
  <c r="J581" i="39" s="1"/>
  <c r="K582" i="39" s="1"/>
  <c r="L583" i="39" s="1"/>
  <c r="M584" i="39" s="1"/>
  <c r="N585" i="39" s="1"/>
  <c r="C575" i="39"/>
  <c r="D576" i="39" s="1"/>
  <c r="E577" i="39" s="1"/>
  <c r="F578" i="39" s="1"/>
  <c r="G579" i="39" s="1"/>
  <c r="H580" i="39" s="1"/>
  <c r="I581" i="39" s="1"/>
  <c r="J582" i="39" s="1"/>
  <c r="K583" i="39" s="1"/>
  <c r="L584" i="39" s="1"/>
  <c r="M585" i="39" s="1"/>
  <c r="N586" i="39" s="1"/>
  <c r="C576" i="39"/>
  <c r="D577" i="39" s="1"/>
  <c r="E578" i="39" s="1"/>
  <c r="F579" i="39" s="1"/>
  <c r="G580" i="39" s="1"/>
  <c r="H581" i="39" s="1"/>
  <c r="I582" i="39" s="1"/>
  <c r="J583" i="39" s="1"/>
  <c r="K584" i="39" s="1"/>
  <c r="L585" i="39" s="1"/>
  <c r="M586" i="39" s="1"/>
  <c r="N587" i="39" s="1"/>
  <c r="C577" i="39"/>
  <c r="D578" i="39" s="1"/>
  <c r="E579" i="39" s="1"/>
  <c r="F580" i="39" s="1"/>
  <c r="G581" i="39" s="1"/>
  <c r="H582" i="39" s="1"/>
  <c r="I583" i="39" s="1"/>
  <c r="J584" i="39" s="1"/>
  <c r="K585" i="39" s="1"/>
  <c r="L586" i="39" s="1"/>
  <c r="M587" i="39" s="1"/>
  <c r="N588" i="39" s="1"/>
  <c r="C578" i="39"/>
  <c r="D579" i="39" s="1"/>
  <c r="E580" i="39" s="1"/>
  <c r="F581" i="39" s="1"/>
  <c r="G582" i="39" s="1"/>
  <c r="H583" i="39" s="1"/>
  <c r="I584" i="39" s="1"/>
  <c r="J585" i="39" s="1"/>
  <c r="K586" i="39" s="1"/>
  <c r="L587" i="39" s="1"/>
  <c r="M588" i="39" s="1"/>
  <c r="N589" i="39" s="1"/>
  <c r="C579" i="39"/>
  <c r="D580" i="39" s="1"/>
  <c r="E581" i="39" s="1"/>
  <c r="F582" i="39" s="1"/>
  <c r="G583" i="39" s="1"/>
  <c r="H584" i="39" s="1"/>
  <c r="I585" i="39" s="1"/>
  <c r="J586" i="39" s="1"/>
  <c r="K587" i="39" s="1"/>
  <c r="L588" i="39" s="1"/>
  <c r="M589" i="39" s="1"/>
  <c r="N590" i="39" s="1"/>
  <c r="C580" i="39"/>
  <c r="D581" i="39" s="1"/>
  <c r="E582" i="39" s="1"/>
  <c r="F583" i="39" s="1"/>
  <c r="G584" i="39" s="1"/>
  <c r="H585" i="39" s="1"/>
  <c r="I586" i="39" s="1"/>
  <c r="J587" i="39" s="1"/>
  <c r="K588" i="39" s="1"/>
  <c r="L589" i="39" s="1"/>
  <c r="M590" i="39" s="1"/>
  <c r="N591" i="39" s="1"/>
  <c r="C581" i="39"/>
  <c r="D582" i="39" s="1"/>
  <c r="E583" i="39" s="1"/>
  <c r="F584" i="39" s="1"/>
  <c r="G585" i="39" s="1"/>
  <c r="H586" i="39" s="1"/>
  <c r="I587" i="39" s="1"/>
  <c r="J588" i="39" s="1"/>
  <c r="K589" i="39" s="1"/>
  <c r="L590" i="39" s="1"/>
  <c r="M591" i="39" s="1"/>
  <c r="N592" i="39" s="1"/>
  <c r="C582" i="39"/>
  <c r="D583" i="39" s="1"/>
  <c r="E584" i="39" s="1"/>
  <c r="F585" i="39" s="1"/>
  <c r="G586" i="39" s="1"/>
  <c r="H587" i="39" s="1"/>
  <c r="I588" i="39" s="1"/>
  <c r="J589" i="39" s="1"/>
  <c r="K590" i="39" s="1"/>
  <c r="L591" i="39" s="1"/>
  <c r="M592" i="39" s="1"/>
  <c r="N593" i="39" s="1"/>
  <c r="C583" i="39"/>
  <c r="D584" i="39" s="1"/>
  <c r="E585" i="39" s="1"/>
  <c r="F586" i="39" s="1"/>
  <c r="G587" i="39" s="1"/>
  <c r="H588" i="39" s="1"/>
  <c r="I589" i="39" s="1"/>
  <c r="J590" i="39" s="1"/>
  <c r="K591" i="39" s="1"/>
  <c r="L592" i="39" s="1"/>
  <c r="M593" i="39" s="1"/>
  <c r="N594" i="39" s="1"/>
  <c r="C584" i="39"/>
  <c r="D585" i="39" s="1"/>
  <c r="E586" i="39" s="1"/>
  <c r="F587" i="39" s="1"/>
  <c r="G588" i="39" s="1"/>
  <c r="H589" i="39" s="1"/>
  <c r="I590" i="39" s="1"/>
  <c r="J591" i="39" s="1"/>
  <c r="K592" i="39" s="1"/>
  <c r="L593" i="39" s="1"/>
  <c r="M594" i="39" s="1"/>
  <c r="N595" i="39" s="1"/>
  <c r="C585" i="39"/>
  <c r="D586" i="39" s="1"/>
  <c r="E587" i="39" s="1"/>
  <c r="F588" i="39" s="1"/>
  <c r="G589" i="39" s="1"/>
  <c r="H590" i="39" s="1"/>
  <c r="I591" i="39" s="1"/>
  <c r="J592" i="39" s="1"/>
  <c r="K593" i="39" s="1"/>
  <c r="L594" i="39" s="1"/>
  <c r="M595" i="39" s="1"/>
  <c r="N596" i="39" s="1"/>
  <c r="C586" i="39"/>
  <c r="D587" i="39" s="1"/>
  <c r="E588" i="39" s="1"/>
  <c r="F589" i="39" s="1"/>
  <c r="G590" i="39" s="1"/>
  <c r="H591" i="39" s="1"/>
  <c r="I592" i="39" s="1"/>
  <c r="J593" i="39" s="1"/>
  <c r="K594" i="39" s="1"/>
  <c r="L595" i="39" s="1"/>
  <c r="M596" i="39" s="1"/>
  <c r="N597" i="39" s="1"/>
  <c r="C587" i="39"/>
  <c r="D588" i="39" s="1"/>
  <c r="E589" i="39" s="1"/>
  <c r="F590" i="39" s="1"/>
  <c r="G591" i="39" s="1"/>
  <c r="H592" i="39" s="1"/>
  <c r="I593" i="39" s="1"/>
  <c r="J594" i="39" s="1"/>
  <c r="K595" i="39" s="1"/>
  <c r="L596" i="39" s="1"/>
  <c r="M597" i="39" s="1"/>
  <c r="N598" i="39" s="1"/>
  <c r="C588" i="39"/>
  <c r="D589" i="39" s="1"/>
  <c r="E590" i="39" s="1"/>
  <c r="F591" i="39" s="1"/>
  <c r="G592" i="39" s="1"/>
  <c r="H593" i="39" s="1"/>
  <c r="I594" i="39" s="1"/>
  <c r="J595" i="39" s="1"/>
  <c r="K596" i="39" s="1"/>
  <c r="L597" i="39" s="1"/>
  <c r="M598" i="39" s="1"/>
  <c r="N599" i="39" s="1"/>
  <c r="C589" i="39"/>
  <c r="D590" i="39" s="1"/>
  <c r="E591" i="39" s="1"/>
  <c r="F592" i="39" s="1"/>
  <c r="G593" i="39" s="1"/>
  <c r="H594" i="39" s="1"/>
  <c r="I595" i="39" s="1"/>
  <c r="J596" i="39" s="1"/>
  <c r="K597" i="39" s="1"/>
  <c r="L598" i="39" s="1"/>
  <c r="M599" i="39" s="1"/>
  <c r="N600" i="39" s="1"/>
  <c r="C590" i="39"/>
  <c r="D591" i="39" s="1"/>
  <c r="E592" i="39" s="1"/>
  <c r="F593" i="39" s="1"/>
  <c r="G594" i="39" s="1"/>
  <c r="H595" i="39" s="1"/>
  <c r="I596" i="39" s="1"/>
  <c r="J597" i="39" s="1"/>
  <c r="K598" i="39" s="1"/>
  <c r="L599" i="39" s="1"/>
  <c r="M600" i="39" s="1"/>
  <c r="N601" i="39" s="1"/>
  <c r="C591" i="39"/>
  <c r="D592" i="39" s="1"/>
  <c r="E593" i="39" s="1"/>
  <c r="F594" i="39" s="1"/>
  <c r="G595" i="39" s="1"/>
  <c r="H596" i="39" s="1"/>
  <c r="I597" i="39" s="1"/>
  <c r="J598" i="39" s="1"/>
  <c r="K599" i="39" s="1"/>
  <c r="L600" i="39" s="1"/>
  <c r="M601" i="39" s="1"/>
  <c r="N602" i="39" s="1"/>
  <c r="C592" i="39"/>
  <c r="D593" i="39" s="1"/>
  <c r="E594" i="39" s="1"/>
  <c r="F595" i="39" s="1"/>
  <c r="G596" i="39" s="1"/>
  <c r="H597" i="39" s="1"/>
  <c r="I598" i="39" s="1"/>
  <c r="J599" i="39" s="1"/>
  <c r="K600" i="39" s="1"/>
  <c r="L601" i="39" s="1"/>
  <c r="M602" i="39" s="1"/>
  <c r="N603" i="39" s="1"/>
  <c r="C593" i="39"/>
  <c r="D594" i="39" s="1"/>
  <c r="E595" i="39" s="1"/>
  <c r="F596" i="39" s="1"/>
  <c r="G597" i="39" s="1"/>
  <c r="H598" i="39" s="1"/>
  <c r="I599" i="39" s="1"/>
  <c r="J600" i="39" s="1"/>
  <c r="K601" i="39" s="1"/>
  <c r="L602" i="39" s="1"/>
  <c r="M603" i="39" s="1"/>
  <c r="N604" i="39" s="1"/>
  <c r="C594" i="39"/>
  <c r="D595" i="39" s="1"/>
  <c r="E596" i="39" s="1"/>
  <c r="F597" i="39" s="1"/>
  <c r="G598" i="39" s="1"/>
  <c r="H599" i="39" s="1"/>
  <c r="I600" i="39" s="1"/>
  <c r="J601" i="39" s="1"/>
  <c r="K602" i="39" s="1"/>
  <c r="L603" i="39" s="1"/>
  <c r="M604" i="39" s="1"/>
  <c r="N605" i="39" s="1"/>
  <c r="C595" i="39"/>
  <c r="D596" i="39" s="1"/>
  <c r="E597" i="39" s="1"/>
  <c r="F598" i="39" s="1"/>
  <c r="G599" i="39" s="1"/>
  <c r="H600" i="39" s="1"/>
  <c r="I601" i="39" s="1"/>
  <c r="J602" i="39" s="1"/>
  <c r="K603" i="39" s="1"/>
  <c r="L604" i="39" s="1"/>
  <c r="M605" i="39" s="1"/>
  <c r="N606" i="39" s="1"/>
  <c r="C596" i="39"/>
  <c r="D597" i="39" s="1"/>
  <c r="E598" i="39" s="1"/>
  <c r="F599" i="39" s="1"/>
  <c r="G600" i="39" s="1"/>
  <c r="H601" i="39" s="1"/>
  <c r="I602" i="39" s="1"/>
  <c r="J603" i="39" s="1"/>
  <c r="K604" i="39" s="1"/>
  <c r="L605" i="39" s="1"/>
  <c r="M606" i="39" s="1"/>
  <c r="N607" i="39" s="1"/>
  <c r="C597" i="39"/>
  <c r="D598" i="39" s="1"/>
  <c r="E599" i="39" s="1"/>
  <c r="F600" i="39" s="1"/>
  <c r="G601" i="39" s="1"/>
  <c r="H602" i="39" s="1"/>
  <c r="I603" i="39" s="1"/>
  <c r="J604" i="39" s="1"/>
  <c r="K605" i="39" s="1"/>
  <c r="L606" i="39" s="1"/>
  <c r="M607" i="39" s="1"/>
  <c r="N608" i="39" s="1"/>
  <c r="C598" i="39"/>
  <c r="D599" i="39" s="1"/>
  <c r="E600" i="39" s="1"/>
  <c r="F601" i="39" s="1"/>
  <c r="G602" i="39" s="1"/>
  <c r="H603" i="39" s="1"/>
  <c r="I604" i="39" s="1"/>
  <c r="J605" i="39" s="1"/>
  <c r="K606" i="39" s="1"/>
  <c r="L607" i="39" s="1"/>
  <c r="M608" i="39" s="1"/>
  <c r="N609" i="39" s="1"/>
  <c r="C599" i="39"/>
  <c r="D600" i="39" s="1"/>
  <c r="E601" i="39" s="1"/>
  <c r="F602" i="39" s="1"/>
  <c r="G603" i="39" s="1"/>
  <c r="H604" i="39" s="1"/>
  <c r="I605" i="39" s="1"/>
  <c r="J606" i="39" s="1"/>
  <c r="K607" i="39" s="1"/>
  <c r="L608" i="39" s="1"/>
  <c r="M609" i="39" s="1"/>
  <c r="N610" i="39" s="1"/>
  <c r="C600" i="39"/>
  <c r="D601" i="39" s="1"/>
  <c r="E602" i="39" s="1"/>
  <c r="F603" i="39" s="1"/>
  <c r="G604" i="39" s="1"/>
  <c r="H605" i="39" s="1"/>
  <c r="I606" i="39" s="1"/>
  <c r="J607" i="39" s="1"/>
  <c r="K608" i="39" s="1"/>
  <c r="L609" i="39" s="1"/>
  <c r="M610" i="39" s="1"/>
  <c r="N611" i="39" s="1"/>
  <c r="C601" i="39"/>
  <c r="D602" i="39" s="1"/>
  <c r="E603" i="39" s="1"/>
  <c r="F604" i="39" s="1"/>
  <c r="G605" i="39" s="1"/>
  <c r="H606" i="39" s="1"/>
  <c r="I607" i="39" s="1"/>
  <c r="J608" i="39" s="1"/>
  <c r="K609" i="39" s="1"/>
  <c r="L610" i="39" s="1"/>
  <c r="M611" i="39" s="1"/>
  <c r="N612" i="39" s="1"/>
  <c r="C602" i="39"/>
  <c r="D603" i="39" s="1"/>
  <c r="E604" i="39" s="1"/>
  <c r="F605" i="39" s="1"/>
  <c r="G606" i="39" s="1"/>
  <c r="H607" i="39" s="1"/>
  <c r="I608" i="39" s="1"/>
  <c r="J609" i="39" s="1"/>
  <c r="K610" i="39" s="1"/>
  <c r="L611" i="39" s="1"/>
  <c r="M612" i="39" s="1"/>
  <c r="N613" i="39" s="1"/>
  <c r="C603" i="39"/>
  <c r="D604" i="39" s="1"/>
  <c r="E605" i="39" s="1"/>
  <c r="F606" i="39" s="1"/>
  <c r="G607" i="39" s="1"/>
  <c r="H608" i="39" s="1"/>
  <c r="I609" i="39" s="1"/>
  <c r="J610" i="39" s="1"/>
  <c r="K611" i="39" s="1"/>
  <c r="L612" i="39" s="1"/>
  <c r="M613" i="39" s="1"/>
  <c r="N614" i="39" s="1"/>
  <c r="C604" i="39"/>
  <c r="D605" i="39" s="1"/>
  <c r="E606" i="39" s="1"/>
  <c r="F607" i="39" s="1"/>
  <c r="G608" i="39" s="1"/>
  <c r="H609" i="39" s="1"/>
  <c r="I610" i="39" s="1"/>
  <c r="J611" i="39" s="1"/>
  <c r="K612" i="39" s="1"/>
  <c r="L613" i="39" s="1"/>
  <c r="M614" i="39" s="1"/>
  <c r="N615" i="39" s="1"/>
  <c r="C605" i="39"/>
  <c r="D606" i="39" s="1"/>
  <c r="E607" i="39" s="1"/>
  <c r="F608" i="39" s="1"/>
  <c r="G609" i="39" s="1"/>
  <c r="H610" i="39" s="1"/>
  <c r="I611" i="39" s="1"/>
  <c r="J612" i="39" s="1"/>
  <c r="K613" i="39" s="1"/>
  <c r="L614" i="39" s="1"/>
  <c r="M615" i="39" s="1"/>
  <c r="N616" i="39" s="1"/>
  <c r="C606" i="39"/>
  <c r="D607" i="39" s="1"/>
  <c r="E608" i="39" s="1"/>
  <c r="F609" i="39" s="1"/>
  <c r="G610" i="39" s="1"/>
  <c r="H611" i="39" s="1"/>
  <c r="I612" i="39" s="1"/>
  <c r="J613" i="39" s="1"/>
  <c r="K614" i="39" s="1"/>
  <c r="L615" i="39" s="1"/>
  <c r="M616" i="39" s="1"/>
  <c r="N617" i="39" s="1"/>
  <c r="C607" i="39"/>
  <c r="D608" i="39" s="1"/>
  <c r="E609" i="39" s="1"/>
  <c r="F610" i="39" s="1"/>
  <c r="G611" i="39" s="1"/>
  <c r="H612" i="39" s="1"/>
  <c r="I613" i="39" s="1"/>
  <c r="J614" i="39" s="1"/>
  <c r="K615" i="39" s="1"/>
  <c r="L616" i="39" s="1"/>
  <c r="M617" i="39" s="1"/>
  <c r="N618" i="39" s="1"/>
  <c r="C608" i="39"/>
  <c r="D609" i="39" s="1"/>
  <c r="E610" i="39" s="1"/>
  <c r="F611" i="39" s="1"/>
  <c r="G612" i="39" s="1"/>
  <c r="H613" i="39" s="1"/>
  <c r="I614" i="39" s="1"/>
  <c r="J615" i="39" s="1"/>
  <c r="K616" i="39" s="1"/>
  <c r="L617" i="39" s="1"/>
  <c r="M618" i="39" s="1"/>
  <c r="N619" i="39" s="1"/>
  <c r="C609" i="39"/>
  <c r="D610" i="39" s="1"/>
  <c r="E611" i="39" s="1"/>
  <c r="F612" i="39" s="1"/>
  <c r="G613" i="39" s="1"/>
  <c r="H614" i="39" s="1"/>
  <c r="I615" i="39" s="1"/>
  <c r="J616" i="39" s="1"/>
  <c r="K617" i="39" s="1"/>
  <c r="L618" i="39" s="1"/>
  <c r="M619" i="39" s="1"/>
  <c r="N620" i="39" s="1"/>
  <c r="C610" i="39"/>
  <c r="D611" i="39" s="1"/>
  <c r="E612" i="39" s="1"/>
  <c r="F613" i="39" s="1"/>
  <c r="G614" i="39" s="1"/>
  <c r="H615" i="39" s="1"/>
  <c r="I616" i="39" s="1"/>
  <c r="J617" i="39" s="1"/>
  <c r="K618" i="39" s="1"/>
  <c r="L619" i="39" s="1"/>
  <c r="M620" i="39" s="1"/>
  <c r="N621" i="39" s="1"/>
  <c r="C611" i="39"/>
  <c r="D612" i="39" s="1"/>
  <c r="E613" i="39" s="1"/>
  <c r="F614" i="39" s="1"/>
  <c r="G615" i="39" s="1"/>
  <c r="H616" i="39" s="1"/>
  <c r="I617" i="39" s="1"/>
  <c r="J618" i="39" s="1"/>
  <c r="K619" i="39" s="1"/>
  <c r="L620" i="39" s="1"/>
  <c r="M621" i="39" s="1"/>
  <c r="N622" i="39" s="1"/>
  <c r="C612" i="39"/>
  <c r="D613" i="39" s="1"/>
  <c r="E614" i="39" s="1"/>
  <c r="F615" i="39" s="1"/>
  <c r="G616" i="39" s="1"/>
  <c r="H617" i="39" s="1"/>
  <c r="I618" i="39" s="1"/>
  <c r="J619" i="39" s="1"/>
  <c r="K620" i="39" s="1"/>
  <c r="L621" i="39" s="1"/>
  <c r="M622" i="39" s="1"/>
  <c r="N623" i="39" s="1"/>
  <c r="C613" i="39"/>
  <c r="D614" i="39" s="1"/>
  <c r="E615" i="39" s="1"/>
  <c r="F616" i="39" s="1"/>
  <c r="G617" i="39" s="1"/>
  <c r="H618" i="39" s="1"/>
  <c r="I619" i="39" s="1"/>
  <c r="J620" i="39" s="1"/>
  <c r="K621" i="39" s="1"/>
  <c r="L622" i="39" s="1"/>
  <c r="M623" i="39" s="1"/>
  <c r="N624" i="39" s="1"/>
  <c r="C614" i="39"/>
  <c r="D615" i="39" s="1"/>
  <c r="E616" i="39" s="1"/>
  <c r="F617" i="39" s="1"/>
  <c r="G618" i="39" s="1"/>
  <c r="H619" i="39" s="1"/>
  <c r="I620" i="39" s="1"/>
  <c r="J621" i="39" s="1"/>
  <c r="K622" i="39" s="1"/>
  <c r="L623" i="39" s="1"/>
  <c r="M624" i="39" s="1"/>
  <c r="N625" i="39" s="1"/>
  <c r="C615" i="39"/>
  <c r="D616" i="39" s="1"/>
  <c r="E617" i="39" s="1"/>
  <c r="F618" i="39" s="1"/>
  <c r="G619" i="39" s="1"/>
  <c r="H620" i="39" s="1"/>
  <c r="I621" i="39" s="1"/>
  <c r="J622" i="39" s="1"/>
  <c r="K623" i="39" s="1"/>
  <c r="L624" i="39" s="1"/>
  <c r="M625" i="39" s="1"/>
  <c r="N626" i="39" s="1"/>
  <c r="C616" i="39"/>
  <c r="D617" i="39" s="1"/>
  <c r="E618" i="39" s="1"/>
  <c r="F619" i="39" s="1"/>
  <c r="G620" i="39" s="1"/>
  <c r="H621" i="39" s="1"/>
  <c r="I622" i="39" s="1"/>
  <c r="J623" i="39" s="1"/>
  <c r="K624" i="39" s="1"/>
  <c r="L625" i="39" s="1"/>
  <c r="M626" i="39" s="1"/>
  <c r="N627" i="39" s="1"/>
  <c r="C617" i="39"/>
  <c r="D618" i="39" s="1"/>
  <c r="E619" i="39" s="1"/>
  <c r="F620" i="39" s="1"/>
  <c r="G621" i="39" s="1"/>
  <c r="H622" i="39" s="1"/>
  <c r="I623" i="39" s="1"/>
  <c r="J624" i="39" s="1"/>
  <c r="K625" i="39" s="1"/>
  <c r="L626" i="39" s="1"/>
  <c r="M627" i="39" s="1"/>
  <c r="N628" i="39" s="1"/>
  <c r="C618" i="39"/>
  <c r="D619" i="39" s="1"/>
  <c r="E620" i="39" s="1"/>
  <c r="F621" i="39" s="1"/>
  <c r="G622" i="39" s="1"/>
  <c r="H623" i="39" s="1"/>
  <c r="I624" i="39" s="1"/>
  <c r="J625" i="39" s="1"/>
  <c r="K626" i="39" s="1"/>
  <c r="L627" i="39" s="1"/>
  <c r="M628" i="39" s="1"/>
  <c r="N629" i="39" s="1"/>
  <c r="C619" i="39"/>
  <c r="D620" i="39" s="1"/>
  <c r="E621" i="39" s="1"/>
  <c r="F622" i="39" s="1"/>
  <c r="G623" i="39" s="1"/>
  <c r="H624" i="39" s="1"/>
  <c r="I625" i="39" s="1"/>
  <c r="J626" i="39" s="1"/>
  <c r="K627" i="39" s="1"/>
  <c r="L628" i="39" s="1"/>
  <c r="M629" i="39" s="1"/>
  <c r="N630" i="39" s="1"/>
  <c r="C620" i="39"/>
  <c r="D621" i="39" s="1"/>
  <c r="E622" i="39" s="1"/>
  <c r="F623" i="39" s="1"/>
  <c r="G624" i="39" s="1"/>
  <c r="H625" i="39" s="1"/>
  <c r="I626" i="39" s="1"/>
  <c r="J627" i="39" s="1"/>
  <c r="K628" i="39" s="1"/>
  <c r="L629" i="39" s="1"/>
  <c r="M630" i="39" s="1"/>
  <c r="N631" i="39" s="1"/>
  <c r="C621" i="39"/>
  <c r="D622" i="39" s="1"/>
  <c r="E623" i="39" s="1"/>
  <c r="F624" i="39" s="1"/>
  <c r="G625" i="39" s="1"/>
  <c r="H626" i="39" s="1"/>
  <c r="I627" i="39" s="1"/>
  <c r="J628" i="39" s="1"/>
  <c r="K629" i="39" s="1"/>
  <c r="L630" i="39" s="1"/>
  <c r="M631" i="39" s="1"/>
  <c r="N632" i="39" s="1"/>
  <c r="C622" i="39"/>
  <c r="D623" i="39" s="1"/>
  <c r="E624" i="39" s="1"/>
  <c r="F625" i="39" s="1"/>
  <c r="G626" i="39" s="1"/>
  <c r="H627" i="39" s="1"/>
  <c r="I628" i="39" s="1"/>
  <c r="J629" i="39" s="1"/>
  <c r="K630" i="39" s="1"/>
  <c r="L631" i="39" s="1"/>
  <c r="M632" i="39" s="1"/>
  <c r="N633" i="39" s="1"/>
  <c r="C623" i="39"/>
  <c r="D624" i="39" s="1"/>
  <c r="E625" i="39" s="1"/>
  <c r="F626" i="39" s="1"/>
  <c r="G627" i="39" s="1"/>
  <c r="H628" i="39" s="1"/>
  <c r="I629" i="39" s="1"/>
  <c r="J630" i="39" s="1"/>
  <c r="K631" i="39" s="1"/>
  <c r="L632" i="39" s="1"/>
  <c r="M633" i="39" s="1"/>
  <c r="N634" i="39" s="1"/>
  <c r="C624" i="39"/>
  <c r="D625" i="39" s="1"/>
  <c r="E626" i="39" s="1"/>
  <c r="F627" i="39" s="1"/>
  <c r="G628" i="39" s="1"/>
  <c r="H629" i="39" s="1"/>
  <c r="I630" i="39" s="1"/>
  <c r="J631" i="39" s="1"/>
  <c r="K632" i="39" s="1"/>
  <c r="L633" i="39" s="1"/>
  <c r="M634" i="39" s="1"/>
  <c r="N635" i="39" s="1"/>
  <c r="C625" i="39"/>
  <c r="D626" i="39" s="1"/>
  <c r="E627" i="39" s="1"/>
  <c r="F628" i="39" s="1"/>
  <c r="G629" i="39" s="1"/>
  <c r="H630" i="39" s="1"/>
  <c r="I631" i="39" s="1"/>
  <c r="J632" i="39" s="1"/>
  <c r="K633" i="39" s="1"/>
  <c r="L634" i="39" s="1"/>
  <c r="M635" i="39" s="1"/>
  <c r="N636" i="39" s="1"/>
  <c r="C626" i="39"/>
  <c r="D627" i="39" s="1"/>
  <c r="E628" i="39" s="1"/>
  <c r="F629" i="39" s="1"/>
  <c r="G630" i="39" s="1"/>
  <c r="H631" i="39" s="1"/>
  <c r="I632" i="39" s="1"/>
  <c r="J633" i="39" s="1"/>
  <c r="K634" i="39" s="1"/>
  <c r="L635" i="39" s="1"/>
  <c r="M636" i="39" s="1"/>
  <c r="N637" i="39" s="1"/>
  <c r="C627" i="39"/>
  <c r="D628" i="39" s="1"/>
  <c r="E629" i="39" s="1"/>
  <c r="F630" i="39" s="1"/>
  <c r="G631" i="39" s="1"/>
  <c r="H632" i="39" s="1"/>
  <c r="I633" i="39" s="1"/>
  <c r="J634" i="39" s="1"/>
  <c r="K635" i="39" s="1"/>
  <c r="L636" i="39" s="1"/>
  <c r="M637" i="39" s="1"/>
  <c r="N638" i="39" s="1"/>
  <c r="C628" i="39"/>
  <c r="D629" i="39" s="1"/>
  <c r="E630" i="39" s="1"/>
  <c r="F631" i="39" s="1"/>
  <c r="G632" i="39" s="1"/>
  <c r="H633" i="39" s="1"/>
  <c r="I634" i="39" s="1"/>
  <c r="J635" i="39" s="1"/>
  <c r="K636" i="39" s="1"/>
  <c r="L637" i="39" s="1"/>
  <c r="M638" i="39" s="1"/>
  <c r="N639" i="39" s="1"/>
  <c r="C629" i="39"/>
  <c r="D630" i="39" s="1"/>
  <c r="E631" i="39" s="1"/>
  <c r="F632" i="39" s="1"/>
  <c r="G633" i="39" s="1"/>
  <c r="H634" i="39" s="1"/>
  <c r="I635" i="39" s="1"/>
  <c r="J636" i="39" s="1"/>
  <c r="K637" i="39" s="1"/>
  <c r="L638" i="39" s="1"/>
  <c r="M639" i="39" s="1"/>
  <c r="N640" i="39" s="1"/>
  <c r="C630" i="39"/>
  <c r="D631" i="39" s="1"/>
  <c r="E632" i="39" s="1"/>
  <c r="F633" i="39" s="1"/>
  <c r="G634" i="39" s="1"/>
  <c r="H635" i="39" s="1"/>
  <c r="I636" i="39" s="1"/>
  <c r="J637" i="39" s="1"/>
  <c r="K638" i="39" s="1"/>
  <c r="L639" i="39" s="1"/>
  <c r="M640" i="39" s="1"/>
  <c r="N641" i="39" s="1"/>
  <c r="C631" i="39"/>
  <c r="D632" i="39" s="1"/>
  <c r="E633" i="39" s="1"/>
  <c r="F634" i="39" s="1"/>
  <c r="G635" i="39" s="1"/>
  <c r="H636" i="39" s="1"/>
  <c r="I637" i="39" s="1"/>
  <c r="J638" i="39" s="1"/>
  <c r="K639" i="39" s="1"/>
  <c r="L640" i="39" s="1"/>
  <c r="M641" i="39" s="1"/>
  <c r="N642" i="39" s="1"/>
  <c r="C632" i="39"/>
  <c r="D633" i="39" s="1"/>
  <c r="E634" i="39" s="1"/>
  <c r="F635" i="39" s="1"/>
  <c r="G636" i="39" s="1"/>
  <c r="H637" i="39" s="1"/>
  <c r="I638" i="39" s="1"/>
  <c r="J639" i="39" s="1"/>
  <c r="K640" i="39" s="1"/>
  <c r="L641" i="39" s="1"/>
  <c r="M642" i="39" s="1"/>
  <c r="N643" i="39" s="1"/>
  <c r="C633" i="39"/>
  <c r="D634" i="39" s="1"/>
  <c r="E635" i="39" s="1"/>
  <c r="F636" i="39" s="1"/>
  <c r="G637" i="39" s="1"/>
  <c r="H638" i="39" s="1"/>
  <c r="I639" i="39" s="1"/>
  <c r="J640" i="39" s="1"/>
  <c r="K641" i="39" s="1"/>
  <c r="L642" i="39" s="1"/>
  <c r="M643" i="39" s="1"/>
  <c r="N644" i="39" s="1"/>
  <c r="C634" i="39"/>
  <c r="D635" i="39" s="1"/>
  <c r="E636" i="39" s="1"/>
  <c r="F637" i="39" s="1"/>
  <c r="G638" i="39" s="1"/>
  <c r="H639" i="39" s="1"/>
  <c r="I640" i="39" s="1"/>
  <c r="J641" i="39" s="1"/>
  <c r="K642" i="39" s="1"/>
  <c r="L643" i="39" s="1"/>
  <c r="M644" i="39" s="1"/>
  <c r="N645" i="39" s="1"/>
  <c r="C635" i="39"/>
  <c r="D636" i="39" s="1"/>
  <c r="E637" i="39" s="1"/>
  <c r="F638" i="39" s="1"/>
  <c r="G639" i="39" s="1"/>
  <c r="H640" i="39" s="1"/>
  <c r="I641" i="39" s="1"/>
  <c r="J642" i="39" s="1"/>
  <c r="K643" i="39" s="1"/>
  <c r="L644" i="39" s="1"/>
  <c r="M645" i="39" s="1"/>
  <c r="N646" i="39" s="1"/>
  <c r="C636" i="39"/>
  <c r="D637" i="39" s="1"/>
  <c r="E638" i="39" s="1"/>
  <c r="F639" i="39" s="1"/>
  <c r="G640" i="39" s="1"/>
  <c r="H641" i="39" s="1"/>
  <c r="I642" i="39" s="1"/>
  <c r="J643" i="39" s="1"/>
  <c r="K644" i="39" s="1"/>
  <c r="L645" i="39" s="1"/>
  <c r="M646" i="39" s="1"/>
  <c r="N647" i="39" s="1"/>
  <c r="C637" i="39"/>
  <c r="D638" i="39" s="1"/>
  <c r="E639" i="39" s="1"/>
  <c r="F640" i="39" s="1"/>
  <c r="G641" i="39" s="1"/>
  <c r="H642" i="39" s="1"/>
  <c r="I643" i="39" s="1"/>
  <c r="J644" i="39" s="1"/>
  <c r="K645" i="39" s="1"/>
  <c r="L646" i="39" s="1"/>
  <c r="M647" i="39" s="1"/>
  <c r="N648" i="39" s="1"/>
  <c r="C638" i="39"/>
  <c r="D639" i="39" s="1"/>
  <c r="E640" i="39" s="1"/>
  <c r="F641" i="39" s="1"/>
  <c r="G642" i="39" s="1"/>
  <c r="H643" i="39" s="1"/>
  <c r="I644" i="39" s="1"/>
  <c r="J645" i="39" s="1"/>
  <c r="K646" i="39" s="1"/>
  <c r="L647" i="39" s="1"/>
  <c r="M648" i="39" s="1"/>
  <c r="N649" i="39" s="1"/>
  <c r="C639" i="39"/>
  <c r="D640" i="39" s="1"/>
  <c r="E641" i="39" s="1"/>
  <c r="F642" i="39" s="1"/>
  <c r="G643" i="39" s="1"/>
  <c r="H644" i="39" s="1"/>
  <c r="I645" i="39" s="1"/>
  <c r="J646" i="39" s="1"/>
  <c r="K647" i="39" s="1"/>
  <c r="L648" i="39" s="1"/>
  <c r="M649" i="39" s="1"/>
  <c r="N650" i="39" s="1"/>
  <c r="C640" i="39"/>
  <c r="D641" i="39" s="1"/>
  <c r="E642" i="39" s="1"/>
  <c r="F643" i="39" s="1"/>
  <c r="G644" i="39" s="1"/>
  <c r="H645" i="39" s="1"/>
  <c r="I646" i="39" s="1"/>
  <c r="J647" i="39" s="1"/>
  <c r="K648" i="39" s="1"/>
  <c r="L649" i="39" s="1"/>
  <c r="M650" i="39" s="1"/>
  <c r="N651" i="39" s="1"/>
  <c r="C641" i="39"/>
  <c r="D642" i="39" s="1"/>
  <c r="E643" i="39" s="1"/>
  <c r="F644" i="39" s="1"/>
  <c r="G645" i="39" s="1"/>
  <c r="H646" i="39" s="1"/>
  <c r="I647" i="39" s="1"/>
  <c r="J648" i="39" s="1"/>
  <c r="K649" i="39" s="1"/>
  <c r="L650" i="39" s="1"/>
  <c r="M651" i="39" s="1"/>
  <c r="N652" i="39" s="1"/>
  <c r="C642" i="39"/>
  <c r="D643" i="39" s="1"/>
  <c r="E644" i="39" s="1"/>
  <c r="F645" i="39" s="1"/>
  <c r="G646" i="39" s="1"/>
  <c r="H647" i="39" s="1"/>
  <c r="I648" i="39" s="1"/>
  <c r="J649" i="39" s="1"/>
  <c r="K650" i="39" s="1"/>
  <c r="L651" i="39" s="1"/>
  <c r="M652" i="39" s="1"/>
  <c r="N653" i="39" s="1"/>
  <c r="C643" i="39"/>
  <c r="D644" i="39" s="1"/>
  <c r="E645" i="39" s="1"/>
  <c r="F646" i="39" s="1"/>
  <c r="G647" i="39" s="1"/>
  <c r="H648" i="39" s="1"/>
  <c r="I649" i="39" s="1"/>
  <c r="J650" i="39" s="1"/>
  <c r="K651" i="39" s="1"/>
  <c r="L652" i="39" s="1"/>
  <c r="M653" i="39" s="1"/>
  <c r="N654" i="39" s="1"/>
  <c r="C644" i="39"/>
  <c r="D645" i="39" s="1"/>
  <c r="E646" i="39" s="1"/>
  <c r="F647" i="39" s="1"/>
  <c r="G648" i="39" s="1"/>
  <c r="H649" i="39" s="1"/>
  <c r="I650" i="39" s="1"/>
  <c r="J651" i="39" s="1"/>
  <c r="K652" i="39" s="1"/>
  <c r="L653" i="39" s="1"/>
  <c r="M654" i="39" s="1"/>
  <c r="N655" i="39" s="1"/>
  <c r="C645" i="39"/>
  <c r="D646" i="39" s="1"/>
  <c r="E647" i="39" s="1"/>
  <c r="F648" i="39" s="1"/>
  <c r="G649" i="39" s="1"/>
  <c r="H650" i="39" s="1"/>
  <c r="I651" i="39" s="1"/>
  <c r="J652" i="39" s="1"/>
  <c r="K653" i="39" s="1"/>
  <c r="L654" i="39" s="1"/>
  <c r="M655" i="39" s="1"/>
  <c r="N656" i="39" s="1"/>
  <c r="C646" i="39"/>
  <c r="D647" i="39" s="1"/>
  <c r="E648" i="39" s="1"/>
  <c r="F649" i="39" s="1"/>
  <c r="G650" i="39" s="1"/>
  <c r="H651" i="39" s="1"/>
  <c r="I652" i="39" s="1"/>
  <c r="J653" i="39" s="1"/>
  <c r="K654" i="39" s="1"/>
  <c r="L655" i="39" s="1"/>
  <c r="M656" i="39" s="1"/>
  <c r="N657" i="39" s="1"/>
  <c r="C647" i="39"/>
  <c r="D648" i="39" s="1"/>
  <c r="E649" i="39" s="1"/>
  <c r="F650" i="39" s="1"/>
  <c r="G651" i="39" s="1"/>
  <c r="H652" i="39" s="1"/>
  <c r="I653" i="39" s="1"/>
  <c r="J654" i="39" s="1"/>
  <c r="K655" i="39" s="1"/>
  <c r="L656" i="39" s="1"/>
  <c r="M657" i="39" s="1"/>
  <c r="N658" i="39" s="1"/>
  <c r="C648" i="39"/>
  <c r="D649" i="39" s="1"/>
  <c r="E650" i="39" s="1"/>
  <c r="F651" i="39" s="1"/>
  <c r="G652" i="39" s="1"/>
  <c r="H653" i="39" s="1"/>
  <c r="I654" i="39" s="1"/>
  <c r="J655" i="39" s="1"/>
  <c r="K656" i="39" s="1"/>
  <c r="L657" i="39" s="1"/>
  <c r="M658" i="39" s="1"/>
  <c r="N659" i="39" s="1"/>
  <c r="C649" i="39"/>
  <c r="D650" i="39" s="1"/>
  <c r="E651" i="39" s="1"/>
  <c r="F652" i="39" s="1"/>
  <c r="G653" i="39" s="1"/>
  <c r="H654" i="39" s="1"/>
  <c r="I655" i="39" s="1"/>
  <c r="J656" i="39" s="1"/>
  <c r="K657" i="39" s="1"/>
  <c r="L658" i="39" s="1"/>
  <c r="M659" i="39" s="1"/>
  <c r="N660" i="39" s="1"/>
  <c r="C650" i="39"/>
  <c r="D651" i="39" s="1"/>
  <c r="E652" i="39" s="1"/>
  <c r="F653" i="39" s="1"/>
  <c r="G654" i="39" s="1"/>
  <c r="H655" i="39" s="1"/>
  <c r="I656" i="39" s="1"/>
  <c r="J657" i="39" s="1"/>
  <c r="K658" i="39" s="1"/>
  <c r="L659" i="39" s="1"/>
  <c r="M660" i="39" s="1"/>
  <c r="N661" i="39" s="1"/>
  <c r="C651" i="39"/>
  <c r="D652" i="39" s="1"/>
  <c r="E653" i="39" s="1"/>
  <c r="F654" i="39" s="1"/>
  <c r="G655" i="39" s="1"/>
  <c r="H656" i="39" s="1"/>
  <c r="I657" i="39" s="1"/>
  <c r="J658" i="39" s="1"/>
  <c r="K659" i="39" s="1"/>
  <c r="L660" i="39" s="1"/>
  <c r="M661" i="39" s="1"/>
  <c r="N662" i="39" s="1"/>
  <c r="C652" i="39"/>
  <c r="D653" i="39" s="1"/>
  <c r="E654" i="39" s="1"/>
  <c r="F655" i="39" s="1"/>
  <c r="G656" i="39" s="1"/>
  <c r="H657" i="39" s="1"/>
  <c r="I658" i="39" s="1"/>
  <c r="J659" i="39" s="1"/>
  <c r="K660" i="39" s="1"/>
  <c r="L661" i="39" s="1"/>
  <c r="M662" i="39" s="1"/>
  <c r="N663" i="39" s="1"/>
  <c r="C653" i="39"/>
  <c r="D654" i="39" s="1"/>
  <c r="E655" i="39" s="1"/>
  <c r="F656" i="39" s="1"/>
  <c r="G657" i="39" s="1"/>
  <c r="H658" i="39" s="1"/>
  <c r="I659" i="39" s="1"/>
  <c r="J660" i="39" s="1"/>
  <c r="K661" i="39" s="1"/>
  <c r="L662" i="39" s="1"/>
  <c r="M663" i="39" s="1"/>
  <c r="N664" i="39" s="1"/>
  <c r="C654" i="39"/>
  <c r="D655" i="39" s="1"/>
  <c r="E656" i="39" s="1"/>
  <c r="F657" i="39" s="1"/>
  <c r="G658" i="39" s="1"/>
  <c r="H659" i="39" s="1"/>
  <c r="I660" i="39" s="1"/>
  <c r="J661" i="39" s="1"/>
  <c r="K662" i="39" s="1"/>
  <c r="L663" i="39" s="1"/>
  <c r="M664" i="39" s="1"/>
  <c r="N665" i="39" s="1"/>
  <c r="C655" i="39"/>
  <c r="D656" i="39" s="1"/>
  <c r="E657" i="39" s="1"/>
  <c r="F658" i="39" s="1"/>
  <c r="G659" i="39" s="1"/>
  <c r="H660" i="39" s="1"/>
  <c r="I661" i="39" s="1"/>
  <c r="J662" i="39" s="1"/>
  <c r="K663" i="39" s="1"/>
  <c r="L664" i="39" s="1"/>
  <c r="M665" i="39" s="1"/>
  <c r="N666" i="39" s="1"/>
  <c r="C656" i="39"/>
  <c r="D657" i="39" s="1"/>
  <c r="E658" i="39" s="1"/>
  <c r="F659" i="39" s="1"/>
  <c r="G660" i="39" s="1"/>
  <c r="H661" i="39" s="1"/>
  <c r="I662" i="39" s="1"/>
  <c r="J663" i="39" s="1"/>
  <c r="K664" i="39" s="1"/>
  <c r="L665" i="39" s="1"/>
  <c r="M666" i="39" s="1"/>
  <c r="N667" i="39" s="1"/>
  <c r="C657" i="39"/>
  <c r="D658" i="39" s="1"/>
  <c r="E659" i="39" s="1"/>
  <c r="F660" i="39" s="1"/>
  <c r="G661" i="39" s="1"/>
  <c r="H662" i="39" s="1"/>
  <c r="I663" i="39" s="1"/>
  <c r="J664" i="39" s="1"/>
  <c r="K665" i="39" s="1"/>
  <c r="L666" i="39" s="1"/>
  <c r="M667" i="39" s="1"/>
  <c r="N668" i="39" s="1"/>
  <c r="C658" i="39"/>
  <c r="D659" i="39" s="1"/>
  <c r="E660" i="39" s="1"/>
  <c r="F661" i="39" s="1"/>
  <c r="G662" i="39" s="1"/>
  <c r="H663" i="39" s="1"/>
  <c r="I664" i="39" s="1"/>
  <c r="J665" i="39" s="1"/>
  <c r="K666" i="39" s="1"/>
  <c r="L667" i="39" s="1"/>
  <c r="M668" i="39" s="1"/>
  <c r="N669" i="39" s="1"/>
  <c r="C659" i="39"/>
  <c r="D660" i="39" s="1"/>
  <c r="E661" i="39" s="1"/>
  <c r="F662" i="39" s="1"/>
  <c r="G663" i="39" s="1"/>
  <c r="H664" i="39" s="1"/>
  <c r="I665" i="39" s="1"/>
  <c r="J666" i="39" s="1"/>
  <c r="K667" i="39" s="1"/>
  <c r="L668" i="39" s="1"/>
  <c r="M669" i="39" s="1"/>
  <c r="N670" i="39" s="1"/>
  <c r="C660" i="39"/>
  <c r="D661" i="39" s="1"/>
  <c r="E662" i="39" s="1"/>
  <c r="F663" i="39" s="1"/>
  <c r="G664" i="39" s="1"/>
  <c r="H665" i="39" s="1"/>
  <c r="I666" i="39" s="1"/>
  <c r="J667" i="39" s="1"/>
  <c r="K668" i="39" s="1"/>
  <c r="L669" i="39" s="1"/>
  <c r="M670" i="39" s="1"/>
  <c r="N671" i="39" s="1"/>
  <c r="C661" i="39"/>
  <c r="D662" i="39" s="1"/>
  <c r="E663" i="39" s="1"/>
  <c r="F664" i="39" s="1"/>
  <c r="G665" i="39" s="1"/>
  <c r="H666" i="39" s="1"/>
  <c r="I667" i="39" s="1"/>
  <c r="J668" i="39" s="1"/>
  <c r="K669" i="39" s="1"/>
  <c r="L670" i="39" s="1"/>
  <c r="M671" i="39" s="1"/>
  <c r="N672" i="39" s="1"/>
  <c r="C662" i="39"/>
  <c r="D663" i="39" s="1"/>
  <c r="E664" i="39" s="1"/>
  <c r="F665" i="39" s="1"/>
  <c r="G666" i="39" s="1"/>
  <c r="H667" i="39" s="1"/>
  <c r="I668" i="39" s="1"/>
  <c r="J669" i="39" s="1"/>
  <c r="K670" i="39" s="1"/>
  <c r="L671" i="39" s="1"/>
  <c r="M672" i="39" s="1"/>
  <c r="N673" i="39" s="1"/>
  <c r="C663" i="39"/>
  <c r="D664" i="39" s="1"/>
  <c r="E665" i="39" s="1"/>
  <c r="F666" i="39" s="1"/>
  <c r="G667" i="39" s="1"/>
  <c r="H668" i="39" s="1"/>
  <c r="I669" i="39" s="1"/>
  <c r="J670" i="39" s="1"/>
  <c r="K671" i="39" s="1"/>
  <c r="L672" i="39" s="1"/>
  <c r="M673" i="39" s="1"/>
  <c r="N674" i="39" s="1"/>
  <c r="C664" i="39"/>
  <c r="D665" i="39" s="1"/>
  <c r="E666" i="39" s="1"/>
  <c r="F667" i="39" s="1"/>
  <c r="G668" i="39" s="1"/>
  <c r="H669" i="39" s="1"/>
  <c r="I670" i="39" s="1"/>
  <c r="J671" i="39" s="1"/>
  <c r="K672" i="39" s="1"/>
  <c r="L673" i="39" s="1"/>
  <c r="M674" i="39" s="1"/>
  <c r="N675" i="39" s="1"/>
  <c r="C665" i="39"/>
  <c r="D666" i="39" s="1"/>
  <c r="E667" i="39" s="1"/>
  <c r="F668" i="39" s="1"/>
  <c r="G669" i="39" s="1"/>
  <c r="H670" i="39" s="1"/>
  <c r="I671" i="39" s="1"/>
  <c r="J672" i="39" s="1"/>
  <c r="K673" i="39" s="1"/>
  <c r="L674" i="39" s="1"/>
  <c r="M675" i="39" s="1"/>
  <c r="N676" i="39" s="1"/>
  <c r="C666" i="39"/>
  <c r="D667" i="39" s="1"/>
  <c r="E668" i="39" s="1"/>
  <c r="F669" i="39" s="1"/>
  <c r="G670" i="39" s="1"/>
  <c r="H671" i="39" s="1"/>
  <c r="I672" i="39" s="1"/>
  <c r="J673" i="39" s="1"/>
  <c r="K674" i="39" s="1"/>
  <c r="L675" i="39" s="1"/>
  <c r="M676" i="39" s="1"/>
  <c r="N677" i="39" s="1"/>
  <c r="C667" i="39"/>
  <c r="D668" i="39" s="1"/>
  <c r="E669" i="39" s="1"/>
  <c r="F670" i="39" s="1"/>
  <c r="G671" i="39" s="1"/>
  <c r="H672" i="39" s="1"/>
  <c r="I673" i="39" s="1"/>
  <c r="J674" i="39" s="1"/>
  <c r="K675" i="39" s="1"/>
  <c r="L676" i="39" s="1"/>
  <c r="M677" i="39" s="1"/>
  <c r="N678" i="39" s="1"/>
  <c r="C668" i="39"/>
  <c r="D669" i="39" s="1"/>
  <c r="E670" i="39" s="1"/>
  <c r="F671" i="39" s="1"/>
  <c r="G672" i="39" s="1"/>
  <c r="H673" i="39" s="1"/>
  <c r="I674" i="39" s="1"/>
  <c r="J675" i="39" s="1"/>
  <c r="K676" i="39" s="1"/>
  <c r="L677" i="39" s="1"/>
  <c r="M678" i="39" s="1"/>
  <c r="N679" i="39" s="1"/>
  <c r="C669" i="39"/>
  <c r="D670" i="39" s="1"/>
  <c r="E671" i="39" s="1"/>
  <c r="F672" i="39" s="1"/>
  <c r="G673" i="39" s="1"/>
  <c r="H674" i="39" s="1"/>
  <c r="I675" i="39" s="1"/>
  <c r="J676" i="39" s="1"/>
  <c r="K677" i="39" s="1"/>
  <c r="L678" i="39" s="1"/>
  <c r="M679" i="39" s="1"/>
  <c r="N680" i="39" s="1"/>
  <c r="C670" i="39"/>
  <c r="D671" i="39" s="1"/>
  <c r="E672" i="39" s="1"/>
  <c r="F673" i="39" s="1"/>
  <c r="G674" i="39" s="1"/>
  <c r="H675" i="39" s="1"/>
  <c r="I676" i="39" s="1"/>
  <c r="J677" i="39" s="1"/>
  <c r="K678" i="39" s="1"/>
  <c r="L679" i="39" s="1"/>
  <c r="M680" i="39" s="1"/>
  <c r="N681" i="39" s="1"/>
  <c r="C671" i="39"/>
  <c r="D672" i="39" s="1"/>
  <c r="E673" i="39" s="1"/>
  <c r="F674" i="39" s="1"/>
  <c r="G675" i="39" s="1"/>
  <c r="H676" i="39" s="1"/>
  <c r="I677" i="39" s="1"/>
  <c r="J678" i="39" s="1"/>
  <c r="K679" i="39" s="1"/>
  <c r="L680" i="39" s="1"/>
  <c r="M681" i="39" s="1"/>
  <c r="N682" i="39" s="1"/>
  <c r="C672" i="39"/>
  <c r="D673" i="39" s="1"/>
  <c r="E674" i="39" s="1"/>
  <c r="F675" i="39" s="1"/>
  <c r="G676" i="39" s="1"/>
  <c r="H677" i="39" s="1"/>
  <c r="I678" i="39" s="1"/>
  <c r="J679" i="39" s="1"/>
  <c r="K680" i="39" s="1"/>
  <c r="L681" i="39" s="1"/>
  <c r="M682" i="39" s="1"/>
  <c r="N683" i="39" s="1"/>
  <c r="C673" i="39"/>
  <c r="D674" i="39" s="1"/>
  <c r="E675" i="39" s="1"/>
  <c r="F676" i="39" s="1"/>
  <c r="G677" i="39" s="1"/>
  <c r="H678" i="39" s="1"/>
  <c r="I679" i="39" s="1"/>
  <c r="J680" i="39" s="1"/>
  <c r="K681" i="39" s="1"/>
  <c r="L682" i="39" s="1"/>
  <c r="M683" i="39" s="1"/>
  <c r="N684" i="39" s="1"/>
  <c r="C674" i="39"/>
  <c r="D675" i="39" s="1"/>
  <c r="E676" i="39" s="1"/>
  <c r="F677" i="39" s="1"/>
  <c r="G678" i="39" s="1"/>
  <c r="H679" i="39" s="1"/>
  <c r="I680" i="39" s="1"/>
  <c r="J681" i="39" s="1"/>
  <c r="K682" i="39" s="1"/>
  <c r="L683" i="39" s="1"/>
  <c r="M684" i="39" s="1"/>
  <c r="N685" i="39" s="1"/>
  <c r="C675" i="39"/>
  <c r="D676" i="39" s="1"/>
  <c r="E677" i="39" s="1"/>
  <c r="F678" i="39" s="1"/>
  <c r="G679" i="39" s="1"/>
  <c r="H680" i="39" s="1"/>
  <c r="I681" i="39" s="1"/>
  <c r="J682" i="39" s="1"/>
  <c r="K683" i="39" s="1"/>
  <c r="L684" i="39" s="1"/>
  <c r="M685" i="39" s="1"/>
  <c r="N686" i="39" s="1"/>
  <c r="C676" i="39"/>
  <c r="D677" i="39" s="1"/>
  <c r="E678" i="39" s="1"/>
  <c r="F679" i="39" s="1"/>
  <c r="G680" i="39" s="1"/>
  <c r="H681" i="39" s="1"/>
  <c r="I682" i="39" s="1"/>
  <c r="J683" i="39" s="1"/>
  <c r="K684" i="39" s="1"/>
  <c r="L685" i="39" s="1"/>
  <c r="M686" i="39" s="1"/>
  <c r="N687" i="39" s="1"/>
  <c r="C677" i="39"/>
  <c r="D678" i="39" s="1"/>
  <c r="E679" i="39" s="1"/>
  <c r="F680" i="39" s="1"/>
  <c r="G681" i="39" s="1"/>
  <c r="H682" i="39" s="1"/>
  <c r="I683" i="39" s="1"/>
  <c r="J684" i="39" s="1"/>
  <c r="K685" i="39" s="1"/>
  <c r="L686" i="39" s="1"/>
  <c r="M687" i="39" s="1"/>
  <c r="N688" i="39" s="1"/>
  <c r="C678" i="39"/>
  <c r="D679" i="39" s="1"/>
  <c r="E680" i="39" s="1"/>
  <c r="F681" i="39" s="1"/>
  <c r="G682" i="39" s="1"/>
  <c r="H683" i="39" s="1"/>
  <c r="I684" i="39" s="1"/>
  <c r="J685" i="39" s="1"/>
  <c r="K686" i="39" s="1"/>
  <c r="L687" i="39" s="1"/>
  <c r="M688" i="39" s="1"/>
  <c r="N689" i="39" s="1"/>
  <c r="C679" i="39"/>
  <c r="D680" i="39" s="1"/>
  <c r="E681" i="39" s="1"/>
  <c r="F682" i="39" s="1"/>
  <c r="G683" i="39" s="1"/>
  <c r="H684" i="39" s="1"/>
  <c r="I685" i="39" s="1"/>
  <c r="J686" i="39" s="1"/>
  <c r="K687" i="39" s="1"/>
  <c r="L688" i="39" s="1"/>
  <c r="M689" i="39" s="1"/>
  <c r="N690" i="39" s="1"/>
  <c r="C680" i="39"/>
  <c r="D681" i="39" s="1"/>
  <c r="E682" i="39" s="1"/>
  <c r="F683" i="39" s="1"/>
  <c r="G684" i="39" s="1"/>
  <c r="H685" i="39" s="1"/>
  <c r="I686" i="39" s="1"/>
  <c r="J687" i="39" s="1"/>
  <c r="K688" i="39" s="1"/>
  <c r="L689" i="39" s="1"/>
  <c r="M690" i="39" s="1"/>
  <c r="N691" i="39" s="1"/>
  <c r="C681" i="39"/>
  <c r="D682" i="39" s="1"/>
  <c r="E683" i="39" s="1"/>
  <c r="F684" i="39" s="1"/>
  <c r="G685" i="39" s="1"/>
  <c r="H686" i="39" s="1"/>
  <c r="I687" i="39" s="1"/>
  <c r="J688" i="39" s="1"/>
  <c r="K689" i="39" s="1"/>
  <c r="L690" i="39" s="1"/>
  <c r="M691" i="39" s="1"/>
  <c r="N692" i="39" s="1"/>
  <c r="C682" i="39"/>
  <c r="D683" i="39" s="1"/>
  <c r="E684" i="39" s="1"/>
  <c r="F685" i="39" s="1"/>
  <c r="G686" i="39" s="1"/>
  <c r="H687" i="39" s="1"/>
  <c r="I688" i="39" s="1"/>
  <c r="J689" i="39" s="1"/>
  <c r="K690" i="39" s="1"/>
  <c r="L691" i="39" s="1"/>
  <c r="M692" i="39" s="1"/>
  <c r="N693" i="39" s="1"/>
  <c r="C683" i="39"/>
  <c r="D684" i="39" s="1"/>
  <c r="E685" i="39" s="1"/>
  <c r="F686" i="39" s="1"/>
  <c r="G687" i="39" s="1"/>
  <c r="H688" i="39" s="1"/>
  <c r="I689" i="39" s="1"/>
  <c r="J690" i="39" s="1"/>
  <c r="K691" i="39" s="1"/>
  <c r="L692" i="39" s="1"/>
  <c r="M693" i="39" s="1"/>
  <c r="N694" i="39" s="1"/>
  <c r="C684" i="39"/>
  <c r="D685" i="39" s="1"/>
  <c r="E686" i="39" s="1"/>
  <c r="F687" i="39" s="1"/>
  <c r="G688" i="39" s="1"/>
  <c r="H689" i="39" s="1"/>
  <c r="I690" i="39" s="1"/>
  <c r="J691" i="39" s="1"/>
  <c r="K692" i="39" s="1"/>
  <c r="L693" i="39" s="1"/>
  <c r="M694" i="39" s="1"/>
  <c r="N695" i="39" s="1"/>
  <c r="C685" i="39"/>
  <c r="D686" i="39" s="1"/>
  <c r="E687" i="39" s="1"/>
  <c r="F688" i="39" s="1"/>
  <c r="G689" i="39" s="1"/>
  <c r="H690" i="39" s="1"/>
  <c r="I691" i="39" s="1"/>
  <c r="J692" i="39" s="1"/>
  <c r="K693" i="39" s="1"/>
  <c r="L694" i="39" s="1"/>
  <c r="M695" i="39" s="1"/>
  <c r="N696" i="39" s="1"/>
  <c r="C686" i="39"/>
  <c r="D687" i="39" s="1"/>
  <c r="E688" i="39" s="1"/>
  <c r="F689" i="39" s="1"/>
  <c r="G690" i="39" s="1"/>
  <c r="H691" i="39" s="1"/>
  <c r="I692" i="39" s="1"/>
  <c r="J693" i="39" s="1"/>
  <c r="K694" i="39" s="1"/>
  <c r="L695" i="39" s="1"/>
  <c r="M696" i="39" s="1"/>
  <c r="N697" i="39" s="1"/>
  <c r="C687" i="39"/>
  <c r="D688" i="39" s="1"/>
  <c r="E689" i="39" s="1"/>
  <c r="F690" i="39" s="1"/>
  <c r="G691" i="39" s="1"/>
  <c r="H692" i="39" s="1"/>
  <c r="I693" i="39" s="1"/>
  <c r="J694" i="39" s="1"/>
  <c r="K695" i="39" s="1"/>
  <c r="L696" i="39" s="1"/>
  <c r="M697" i="39" s="1"/>
  <c r="N698" i="39" s="1"/>
  <c r="C688" i="39"/>
  <c r="D689" i="39" s="1"/>
  <c r="E690" i="39" s="1"/>
  <c r="F691" i="39" s="1"/>
  <c r="G692" i="39" s="1"/>
  <c r="H693" i="39" s="1"/>
  <c r="I694" i="39" s="1"/>
  <c r="J695" i="39" s="1"/>
  <c r="K696" i="39" s="1"/>
  <c r="L697" i="39" s="1"/>
  <c r="M698" i="39" s="1"/>
  <c r="N699" i="39" s="1"/>
  <c r="C689" i="39"/>
  <c r="D690" i="39" s="1"/>
  <c r="E691" i="39" s="1"/>
  <c r="F692" i="39" s="1"/>
  <c r="G693" i="39" s="1"/>
  <c r="H694" i="39" s="1"/>
  <c r="I695" i="39" s="1"/>
  <c r="J696" i="39" s="1"/>
  <c r="K697" i="39" s="1"/>
  <c r="L698" i="39" s="1"/>
  <c r="M699" i="39" s="1"/>
  <c r="N700" i="39" s="1"/>
  <c r="C690" i="39"/>
  <c r="D691" i="39" s="1"/>
  <c r="E692" i="39" s="1"/>
  <c r="F693" i="39" s="1"/>
  <c r="G694" i="39" s="1"/>
  <c r="H695" i="39" s="1"/>
  <c r="I696" i="39" s="1"/>
  <c r="J697" i="39" s="1"/>
  <c r="K698" i="39" s="1"/>
  <c r="L699" i="39" s="1"/>
  <c r="M700" i="39" s="1"/>
  <c r="N701" i="39" s="1"/>
  <c r="C691" i="39"/>
  <c r="D692" i="39" s="1"/>
  <c r="E693" i="39" s="1"/>
  <c r="F694" i="39" s="1"/>
  <c r="G695" i="39" s="1"/>
  <c r="H696" i="39" s="1"/>
  <c r="I697" i="39" s="1"/>
  <c r="J698" i="39" s="1"/>
  <c r="K699" i="39" s="1"/>
  <c r="L700" i="39" s="1"/>
  <c r="M701" i="39" s="1"/>
  <c r="N702" i="39" s="1"/>
  <c r="C692" i="39"/>
  <c r="D693" i="39" s="1"/>
  <c r="E694" i="39" s="1"/>
  <c r="F695" i="39" s="1"/>
  <c r="G696" i="39" s="1"/>
  <c r="H697" i="39" s="1"/>
  <c r="I698" i="39" s="1"/>
  <c r="J699" i="39" s="1"/>
  <c r="K700" i="39" s="1"/>
  <c r="L701" i="39" s="1"/>
  <c r="M702" i="39" s="1"/>
  <c r="N703" i="39" s="1"/>
  <c r="C693" i="39"/>
  <c r="D694" i="39" s="1"/>
  <c r="E695" i="39" s="1"/>
  <c r="F696" i="39" s="1"/>
  <c r="G697" i="39" s="1"/>
  <c r="H698" i="39" s="1"/>
  <c r="I699" i="39" s="1"/>
  <c r="J700" i="39" s="1"/>
  <c r="K701" i="39" s="1"/>
  <c r="L702" i="39" s="1"/>
  <c r="M703" i="39" s="1"/>
  <c r="N704" i="39" s="1"/>
  <c r="C694" i="39"/>
  <c r="D695" i="39" s="1"/>
  <c r="E696" i="39" s="1"/>
  <c r="F697" i="39" s="1"/>
  <c r="G698" i="39" s="1"/>
  <c r="H699" i="39" s="1"/>
  <c r="I700" i="39" s="1"/>
  <c r="J701" i="39" s="1"/>
  <c r="K702" i="39" s="1"/>
  <c r="L703" i="39" s="1"/>
  <c r="M704" i="39" s="1"/>
  <c r="N705" i="39" s="1"/>
  <c r="C695" i="39"/>
  <c r="D696" i="39" s="1"/>
  <c r="E697" i="39" s="1"/>
  <c r="F698" i="39" s="1"/>
  <c r="G699" i="39" s="1"/>
  <c r="H700" i="39" s="1"/>
  <c r="I701" i="39" s="1"/>
  <c r="J702" i="39" s="1"/>
  <c r="K703" i="39" s="1"/>
  <c r="L704" i="39" s="1"/>
  <c r="M705" i="39" s="1"/>
  <c r="N706" i="39" s="1"/>
  <c r="C696" i="39"/>
  <c r="D697" i="39" s="1"/>
  <c r="E698" i="39" s="1"/>
  <c r="F699" i="39" s="1"/>
  <c r="G700" i="39" s="1"/>
  <c r="H701" i="39" s="1"/>
  <c r="I702" i="39" s="1"/>
  <c r="J703" i="39" s="1"/>
  <c r="K704" i="39" s="1"/>
  <c r="L705" i="39" s="1"/>
  <c r="M706" i="39" s="1"/>
  <c r="N707" i="39" s="1"/>
  <c r="C697" i="39"/>
  <c r="D698" i="39" s="1"/>
  <c r="E699" i="39" s="1"/>
  <c r="F700" i="39" s="1"/>
  <c r="G701" i="39" s="1"/>
  <c r="H702" i="39" s="1"/>
  <c r="I703" i="39" s="1"/>
  <c r="J704" i="39" s="1"/>
  <c r="K705" i="39" s="1"/>
  <c r="L706" i="39" s="1"/>
  <c r="M707" i="39" s="1"/>
  <c r="N708" i="39" s="1"/>
  <c r="C698" i="39"/>
  <c r="D699" i="39" s="1"/>
  <c r="E700" i="39" s="1"/>
  <c r="F701" i="39" s="1"/>
  <c r="G702" i="39" s="1"/>
  <c r="H703" i="39" s="1"/>
  <c r="I704" i="39" s="1"/>
  <c r="J705" i="39" s="1"/>
  <c r="K706" i="39" s="1"/>
  <c r="L707" i="39" s="1"/>
  <c r="M708" i="39" s="1"/>
  <c r="N709" i="39" s="1"/>
  <c r="C699" i="39"/>
  <c r="D700" i="39" s="1"/>
  <c r="E701" i="39" s="1"/>
  <c r="F702" i="39" s="1"/>
  <c r="G703" i="39" s="1"/>
  <c r="H704" i="39" s="1"/>
  <c r="I705" i="39" s="1"/>
  <c r="J706" i="39" s="1"/>
  <c r="K707" i="39" s="1"/>
  <c r="L708" i="39" s="1"/>
  <c r="M709" i="39" s="1"/>
  <c r="N710" i="39" s="1"/>
  <c r="C700" i="39"/>
  <c r="D701" i="39" s="1"/>
  <c r="E702" i="39" s="1"/>
  <c r="F703" i="39" s="1"/>
  <c r="G704" i="39" s="1"/>
  <c r="H705" i="39" s="1"/>
  <c r="I706" i="39" s="1"/>
  <c r="J707" i="39" s="1"/>
  <c r="K708" i="39" s="1"/>
  <c r="L709" i="39" s="1"/>
  <c r="M710" i="39" s="1"/>
  <c r="N711" i="39" s="1"/>
  <c r="C701" i="39"/>
  <c r="D702" i="39" s="1"/>
  <c r="E703" i="39" s="1"/>
  <c r="F704" i="39" s="1"/>
  <c r="G705" i="39" s="1"/>
  <c r="H706" i="39" s="1"/>
  <c r="I707" i="39" s="1"/>
  <c r="J708" i="39" s="1"/>
  <c r="K709" i="39" s="1"/>
  <c r="L710" i="39" s="1"/>
  <c r="M711" i="39" s="1"/>
  <c r="N712" i="39" s="1"/>
  <c r="C702" i="39"/>
  <c r="D703" i="39" s="1"/>
  <c r="E704" i="39" s="1"/>
  <c r="F705" i="39" s="1"/>
  <c r="G706" i="39" s="1"/>
  <c r="H707" i="39" s="1"/>
  <c r="I708" i="39" s="1"/>
  <c r="J709" i="39" s="1"/>
  <c r="K710" i="39" s="1"/>
  <c r="L711" i="39" s="1"/>
  <c r="M712" i="39" s="1"/>
  <c r="N713" i="39" s="1"/>
  <c r="C703" i="39"/>
  <c r="D704" i="39" s="1"/>
  <c r="E705" i="39" s="1"/>
  <c r="F706" i="39" s="1"/>
  <c r="G707" i="39" s="1"/>
  <c r="H708" i="39" s="1"/>
  <c r="I709" i="39" s="1"/>
  <c r="J710" i="39" s="1"/>
  <c r="K711" i="39" s="1"/>
  <c r="L712" i="39" s="1"/>
  <c r="M713" i="39" s="1"/>
  <c r="N714" i="39" s="1"/>
  <c r="C704" i="39"/>
  <c r="D705" i="39" s="1"/>
  <c r="E706" i="39" s="1"/>
  <c r="F707" i="39" s="1"/>
  <c r="G708" i="39" s="1"/>
  <c r="H709" i="39" s="1"/>
  <c r="I710" i="39" s="1"/>
  <c r="J711" i="39" s="1"/>
  <c r="K712" i="39" s="1"/>
  <c r="L713" i="39" s="1"/>
  <c r="M714" i="39" s="1"/>
  <c r="N715" i="39" s="1"/>
  <c r="C705" i="39"/>
  <c r="D706" i="39" s="1"/>
  <c r="E707" i="39" s="1"/>
  <c r="F708" i="39" s="1"/>
  <c r="G709" i="39" s="1"/>
  <c r="H710" i="39" s="1"/>
  <c r="I711" i="39" s="1"/>
  <c r="J712" i="39" s="1"/>
  <c r="K713" i="39" s="1"/>
  <c r="L714" i="39" s="1"/>
  <c r="M715" i="39" s="1"/>
  <c r="N716" i="39" s="1"/>
  <c r="C706" i="39"/>
  <c r="D707" i="39" s="1"/>
  <c r="E708" i="39" s="1"/>
  <c r="F709" i="39" s="1"/>
  <c r="G710" i="39" s="1"/>
  <c r="H711" i="39" s="1"/>
  <c r="I712" i="39" s="1"/>
  <c r="J713" i="39" s="1"/>
  <c r="K714" i="39" s="1"/>
  <c r="L715" i="39" s="1"/>
  <c r="M716" i="39" s="1"/>
  <c r="N717" i="39" s="1"/>
  <c r="C707" i="39"/>
  <c r="D708" i="39" s="1"/>
  <c r="E709" i="39" s="1"/>
  <c r="F710" i="39" s="1"/>
  <c r="G711" i="39" s="1"/>
  <c r="H712" i="39" s="1"/>
  <c r="I713" i="39" s="1"/>
  <c r="J714" i="39" s="1"/>
  <c r="K715" i="39" s="1"/>
  <c r="L716" i="39" s="1"/>
  <c r="M717" i="39" s="1"/>
  <c r="N718" i="39" s="1"/>
  <c r="C708" i="39"/>
  <c r="D709" i="39" s="1"/>
  <c r="E710" i="39" s="1"/>
  <c r="F711" i="39" s="1"/>
  <c r="G712" i="39" s="1"/>
  <c r="H713" i="39" s="1"/>
  <c r="I714" i="39" s="1"/>
  <c r="J715" i="39" s="1"/>
  <c r="K716" i="39" s="1"/>
  <c r="L717" i="39" s="1"/>
  <c r="M718" i="39" s="1"/>
  <c r="N719" i="39" s="1"/>
  <c r="C709" i="39"/>
  <c r="D710" i="39" s="1"/>
  <c r="E711" i="39" s="1"/>
  <c r="F712" i="39" s="1"/>
  <c r="G713" i="39" s="1"/>
  <c r="H714" i="39" s="1"/>
  <c r="I715" i="39" s="1"/>
  <c r="J716" i="39" s="1"/>
  <c r="K717" i="39" s="1"/>
  <c r="L718" i="39" s="1"/>
  <c r="M719" i="39" s="1"/>
  <c r="N720" i="39" s="1"/>
  <c r="C710" i="39"/>
  <c r="D711" i="39" s="1"/>
  <c r="E712" i="39" s="1"/>
  <c r="F713" i="39" s="1"/>
  <c r="G714" i="39" s="1"/>
  <c r="H715" i="39" s="1"/>
  <c r="I716" i="39" s="1"/>
  <c r="J717" i="39" s="1"/>
  <c r="K718" i="39" s="1"/>
  <c r="L719" i="39" s="1"/>
  <c r="M720" i="39" s="1"/>
  <c r="N721" i="39" s="1"/>
  <c r="C711" i="39"/>
  <c r="D712" i="39" s="1"/>
  <c r="E713" i="39" s="1"/>
  <c r="F714" i="39" s="1"/>
  <c r="G715" i="39" s="1"/>
  <c r="H716" i="39" s="1"/>
  <c r="I717" i="39" s="1"/>
  <c r="J718" i="39" s="1"/>
  <c r="K719" i="39" s="1"/>
  <c r="L720" i="39" s="1"/>
  <c r="M721" i="39" s="1"/>
  <c r="N722" i="39" s="1"/>
  <c r="C712" i="39"/>
  <c r="D713" i="39" s="1"/>
  <c r="E714" i="39" s="1"/>
  <c r="F715" i="39" s="1"/>
  <c r="G716" i="39" s="1"/>
  <c r="H717" i="39" s="1"/>
  <c r="I718" i="39" s="1"/>
  <c r="J719" i="39" s="1"/>
  <c r="K720" i="39" s="1"/>
  <c r="L721" i="39" s="1"/>
  <c r="M722" i="39" s="1"/>
  <c r="N723" i="39" s="1"/>
  <c r="C713" i="39"/>
  <c r="D714" i="39" s="1"/>
  <c r="E715" i="39" s="1"/>
  <c r="F716" i="39" s="1"/>
  <c r="G717" i="39" s="1"/>
  <c r="H718" i="39" s="1"/>
  <c r="I719" i="39" s="1"/>
  <c r="J720" i="39" s="1"/>
  <c r="K721" i="39" s="1"/>
  <c r="L722" i="39" s="1"/>
  <c r="M723" i="39" s="1"/>
  <c r="N724" i="39" s="1"/>
  <c r="C714" i="39"/>
  <c r="D715" i="39" s="1"/>
  <c r="E716" i="39" s="1"/>
  <c r="F717" i="39" s="1"/>
  <c r="G718" i="39" s="1"/>
  <c r="H719" i="39" s="1"/>
  <c r="I720" i="39" s="1"/>
  <c r="J721" i="39" s="1"/>
  <c r="K722" i="39" s="1"/>
  <c r="L723" i="39" s="1"/>
  <c r="M724" i="39" s="1"/>
  <c r="N725" i="39" s="1"/>
  <c r="C715" i="39"/>
  <c r="D716" i="39" s="1"/>
  <c r="E717" i="39" s="1"/>
  <c r="F718" i="39" s="1"/>
  <c r="G719" i="39" s="1"/>
  <c r="H720" i="39" s="1"/>
  <c r="I721" i="39" s="1"/>
  <c r="J722" i="39" s="1"/>
  <c r="K723" i="39" s="1"/>
  <c r="L724" i="39" s="1"/>
  <c r="M725" i="39" s="1"/>
  <c r="N726" i="39" s="1"/>
  <c r="C716" i="39"/>
  <c r="D717" i="39" s="1"/>
  <c r="E718" i="39" s="1"/>
  <c r="F719" i="39" s="1"/>
  <c r="G720" i="39" s="1"/>
  <c r="H721" i="39" s="1"/>
  <c r="I722" i="39" s="1"/>
  <c r="J723" i="39" s="1"/>
  <c r="K724" i="39" s="1"/>
  <c r="L725" i="39" s="1"/>
  <c r="M726" i="39" s="1"/>
  <c r="N727" i="39" s="1"/>
  <c r="C717" i="39"/>
  <c r="D718" i="39" s="1"/>
  <c r="E719" i="39" s="1"/>
  <c r="F720" i="39" s="1"/>
  <c r="G721" i="39" s="1"/>
  <c r="H722" i="39" s="1"/>
  <c r="I723" i="39" s="1"/>
  <c r="J724" i="39" s="1"/>
  <c r="K725" i="39" s="1"/>
  <c r="L726" i="39" s="1"/>
  <c r="M727" i="39" s="1"/>
  <c r="N728" i="39" s="1"/>
  <c r="C718" i="39"/>
  <c r="D719" i="39" s="1"/>
  <c r="E720" i="39" s="1"/>
  <c r="F721" i="39" s="1"/>
  <c r="G722" i="39" s="1"/>
  <c r="H723" i="39" s="1"/>
  <c r="I724" i="39" s="1"/>
  <c r="J725" i="39" s="1"/>
  <c r="K726" i="39" s="1"/>
  <c r="L727" i="39" s="1"/>
  <c r="M728" i="39" s="1"/>
  <c r="N729" i="39" s="1"/>
  <c r="C719" i="39"/>
  <c r="D720" i="39" s="1"/>
  <c r="E721" i="39" s="1"/>
  <c r="F722" i="39" s="1"/>
  <c r="G723" i="39" s="1"/>
  <c r="H724" i="39" s="1"/>
  <c r="I725" i="39" s="1"/>
  <c r="J726" i="39" s="1"/>
  <c r="K727" i="39" s="1"/>
  <c r="L728" i="39" s="1"/>
  <c r="M729" i="39" s="1"/>
  <c r="N730" i="39" s="1"/>
  <c r="C720" i="39"/>
  <c r="D721" i="39" s="1"/>
  <c r="E722" i="39" s="1"/>
  <c r="F723" i="39" s="1"/>
  <c r="G724" i="39" s="1"/>
  <c r="H725" i="39" s="1"/>
  <c r="I726" i="39" s="1"/>
  <c r="J727" i="39" s="1"/>
  <c r="K728" i="39" s="1"/>
  <c r="L729" i="39" s="1"/>
  <c r="M730" i="39" s="1"/>
  <c r="N731" i="39" s="1"/>
  <c r="C721" i="39"/>
  <c r="D722" i="39" s="1"/>
  <c r="E723" i="39" s="1"/>
  <c r="F724" i="39" s="1"/>
  <c r="G725" i="39" s="1"/>
  <c r="H726" i="39" s="1"/>
  <c r="I727" i="39" s="1"/>
  <c r="J728" i="39" s="1"/>
  <c r="K729" i="39" s="1"/>
  <c r="L730" i="39" s="1"/>
  <c r="M731" i="39" s="1"/>
  <c r="N732" i="39" s="1"/>
  <c r="C722" i="39"/>
  <c r="D723" i="39" s="1"/>
  <c r="E724" i="39" s="1"/>
  <c r="F725" i="39" s="1"/>
  <c r="G726" i="39" s="1"/>
  <c r="H727" i="39" s="1"/>
  <c r="I728" i="39" s="1"/>
  <c r="J729" i="39" s="1"/>
  <c r="K730" i="39" s="1"/>
  <c r="L731" i="39" s="1"/>
  <c r="M732" i="39" s="1"/>
  <c r="N733" i="39" s="1"/>
  <c r="C723" i="39"/>
  <c r="D724" i="39" s="1"/>
  <c r="E725" i="39" s="1"/>
  <c r="F726" i="39" s="1"/>
  <c r="G727" i="39" s="1"/>
  <c r="H728" i="39" s="1"/>
  <c r="I729" i="39" s="1"/>
  <c r="J730" i="39" s="1"/>
  <c r="K731" i="39" s="1"/>
  <c r="L732" i="39" s="1"/>
  <c r="M733" i="39" s="1"/>
  <c r="N734" i="39" s="1"/>
  <c r="C724" i="39"/>
  <c r="D725" i="39" s="1"/>
  <c r="E726" i="39" s="1"/>
  <c r="F727" i="39" s="1"/>
  <c r="G728" i="39" s="1"/>
  <c r="H729" i="39" s="1"/>
  <c r="I730" i="39" s="1"/>
  <c r="J731" i="39" s="1"/>
  <c r="K732" i="39" s="1"/>
  <c r="L733" i="39" s="1"/>
  <c r="M734" i="39" s="1"/>
  <c r="N735" i="39" s="1"/>
  <c r="C725" i="39"/>
  <c r="D726" i="39" s="1"/>
  <c r="E727" i="39" s="1"/>
  <c r="F728" i="39" s="1"/>
  <c r="G729" i="39" s="1"/>
  <c r="H730" i="39" s="1"/>
  <c r="I731" i="39" s="1"/>
  <c r="J732" i="39" s="1"/>
  <c r="K733" i="39" s="1"/>
  <c r="L734" i="39" s="1"/>
  <c r="M735" i="39" s="1"/>
  <c r="N736" i="39" s="1"/>
  <c r="C726" i="39"/>
  <c r="D727" i="39" s="1"/>
  <c r="E728" i="39" s="1"/>
  <c r="F729" i="39" s="1"/>
  <c r="G730" i="39" s="1"/>
  <c r="H731" i="39" s="1"/>
  <c r="I732" i="39" s="1"/>
  <c r="J733" i="39" s="1"/>
  <c r="K734" i="39" s="1"/>
  <c r="L735" i="39" s="1"/>
  <c r="M736" i="39" s="1"/>
  <c r="N737" i="39" s="1"/>
  <c r="C727" i="39"/>
  <c r="D728" i="39" s="1"/>
  <c r="E729" i="39" s="1"/>
  <c r="F730" i="39" s="1"/>
  <c r="G731" i="39" s="1"/>
  <c r="H732" i="39" s="1"/>
  <c r="I733" i="39" s="1"/>
  <c r="J734" i="39" s="1"/>
  <c r="K735" i="39" s="1"/>
  <c r="L736" i="39" s="1"/>
  <c r="M737" i="39" s="1"/>
  <c r="N738" i="39" s="1"/>
  <c r="C728" i="39"/>
  <c r="D729" i="39" s="1"/>
  <c r="E730" i="39" s="1"/>
  <c r="F731" i="39" s="1"/>
  <c r="G732" i="39" s="1"/>
  <c r="H733" i="39" s="1"/>
  <c r="I734" i="39" s="1"/>
  <c r="J735" i="39" s="1"/>
  <c r="K736" i="39" s="1"/>
  <c r="L737" i="39" s="1"/>
  <c r="M738" i="39" s="1"/>
  <c r="N739" i="39" s="1"/>
  <c r="C729" i="39"/>
  <c r="D730" i="39" s="1"/>
  <c r="E731" i="39" s="1"/>
  <c r="F732" i="39" s="1"/>
  <c r="G733" i="39" s="1"/>
  <c r="H734" i="39" s="1"/>
  <c r="I735" i="39" s="1"/>
  <c r="J736" i="39" s="1"/>
  <c r="K737" i="39" s="1"/>
  <c r="L738" i="39" s="1"/>
  <c r="M739" i="39" s="1"/>
  <c r="N740" i="39" s="1"/>
  <c r="C730" i="39"/>
  <c r="D731" i="39" s="1"/>
  <c r="E732" i="39" s="1"/>
  <c r="F733" i="39" s="1"/>
  <c r="G734" i="39" s="1"/>
  <c r="H735" i="39" s="1"/>
  <c r="I736" i="39" s="1"/>
  <c r="J737" i="39" s="1"/>
  <c r="K738" i="39" s="1"/>
  <c r="L739" i="39" s="1"/>
  <c r="M740" i="39" s="1"/>
  <c r="N741" i="39" s="1"/>
  <c r="C731" i="39"/>
  <c r="D732" i="39" s="1"/>
  <c r="E733" i="39" s="1"/>
  <c r="F734" i="39" s="1"/>
  <c r="G735" i="39" s="1"/>
  <c r="H736" i="39" s="1"/>
  <c r="I737" i="39" s="1"/>
  <c r="J738" i="39" s="1"/>
  <c r="K739" i="39" s="1"/>
  <c r="L740" i="39" s="1"/>
  <c r="M741" i="39" s="1"/>
  <c r="N742" i="39" s="1"/>
  <c r="C732" i="39"/>
  <c r="D733" i="39" s="1"/>
  <c r="E734" i="39" s="1"/>
  <c r="F735" i="39" s="1"/>
  <c r="G736" i="39" s="1"/>
  <c r="H737" i="39" s="1"/>
  <c r="I738" i="39" s="1"/>
  <c r="J739" i="39" s="1"/>
  <c r="K740" i="39" s="1"/>
  <c r="L741" i="39" s="1"/>
  <c r="M742" i="39" s="1"/>
  <c r="N743" i="39" s="1"/>
  <c r="C733" i="39"/>
  <c r="D734" i="39" s="1"/>
  <c r="E735" i="39" s="1"/>
  <c r="F736" i="39" s="1"/>
  <c r="G737" i="39" s="1"/>
  <c r="H738" i="39" s="1"/>
  <c r="I739" i="39" s="1"/>
  <c r="J740" i="39" s="1"/>
  <c r="K741" i="39" s="1"/>
  <c r="L742" i="39" s="1"/>
  <c r="M743" i="39" s="1"/>
  <c r="N744" i="39" s="1"/>
  <c r="C734" i="39"/>
  <c r="D735" i="39" s="1"/>
  <c r="E736" i="39" s="1"/>
  <c r="F737" i="39" s="1"/>
  <c r="G738" i="39" s="1"/>
  <c r="H739" i="39" s="1"/>
  <c r="I740" i="39" s="1"/>
  <c r="J741" i="39" s="1"/>
  <c r="K742" i="39" s="1"/>
  <c r="L743" i="39" s="1"/>
  <c r="M744" i="39" s="1"/>
  <c r="N745" i="39" s="1"/>
  <c r="C735" i="39"/>
  <c r="D736" i="39" s="1"/>
  <c r="E737" i="39" s="1"/>
  <c r="F738" i="39" s="1"/>
  <c r="G739" i="39" s="1"/>
  <c r="H740" i="39" s="1"/>
  <c r="I741" i="39" s="1"/>
  <c r="J742" i="39" s="1"/>
  <c r="K743" i="39" s="1"/>
  <c r="L744" i="39" s="1"/>
  <c r="M745" i="39" s="1"/>
  <c r="N746" i="39" s="1"/>
  <c r="C736" i="39"/>
  <c r="D737" i="39" s="1"/>
  <c r="E738" i="39" s="1"/>
  <c r="F739" i="39" s="1"/>
  <c r="G740" i="39" s="1"/>
  <c r="H741" i="39" s="1"/>
  <c r="I742" i="39" s="1"/>
  <c r="J743" i="39" s="1"/>
  <c r="K744" i="39" s="1"/>
  <c r="L745" i="39" s="1"/>
  <c r="M746" i="39" s="1"/>
  <c r="N747" i="39" s="1"/>
  <c r="C737" i="39"/>
  <c r="D738" i="39" s="1"/>
  <c r="E739" i="39" s="1"/>
  <c r="F740" i="39" s="1"/>
  <c r="G741" i="39" s="1"/>
  <c r="H742" i="39" s="1"/>
  <c r="I743" i="39" s="1"/>
  <c r="J744" i="39" s="1"/>
  <c r="K745" i="39" s="1"/>
  <c r="L746" i="39" s="1"/>
  <c r="M747" i="39" s="1"/>
  <c r="C738" i="39"/>
  <c r="D739" i="39" s="1"/>
  <c r="E740" i="39" s="1"/>
  <c r="F741" i="39" s="1"/>
  <c r="G742" i="39" s="1"/>
  <c r="H743" i="39" s="1"/>
  <c r="I744" i="39" s="1"/>
  <c r="J745" i="39" s="1"/>
  <c r="K746" i="39" s="1"/>
  <c r="L747" i="39" s="1"/>
  <c r="C739" i="39"/>
  <c r="D740" i="39" s="1"/>
  <c r="E741" i="39" s="1"/>
  <c r="F742" i="39" s="1"/>
  <c r="G743" i="39" s="1"/>
  <c r="H744" i="39" s="1"/>
  <c r="I745" i="39" s="1"/>
  <c r="J746" i="39" s="1"/>
  <c r="K747" i="39" s="1"/>
  <c r="C740" i="39"/>
  <c r="D741" i="39" s="1"/>
  <c r="E742" i="39" s="1"/>
  <c r="F743" i="39" s="1"/>
  <c r="G744" i="39" s="1"/>
  <c r="H745" i="39" s="1"/>
  <c r="I746" i="39" s="1"/>
  <c r="J747" i="39" s="1"/>
  <c r="C741" i="39"/>
  <c r="D742" i="39" s="1"/>
  <c r="E743" i="39" s="1"/>
  <c r="F744" i="39" s="1"/>
  <c r="G745" i="39" s="1"/>
  <c r="H746" i="39" s="1"/>
  <c r="I747" i="39" s="1"/>
  <c r="C742" i="39"/>
  <c r="D743" i="39" s="1"/>
  <c r="E744" i="39" s="1"/>
  <c r="F745" i="39" s="1"/>
  <c r="G746" i="39" s="1"/>
  <c r="H747" i="39" s="1"/>
  <c r="C743" i="39"/>
  <c r="D744" i="39" s="1"/>
  <c r="E745" i="39" s="1"/>
  <c r="F746" i="39" s="1"/>
  <c r="G747" i="39" s="1"/>
  <c r="C744" i="39"/>
  <c r="D745" i="39" s="1"/>
  <c r="E746" i="39" s="1"/>
  <c r="F747" i="39" s="1"/>
  <c r="C745" i="39"/>
  <c r="D746" i="39" s="1"/>
  <c r="E747" i="39" s="1"/>
  <c r="C746" i="39"/>
  <c r="D747" i="39" s="1"/>
  <c r="C747" i="39"/>
  <c r="C3" i="39"/>
  <c r="D4" i="39" s="1"/>
  <c r="E5" i="39" s="1"/>
  <c r="F6" i="39" s="1"/>
  <c r="G7" i="39" s="1"/>
  <c r="H8" i="39" s="1"/>
  <c r="I9" i="39" s="1"/>
  <c r="J10" i="39" s="1"/>
  <c r="K11" i="39" s="1"/>
  <c r="L12" i="39" s="1"/>
  <c r="M13" i="39" s="1"/>
  <c r="N14" i="39" s="1"/>
  <c r="J12" i="31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24" i="31"/>
  <c r="H425" i="31"/>
  <c r="H426" i="31"/>
  <c r="H427" i="31"/>
  <c r="H428" i="31"/>
  <c r="H429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H474" i="31"/>
  <c r="H475" i="31"/>
  <c r="H476" i="31"/>
  <c r="H477" i="31"/>
  <c r="H478" i="31"/>
  <c r="H479" i="31"/>
  <c r="H480" i="31"/>
  <c r="H481" i="31"/>
  <c r="H482" i="31"/>
  <c r="H483" i="31"/>
  <c r="H484" i="31"/>
  <c r="H485" i="31"/>
  <c r="H486" i="31"/>
  <c r="H487" i="31"/>
  <c r="H488" i="31"/>
  <c r="H489" i="31"/>
  <c r="H490" i="31"/>
  <c r="H491" i="31"/>
  <c r="H492" i="31"/>
  <c r="H493" i="31"/>
  <c r="H494" i="31"/>
  <c r="H495" i="31"/>
  <c r="H496" i="31"/>
  <c r="H497" i="31"/>
  <c r="H498" i="31"/>
  <c r="H499" i="31"/>
  <c r="H500" i="31"/>
  <c r="H501" i="31"/>
  <c r="H502" i="31"/>
  <c r="H503" i="31"/>
  <c r="H504" i="31"/>
  <c r="H505" i="31"/>
  <c r="H506" i="31"/>
  <c r="H507" i="31"/>
  <c r="H508" i="31"/>
  <c r="H509" i="31"/>
  <c r="H510" i="31"/>
  <c r="H511" i="31"/>
  <c r="H512" i="31"/>
  <c r="H513" i="31"/>
  <c r="H514" i="31"/>
  <c r="H515" i="31"/>
  <c r="H516" i="31"/>
  <c r="H517" i="31"/>
  <c r="H518" i="31"/>
  <c r="H519" i="31"/>
  <c r="H520" i="31"/>
  <c r="H521" i="31"/>
  <c r="H522" i="31"/>
  <c r="H523" i="31"/>
  <c r="H524" i="31"/>
  <c r="H525" i="31"/>
  <c r="H526" i="31"/>
  <c r="H527" i="31"/>
  <c r="H528" i="31"/>
  <c r="H529" i="31"/>
  <c r="H530" i="31"/>
  <c r="H531" i="31"/>
  <c r="H532" i="31"/>
  <c r="H533" i="31"/>
  <c r="H534" i="31"/>
  <c r="H535" i="31"/>
  <c r="H536" i="31"/>
  <c r="H537" i="31"/>
  <c r="H538" i="31"/>
  <c r="H539" i="31"/>
  <c r="H540" i="31"/>
  <c r="H541" i="31"/>
  <c r="H542" i="31"/>
  <c r="H543" i="31"/>
  <c r="H544" i="31"/>
  <c r="H545" i="31"/>
  <c r="H546" i="31"/>
  <c r="H547" i="31"/>
  <c r="H548" i="31"/>
  <c r="H549" i="31"/>
  <c r="H550" i="31"/>
  <c r="H551" i="31"/>
  <c r="H552" i="31"/>
  <c r="H553" i="31"/>
  <c r="H554" i="31"/>
  <c r="H555" i="31"/>
  <c r="H556" i="31"/>
  <c r="H557" i="31"/>
  <c r="H558" i="31"/>
  <c r="H559" i="31"/>
  <c r="H560" i="31"/>
  <c r="H561" i="31"/>
  <c r="H562" i="31"/>
  <c r="H563" i="31"/>
  <c r="H564" i="31"/>
  <c r="H565" i="31"/>
  <c r="H566" i="31"/>
  <c r="H567" i="31"/>
  <c r="H568" i="31"/>
  <c r="H569" i="31"/>
  <c r="H570" i="31"/>
  <c r="H571" i="31"/>
  <c r="H572" i="31"/>
  <c r="H573" i="31"/>
  <c r="H574" i="31"/>
  <c r="H575" i="31"/>
  <c r="H576" i="31"/>
  <c r="H577" i="31"/>
  <c r="H578" i="31"/>
  <c r="H579" i="31"/>
  <c r="H580" i="31"/>
  <c r="H581" i="31"/>
  <c r="H582" i="31"/>
  <c r="H583" i="31"/>
  <c r="H584" i="31"/>
  <c r="H585" i="31"/>
  <c r="H586" i="31"/>
  <c r="H587" i="31"/>
  <c r="H588" i="31"/>
  <c r="H589" i="31"/>
  <c r="H590" i="31"/>
  <c r="H591" i="31"/>
  <c r="H592" i="31"/>
  <c r="H593" i="31"/>
  <c r="H594" i="31"/>
  <c r="H595" i="31"/>
  <c r="H596" i="31"/>
  <c r="H597" i="31"/>
  <c r="H598" i="31"/>
  <c r="H599" i="31"/>
  <c r="H600" i="31"/>
  <c r="H601" i="31"/>
  <c r="H602" i="31"/>
  <c r="H603" i="31"/>
  <c r="H604" i="31"/>
  <c r="H605" i="31"/>
  <c r="H606" i="31"/>
  <c r="H607" i="31"/>
  <c r="H608" i="31"/>
  <c r="H609" i="31"/>
  <c r="H610" i="31"/>
  <c r="H611" i="31"/>
  <c r="H612" i="31"/>
  <c r="H613" i="31"/>
  <c r="H614" i="31"/>
  <c r="H615" i="31"/>
  <c r="H616" i="31"/>
  <c r="H617" i="31"/>
  <c r="H618" i="31"/>
  <c r="H619" i="31"/>
  <c r="H620" i="31"/>
  <c r="H621" i="31"/>
  <c r="H622" i="31"/>
  <c r="H623" i="31"/>
  <c r="H624" i="31"/>
  <c r="H625" i="31"/>
  <c r="H626" i="31"/>
  <c r="H627" i="31"/>
  <c r="H628" i="31"/>
  <c r="H629" i="31"/>
  <c r="H630" i="31"/>
  <c r="H631" i="31"/>
  <c r="H632" i="31"/>
  <c r="H633" i="31"/>
  <c r="H634" i="31"/>
  <c r="H635" i="31"/>
  <c r="H636" i="31"/>
  <c r="H637" i="31"/>
  <c r="H638" i="31"/>
  <c r="H639" i="31"/>
  <c r="H640" i="31"/>
  <c r="H641" i="31"/>
  <c r="H642" i="31"/>
  <c r="H643" i="31"/>
  <c r="H644" i="31"/>
  <c r="H645" i="31"/>
  <c r="H646" i="31"/>
  <c r="H647" i="31"/>
  <c r="H648" i="31"/>
  <c r="H649" i="31"/>
  <c r="H650" i="31"/>
  <c r="H651" i="31"/>
  <c r="H652" i="31"/>
  <c r="H653" i="31"/>
  <c r="H654" i="31"/>
  <c r="H655" i="31"/>
  <c r="H656" i="31"/>
  <c r="H657" i="31"/>
  <c r="H658" i="31"/>
  <c r="H659" i="31"/>
  <c r="H660" i="31"/>
  <c r="H661" i="31"/>
  <c r="H662" i="31"/>
  <c r="H663" i="31"/>
  <c r="H664" i="31"/>
  <c r="H665" i="31"/>
  <c r="H666" i="31"/>
  <c r="H667" i="31"/>
  <c r="H668" i="31"/>
  <c r="H669" i="31"/>
  <c r="H670" i="31"/>
  <c r="H671" i="31"/>
  <c r="H672" i="31"/>
  <c r="H673" i="31"/>
  <c r="H674" i="31"/>
  <c r="H675" i="31"/>
  <c r="H676" i="31"/>
  <c r="H677" i="31"/>
  <c r="H678" i="31"/>
  <c r="H679" i="31"/>
  <c r="H680" i="31"/>
  <c r="H681" i="31"/>
  <c r="H682" i="31"/>
  <c r="H683" i="31"/>
  <c r="H684" i="31"/>
  <c r="H685" i="31"/>
  <c r="H686" i="31"/>
  <c r="H687" i="31"/>
  <c r="H688" i="31"/>
  <c r="H689" i="31"/>
  <c r="H690" i="31"/>
  <c r="H691" i="31"/>
  <c r="H692" i="31"/>
  <c r="H693" i="31"/>
  <c r="H694" i="31"/>
  <c r="H695" i="31"/>
  <c r="H696" i="31"/>
  <c r="H697" i="31"/>
  <c r="H698" i="31"/>
  <c r="H699" i="31"/>
  <c r="H700" i="31"/>
  <c r="H701" i="31"/>
  <c r="H702" i="31"/>
  <c r="H703" i="31"/>
  <c r="H704" i="31"/>
  <c r="H705" i="31"/>
  <c r="H706" i="31"/>
  <c r="H707" i="31"/>
  <c r="H708" i="31"/>
  <c r="H709" i="31"/>
  <c r="H710" i="31"/>
  <c r="H711" i="31"/>
  <c r="H712" i="31"/>
  <c r="H713" i="31"/>
  <c r="H714" i="31"/>
  <c r="H715" i="31"/>
  <c r="H716" i="31"/>
  <c r="H717" i="31"/>
  <c r="H718" i="31"/>
  <c r="H719" i="31"/>
  <c r="H720" i="31"/>
  <c r="H721" i="31"/>
  <c r="H722" i="31"/>
  <c r="H723" i="31"/>
  <c r="H724" i="31"/>
  <c r="H725" i="31"/>
  <c r="H726" i="31"/>
  <c r="H727" i="31"/>
  <c r="H728" i="31"/>
  <c r="H729" i="31"/>
  <c r="H730" i="31"/>
  <c r="H731" i="31"/>
  <c r="H732" i="31"/>
  <c r="H733" i="31"/>
  <c r="H734" i="31"/>
  <c r="H735" i="31"/>
  <c r="H736" i="31"/>
  <c r="H737" i="31"/>
  <c r="H738" i="31"/>
  <c r="H739" i="31"/>
  <c r="H740" i="31"/>
  <c r="H741" i="31"/>
  <c r="H742" i="31"/>
  <c r="H743" i="31"/>
  <c r="H744" i="31"/>
  <c r="H745" i="31"/>
  <c r="H746" i="31"/>
  <c r="H747" i="31"/>
  <c r="H2" i="31"/>
  <c r="J743" i="31"/>
  <c r="J742" i="31"/>
  <c r="J741" i="31"/>
  <c r="J740" i="31"/>
  <c r="J739" i="31"/>
  <c r="J738" i="31"/>
  <c r="J737" i="31"/>
  <c r="J736" i="31"/>
  <c r="J735" i="31"/>
  <c r="J734" i="31"/>
  <c r="J733" i="31"/>
  <c r="J732" i="31"/>
  <c r="J731" i="31"/>
  <c r="J730" i="31"/>
  <c r="J729" i="31"/>
  <c r="J728" i="31"/>
  <c r="J727" i="31"/>
  <c r="J726" i="31"/>
  <c r="J725" i="31"/>
  <c r="J724" i="31"/>
  <c r="J723" i="31"/>
  <c r="J722" i="31"/>
  <c r="J721" i="31"/>
  <c r="J720" i="31"/>
  <c r="J719" i="31"/>
  <c r="J718" i="31"/>
  <c r="J717" i="31"/>
  <c r="J716" i="31"/>
  <c r="J715" i="31"/>
  <c r="J714" i="31"/>
  <c r="J713" i="31"/>
  <c r="J712" i="31"/>
  <c r="J711" i="31"/>
  <c r="J710" i="31"/>
  <c r="J709" i="31"/>
  <c r="J708" i="31"/>
  <c r="J707" i="31"/>
  <c r="J706" i="31"/>
  <c r="J705" i="31"/>
  <c r="J704" i="31"/>
  <c r="J703" i="31"/>
  <c r="J702" i="31"/>
  <c r="J701" i="31"/>
  <c r="J700" i="31"/>
  <c r="J699" i="31"/>
  <c r="J698" i="31"/>
  <c r="J697" i="31"/>
  <c r="J696" i="31"/>
  <c r="J695" i="31"/>
  <c r="J694" i="31"/>
  <c r="J693" i="31"/>
  <c r="J692" i="31"/>
  <c r="J691" i="31"/>
  <c r="J690" i="31"/>
  <c r="J689" i="31"/>
  <c r="J688" i="31"/>
  <c r="J687" i="31"/>
  <c r="J686" i="31"/>
  <c r="J685" i="31"/>
  <c r="J684" i="31"/>
  <c r="J683" i="31"/>
  <c r="J682" i="31"/>
  <c r="J681" i="31"/>
  <c r="J680" i="31"/>
  <c r="J679" i="31"/>
  <c r="J678" i="31"/>
  <c r="J677" i="31"/>
  <c r="J676" i="31"/>
  <c r="J675" i="31"/>
  <c r="J674" i="31"/>
  <c r="J673" i="31"/>
  <c r="J672" i="31"/>
  <c r="J671" i="31"/>
  <c r="J670" i="31"/>
  <c r="J669" i="31"/>
  <c r="J668" i="31"/>
  <c r="J667" i="31"/>
  <c r="J666" i="31"/>
  <c r="J665" i="31"/>
  <c r="J664" i="31"/>
  <c r="J663" i="31"/>
  <c r="J662" i="31"/>
  <c r="J661" i="31"/>
  <c r="J660" i="31"/>
  <c r="J659" i="31"/>
  <c r="J658" i="31"/>
  <c r="J657" i="31"/>
  <c r="J656" i="31"/>
  <c r="J655" i="31"/>
  <c r="J654" i="31"/>
  <c r="J653" i="31"/>
  <c r="J652" i="31"/>
  <c r="J651" i="31"/>
  <c r="J650" i="31"/>
  <c r="J649" i="31"/>
  <c r="J648" i="31"/>
  <c r="J647" i="31"/>
  <c r="J646" i="31"/>
  <c r="J645" i="31"/>
  <c r="J644" i="31"/>
  <c r="J643" i="31"/>
  <c r="J642" i="31"/>
  <c r="J641" i="31"/>
  <c r="J640" i="31"/>
  <c r="J639" i="31"/>
  <c r="J638" i="31"/>
  <c r="J637" i="31"/>
  <c r="J636" i="31"/>
  <c r="J635" i="31"/>
  <c r="J634" i="31"/>
  <c r="J633" i="31"/>
  <c r="J632" i="31"/>
  <c r="J631" i="31"/>
  <c r="J630" i="31"/>
  <c r="J629" i="31"/>
  <c r="J628" i="31"/>
  <c r="J627" i="31"/>
  <c r="J626" i="31"/>
  <c r="J625" i="31"/>
  <c r="J624" i="31"/>
  <c r="J623" i="31"/>
  <c r="J622" i="31"/>
  <c r="J621" i="31"/>
  <c r="J620" i="31"/>
  <c r="J619" i="31"/>
  <c r="J618" i="31"/>
  <c r="J617" i="31"/>
  <c r="J616" i="31"/>
  <c r="J615" i="31"/>
  <c r="J614" i="31"/>
  <c r="J613" i="31"/>
  <c r="J612" i="31"/>
  <c r="J611" i="31"/>
  <c r="J610" i="31"/>
  <c r="J609" i="31"/>
  <c r="J608" i="31"/>
  <c r="J607" i="31"/>
  <c r="J606" i="31"/>
  <c r="J605" i="31"/>
  <c r="J604" i="31"/>
  <c r="J603" i="31"/>
  <c r="J602" i="31"/>
  <c r="J601" i="31"/>
  <c r="J600" i="31"/>
  <c r="J599" i="31"/>
  <c r="J598" i="31"/>
  <c r="J597" i="31"/>
  <c r="J596" i="31"/>
  <c r="J595" i="31"/>
  <c r="J594" i="31"/>
  <c r="J593" i="31"/>
  <c r="J592" i="31"/>
  <c r="J591" i="31"/>
  <c r="J590" i="31"/>
  <c r="J589" i="31"/>
  <c r="J588" i="31"/>
  <c r="J587" i="31"/>
  <c r="J586" i="31"/>
  <c r="J585" i="31"/>
  <c r="J584" i="31"/>
  <c r="J583" i="31"/>
  <c r="J582" i="31"/>
  <c r="J581" i="31"/>
  <c r="J580" i="31"/>
  <c r="J579" i="31"/>
  <c r="J578" i="31"/>
  <c r="J577" i="31"/>
  <c r="J576" i="31"/>
  <c r="J575" i="31"/>
  <c r="J574" i="31"/>
  <c r="J573" i="31"/>
  <c r="J572" i="31"/>
  <c r="J571" i="31"/>
  <c r="J570" i="31"/>
  <c r="J569" i="31"/>
  <c r="J568" i="31"/>
  <c r="J567" i="31"/>
  <c r="J566" i="31"/>
  <c r="J565" i="31"/>
  <c r="J564" i="31"/>
  <c r="J563" i="31"/>
  <c r="J562" i="31"/>
  <c r="J561" i="31"/>
  <c r="J560" i="31"/>
  <c r="J559" i="31"/>
  <c r="J558" i="31"/>
  <c r="J557" i="31"/>
  <c r="J556" i="31"/>
  <c r="J555" i="31"/>
  <c r="J554" i="31"/>
  <c r="J553" i="31"/>
  <c r="J552" i="31"/>
  <c r="J551" i="31"/>
  <c r="J550" i="31"/>
  <c r="J549" i="31"/>
  <c r="J548" i="31"/>
  <c r="J547" i="31"/>
  <c r="J546" i="31"/>
  <c r="J545" i="31"/>
  <c r="J544" i="31"/>
  <c r="J543" i="31"/>
  <c r="J542" i="31"/>
  <c r="J541" i="31"/>
  <c r="J540" i="31"/>
  <c r="J539" i="31"/>
  <c r="J538" i="31"/>
  <c r="J537" i="31"/>
  <c r="J536" i="31"/>
  <c r="J535" i="31"/>
  <c r="J534" i="31"/>
  <c r="J533" i="31"/>
  <c r="J532" i="31"/>
  <c r="J531" i="31"/>
  <c r="J530" i="31"/>
  <c r="J529" i="31"/>
  <c r="J528" i="31"/>
  <c r="J527" i="31"/>
  <c r="J526" i="31"/>
  <c r="J525" i="31"/>
  <c r="J524" i="31"/>
  <c r="J523" i="31"/>
  <c r="J522" i="31"/>
  <c r="J521" i="31"/>
  <c r="J520" i="31"/>
  <c r="J519" i="31"/>
  <c r="J518" i="31"/>
  <c r="J517" i="31"/>
  <c r="J516" i="31"/>
  <c r="J515" i="31"/>
  <c r="J514" i="31"/>
  <c r="J513" i="31"/>
  <c r="J512" i="31"/>
  <c r="J511" i="31"/>
  <c r="J510" i="31"/>
  <c r="J509" i="31"/>
  <c r="J508" i="31"/>
  <c r="J507" i="31"/>
  <c r="J506" i="31"/>
  <c r="J505" i="31"/>
  <c r="J504" i="31"/>
  <c r="J503" i="31"/>
  <c r="J502" i="31"/>
  <c r="J501" i="31"/>
  <c r="J500" i="31"/>
  <c r="J499" i="31"/>
  <c r="J498" i="31"/>
  <c r="J497" i="31"/>
  <c r="J496" i="31"/>
  <c r="J495" i="31"/>
  <c r="J494" i="31"/>
  <c r="J493" i="31"/>
  <c r="J492" i="31"/>
  <c r="J491" i="31"/>
  <c r="J490" i="31"/>
  <c r="J489" i="31"/>
  <c r="J488" i="31"/>
  <c r="J487" i="31"/>
  <c r="J486" i="31"/>
  <c r="J485" i="31"/>
  <c r="J484" i="31"/>
  <c r="J483" i="31"/>
  <c r="J482" i="31"/>
  <c r="J481" i="31"/>
  <c r="J480" i="31"/>
  <c r="J479" i="31"/>
  <c r="J478" i="31"/>
  <c r="J477" i="31"/>
  <c r="J476" i="31"/>
  <c r="J475" i="31"/>
  <c r="J474" i="31"/>
  <c r="J473" i="31"/>
  <c r="J472" i="31"/>
  <c r="J471" i="31"/>
  <c r="J470" i="31"/>
  <c r="J469" i="31"/>
  <c r="J468" i="31"/>
  <c r="J467" i="31"/>
  <c r="J466" i="31"/>
  <c r="J465" i="31"/>
  <c r="J464" i="31"/>
  <c r="J463" i="31"/>
  <c r="J462" i="31"/>
  <c r="J461" i="31"/>
  <c r="J460" i="31"/>
  <c r="J459" i="31"/>
  <c r="J458" i="31"/>
  <c r="J457" i="31"/>
  <c r="J456" i="31"/>
  <c r="J455" i="31"/>
  <c r="J454" i="31"/>
  <c r="J453" i="31"/>
  <c r="J452" i="31"/>
  <c r="J451" i="31"/>
  <c r="J450" i="31"/>
  <c r="J449" i="31"/>
  <c r="J448" i="31"/>
  <c r="J447" i="31"/>
  <c r="J446" i="31"/>
  <c r="J445" i="31"/>
  <c r="J444" i="31"/>
  <c r="J443" i="31"/>
  <c r="J442" i="31"/>
  <c r="J441" i="31"/>
  <c r="J440" i="31"/>
  <c r="J439" i="31"/>
  <c r="J438" i="31"/>
  <c r="J437" i="31"/>
  <c r="J436" i="31"/>
  <c r="J435" i="31"/>
  <c r="J434" i="31"/>
  <c r="J433" i="31"/>
  <c r="J432" i="31"/>
  <c r="J431" i="31"/>
  <c r="J430" i="31"/>
  <c r="J429" i="31"/>
  <c r="J428" i="31"/>
  <c r="J427" i="31"/>
  <c r="J426" i="31"/>
  <c r="J425" i="31"/>
  <c r="J424" i="31"/>
  <c r="J423" i="31"/>
  <c r="J422" i="31"/>
  <c r="J421" i="31"/>
  <c r="J420" i="31"/>
  <c r="J419" i="31"/>
  <c r="J418" i="31"/>
  <c r="J417" i="31"/>
  <c r="J416" i="31"/>
  <c r="J415" i="31"/>
  <c r="J414" i="31"/>
  <c r="J413" i="31"/>
  <c r="J412" i="31"/>
  <c r="J411" i="31"/>
  <c r="J410" i="31"/>
  <c r="J409" i="31"/>
  <c r="J408" i="31"/>
  <c r="J407" i="31"/>
  <c r="J406" i="31"/>
  <c r="J405" i="31"/>
  <c r="J404" i="31"/>
  <c r="J403" i="31"/>
  <c r="J402" i="31"/>
  <c r="J401" i="31"/>
  <c r="J400" i="31"/>
  <c r="J399" i="31"/>
  <c r="J398" i="31"/>
  <c r="J397" i="31"/>
  <c r="J396" i="31"/>
  <c r="J395" i="31"/>
  <c r="J394" i="31"/>
  <c r="J393" i="31"/>
  <c r="J392" i="31"/>
  <c r="J391" i="31"/>
  <c r="J390" i="31"/>
  <c r="J389" i="31"/>
  <c r="J388" i="31"/>
  <c r="J387" i="31"/>
  <c r="J386" i="31"/>
  <c r="J385" i="31"/>
  <c r="J384" i="31"/>
  <c r="J383" i="31"/>
  <c r="J382" i="31"/>
  <c r="J381" i="31"/>
  <c r="J380" i="31"/>
  <c r="J379" i="31"/>
  <c r="J378" i="31"/>
  <c r="J377" i="31"/>
  <c r="J376" i="31"/>
  <c r="J375" i="31"/>
  <c r="J374" i="31"/>
  <c r="J373" i="31"/>
  <c r="J372" i="31"/>
  <c r="J371" i="31"/>
  <c r="J370" i="31"/>
  <c r="J369" i="31"/>
  <c r="J368" i="31"/>
  <c r="J367" i="31"/>
  <c r="J366" i="31"/>
  <c r="J365" i="31"/>
  <c r="J364" i="31"/>
  <c r="J363" i="31"/>
  <c r="J362" i="31"/>
  <c r="J361" i="31"/>
  <c r="J360" i="31"/>
  <c r="J359" i="31"/>
  <c r="J358" i="31"/>
  <c r="J357" i="31"/>
  <c r="J356" i="31"/>
  <c r="J355" i="31"/>
  <c r="J354" i="31"/>
  <c r="J353" i="31"/>
  <c r="J352" i="31"/>
  <c r="J351" i="31"/>
  <c r="J350" i="31"/>
  <c r="J349" i="31"/>
  <c r="J348" i="31"/>
  <c r="J347" i="31"/>
  <c r="J346" i="31"/>
  <c r="J345" i="31"/>
  <c r="J344" i="31"/>
  <c r="J343" i="31"/>
  <c r="J342" i="31"/>
  <c r="J341" i="31"/>
  <c r="J340" i="31"/>
  <c r="J339" i="31"/>
  <c r="J338" i="31"/>
  <c r="J337" i="31"/>
  <c r="J336" i="31"/>
  <c r="J335" i="31"/>
  <c r="J334" i="31"/>
  <c r="J333" i="31"/>
  <c r="J332" i="31"/>
  <c r="J331" i="31"/>
  <c r="J330" i="31"/>
  <c r="J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J315" i="31"/>
  <c r="J314" i="31"/>
  <c r="J313" i="31"/>
  <c r="J312" i="31"/>
  <c r="J311" i="31"/>
  <c r="J310" i="31"/>
  <c r="J309" i="31"/>
  <c r="J308" i="31"/>
  <c r="J307" i="31"/>
  <c r="J306" i="31"/>
  <c r="J305" i="31"/>
  <c r="J304" i="31"/>
  <c r="J303" i="31"/>
  <c r="J302" i="31"/>
  <c r="J301" i="31"/>
  <c r="J300" i="31"/>
  <c r="J299" i="31"/>
  <c r="J298" i="31"/>
  <c r="J297" i="31"/>
  <c r="J296" i="31"/>
  <c r="J295" i="31"/>
  <c r="J294" i="31"/>
  <c r="J293" i="31"/>
  <c r="J292" i="31"/>
  <c r="J291" i="31"/>
  <c r="J290" i="31"/>
  <c r="J289" i="31"/>
  <c r="J288" i="31"/>
  <c r="J287" i="31"/>
  <c r="J286" i="31"/>
  <c r="J285" i="31"/>
  <c r="J284" i="31"/>
  <c r="J283" i="31"/>
  <c r="J282" i="31"/>
  <c r="J281" i="31"/>
  <c r="J280" i="31"/>
  <c r="J279" i="31"/>
  <c r="J278" i="31"/>
  <c r="J277" i="31"/>
  <c r="J276" i="31"/>
  <c r="J275" i="31"/>
  <c r="J274" i="31"/>
  <c r="J273" i="31"/>
  <c r="J272" i="31"/>
  <c r="J271" i="31"/>
  <c r="J270" i="31"/>
  <c r="J269" i="31"/>
  <c r="J268" i="31"/>
  <c r="J267" i="31"/>
  <c r="J266" i="31"/>
  <c r="J265" i="31"/>
  <c r="J264" i="31"/>
  <c r="J263" i="31"/>
  <c r="J262" i="31"/>
  <c r="J261" i="31"/>
  <c r="J260" i="31"/>
  <c r="J259" i="31"/>
  <c r="J258" i="31"/>
  <c r="J257" i="31"/>
  <c r="J256" i="31"/>
  <c r="J255" i="31"/>
  <c r="J254" i="31"/>
  <c r="J253" i="31"/>
  <c r="J252" i="31"/>
  <c r="J251" i="31"/>
  <c r="J250" i="31"/>
  <c r="J249" i="31"/>
  <c r="J248" i="31"/>
  <c r="J247" i="31"/>
  <c r="J246" i="31"/>
  <c r="J245" i="31"/>
  <c r="J244" i="31"/>
  <c r="J243" i="31"/>
  <c r="J242" i="31"/>
  <c r="J241" i="31"/>
  <c r="J240" i="31"/>
  <c r="J239" i="31"/>
  <c r="J238" i="31"/>
  <c r="J237" i="31"/>
  <c r="J236" i="31"/>
  <c r="J235" i="31"/>
  <c r="J234" i="31"/>
  <c r="J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I75" i="31"/>
  <c r="I74" i="31"/>
  <c r="J74" i="31" s="1"/>
  <c r="I73" i="31"/>
  <c r="J73" i="31" s="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I9" i="31"/>
  <c r="I5" i="31"/>
  <c r="Y48" i="44" l="1" a="1"/>
  <c r="Y48" i="44" s="1"/>
  <c r="R51" i="44" a="1"/>
  <c r="R51" i="44" s="1"/>
  <c r="U52" i="44" a="1"/>
  <c r="U52" i="44" s="1"/>
  <c r="Q56" i="44" a="1"/>
  <c r="Q56" i="44" s="1"/>
  <c r="Z59" i="44" a="1"/>
  <c r="Z59" i="44" s="1"/>
  <c r="AC54" i="44" a="1"/>
  <c r="AC54" i="44" s="1"/>
  <c r="Y50" i="44" a="1"/>
  <c r="Y50" i="44" s="1"/>
  <c r="T59" i="44" a="1"/>
  <c r="T59" i="44" s="1"/>
  <c r="AA47" i="44" a="1"/>
  <c r="AA47" i="44" s="1"/>
  <c r="Q49" i="44" a="1"/>
  <c r="Q49" i="44" s="1"/>
  <c r="Z52" i="44" a="1"/>
  <c r="Z52" i="44" s="1"/>
  <c r="S55" i="44" a="1"/>
  <c r="S55" i="44" s="1"/>
  <c r="V56" i="44" a="1"/>
  <c r="V56" i="44" s="1"/>
  <c r="Y57" i="44" a="1"/>
  <c r="Y57" i="44" s="1"/>
  <c r="X47" i="44" a="1"/>
  <c r="X47" i="44" s="1"/>
  <c r="X55" i="44" a="1"/>
  <c r="X55" i="44" s="1"/>
  <c r="V54" i="44" a="1"/>
  <c r="V54" i="44" s="1"/>
  <c r="U54" i="44" a="1"/>
  <c r="U54" i="44" s="1"/>
  <c r="AC47" i="44" a="1"/>
  <c r="AC47" i="44" s="1"/>
  <c r="Y51" i="44" a="1"/>
  <c r="Y51" i="44" s="1"/>
  <c r="R54" i="44" a="1"/>
  <c r="R54" i="44" s="1"/>
  <c r="U55" i="44" a="1"/>
  <c r="U55" i="44" s="1"/>
  <c r="X56" i="44" a="1"/>
  <c r="X56" i="44" s="1"/>
  <c r="X59" i="44" a="1"/>
  <c r="X59" i="44" s="1"/>
  <c r="V48" i="44" a="1"/>
  <c r="V48" i="44" s="1"/>
  <c r="AC51" i="44" a="1"/>
  <c r="AC51" i="44" s="1"/>
  <c r="U59" i="44" a="1"/>
  <c r="U59" i="44" s="1"/>
  <c r="Z48" i="44" a="1"/>
  <c r="Z48" i="44" s="1"/>
  <c r="Z57" i="44" a="1"/>
  <c r="Z57" i="44" s="1"/>
  <c r="X52" i="44" a="1"/>
  <c r="X52" i="44" s="1"/>
  <c r="W51" i="44" a="1"/>
  <c r="W51" i="44" s="1"/>
  <c r="W58" i="39" a="1"/>
  <c r="W58" i="39" s="1"/>
  <c r="W49" i="39" a="1"/>
  <c r="W49" i="39" s="1"/>
  <c r="W47" i="39" a="1"/>
  <c r="W47" i="39" s="1"/>
  <c r="AB47" i="39" a="1"/>
  <c r="AB47" i="39" s="1"/>
  <c r="V49" i="44" a="1"/>
  <c r="V49" i="44" s="1"/>
  <c r="V53" i="44" a="1"/>
  <c r="V53" i="44" s="1"/>
  <c r="Y47" i="44" a="1"/>
  <c r="Y47" i="44" s="1"/>
  <c r="AB48" i="44" a="1"/>
  <c r="AB48" i="44" s="1"/>
  <c r="R50" i="44" a="1"/>
  <c r="R50" i="44" s="1"/>
  <c r="AA53" i="44" a="1"/>
  <c r="AA53" i="44" s="1"/>
  <c r="Q55" i="44" a="1"/>
  <c r="Q55" i="44" s="1"/>
  <c r="T56" i="44" a="1"/>
  <c r="T56" i="44" s="1"/>
  <c r="W57" i="44" a="1"/>
  <c r="W57" i="44" s="1"/>
  <c r="Z58" i="44" a="1"/>
  <c r="Z58" i="44" s="1"/>
  <c r="Q50" i="44" a="1"/>
  <c r="Q50" i="44" s="1"/>
  <c r="R53" i="44" a="1"/>
  <c r="R53" i="44" s="1"/>
  <c r="AB55" i="44" a="1"/>
  <c r="AB55" i="44" s="1"/>
  <c r="Y58" i="44" a="1"/>
  <c r="Y58" i="44" s="1"/>
  <c r="Z47" i="44" a="1"/>
  <c r="Z47" i="44" s="1"/>
  <c r="AC48" i="44" a="1"/>
  <c r="AC48" i="44" s="1"/>
  <c r="S50" i="44" a="1"/>
  <c r="S50" i="44" s="1"/>
  <c r="V51" i="44" a="1"/>
  <c r="V51" i="44" s="1"/>
  <c r="Y52" i="44" a="1"/>
  <c r="Y52" i="44" s="1"/>
  <c r="AB53" i="44" a="1"/>
  <c r="AB53" i="44" s="1"/>
  <c r="R55" i="44" a="1"/>
  <c r="R55" i="44" s="1"/>
  <c r="U56" i="44" a="1"/>
  <c r="U56" i="44" s="1"/>
  <c r="X57" i="44" a="1"/>
  <c r="X57" i="44" s="1"/>
  <c r="AA58" i="44" a="1"/>
  <c r="AA58" i="44" s="1"/>
  <c r="AB47" i="44" a="1"/>
  <c r="AB47" i="44" s="1"/>
  <c r="AB51" i="44" a="1"/>
  <c r="AB51" i="44" s="1"/>
  <c r="S56" i="44" a="1"/>
  <c r="S56" i="44" s="1"/>
  <c r="AB59" i="44" a="1"/>
  <c r="AB59" i="44" s="1"/>
  <c r="U49" i="44" a="1"/>
  <c r="U49" i="44" s="1"/>
  <c r="X50" i="44" a="1"/>
  <c r="X50" i="44" s="1"/>
  <c r="AA51" i="44" a="1"/>
  <c r="AA51" i="44" s="1"/>
  <c r="Q53" i="44" a="1"/>
  <c r="Q53" i="44" s="1"/>
  <c r="T54" i="44" a="1"/>
  <c r="T54" i="44" s="1"/>
  <c r="W55" i="44" a="1"/>
  <c r="W55" i="44" s="1"/>
  <c r="AC57" i="44" a="1"/>
  <c r="AC57" i="44" s="1"/>
  <c r="S59" i="44" a="1"/>
  <c r="S59" i="44" s="1"/>
  <c r="W52" i="44" a="1"/>
  <c r="W52" i="44" s="1"/>
  <c r="W58" i="44" a="1"/>
  <c r="W58" i="44" s="1"/>
  <c r="U50" i="44" a="1"/>
  <c r="U50" i="44" s="1"/>
  <c r="AC58" i="44" a="1"/>
  <c r="AC58" i="44" s="1"/>
  <c r="V50" i="44" a="1"/>
  <c r="V50" i="44" s="1"/>
  <c r="AB52" i="44" a="1"/>
  <c r="AB52" i="44" s="1"/>
  <c r="Q59" i="44" a="1"/>
  <c r="Q59" i="44" s="1"/>
  <c r="T47" i="44" a="1"/>
  <c r="T47" i="44" s="1"/>
  <c r="AC50" i="44" a="1"/>
  <c r="AC50" i="44" s="1"/>
  <c r="Z53" i="44" a="1"/>
  <c r="Z53" i="44" s="1"/>
  <c r="W56" i="44" a="1"/>
  <c r="W56" i="44" s="1"/>
  <c r="Q48" i="44" a="1"/>
  <c r="Q48" i="44" s="1"/>
  <c r="T49" i="44" a="1"/>
  <c r="T49" i="44" s="1"/>
  <c r="W50" i="44" a="1"/>
  <c r="W50" i="44" s="1"/>
  <c r="Z51" i="44" a="1"/>
  <c r="Z51" i="44" s="1"/>
  <c r="AC52" i="44" a="1"/>
  <c r="AC52" i="44" s="1"/>
  <c r="S54" i="44" a="1"/>
  <c r="S54" i="44" s="1"/>
  <c r="V55" i="44" a="1"/>
  <c r="V55" i="44" s="1"/>
  <c r="Y56" i="44" a="1"/>
  <c r="Y56" i="44" s="1"/>
  <c r="AB57" i="44" a="1"/>
  <c r="AB57" i="44" s="1"/>
  <c r="R59" i="44" a="1"/>
  <c r="R59" i="44" s="1"/>
  <c r="AA48" i="44" a="1"/>
  <c r="AA48" i="44" s="1"/>
  <c r="AA52" i="44" a="1"/>
  <c r="AA52" i="44" s="1"/>
  <c r="R57" i="44" a="1"/>
  <c r="R57" i="44" s="1"/>
  <c r="S47" i="44" a="1"/>
  <c r="S47" i="44" s="1"/>
  <c r="Y49" i="44" a="1"/>
  <c r="Y49" i="44" s="1"/>
  <c r="AB50" i="44" a="1"/>
  <c r="AB50" i="44" s="1"/>
  <c r="R52" i="44" a="1"/>
  <c r="R52" i="44" s="1"/>
  <c r="U53" i="44" a="1"/>
  <c r="U53" i="44" s="1"/>
  <c r="AA55" i="44" a="1"/>
  <c r="AA55" i="44" s="1"/>
  <c r="Q57" i="44" a="1"/>
  <c r="Q57" i="44" s="1"/>
  <c r="T58" i="44" a="1"/>
  <c r="T58" i="44" s="1"/>
  <c r="W59" i="44" a="1"/>
  <c r="W59" i="44" s="1"/>
  <c r="X53" i="44" a="1"/>
  <c r="X53" i="44" s="1"/>
  <c r="AC53" i="44" a="1"/>
  <c r="AC53" i="44" s="1"/>
  <c r="Q54" i="39" a="1"/>
  <c r="Q54" i="39" s="1"/>
  <c r="W54" i="39" a="1"/>
  <c r="W54" i="39" s="1"/>
  <c r="U50" i="39" a="1"/>
  <c r="U50" i="39" s="1"/>
  <c r="Y59" i="39" a="1"/>
  <c r="Y59" i="39" s="1"/>
  <c r="T51" i="39" a="1"/>
  <c r="T51" i="39" s="1"/>
  <c r="T51" i="44" a="1"/>
  <c r="T51" i="44" s="1"/>
  <c r="T48" i="44" a="1"/>
  <c r="T48" i="44" s="1"/>
  <c r="W49" i="44" a="1"/>
  <c r="W49" i="44" s="1"/>
  <c r="Z50" i="44" a="1"/>
  <c r="Z50" i="44" s="1"/>
  <c r="S53" i="44" a="1"/>
  <c r="S53" i="44" s="1"/>
  <c r="AB56" i="44" a="1"/>
  <c r="AB56" i="44" s="1"/>
  <c r="R58" i="44" a="1"/>
  <c r="R58" i="44" s="1"/>
  <c r="S48" i="44" a="1"/>
  <c r="S48" i="44" s="1"/>
  <c r="X51" i="44" a="1"/>
  <c r="X51" i="44" s="1"/>
  <c r="Y54" i="44" a="1"/>
  <c r="Y54" i="44" s="1"/>
  <c r="V57" i="44" a="1"/>
  <c r="V57" i="44" s="1"/>
  <c r="R47" i="44" a="1"/>
  <c r="R47" i="44" s="1"/>
  <c r="U48" i="44" a="1"/>
  <c r="U48" i="44" s="1"/>
  <c r="X49" i="44" a="1"/>
  <c r="X49" i="44" s="1"/>
  <c r="AA50" i="44" a="1"/>
  <c r="AA50" i="44" s="1"/>
  <c r="Q52" i="44" a="1"/>
  <c r="Q52" i="44" s="1"/>
  <c r="T53" i="44" a="1"/>
  <c r="T53" i="44" s="1"/>
  <c r="W54" i="44" a="1"/>
  <c r="W54" i="44" s="1"/>
  <c r="Z55" i="44" a="1"/>
  <c r="Z55" i="44" s="1"/>
  <c r="AC56" i="44" a="1"/>
  <c r="AC56" i="44" s="1"/>
  <c r="S58" i="44" a="1"/>
  <c r="S58" i="44" s="1"/>
  <c r="V59" i="44" a="1"/>
  <c r="V59" i="44" s="1"/>
  <c r="Z49" i="44" a="1"/>
  <c r="Z49" i="44" s="1"/>
  <c r="Q54" i="44" a="1"/>
  <c r="Q54" i="44" s="1"/>
  <c r="U58" i="44" a="1"/>
  <c r="U58" i="44" s="1"/>
  <c r="W47" i="44" a="1"/>
  <c r="W47" i="44" s="1"/>
  <c r="AC49" i="44" a="1"/>
  <c r="AC49" i="44" s="1"/>
  <c r="S51" i="44" a="1"/>
  <c r="S51" i="44" s="1"/>
  <c r="Y53" i="44" a="1"/>
  <c r="Y53" i="44" s="1"/>
  <c r="AB54" i="44" a="1"/>
  <c r="AB54" i="44" s="1"/>
  <c r="R56" i="44" a="1"/>
  <c r="R56" i="44" s="1"/>
  <c r="U57" i="44" a="1"/>
  <c r="U57" i="44" s="1"/>
  <c r="X58" i="44" a="1"/>
  <c r="X58" i="44" s="1"/>
  <c r="AA59" i="44" a="1"/>
  <c r="AA59" i="44" s="1"/>
  <c r="T52" i="43" a="1"/>
  <c r="T52" i="43" s="1"/>
  <c r="X56" i="43" a="1"/>
  <c r="X56" i="43" s="1"/>
  <c r="R57" i="43" a="1"/>
  <c r="R57" i="43" s="1"/>
  <c r="Z54" i="43" a="1"/>
  <c r="Z54" i="43" s="1"/>
  <c r="V59" i="43" a="1"/>
  <c r="V59" i="43" s="1"/>
  <c r="V55" i="43" a="1"/>
  <c r="V55" i="43" s="1"/>
  <c r="W54" i="43" a="1"/>
  <c r="W54" i="43" s="1"/>
  <c r="X53" i="43" a="1"/>
  <c r="X53" i="43" s="1"/>
  <c r="U47" i="43" a="1"/>
  <c r="U47" i="43" s="1"/>
  <c r="W59" i="43" a="1"/>
  <c r="W59" i="43" s="1"/>
  <c r="U57" i="43" a="1"/>
  <c r="U57" i="43" s="1"/>
  <c r="AA51" i="43" a="1"/>
  <c r="AA51" i="43" s="1"/>
  <c r="Q57" i="43" a="1"/>
  <c r="Q57" i="43" s="1"/>
  <c r="Z51" i="43" a="1"/>
  <c r="Z51" i="43" s="1"/>
  <c r="R53" i="43" a="1"/>
  <c r="R53" i="43" s="1"/>
  <c r="W51" i="43" a="1"/>
  <c r="W51" i="43" s="1"/>
  <c r="AA56" i="43" a="1"/>
  <c r="AA56" i="43" s="1"/>
  <c r="AA52" i="43" a="1"/>
  <c r="AA52" i="43" s="1"/>
  <c r="S57" i="43" a="1"/>
  <c r="S57" i="43" s="1"/>
  <c r="R47" i="43" a="1"/>
  <c r="R47" i="43" s="1"/>
  <c r="Z57" i="43" a="1"/>
  <c r="Z57" i="43" s="1"/>
  <c r="Q48" i="43" a="1"/>
  <c r="Q48" i="43" s="1"/>
  <c r="Q51" i="43" a="1"/>
  <c r="Q51" i="43" s="1"/>
  <c r="AC52" i="43" a="1"/>
  <c r="AC52" i="43" s="1"/>
  <c r="V48" i="43" a="1"/>
  <c r="V48" i="43" s="1"/>
  <c r="Q53" i="43" a="1"/>
  <c r="Q53" i="43" s="1"/>
  <c r="U52" i="43" a="1"/>
  <c r="U52" i="43" s="1"/>
  <c r="Q56" i="43" a="1"/>
  <c r="Q56" i="43" s="1"/>
  <c r="R51" i="43" a="1"/>
  <c r="R51" i="43" s="1"/>
  <c r="AB53" i="43" a="1"/>
  <c r="AB53" i="43" s="1"/>
  <c r="Y51" i="43" a="1"/>
  <c r="Y51" i="43" s="1"/>
  <c r="X49" i="43" a="1"/>
  <c r="X49" i="43" s="1"/>
  <c r="W52" i="43" a="1"/>
  <c r="W52" i="43" s="1"/>
  <c r="W48" i="43" a="1"/>
  <c r="W48" i="43" s="1"/>
  <c r="X58" i="43" a="1"/>
  <c r="X58" i="43" s="1"/>
  <c r="U53" i="43" a="1"/>
  <c r="U53" i="43" s="1"/>
  <c r="W49" i="43" a="1"/>
  <c r="W49" i="43" s="1"/>
  <c r="T51" i="43" a="1"/>
  <c r="T51" i="43" s="1"/>
  <c r="S53" i="43" a="1"/>
  <c r="S53" i="43" s="1"/>
  <c r="U48" i="43" a="1"/>
  <c r="U48" i="43" s="1"/>
  <c r="AC53" i="43" a="1"/>
  <c r="AC53" i="43" s="1"/>
  <c r="V56" i="43" a="1"/>
  <c r="V56" i="43" s="1"/>
  <c r="Y52" i="43" a="1"/>
  <c r="Y52" i="43" s="1"/>
  <c r="Y48" i="43" a="1"/>
  <c r="Y48" i="43" s="1"/>
  <c r="S52" i="43" a="1"/>
  <c r="S52" i="43" s="1"/>
  <c r="AA54" i="43" a="1"/>
  <c r="AA54" i="43" s="1"/>
  <c r="Y50" i="43" a="1"/>
  <c r="Y50" i="43" s="1"/>
  <c r="V53" i="43" a="1"/>
  <c r="V53" i="43" s="1"/>
  <c r="Z49" i="43" a="1"/>
  <c r="Z49" i="43" s="1"/>
  <c r="AB54" i="43" a="1"/>
  <c r="AB54" i="43" s="1"/>
  <c r="V47" i="43" a="1"/>
  <c r="V47" i="43" s="1"/>
  <c r="Z48" i="43" a="1"/>
  <c r="Z48" i="43" s="1"/>
  <c r="W56" i="43" a="1"/>
  <c r="W56" i="43" s="1"/>
  <c r="W58" i="43" a="1"/>
  <c r="W58" i="43" s="1"/>
  <c r="AA53" i="43" a="1"/>
  <c r="AA53" i="43" s="1"/>
  <c r="Q52" i="43" a="1"/>
  <c r="Q52" i="43" s="1"/>
  <c r="W47" i="43" a="1"/>
  <c r="W47" i="43" s="1"/>
  <c r="AB51" i="43" a="1"/>
  <c r="AB51" i="43" s="1"/>
  <c r="Y56" i="43" a="1"/>
  <c r="Y56" i="43" s="1"/>
  <c r="R50" i="43" a="1"/>
  <c r="R50" i="43" s="1"/>
  <c r="V57" i="43" a="1"/>
  <c r="V57" i="43" s="1"/>
  <c r="R52" i="43" a="1"/>
  <c r="R52" i="43" s="1"/>
  <c r="AB55" i="43" a="1"/>
  <c r="AB55" i="43" s="1"/>
  <c r="AA50" i="43" a="1"/>
  <c r="AA50" i="43" s="1"/>
  <c r="T48" i="43" a="1"/>
  <c r="T48" i="43" s="1"/>
  <c r="Q55" i="43" a="1"/>
  <c r="Q55" i="43" s="1"/>
  <c r="V50" i="43" a="1"/>
  <c r="V50" i="43" s="1"/>
  <c r="Z52" i="43" a="1"/>
  <c r="Z52" i="43" s="1"/>
  <c r="R56" i="43" a="1"/>
  <c r="R56" i="43" s="1"/>
  <c r="V51" i="43" a="1"/>
  <c r="V51" i="43" s="1"/>
  <c r="AB49" i="43" a="1"/>
  <c r="AB49" i="43" s="1"/>
  <c r="W55" i="43" a="1"/>
  <c r="W55" i="43" s="1"/>
  <c r="AB48" i="43" a="1"/>
  <c r="AB48" i="43" s="1"/>
  <c r="X48" i="43" a="1"/>
  <c r="X48" i="43" s="1"/>
  <c r="U59" i="43" a="1"/>
  <c r="U59" i="43" s="1"/>
  <c r="X47" i="43" a="1"/>
  <c r="X47" i="43" s="1"/>
  <c r="Y53" i="43" a="1"/>
  <c r="Y53" i="43" s="1"/>
  <c r="S54" i="43" a="1"/>
  <c r="S54" i="43" s="1"/>
  <c r="Y54" i="43" a="1"/>
  <c r="Y54" i="43" s="1"/>
  <c r="AA58" i="43" a="1"/>
  <c r="AA58" i="43" s="1"/>
  <c r="U55" i="43" a="1"/>
  <c r="U55" i="43" s="1"/>
  <c r="T53" i="43" a="1"/>
  <c r="T53" i="43" s="1"/>
  <c r="S55" i="43" a="1"/>
  <c r="S55" i="43" s="1"/>
  <c r="AA55" i="43" a="1"/>
  <c r="AA55" i="43" s="1"/>
  <c r="U50" i="43" a="1"/>
  <c r="U50" i="43" s="1"/>
  <c r="AB59" i="43" a="1"/>
  <c r="AB59" i="43" s="1"/>
  <c r="Z50" i="43" a="1"/>
  <c r="Z50" i="43" s="1"/>
  <c r="R49" i="43" a="1"/>
  <c r="R49" i="43" s="1"/>
  <c r="Y47" i="43" a="1"/>
  <c r="Y47" i="43" s="1"/>
  <c r="AA59" i="43" a="1"/>
  <c r="AA59" i="43" s="1"/>
  <c r="T49" i="43" a="1"/>
  <c r="T49" i="43" s="1"/>
  <c r="AC51" i="43" a="1"/>
  <c r="AC51" i="43" s="1"/>
  <c r="AC56" i="43" a="1"/>
  <c r="AC56" i="43" s="1"/>
  <c r="U58" i="43" a="1"/>
  <c r="U58" i="43" s="1"/>
  <c r="R58" i="43" a="1"/>
  <c r="R58" i="43" s="1"/>
  <c r="T47" i="43" a="1"/>
  <c r="T47" i="43" s="1"/>
  <c r="AC47" i="43" a="1"/>
  <c r="AC47" i="43" s="1"/>
  <c r="X57" i="43" a="1"/>
  <c r="X57" i="43" s="1"/>
  <c r="Z47" i="43" a="1"/>
  <c r="Z47" i="43" s="1"/>
  <c r="AA47" i="43" a="1"/>
  <c r="AA47" i="43" s="1"/>
  <c r="S59" i="43" a="1"/>
  <c r="S59" i="43" s="1"/>
  <c r="T58" i="43" a="1"/>
  <c r="T58" i="43" s="1"/>
  <c r="U56" i="43" a="1"/>
  <c r="U56" i="43" s="1"/>
  <c r="AB50" i="43" a="1"/>
  <c r="AB50" i="43" s="1"/>
  <c r="AA48" i="43" a="1"/>
  <c r="AA48" i="43" s="1"/>
  <c r="AC54" i="43" a="1"/>
  <c r="AC54" i="43" s="1"/>
  <c r="Q54" i="43" a="1"/>
  <c r="Q54" i="43" s="1"/>
  <c r="Y59" i="43" a="1"/>
  <c r="Y59" i="43" s="1"/>
  <c r="AB47" i="43" a="1"/>
  <c r="AB47" i="43" s="1"/>
  <c r="Y49" i="43" a="1"/>
  <c r="Y49" i="43" s="1"/>
  <c r="AC55" i="43" a="1"/>
  <c r="AC55" i="43" s="1"/>
  <c r="AB57" i="43" a="1"/>
  <c r="AB57" i="43" s="1"/>
  <c r="Q59" i="43" a="1"/>
  <c r="Q59" i="43" s="1"/>
  <c r="U54" i="43" a="1"/>
  <c r="U54" i="43" s="1"/>
  <c r="X52" i="43" a="1"/>
  <c r="X52" i="43" s="1"/>
  <c r="T59" i="43" a="1"/>
  <c r="T59" i="43" s="1"/>
  <c r="AC50" i="43" a="1"/>
  <c r="AC50" i="43" s="1"/>
  <c r="W50" i="43" a="1"/>
  <c r="W50" i="43" s="1"/>
  <c r="Y58" i="43" a="1"/>
  <c r="Y58" i="43" s="1"/>
  <c r="X59" i="43" a="1"/>
  <c r="X59" i="43" s="1"/>
  <c r="T57" i="43" a="1"/>
  <c r="T57" i="43" s="1"/>
  <c r="S58" i="43" a="1"/>
  <c r="S58" i="43" s="1"/>
  <c r="S47" i="43" a="1"/>
  <c r="S47" i="43" s="1"/>
  <c r="S50" i="43" a="1"/>
  <c r="S50" i="43" s="1"/>
  <c r="U49" i="43" a="1"/>
  <c r="U49" i="43" s="1"/>
  <c r="Q58" i="43" a="1"/>
  <c r="Q58" i="43" s="1"/>
  <c r="S56" i="43" a="1"/>
  <c r="S56" i="43" s="1"/>
  <c r="AC48" i="43" a="1"/>
  <c r="AC48" i="43" s="1"/>
  <c r="AB56" i="43" a="1"/>
  <c r="AB56" i="43" s="1"/>
  <c r="Z59" i="43" a="1"/>
  <c r="Z59" i="43" s="1"/>
  <c r="X55" i="43" a="1"/>
  <c r="X55" i="43" s="1"/>
  <c r="Q49" i="43" a="1"/>
  <c r="Q49" i="43" s="1"/>
  <c r="Q50" i="43" a="1"/>
  <c r="Q50" i="43" s="1"/>
  <c r="R59" i="43" a="1"/>
  <c r="R59" i="43" s="1"/>
  <c r="S48" i="43" a="1"/>
  <c r="S48" i="43" s="1"/>
  <c r="AB52" i="43" a="1"/>
  <c r="AB52" i="43" s="1"/>
  <c r="Z55" i="43" a="1"/>
  <c r="Z55" i="43" s="1"/>
  <c r="V58" i="43" a="1"/>
  <c r="V58" i="43" s="1"/>
  <c r="V54" i="43" a="1"/>
  <c r="V54" i="43" s="1"/>
  <c r="Z58" i="43" a="1"/>
  <c r="Z58" i="43" s="1"/>
  <c r="AC58" i="43" a="1"/>
  <c r="AC58" i="43" s="1"/>
  <c r="Z53" i="43" a="1"/>
  <c r="Z53" i="43" s="1"/>
  <c r="R55" i="43" a="1"/>
  <c r="R55" i="43" s="1"/>
  <c r="Y57" i="43" a="1"/>
  <c r="Y57" i="43" s="1"/>
  <c r="R54" i="43" a="1"/>
  <c r="R54" i="43" s="1"/>
  <c r="W57" i="43" a="1"/>
  <c r="W57" i="43" s="1"/>
  <c r="X51" i="43" a="1"/>
  <c r="X51" i="43" s="1"/>
  <c r="T56" i="43" a="1"/>
  <c r="T56" i="43" s="1"/>
  <c r="AA49" i="43" a="1"/>
  <c r="AA49" i="43" s="1"/>
  <c r="AC57" i="43" a="1"/>
  <c r="AC57" i="43" s="1"/>
  <c r="V49" i="43" a="1"/>
  <c r="V49" i="43" s="1"/>
  <c r="T54" i="43" a="1"/>
  <c r="T54" i="43" s="1"/>
  <c r="Y47" i="39" a="1"/>
  <c r="Y47" i="39" s="1"/>
  <c r="Y57" i="39" a="1"/>
  <c r="Y57" i="39" s="1"/>
  <c r="Y52" i="39" a="1"/>
  <c r="Y52" i="39" s="1"/>
  <c r="U47" i="39" a="1"/>
  <c r="U47" i="39" s="1"/>
  <c r="AC51" i="39" a="1"/>
  <c r="AC51" i="39" s="1"/>
  <c r="AC52" i="39" a="1"/>
  <c r="AC52" i="39" s="1"/>
  <c r="Z53" i="39" a="1"/>
  <c r="Z53" i="39" s="1"/>
  <c r="Z50" i="42" a="1"/>
  <c r="Z50" i="42" s="1"/>
  <c r="Y51" i="39" a="1"/>
  <c r="Y51" i="39" s="1"/>
  <c r="AA53" i="39" a="1"/>
  <c r="AA53" i="39" s="1"/>
  <c r="AB50" i="39" a="1"/>
  <c r="AB50" i="39" s="1"/>
  <c r="U49" i="39" a="1"/>
  <c r="U49" i="39" s="1"/>
  <c r="U58" i="39" a="1"/>
  <c r="U58" i="39" s="1"/>
  <c r="AA47" i="39" a="1"/>
  <c r="AA47" i="39" s="1"/>
  <c r="T47" i="39" a="1"/>
  <c r="T47" i="39" s="1"/>
  <c r="Q55" i="39" a="1"/>
  <c r="Q55" i="39" s="1"/>
  <c r="AC55" i="39" a="1"/>
  <c r="AC55" i="39" s="1"/>
  <c r="R51" i="39" a="1"/>
  <c r="R51" i="39" s="1"/>
  <c r="AA55" i="39" a="1"/>
  <c r="AA55" i="39" s="1"/>
  <c r="AA52" i="39" a="1"/>
  <c r="AA52" i="39" s="1"/>
  <c r="Z58" i="39" a="1"/>
  <c r="Z58" i="39" s="1"/>
  <c r="W55" i="39" a="1"/>
  <c r="W55" i="39" s="1"/>
  <c r="U54" i="39" a="1"/>
  <c r="U54" i="39" s="1"/>
  <c r="W50" i="39" a="1"/>
  <c r="W50" i="39" s="1"/>
  <c r="T53" i="39" a="1"/>
  <c r="T53" i="39" s="1"/>
  <c r="Y53" i="39" a="1"/>
  <c r="Y53" i="39" s="1"/>
  <c r="AA50" i="39" a="1"/>
  <c r="AA50" i="39" s="1"/>
  <c r="Q58" i="39" a="1"/>
  <c r="Q58" i="39" s="1"/>
  <c r="Q51" i="39" a="1"/>
  <c r="Q51" i="39" s="1"/>
  <c r="AC57" i="42" a="1"/>
  <c r="AC57" i="42" s="1"/>
  <c r="Y58" i="42" a="1"/>
  <c r="Y58" i="42" s="1"/>
  <c r="AA48" i="42" a="1"/>
  <c r="AA48" i="42" s="1"/>
  <c r="Z53" i="42" a="1"/>
  <c r="Z53" i="42" s="1"/>
  <c r="R56" i="42" a="1"/>
  <c r="R56" i="42" s="1"/>
  <c r="AB53" i="42" a="1"/>
  <c r="AB53" i="42" s="1"/>
  <c r="S51" i="42" a="1"/>
  <c r="S51" i="42" s="1"/>
  <c r="W57" i="42" a="1"/>
  <c r="W57" i="42" s="1"/>
  <c r="AA58" i="42" a="1"/>
  <c r="AA58" i="42" s="1"/>
  <c r="Y49" i="42" a="1"/>
  <c r="Y49" i="42" s="1"/>
  <c r="R55" i="42" a="1"/>
  <c r="R55" i="42" s="1"/>
  <c r="AA49" i="42" a="1"/>
  <c r="AA49" i="42" s="1"/>
  <c r="Q51" i="42" a="1"/>
  <c r="Q51" i="42" s="1"/>
  <c r="R57" i="42" a="1"/>
  <c r="R57" i="42" s="1"/>
  <c r="S52" i="42" a="1"/>
  <c r="S52" i="42" s="1"/>
  <c r="T47" i="42" a="1"/>
  <c r="T47" i="42" s="1"/>
  <c r="V57" i="42" a="1"/>
  <c r="V57" i="42" s="1"/>
  <c r="Y52" i="42" a="1"/>
  <c r="Y52" i="42" s="1"/>
  <c r="V50" i="42" a="1"/>
  <c r="V50" i="42" s="1"/>
  <c r="R52" i="42" a="1"/>
  <c r="R52" i="42" s="1"/>
  <c r="T57" i="42" a="1"/>
  <c r="T57" i="42" s="1"/>
  <c r="Y48" i="42" a="1"/>
  <c r="Y48" i="42" s="1"/>
  <c r="T52" i="42" a="1"/>
  <c r="T52" i="42" s="1"/>
  <c r="Q52" i="42" a="1"/>
  <c r="Q52" i="42" s="1"/>
  <c r="R47" i="42" a="1"/>
  <c r="R47" i="42" s="1"/>
  <c r="Q57" i="42" a="1"/>
  <c r="Q57" i="42" s="1"/>
  <c r="W49" i="42" a="1"/>
  <c r="W49" i="42" s="1"/>
  <c r="W52" i="42" a="1"/>
  <c r="W52" i="42" s="1"/>
  <c r="W47" i="42" a="1"/>
  <c r="W47" i="42" s="1"/>
  <c r="W59" i="42" a="1"/>
  <c r="W59" i="42" s="1"/>
  <c r="X53" i="42" a="1"/>
  <c r="X53" i="42" s="1"/>
  <c r="S53" i="42" a="1"/>
  <c r="S53" i="42" s="1"/>
  <c r="U52" i="42" a="1"/>
  <c r="U52" i="42" s="1"/>
  <c r="V47" i="42" a="1"/>
  <c r="V47" i="42" s="1"/>
  <c r="T59" i="42" a="1"/>
  <c r="T59" i="42" s="1"/>
  <c r="V49" i="42" a="1"/>
  <c r="V49" i="42" s="1"/>
  <c r="AB52" i="42" a="1"/>
  <c r="AB52" i="42" s="1"/>
  <c r="U56" i="42" a="1"/>
  <c r="U56" i="42" s="1"/>
  <c r="AA51" i="42" a="1"/>
  <c r="AA51" i="42" s="1"/>
  <c r="V59" i="42" a="1"/>
  <c r="V59" i="42" s="1"/>
  <c r="W58" i="42" a="1"/>
  <c r="W58" i="42" s="1"/>
  <c r="U47" i="42" a="1"/>
  <c r="U47" i="42" s="1"/>
  <c r="AA59" i="42" a="1"/>
  <c r="AA59" i="42" s="1"/>
  <c r="AC50" i="42" a="1"/>
  <c r="AC50" i="42" s="1"/>
  <c r="V48" i="42" a="1"/>
  <c r="V48" i="42" s="1"/>
  <c r="AA52" i="42" a="1"/>
  <c r="AA52" i="42" s="1"/>
  <c r="S48" i="42" a="1"/>
  <c r="S48" i="42" s="1"/>
  <c r="AC55" i="42" a="1"/>
  <c r="AC55" i="42" s="1"/>
  <c r="S50" i="42" a="1"/>
  <c r="S50" i="42" s="1"/>
  <c r="T55" i="42" a="1"/>
  <c r="T55" i="42" s="1"/>
  <c r="Y50" i="42" a="1"/>
  <c r="Y50" i="42" s="1"/>
  <c r="R58" i="42" a="1"/>
  <c r="R58" i="42" s="1"/>
  <c r="Y53" i="42" a="1"/>
  <c r="Y53" i="42" s="1"/>
  <c r="AA53" i="42" a="1"/>
  <c r="AA53" i="42" s="1"/>
  <c r="S47" i="42" a="1"/>
  <c r="S47" i="42" s="1"/>
  <c r="W55" i="42" a="1"/>
  <c r="W55" i="42" s="1"/>
  <c r="W48" i="42" a="1"/>
  <c r="W48" i="42" s="1"/>
  <c r="AB56" i="42" a="1"/>
  <c r="AB56" i="42" s="1"/>
  <c r="X50" i="42" a="1"/>
  <c r="X50" i="42" s="1"/>
  <c r="R49" i="42" a="1"/>
  <c r="R49" i="42" s="1"/>
  <c r="Z57" i="42" a="1"/>
  <c r="Z57" i="42" s="1"/>
  <c r="X49" i="42" a="1"/>
  <c r="X49" i="42" s="1"/>
  <c r="X51" i="42" a="1"/>
  <c r="X51" i="42" s="1"/>
  <c r="W51" i="42" a="1"/>
  <c r="W51" i="42" s="1"/>
  <c r="X59" i="42" a="1"/>
  <c r="X59" i="42" s="1"/>
  <c r="Z49" i="42" a="1"/>
  <c r="Z49" i="42" s="1"/>
  <c r="AB50" i="42" a="1"/>
  <c r="AB50" i="42" s="1"/>
  <c r="X48" i="42" a="1"/>
  <c r="X48" i="42" s="1"/>
  <c r="AC49" i="42" a="1"/>
  <c r="AC49" i="42" s="1"/>
  <c r="AB48" i="42" a="1"/>
  <c r="AB48" i="42" s="1"/>
  <c r="T53" i="42" a="1"/>
  <c r="T53" i="42" s="1"/>
  <c r="Y57" i="42" a="1"/>
  <c r="Y57" i="42" s="1"/>
  <c r="U54" i="42" a="1"/>
  <c r="U54" i="42" s="1"/>
  <c r="X52" i="42" a="1"/>
  <c r="X52" i="42" s="1"/>
  <c r="T51" i="42" a="1"/>
  <c r="T51" i="42" s="1"/>
  <c r="U57" i="42" a="1"/>
  <c r="U57" i="42" s="1"/>
  <c r="Y54" i="42" a="1"/>
  <c r="Y54" i="42" s="1"/>
  <c r="Z48" i="42" a="1"/>
  <c r="Z48" i="42" s="1"/>
  <c r="AA56" i="42" a="1"/>
  <c r="AA56" i="42" s="1"/>
  <c r="AC58" i="42" a="1"/>
  <c r="AC58" i="42" s="1"/>
  <c r="AC51" i="42" a="1"/>
  <c r="AC51" i="42" s="1"/>
  <c r="W54" i="42" a="1"/>
  <c r="W54" i="42" s="1"/>
  <c r="W56" i="42" a="1"/>
  <c r="W56" i="42" s="1"/>
  <c r="V53" i="42" a="1"/>
  <c r="V53" i="42" s="1"/>
  <c r="AA55" i="42" a="1"/>
  <c r="AA55" i="42" s="1"/>
  <c r="X55" i="42" a="1"/>
  <c r="X55" i="42" s="1"/>
  <c r="AA50" i="42" a="1"/>
  <c r="AA50" i="42" s="1"/>
  <c r="S56" i="42" a="1"/>
  <c r="S56" i="42" s="1"/>
  <c r="AB54" i="42" a="1"/>
  <c r="AB54" i="42" s="1"/>
  <c r="Z58" i="42" a="1"/>
  <c r="Z58" i="42" s="1"/>
  <c r="U58" i="42" a="1"/>
  <c r="U58" i="42" s="1"/>
  <c r="Q56" i="42" a="1"/>
  <c r="Q56" i="42" s="1"/>
  <c r="R51" i="42" a="1"/>
  <c r="R51" i="42" s="1"/>
  <c r="T56" i="42" a="1"/>
  <c r="T56" i="42" s="1"/>
  <c r="U49" i="42" a="1"/>
  <c r="U49" i="42" s="1"/>
  <c r="Z55" i="42" a="1"/>
  <c r="Z55" i="42" s="1"/>
  <c r="AC54" i="42" a="1"/>
  <c r="AC54" i="42" s="1"/>
  <c r="X56" i="42" a="1"/>
  <c r="X56" i="42" s="1"/>
  <c r="V54" i="42" a="1"/>
  <c r="V54" i="42" s="1"/>
  <c r="R54" i="42" a="1"/>
  <c r="R54" i="42" s="1"/>
  <c r="X57" i="42" a="1"/>
  <c r="X57" i="42" s="1"/>
  <c r="Z47" i="42" a="1"/>
  <c r="Z47" i="42" s="1"/>
  <c r="Q58" i="42" a="1"/>
  <c r="Q58" i="42" s="1"/>
  <c r="R53" i="42" a="1"/>
  <c r="R53" i="42" s="1"/>
  <c r="S58" i="42" a="1"/>
  <c r="S58" i="42" s="1"/>
  <c r="U50" i="42" a="1"/>
  <c r="U50" i="42" s="1"/>
  <c r="Z52" i="42" a="1"/>
  <c r="Z52" i="42" s="1"/>
  <c r="AB59" i="42" a="1"/>
  <c r="AB59" i="42" s="1"/>
  <c r="U53" i="42" a="1"/>
  <c r="U53" i="42" s="1"/>
  <c r="AA54" i="42" a="1"/>
  <c r="AA54" i="42" s="1"/>
  <c r="AB49" i="42" a="1"/>
  <c r="AB49" i="42" s="1"/>
  <c r="AB51" i="42" a="1"/>
  <c r="AB51" i="42" s="1"/>
  <c r="T54" i="42" a="1"/>
  <c r="T54" i="42" s="1"/>
  <c r="U48" i="42" a="1"/>
  <c r="U48" i="42" s="1"/>
  <c r="AB47" i="42" a="1"/>
  <c r="AB47" i="42" s="1"/>
  <c r="Z54" i="42" a="1"/>
  <c r="Z54" i="42" s="1"/>
  <c r="Z59" i="42" a="1"/>
  <c r="Z59" i="42" s="1"/>
  <c r="AC53" i="42" a="1"/>
  <c r="AC53" i="42" s="1"/>
  <c r="U59" i="42" a="1"/>
  <c r="U59" i="42" s="1"/>
  <c r="S59" i="42" a="1"/>
  <c r="S59" i="42" s="1"/>
  <c r="Q54" i="42" a="1"/>
  <c r="Q54" i="42" s="1"/>
  <c r="V56" i="42" a="1"/>
  <c r="V56" i="42" s="1"/>
  <c r="V58" i="42" a="1"/>
  <c r="V58" i="42" s="1"/>
  <c r="X47" i="42" a="1"/>
  <c r="X47" i="42" s="1"/>
  <c r="X58" i="42" a="1"/>
  <c r="X58" i="42" s="1"/>
  <c r="V51" i="42" a="1"/>
  <c r="V51" i="42" s="1"/>
  <c r="AB55" i="42" a="1"/>
  <c r="AB55" i="42" s="1"/>
  <c r="T58" i="42" a="1"/>
  <c r="T58" i="42" s="1"/>
  <c r="AC48" i="42" a="1"/>
  <c r="AC48" i="42" s="1"/>
  <c r="Q59" i="42" a="1"/>
  <c r="Q59" i="42" s="1"/>
  <c r="Q49" i="42" a="1"/>
  <c r="Q49" i="42" s="1"/>
  <c r="Y56" i="42" a="1"/>
  <c r="Y56" i="42" s="1"/>
  <c r="Z51" i="42" a="1"/>
  <c r="Z51" i="42" s="1"/>
  <c r="Y59" i="42" a="1"/>
  <c r="Y59" i="42" s="1"/>
  <c r="AA47" i="42" a="1"/>
  <c r="AA47" i="42" s="1"/>
  <c r="Y47" i="42" a="1"/>
  <c r="Y47" i="42" s="1"/>
  <c r="V55" i="42" a="1"/>
  <c r="V55" i="42" s="1"/>
  <c r="W50" i="42" a="1"/>
  <c r="W50" i="42" s="1"/>
  <c r="U55" i="42" a="1"/>
  <c r="U55" i="42" s="1"/>
  <c r="AC56" i="42" a="1"/>
  <c r="AC56" i="42" s="1"/>
  <c r="R59" i="42" a="1"/>
  <c r="R59" i="42" s="1"/>
  <c r="S54" i="42" a="1"/>
  <c r="S54" i="42" s="1"/>
  <c r="T49" i="42" a="1"/>
  <c r="T49" i="42" s="1"/>
  <c r="Y51" i="42" a="1"/>
  <c r="Y51" i="42" s="1"/>
  <c r="Q53" i="42" a="1"/>
  <c r="Q53" i="42" s="1"/>
  <c r="AC47" i="42" a="1"/>
  <c r="AC47" i="42" s="1"/>
  <c r="S55" i="42" a="1"/>
  <c r="S55" i="42" s="1"/>
  <c r="Q55" i="42" a="1"/>
  <c r="Q55" i="42" s="1"/>
  <c r="AB57" i="42" a="1"/>
  <c r="AB57" i="42" s="1"/>
  <c r="AC52" i="42" a="1"/>
  <c r="AC52" i="42" s="1"/>
  <c r="Q48" i="42" a="1"/>
  <c r="Q48" i="42" s="1"/>
  <c r="T48" i="42" a="1"/>
  <c r="T48" i="42" s="1"/>
  <c r="Y49" i="39" a="1"/>
  <c r="Y49" i="39" s="1"/>
  <c r="V53" i="39" a="1"/>
  <c r="V53" i="39" s="1"/>
  <c r="X56" i="39" a="1"/>
  <c r="X56" i="39" s="1"/>
  <c r="R59" i="39" a="1"/>
  <c r="R59" i="39" s="1"/>
  <c r="AA49" i="39" a="1"/>
  <c r="AA49" i="39" s="1"/>
  <c r="S52" i="39" a="1"/>
  <c r="S52" i="39" s="1"/>
  <c r="Q49" i="39" a="1"/>
  <c r="Q49" i="39" s="1"/>
  <c r="V57" i="39" a="1"/>
  <c r="V57" i="39" s="1"/>
  <c r="Z51" i="39" a="1"/>
  <c r="Z51" i="39" s="1"/>
  <c r="S55" i="39" a="1"/>
  <c r="S55" i="39" s="1"/>
  <c r="T49" i="39" a="1"/>
  <c r="T49" i="39" s="1"/>
  <c r="S47" i="39" a="1"/>
  <c r="S47" i="39" s="1"/>
  <c r="U48" i="39" a="1"/>
  <c r="U48" i="39" s="1"/>
  <c r="S54" i="39" a="1"/>
  <c r="S54" i="39" s="1"/>
  <c r="AB49" i="39" a="1"/>
  <c r="AB49" i="39" s="1"/>
  <c r="X49" i="39" a="1"/>
  <c r="X49" i="39" s="1"/>
  <c r="AC49" i="39" a="1"/>
  <c r="AC49" i="39" s="1"/>
  <c r="R47" i="39" a="1"/>
  <c r="R47" i="39" s="1"/>
  <c r="X57" i="39" a="1"/>
  <c r="X57" i="39" s="1"/>
  <c r="Z49" i="39" a="1"/>
  <c r="Z49" i="39" s="1"/>
  <c r="T52" i="39" a="1"/>
  <c r="T52" i="39" s="1"/>
  <c r="AB55" i="39" a="1"/>
  <c r="AB55" i="39" s="1"/>
  <c r="X55" i="39" a="1"/>
  <c r="X55" i="39" s="1"/>
  <c r="S50" i="39" a="1"/>
  <c r="S50" i="39" s="1"/>
  <c r="AA54" i="39" a="1"/>
  <c r="AA54" i="39" s="1"/>
  <c r="R50" i="39" a="1"/>
  <c r="R50" i="39" s="1"/>
  <c r="V48" i="39" a="1"/>
  <c r="V48" i="39" s="1"/>
  <c r="AB53" i="39" a="1"/>
  <c r="AB53" i="39" s="1"/>
  <c r="S48" i="39" a="1"/>
  <c r="S48" i="39" s="1"/>
  <c r="R57" i="39" a="1"/>
  <c r="R57" i="39" s="1"/>
  <c r="X48" i="39" a="1"/>
  <c r="X48" i="39" s="1"/>
  <c r="V55" i="39" a="1"/>
  <c r="V55" i="39" s="1"/>
  <c r="AB56" i="39" a="1"/>
  <c r="AB56" i="39" s="1"/>
  <c r="S58" i="39" a="1"/>
  <c r="S58" i="39" s="1"/>
  <c r="AB59" i="39" a="1"/>
  <c r="AB59" i="39" s="1"/>
  <c r="Q48" i="39" a="1"/>
  <c r="Q48" i="39" s="1"/>
  <c r="Y50" i="39" a="1"/>
  <c r="Y50" i="39" s="1"/>
  <c r="T55" i="39" a="1"/>
  <c r="T55" i="39" s="1"/>
  <c r="V50" i="39" a="1"/>
  <c r="V50" i="39" s="1"/>
  <c r="AB51" i="39" a="1"/>
  <c r="AB51" i="39" s="1"/>
  <c r="V54" i="39" a="1"/>
  <c r="V54" i="39" s="1"/>
  <c r="V49" i="39" a="1"/>
  <c r="V49" i="39" s="1"/>
  <c r="Z52" i="39" a="1"/>
  <c r="Z52" i="39" s="1"/>
  <c r="S57" i="39" a="1"/>
  <c r="S57" i="39" s="1"/>
  <c r="AA56" i="39" a="1"/>
  <c r="AA56" i="39" s="1"/>
  <c r="Z54" i="39" a="1"/>
  <c r="Z54" i="39" s="1"/>
  <c r="W48" i="39" a="1"/>
  <c r="W48" i="39" s="1"/>
  <c r="AB52" i="39" a="1"/>
  <c r="AB52" i="39" s="1"/>
  <c r="Z59" i="39" a="1"/>
  <c r="Z59" i="39" s="1"/>
  <c r="Z50" i="39" a="1"/>
  <c r="Z50" i="39" s="1"/>
  <c r="AA58" i="39" a="1"/>
  <c r="AA58" i="39" s="1"/>
  <c r="T56" i="39" a="1"/>
  <c r="T56" i="39" s="1"/>
  <c r="T59" i="39" a="1"/>
  <c r="T59" i="39" s="1"/>
  <c r="W57" i="39" a="1"/>
  <c r="W57" i="39" s="1"/>
  <c r="Q53" i="39" a="1"/>
  <c r="Q53" i="39" s="1"/>
  <c r="R55" i="39" a="1"/>
  <c r="R55" i="39" s="1"/>
  <c r="T58" i="39" a="1"/>
  <c r="T58" i="39" s="1"/>
  <c r="V59" i="39" a="1"/>
  <c r="V59" i="39" s="1"/>
  <c r="X50" i="39" a="1"/>
  <c r="X50" i="39" s="1"/>
  <c r="T57" i="39" a="1"/>
  <c r="T57" i="39" s="1"/>
  <c r="U53" i="39" a="1"/>
  <c r="U53" i="39" s="1"/>
  <c r="Q52" i="39" a="1"/>
  <c r="Q52" i="39" s="1"/>
  <c r="V47" i="39" a="1"/>
  <c r="V47" i="39" s="1"/>
  <c r="Y48" i="39" a="1"/>
  <c r="Y48" i="39" s="1"/>
  <c r="R52" i="39" a="1"/>
  <c r="R52" i="39" s="1"/>
  <c r="AB54" i="39" a="1"/>
  <c r="AB54" i="39" s="1"/>
  <c r="S56" i="39" a="1"/>
  <c r="S56" i="39" s="1"/>
  <c r="Z57" i="39" a="1"/>
  <c r="Z57" i="39" s="1"/>
  <c r="Z55" i="39" a="1"/>
  <c r="Z55" i="39" s="1"/>
  <c r="Z48" i="39" a="1"/>
  <c r="Z48" i="39" s="1"/>
  <c r="T48" i="39" a="1"/>
  <c r="T48" i="39" s="1"/>
  <c r="AC50" i="39" a="1"/>
  <c r="AC50" i="39" s="1"/>
  <c r="V58" i="39" a="1"/>
  <c r="V58" i="39" s="1"/>
  <c r="R54" i="39" a="1"/>
  <c r="R54" i="39" s="1"/>
  <c r="AC56" i="39" a="1"/>
  <c r="AC56" i="39" s="1"/>
  <c r="R58" i="39" a="1"/>
  <c r="R58" i="39" s="1"/>
  <c r="U59" i="39" a="1"/>
  <c r="U59" i="39" s="1"/>
  <c r="Q50" i="39" a="1"/>
  <c r="Q50" i="39" s="1"/>
  <c r="V51" i="39" a="1"/>
  <c r="V51" i="39" s="1"/>
  <c r="AA48" i="39" a="1"/>
  <c r="AA48" i="39" s="1"/>
  <c r="AB57" i="39" a="1"/>
  <c r="AB57" i="39" s="1"/>
  <c r="S53" i="39" a="1"/>
  <c r="S53" i="39" s="1"/>
  <c r="S59" i="39" a="1"/>
  <c r="S59" i="39" s="1"/>
  <c r="R53" i="39" a="1"/>
  <c r="R53" i="39" s="1"/>
  <c r="R56" i="39" a="1"/>
  <c r="R56" i="39" s="1"/>
  <c r="AC48" i="39" a="1"/>
  <c r="AC48" i="39" s="1"/>
  <c r="AB48" i="39" a="1"/>
  <c r="AB48" i="39" s="1"/>
  <c r="Y56" i="39" a="1"/>
  <c r="Y56" i="39" s="1"/>
  <c r="U52" i="39" a="1"/>
  <c r="U52" i="39" s="1"/>
  <c r="U56" i="39" a="1"/>
  <c r="U56" i="39" s="1"/>
  <c r="V56" i="39" a="1"/>
  <c r="V56" i="39" s="1"/>
  <c r="B3" i="31"/>
  <c r="B10" i="31"/>
  <c r="B14" i="31"/>
  <c r="J75" i="31"/>
  <c r="B6" i="31" s="1"/>
  <c r="B13" i="31"/>
  <c r="B9" i="31"/>
  <c r="B5" i="31"/>
  <c r="J76" i="31"/>
  <c r="B7" i="31" s="1"/>
  <c r="B12" i="31"/>
  <c r="B8" i="31"/>
  <c r="B4" i="31"/>
  <c r="B11" i="31"/>
  <c r="B14" i="30"/>
  <c r="B6" i="26"/>
  <c r="B8" i="26"/>
  <c r="J2" i="30"/>
  <c r="H2" i="30"/>
  <c r="I2" i="30" s="1"/>
  <c r="B7" i="26"/>
  <c r="J2" i="26"/>
  <c r="C10" i="31" l="1"/>
  <c r="B15" i="31"/>
  <c r="C9" i="31" s="1"/>
  <c r="B10" i="30"/>
  <c r="H2" i="26"/>
  <c r="I2" i="26" s="1"/>
  <c r="C8" i="31" l="1"/>
  <c r="C5" i="31"/>
  <c r="C6" i="31"/>
  <c r="C4" i="31"/>
  <c r="C13" i="31"/>
  <c r="C14" i="31"/>
  <c r="C7" i="31"/>
  <c r="C12" i="31"/>
  <c r="C11" i="31"/>
  <c r="C3" i="31"/>
  <c r="B14" i="26"/>
  <c r="C15" i="31" l="1"/>
  <c r="D3" i="31"/>
  <c r="B26" i="30"/>
  <c r="K2" i="30" a="1"/>
  <c r="K2" i="30" s="1"/>
  <c r="L2" i="30" s="1"/>
  <c r="M2" i="30" s="1"/>
  <c r="B27" i="30"/>
  <c r="B29" i="30" l="1"/>
  <c r="K2" i="26" a="1"/>
  <c r="K2" i="26" s="1"/>
  <c r="L2" i="26" s="1"/>
  <c r="M2" i="26" s="1"/>
  <c r="B27" i="26"/>
  <c r="B26" i="26"/>
  <c r="B29" i="26" l="1"/>
  <c r="D4" i="31"/>
  <c r="D5" i="31" l="1"/>
  <c r="D6" i="31" l="1"/>
  <c r="D7" i="31" l="1"/>
  <c r="D8" i="31" l="1"/>
  <c r="D9" i="31" l="1"/>
  <c r="D10" i="31" l="1"/>
  <c r="D11" i="31" l="1"/>
  <c r="D12" i="31" l="1"/>
  <c r="D13" i="31" l="1"/>
  <c r="D14" i="31" l="1"/>
  <c r="D15" i="31" l="1"/>
  <c r="E3" i="31" l="1"/>
  <c r="E4" i="31"/>
  <c r="E5" i="31"/>
  <c r="E6" i="31"/>
  <c r="E7" i="31"/>
  <c r="E8" i="31"/>
  <c r="E9" i="31"/>
  <c r="E10" i="31"/>
  <c r="E11" i="31"/>
  <c r="E12" i="31"/>
  <c r="E13" i="31"/>
  <c r="E14" i="31"/>
  <c r="K739" i="31" l="1"/>
  <c r="L739" i="31" s="1"/>
  <c r="K691" i="31"/>
  <c r="L691" i="31" s="1"/>
  <c r="K643" i="31"/>
  <c r="L643" i="31" s="1"/>
  <c r="K595" i="31"/>
  <c r="L595" i="31" s="1"/>
  <c r="K547" i="31"/>
  <c r="L547" i="31" s="1"/>
  <c r="K499" i="31"/>
  <c r="L499" i="31" s="1"/>
  <c r="K451" i="31"/>
  <c r="L451" i="31" s="1"/>
  <c r="K403" i="31"/>
  <c r="L403" i="31" s="1"/>
  <c r="K355" i="31"/>
  <c r="L355" i="31" s="1"/>
  <c r="K307" i="31"/>
  <c r="L307" i="31" s="1"/>
  <c r="K259" i="31"/>
  <c r="L259" i="31" s="1"/>
  <c r="K211" i="31"/>
  <c r="L211" i="31" s="1"/>
  <c r="K163" i="31"/>
  <c r="L163" i="31" s="1"/>
  <c r="K115" i="31"/>
  <c r="L115" i="31" s="1"/>
  <c r="K67" i="31"/>
  <c r="L67" i="31" s="1"/>
  <c r="K19" i="31"/>
  <c r="L19" i="31" s="1"/>
  <c r="K703" i="31"/>
  <c r="L703" i="31" s="1"/>
  <c r="K655" i="31"/>
  <c r="L655" i="31" s="1"/>
  <c r="K607" i="31"/>
  <c r="L607" i="31" s="1"/>
  <c r="K715" i="31"/>
  <c r="L715" i="31" s="1"/>
  <c r="K667" i="31"/>
  <c r="L667" i="31" s="1"/>
  <c r="K619" i="31"/>
  <c r="L619" i="31" s="1"/>
  <c r="K571" i="31"/>
  <c r="L571" i="31" s="1"/>
  <c r="K523" i="31"/>
  <c r="L523" i="31" s="1"/>
  <c r="K475" i="31"/>
  <c r="L475" i="31" s="1"/>
  <c r="K427" i="31"/>
  <c r="L427" i="31" s="1"/>
  <c r="K379" i="31"/>
  <c r="L379" i="31" s="1"/>
  <c r="K331" i="31"/>
  <c r="L331" i="31" s="1"/>
  <c r="K283" i="31"/>
  <c r="L283" i="31" s="1"/>
  <c r="K235" i="31"/>
  <c r="L235" i="31" s="1"/>
  <c r="K187" i="31"/>
  <c r="L187" i="31" s="1"/>
  <c r="K139" i="31"/>
  <c r="L139" i="31" s="1"/>
  <c r="K91" i="31"/>
  <c r="L91" i="31" s="1"/>
  <c r="K43" i="31"/>
  <c r="L43" i="31" s="1"/>
  <c r="K583" i="31"/>
  <c r="L583" i="31" s="1"/>
  <c r="K487" i="31"/>
  <c r="L487" i="31" s="1"/>
  <c r="K391" i="31"/>
  <c r="L391" i="31" s="1"/>
  <c r="K295" i="31"/>
  <c r="L295" i="31" s="1"/>
  <c r="K199" i="31"/>
  <c r="L199" i="31" s="1"/>
  <c r="K103" i="31"/>
  <c r="L103" i="31" s="1"/>
  <c r="K7" i="31"/>
  <c r="L7" i="31" s="1"/>
  <c r="K727" i="31"/>
  <c r="L727" i="31" s="1"/>
  <c r="K559" i="31"/>
  <c r="L559" i="31" s="1"/>
  <c r="K463" i="31"/>
  <c r="L463" i="31" s="1"/>
  <c r="K367" i="31"/>
  <c r="L367" i="31" s="1"/>
  <c r="K271" i="31"/>
  <c r="L271" i="31" s="1"/>
  <c r="K175" i="31"/>
  <c r="L175" i="31" s="1"/>
  <c r="K79" i="31"/>
  <c r="L79" i="31" s="1"/>
  <c r="K631" i="31"/>
  <c r="L631" i="31" s="1"/>
  <c r="K511" i="31"/>
  <c r="L511" i="31" s="1"/>
  <c r="K415" i="31"/>
  <c r="L415" i="31" s="1"/>
  <c r="K319" i="31"/>
  <c r="L319" i="31" s="1"/>
  <c r="K223" i="31"/>
  <c r="L223" i="31" s="1"/>
  <c r="K127" i="31"/>
  <c r="L127" i="31" s="1"/>
  <c r="K31" i="31"/>
  <c r="L31" i="31" s="1"/>
  <c r="K679" i="31"/>
  <c r="L679" i="31" s="1"/>
  <c r="K535" i="31"/>
  <c r="L535" i="31" s="1"/>
  <c r="K439" i="31"/>
  <c r="L439" i="31" s="1"/>
  <c r="K343" i="31"/>
  <c r="L343" i="31" s="1"/>
  <c r="K247" i="31"/>
  <c r="L247" i="31" s="1"/>
  <c r="K151" i="31"/>
  <c r="L151" i="31" s="1"/>
  <c r="K55" i="31"/>
  <c r="L55" i="31" s="1"/>
  <c r="K718" i="31"/>
  <c r="L718" i="31" s="1"/>
  <c r="K670" i="31"/>
  <c r="L670" i="31" s="1"/>
  <c r="K622" i="31"/>
  <c r="L622" i="31" s="1"/>
  <c r="K574" i="31"/>
  <c r="L574" i="31" s="1"/>
  <c r="K526" i="31"/>
  <c r="L526" i="31" s="1"/>
  <c r="K478" i="31"/>
  <c r="L478" i="31" s="1"/>
  <c r="K430" i="31"/>
  <c r="L430" i="31" s="1"/>
  <c r="K382" i="31"/>
  <c r="L382" i="31" s="1"/>
  <c r="K334" i="31"/>
  <c r="L334" i="31" s="1"/>
  <c r="K286" i="31"/>
  <c r="L286" i="31" s="1"/>
  <c r="K238" i="31"/>
  <c r="L238" i="31" s="1"/>
  <c r="K190" i="31"/>
  <c r="L190" i="31" s="1"/>
  <c r="K142" i="31"/>
  <c r="L142" i="31" s="1"/>
  <c r="K94" i="31"/>
  <c r="L94" i="31" s="1"/>
  <c r="K46" i="31"/>
  <c r="L46" i="31" s="1"/>
  <c r="K742" i="31"/>
  <c r="L742" i="31" s="1"/>
  <c r="K694" i="31"/>
  <c r="L694" i="31" s="1"/>
  <c r="K646" i="31"/>
  <c r="L646" i="31" s="1"/>
  <c r="K598" i="31"/>
  <c r="L598" i="31" s="1"/>
  <c r="K550" i="31"/>
  <c r="L550" i="31" s="1"/>
  <c r="K502" i="31"/>
  <c r="L502" i="31" s="1"/>
  <c r="K454" i="31"/>
  <c r="L454" i="31" s="1"/>
  <c r="K406" i="31"/>
  <c r="L406" i="31" s="1"/>
  <c r="K358" i="31"/>
  <c r="L358" i="31" s="1"/>
  <c r="K310" i="31"/>
  <c r="L310" i="31" s="1"/>
  <c r="K262" i="31"/>
  <c r="L262" i="31" s="1"/>
  <c r="K214" i="31"/>
  <c r="L214" i="31" s="1"/>
  <c r="K166" i="31"/>
  <c r="L166" i="31" s="1"/>
  <c r="K658" i="31"/>
  <c r="L658" i="31" s="1"/>
  <c r="K562" i="31"/>
  <c r="L562" i="31" s="1"/>
  <c r="K466" i="31"/>
  <c r="L466" i="31" s="1"/>
  <c r="K370" i="31"/>
  <c r="L370" i="31" s="1"/>
  <c r="K274" i="31"/>
  <c r="L274" i="31" s="1"/>
  <c r="K178" i="31"/>
  <c r="L178" i="31" s="1"/>
  <c r="K130" i="31"/>
  <c r="L130" i="31" s="1"/>
  <c r="K106" i="31"/>
  <c r="L106" i="31" s="1"/>
  <c r="K22" i="31"/>
  <c r="L22" i="31" s="1"/>
  <c r="K730" i="31"/>
  <c r="L730" i="31" s="1"/>
  <c r="K634" i="31"/>
  <c r="L634" i="31" s="1"/>
  <c r="K538" i="31"/>
  <c r="L538" i="31" s="1"/>
  <c r="K442" i="31"/>
  <c r="L442" i="31" s="1"/>
  <c r="K346" i="31"/>
  <c r="L346" i="31" s="1"/>
  <c r="K250" i="31"/>
  <c r="L250" i="31" s="1"/>
  <c r="K154" i="31"/>
  <c r="L154" i="31" s="1"/>
  <c r="K70" i="31"/>
  <c r="L70" i="31" s="1"/>
  <c r="K682" i="31"/>
  <c r="L682" i="31" s="1"/>
  <c r="K586" i="31"/>
  <c r="L586" i="31" s="1"/>
  <c r="K490" i="31"/>
  <c r="L490" i="31" s="1"/>
  <c r="K394" i="31"/>
  <c r="L394" i="31" s="1"/>
  <c r="K298" i="31"/>
  <c r="L298" i="31" s="1"/>
  <c r="K202" i="31"/>
  <c r="L202" i="31" s="1"/>
  <c r="K82" i="31"/>
  <c r="L82" i="31" s="1"/>
  <c r="K58" i="31"/>
  <c r="L58" i="31" s="1"/>
  <c r="K706" i="31"/>
  <c r="L706" i="31" s="1"/>
  <c r="K610" i="31"/>
  <c r="L610" i="31" s="1"/>
  <c r="K514" i="31"/>
  <c r="L514" i="31" s="1"/>
  <c r="K418" i="31"/>
  <c r="L418" i="31" s="1"/>
  <c r="K322" i="31"/>
  <c r="L322" i="31" s="1"/>
  <c r="K226" i="31"/>
  <c r="L226" i="31" s="1"/>
  <c r="K118" i="31"/>
  <c r="L118" i="31" s="1"/>
  <c r="K34" i="31"/>
  <c r="L34" i="31" s="1"/>
  <c r="K10" i="31"/>
  <c r="L10" i="31" s="1"/>
  <c r="K734" i="31"/>
  <c r="L734" i="31" s="1"/>
  <c r="K686" i="31"/>
  <c r="L686" i="31" s="1"/>
  <c r="K638" i="31"/>
  <c r="L638" i="31" s="1"/>
  <c r="K590" i="31"/>
  <c r="L590" i="31" s="1"/>
  <c r="K542" i="31"/>
  <c r="L542" i="31" s="1"/>
  <c r="K494" i="31"/>
  <c r="L494" i="31" s="1"/>
  <c r="K446" i="31"/>
  <c r="L446" i="31" s="1"/>
  <c r="K398" i="31"/>
  <c r="L398" i="31" s="1"/>
  <c r="K350" i="31"/>
  <c r="L350" i="31" s="1"/>
  <c r="K302" i="31"/>
  <c r="L302" i="31" s="1"/>
  <c r="K254" i="31"/>
  <c r="L254" i="31" s="1"/>
  <c r="K206" i="31"/>
  <c r="L206" i="31" s="1"/>
  <c r="K158" i="31"/>
  <c r="L158" i="31" s="1"/>
  <c r="K110" i="31"/>
  <c r="L110" i="31" s="1"/>
  <c r="K62" i="31"/>
  <c r="L62" i="31" s="1"/>
  <c r="K14" i="31"/>
  <c r="L14" i="31" s="1"/>
  <c r="K710" i="31"/>
  <c r="L710" i="31" s="1"/>
  <c r="K662" i="31"/>
  <c r="L662" i="31" s="1"/>
  <c r="K614" i="31"/>
  <c r="L614" i="31" s="1"/>
  <c r="K566" i="31"/>
  <c r="L566" i="31" s="1"/>
  <c r="K518" i="31"/>
  <c r="L518" i="31" s="1"/>
  <c r="K470" i="31"/>
  <c r="L470" i="31" s="1"/>
  <c r="K422" i="31"/>
  <c r="L422" i="31" s="1"/>
  <c r="K374" i="31"/>
  <c r="L374" i="31" s="1"/>
  <c r="K326" i="31"/>
  <c r="L326" i="31" s="1"/>
  <c r="K278" i="31"/>
  <c r="L278" i="31" s="1"/>
  <c r="K230" i="31"/>
  <c r="L230" i="31" s="1"/>
  <c r="K182" i="31"/>
  <c r="L182" i="31" s="1"/>
  <c r="K722" i="31"/>
  <c r="L722" i="31" s="1"/>
  <c r="K626" i="31"/>
  <c r="L626" i="31" s="1"/>
  <c r="K530" i="31"/>
  <c r="L530" i="31" s="1"/>
  <c r="K434" i="31"/>
  <c r="L434" i="31" s="1"/>
  <c r="K338" i="31"/>
  <c r="L338" i="31" s="1"/>
  <c r="K242" i="31"/>
  <c r="L242" i="31" s="1"/>
  <c r="K86" i="31"/>
  <c r="L86" i="31" s="1"/>
  <c r="K698" i="31"/>
  <c r="L698" i="31" s="1"/>
  <c r="K602" i="31"/>
  <c r="L602" i="31" s="1"/>
  <c r="K506" i="31"/>
  <c r="L506" i="31" s="1"/>
  <c r="K410" i="31"/>
  <c r="L410" i="31" s="1"/>
  <c r="K314" i="31"/>
  <c r="L314" i="31" s="1"/>
  <c r="K218" i="31"/>
  <c r="L218" i="31" s="1"/>
  <c r="K134" i="31"/>
  <c r="L134" i="31" s="1"/>
  <c r="K50" i="31"/>
  <c r="L50" i="31" s="1"/>
  <c r="K26" i="31"/>
  <c r="L26" i="31" s="1"/>
  <c r="K2" i="31"/>
  <c r="L2" i="31" s="1"/>
  <c r="K746" i="31"/>
  <c r="L746" i="31" s="1"/>
  <c r="K650" i="31"/>
  <c r="L650" i="31" s="1"/>
  <c r="K554" i="31"/>
  <c r="L554" i="31" s="1"/>
  <c r="K458" i="31"/>
  <c r="L458" i="31" s="1"/>
  <c r="K362" i="31"/>
  <c r="L362" i="31" s="1"/>
  <c r="K266" i="31"/>
  <c r="L266" i="31" s="1"/>
  <c r="K170" i="31"/>
  <c r="L170" i="31" s="1"/>
  <c r="K146" i="31"/>
  <c r="L146" i="31" s="1"/>
  <c r="K122" i="31"/>
  <c r="L122" i="31" s="1"/>
  <c r="K38" i="31"/>
  <c r="L38" i="31" s="1"/>
  <c r="K674" i="31"/>
  <c r="L674" i="31" s="1"/>
  <c r="K578" i="31"/>
  <c r="L578" i="31" s="1"/>
  <c r="K482" i="31"/>
  <c r="L482" i="31" s="1"/>
  <c r="K386" i="31"/>
  <c r="L386" i="31" s="1"/>
  <c r="K290" i="31"/>
  <c r="L290" i="31" s="1"/>
  <c r="K194" i="31"/>
  <c r="L194" i="31" s="1"/>
  <c r="K98" i="31"/>
  <c r="L98" i="31" s="1"/>
  <c r="K74" i="31"/>
  <c r="L74" i="31" s="1"/>
  <c r="K685" i="31"/>
  <c r="L685" i="31" s="1"/>
  <c r="K733" i="31"/>
  <c r="L733" i="31" s="1"/>
  <c r="K625" i="31"/>
  <c r="L625" i="31" s="1"/>
  <c r="K517" i="31"/>
  <c r="L517" i="31" s="1"/>
  <c r="K457" i="31"/>
  <c r="L457" i="31" s="1"/>
  <c r="K361" i="31"/>
  <c r="L361" i="31" s="1"/>
  <c r="K325" i="31"/>
  <c r="L325" i="31" s="1"/>
  <c r="K589" i="31"/>
  <c r="L589" i="31" s="1"/>
  <c r="K505" i="31"/>
  <c r="L505" i="31" s="1"/>
  <c r="K469" i="31"/>
  <c r="L469" i="31" s="1"/>
  <c r="K373" i="31"/>
  <c r="L373" i="31" s="1"/>
  <c r="K313" i="31"/>
  <c r="L313" i="31" s="1"/>
  <c r="K133" i="31"/>
  <c r="L133" i="31" s="1"/>
  <c r="K85" i="31"/>
  <c r="L85" i="31" s="1"/>
  <c r="K37" i="31"/>
  <c r="L37" i="31" s="1"/>
  <c r="K673" i="31"/>
  <c r="L673" i="31" s="1"/>
  <c r="K721" i="31"/>
  <c r="L721" i="31" s="1"/>
  <c r="K553" i="31"/>
  <c r="L553" i="31" s="1"/>
  <c r="K529" i="31"/>
  <c r="L529" i="31" s="1"/>
  <c r="K385" i="31"/>
  <c r="L385" i="31" s="1"/>
  <c r="K253" i="31"/>
  <c r="L253" i="31" s="1"/>
  <c r="K217" i="31"/>
  <c r="L217" i="31" s="1"/>
  <c r="K397" i="31"/>
  <c r="L397" i="31" s="1"/>
  <c r="K145" i="31"/>
  <c r="L145" i="31" s="1"/>
  <c r="K613" i="31"/>
  <c r="L613" i="31" s="1"/>
  <c r="K709" i="31"/>
  <c r="L709" i="31" s="1"/>
  <c r="K637" i="31"/>
  <c r="L637" i="31" s="1"/>
  <c r="K577" i="31"/>
  <c r="L577" i="31" s="1"/>
  <c r="K409" i="31"/>
  <c r="L409" i="31" s="1"/>
  <c r="K277" i="31"/>
  <c r="L277" i="31" s="1"/>
  <c r="K241" i="31"/>
  <c r="L241" i="31" s="1"/>
  <c r="K181" i="31"/>
  <c r="L181" i="31" s="1"/>
  <c r="K649" i="31"/>
  <c r="L649" i="31" s="1"/>
  <c r="K421" i="31"/>
  <c r="L421" i="31" s="1"/>
  <c r="K265" i="31"/>
  <c r="L265" i="31" s="1"/>
  <c r="K193" i="31"/>
  <c r="L193" i="31" s="1"/>
  <c r="K157" i="31"/>
  <c r="L157" i="31" s="1"/>
  <c r="K109" i="31"/>
  <c r="L109" i="31" s="1"/>
  <c r="K61" i="31"/>
  <c r="L61" i="31" s="1"/>
  <c r="K13" i="31"/>
  <c r="L13" i="31" s="1"/>
  <c r="K481" i="31"/>
  <c r="L481" i="31" s="1"/>
  <c r="K349" i="31"/>
  <c r="L349" i="31" s="1"/>
  <c r="K229" i="31"/>
  <c r="L229" i="31" s="1"/>
  <c r="K25" i="31"/>
  <c r="L25" i="31" s="1"/>
  <c r="K565" i="31"/>
  <c r="L565" i="31" s="1"/>
  <c r="K289" i="31"/>
  <c r="L289" i="31" s="1"/>
  <c r="K121" i="31"/>
  <c r="L121" i="31" s="1"/>
  <c r="K661" i="31"/>
  <c r="L661" i="31" s="1"/>
  <c r="K541" i="31"/>
  <c r="L541" i="31" s="1"/>
  <c r="K433" i="31"/>
  <c r="L433" i="31" s="1"/>
  <c r="K301" i="31"/>
  <c r="L301" i="31" s="1"/>
  <c r="K169" i="31"/>
  <c r="L169" i="31" s="1"/>
  <c r="K97" i="31"/>
  <c r="L97" i="31" s="1"/>
  <c r="K745" i="31"/>
  <c r="L745" i="31" s="1"/>
  <c r="K493" i="31"/>
  <c r="L493" i="31" s="1"/>
  <c r="K601" i="31"/>
  <c r="L601" i="31" s="1"/>
  <c r="K445" i="31"/>
  <c r="L445" i="31" s="1"/>
  <c r="K205" i="31"/>
  <c r="L205" i="31" s="1"/>
  <c r="K49" i="31"/>
  <c r="L49" i="31" s="1"/>
  <c r="K73" i="31"/>
  <c r="L73" i="31" s="1"/>
  <c r="K697" i="31"/>
  <c r="L697" i="31" s="1"/>
  <c r="K337" i="31"/>
  <c r="L337" i="31" s="1"/>
  <c r="K707" i="31"/>
  <c r="L707" i="31" s="1"/>
  <c r="K659" i="31"/>
  <c r="L659" i="31" s="1"/>
  <c r="K611" i="31"/>
  <c r="L611" i="31" s="1"/>
  <c r="K563" i="31"/>
  <c r="L563" i="31" s="1"/>
  <c r="K515" i="31"/>
  <c r="L515" i="31" s="1"/>
  <c r="K467" i="31"/>
  <c r="L467" i="31" s="1"/>
  <c r="K419" i="31"/>
  <c r="L419" i="31" s="1"/>
  <c r="K371" i="31"/>
  <c r="L371" i="31" s="1"/>
  <c r="K323" i="31"/>
  <c r="L323" i="31" s="1"/>
  <c r="K275" i="31"/>
  <c r="L275" i="31" s="1"/>
  <c r="K227" i="31"/>
  <c r="L227" i="31" s="1"/>
  <c r="K179" i="31"/>
  <c r="L179" i="31" s="1"/>
  <c r="K131" i="31"/>
  <c r="L131" i="31" s="1"/>
  <c r="K83" i="31"/>
  <c r="L83" i="31" s="1"/>
  <c r="K35" i="31"/>
  <c r="L35" i="31" s="1"/>
  <c r="K719" i="31"/>
  <c r="L719" i="31" s="1"/>
  <c r="K671" i="31"/>
  <c r="L671" i="31" s="1"/>
  <c r="K623" i="31"/>
  <c r="L623" i="31" s="1"/>
  <c r="K731" i="31"/>
  <c r="L731" i="31" s="1"/>
  <c r="K683" i="31"/>
  <c r="L683" i="31" s="1"/>
  <c r="K635" i="31"/>
  <c r="L635" i="31" s="1"/>
  <c r="K587" i="31"/>
  <c r="L587" i="31" s="1"/>
  <c r="K539" i="31"/>
  <c r="L539" i="31" s="1"/>
  <c r="K491" i="31"/>
  <c r="L491" i="31" s="1"/>
  <c r="K443" i="31"/>
  <c r="L443" i="31" s="1"/>
  <c r="K395" i="31"/>
  <c r="L395" i="31" s="1"/>
  <c r="K347" i="31"/>
  <c r="L347" i="31" s="1"/>
  <c r="K299" i="31"/>
  <c r="L299" i="31" s="1"/>
  <c r="K251" i="31"/>
  <c r="L251" i="31" s="1"/>
  <c r="K203" i="31"/>
  <c r="L203" i="31" s="1"/>
  <c r="K155" i="31"/>
  <c r="L155" i="31" s="1"/>
  <c r="K107" i="31"/>
  <c r="L107" i="31" s="1"/>
  <c r="K59" i="31"/>
  <c r="L59" i="31" s="1"/>
  <c r="K11" i="31"/>
  <c r="L11" i="31" s="1"/>
  <c r="K647" i="31"/>
  <c r="L647" i="31" s="1"/>
  <c r="K551" i="31"/>
  <c r="L551" i="31" s="1"/>
  <c r="K455" i="31"/>
  <c r="L455" i="31" s="1"/>
  <c r="K359" i="31"/>
  <c r="L359" i="31" s="1"/>
  <c r="K263" i="31"/>
  <c r="L263" i="31" s="1"/>
  <c r="K167" i="31"/>
  <c r="L167" i="31" s="1"/>
  <c r="K71" i="31"/>
  <c r="L71" i="31" s="1"/>
  <c r="K599" i="31"/>
  <c r="L599" i="31" s="1"/>
  <c r="K527" i="31"/>
  <c r="L527" i="31" s="1"/>
  <c r="K431" i="31"/>
  <c r="L431" i="31" s="1"/>
  <c r="K335" i="31"/>
  <c r="L335" i="31" s="1"/>
  <c r="K239" i="31"/>
  <c r="L239" i="31" s="1"/>
  <c r="K143" i="31"/>
  <c r="L143" i="31" s="1"/>
  <c r="K47" i="31"/>
  <c r="L47" i="31" s="1"/>
  <c r="K695" i="31"/>
  <c r="L695" i="31" s="1"/>
  <c r="K575" i="31"/>
  <c r="L575" i="31" s="1"/>
  <c r="K479" i="31"/>
  <c r="L479" i="31" s="1"/>
  <c r="K383" i="31"/>
  <c r="L383" i="31" s="1"/>
  <c r="K287" i="31"/>
  <c r="L287" i="31" s="1"/>
  <c r="K191" i="31"/>
  <c r="L191" i="31" s="1"/>
  <c r="K95" i="31"/>
  <c r="L95" i="31" s="1"/>
  <c r="K743" i="31"/>
  <c r="L743" i="31" s="1"/>
  <c r="K503" i="31"/>
  <c r="L503" i="31" s="1"/>
  <c r="K407" i="31"/>
  <c r="L407" i="31" s="1"/>
  <c r="K311" i="31"/>
  <c r="L311" i="31" s="1"/>
  <c r="K215" i="31"/>
  <c r="L215" i="31" s="1"/>
  <c r="K119" i="31"/>
  <c r="L119" i="31" s="1"/>
  <c r="K23" i="31"/>
  <c r="L23" i="31" s="1"/>
  <c r="K723" i="31"/>
  <c r="L723" i="31" s="1"/>
  <c r="K675" i="31"/>
  <c r="L675" i="31" s="1"/>
  <c r="K627" i="31"/>
  <c r="L627" i="31" s="1"/>
  <c r="K579" i="31"/>
  <c r="L579" i="31" s="1"/>
  <c r="K531" i="31"/>
  <c r="L531" i="31" s="1"/>
  <c r="K483" i="31"/>
  <c r="L483" i="31" s="1"/>
  <c r="K435" i="31"/>
  <c r="L435" i="31" s="1"/>
  <c r="K387" i="31"/>
  <c r="L387" i="31" s="1"/>
  <c r="K339" i="31"/>
  <c r="L339" i="31" s="1"/>
  <c r="K291" i="31"/>
  <c r="L291" i="31" s="1"/>
  <c r="K243" i="31"/>
  <c r="L243" i="31" s="1"/>
  <c r="K195" i="31"/>
  <c r="L195" i="31" s="1"/>
  <c r="K147" i="31"/>
  <c r="L147" i="31" s="1"/>
  <c r="K99" i="31"/>
  <c r="L99" i="31" s="1"/>
  <c r="K51" i="31"/>
  <c r="L51" i="31" s="1"/>
  <c r="K3" i="31"/>
  <c r="L3" i="31" s="1"/>
  <c r="K735" i="31"/>
  <c r="L735" i="31" s="1"/>
  <c r="K687" i="31"/>
  <c r="L687" i="31" s="1"/>
  <c r="K639" i="31"/>
  <c r="L639" i="31" s="1"/>
  <c r="K591" i="31"/>
  <c r="L591" i="31" s="1"/>
  <c r="K747" i="31"/>
  <c r="L747" i="31" s="1"/>
  <c r="K699" i="31"/>
  <c r="L699" i="31" s="1"/>
  <c r="K651" i="31"/>
  <c r="L651" i="31" s="1"/>
  <c r="K603" i="31"/>
  <c r="L603" i="31" s="1"/>
  <c r="K555" i="31"/>
  <c r="L555" i="31" s="1"/>
  <c r="K507" i="31"/>
  <c r="L507" i="31" s="1"/>
  <c r="K459" i="31"/>
  <c r="L459" i="31" s="1"/>
  <c r="K411" i="31"/>
  <c r="L411" i="31" s="1"/>
  <c r="K363" i="31"/>
  <c r="L363" i="31" s="1"/>
  <c r="K315" i="31"/>
  <c r="L315" i="31" s="1"/>
  <c r="K267" i="31"/>
  <c r="L267" i="31" s="1"/>
  <c r="K219" i="31"/>
  <c r="L219" i="31" s="1"/>
  <c r="K171" i="31"/>
  <c r="L171" i="31" s="1"/>
  <c r="K123" i="31"/>
  <c r="L123" i="31" s="1"/>
  <c r="K75" i="31"/>
  <c r="L75" i="31" s="1"/>
  <c r="K27" i="31"/>
  <c r="L27" i="31" s="1"/>
  <c r="K711" i="31"/>
  <c r="L711" i="31" s="1"/>
  <c r="K519" i="31"/>
  <c r="L519" i="31" s="1"/>
  <c r="K423" i="31"/>
  <c r="L423" i="31" s="1"/>
  <c r="K327" i="31"/>
  <c r="L327" i="31" s="1"/>
  <c r="K231" i="31"/>
  <c r="L231" i="31" s="1"/>
  <c r="K135" i="31"/>
  <c r="L135" i="31" s="1"/>
  <c r="K39" i="31"/>
  <c r="L39" i="31" s="1"/>
  <c r="K663" i="31"/>
  <c r="L663" i="31" s="1"/>
  <c r="K495" i="31"/>
  <c r="L495" i="31" s="1"/>
  <c r="K399" i="31"/>
  <c r="L399" i="31" s="1"/>
  <c r="K303" i="31"/>
  <c r="L303" i="31" s="1"/>
  <c r="K207" i="31"/>
  <c r="L207" i="31" s="1"/>
  <c r="K111" i="31"/>
  <c r="L111" i="31" s="1"/>
  <c r="K15" i="31"/>
  <c r="L15" i="31" s="1"/>
  <c r="K543" i="31"/>
  <c r="L543" i="31" s="1"/>
  <c r="K447" i="31"/>
  <c r="L447" i="31" s="1"/>
  <c r="K351" i="31"/>
  <c r="L351" i="31" s="1"/>
  <c r="K255" i="31"/>
  <c r="L255" i="31" s="1"/>
  <c r="K159" i="31"/>
  <c r="L159" i="31" s="1"/>
  <c r="K63" i="31"/>
  <c r="L63" i="31" s="1"/>
  <c r="K615" i="31"/>
  <c r="L615" i="31" s="1"/>
  <c r="K567" i="31"/>
  <c r="L567" i="31" s="1"/>
  <c r="K471" i="31"/>
  <c r="L471" i="31" s="1"/>
  <c r="K375" i="31"/>
  <c r="L375" i="31" s="1"/>
  <c r="K279" i="31"/>
  <c r="L279" i="31" s="1"/>
  <c r="K183" i="31"/>
  <c r="L183" i="31" s="1"/>
  <c r="K87" i="31"/>
  <c r="L87" i="31" s="1"/>
  <c r="K702" i="31"/>
  <c r="L702" i="31" s="1"/>
  <c r="K654" i="31"/>
  <c r="L654" i="31" s="1"/>
  <c r="K606" i="31"/>
  <c r="L606" i="31" s="1"/>
  <c r="K558" i="31"/>
  <c r="L558" i="31" s="1"/>
  <c r="K510" i="31"/>
  <c r="L510" i="31" s="1"/>
  <c r="K462" i="31"/>
  <c r="L462" i="31" s="1"/>
  <c r="K414" i="31"/>
  <c r="L414" i="31" s="1"/>
  <c r="K366" i="31"/>
  <c r="L366" i="31" s="1"/>
  <c r="K318" i="31"/>
  <c r="L318" i="31" s="1"/>
  <c r="K270" i="31"/>
  <c r="L270" i="31" s="1"/>
  <c r="K222" i="31"/>
  <c r="L222" i="31" s="1"/>
  <c r="K174" i="31"/>
  <c r="L174" i="31" s="1"/>
  <c r="K126" i="31"/>
  <c r="L126" i="31" s="1"/>
  <c r="K78" i="31"/>
  <c r="L78" i="31" s="1"/>
  <c r="K30" i="31"/>
  <c r="L30" i="31" s="1"/>
  <c r="K726" i="31"/>
  <c r="L726" i="31" s="1"/>
  <c r="K678" i="31"/>
  <c r="L678" i="31" s="1"/>
  <c r="K630" i="31"/>
  <c r="L630" i="31" s="1"/>
  <c r="K582" i="31"/>
  <c r="L582" i="31" s="1"/>
  <c r="K534" i="31"/>
  <c r="L534" i="31" s="1"/>
  <c r="K486" i="31"/>
  <c r="L486" i="31" s="1"/>
  <c r="K438" i="31"/>
  <c r="L438" i="31" s="1"/>
  <c r="K390" i="31"/>
  <c r="L390" i="31" s="1"/>
  <c r="K342" i="31"/>
  <c r="L342" i="31" s="1"/>
  <c r="K294" i="31"/>
  <c r="L294" i="31" s="1"/>
  <c r="K246" i="31"/>
  <c r="L246" i="31" s="1"/>
  <c r="K198" i="31"/>
  <c r="L198" i="31" s="1"/>
  <c r="K690" i="31"/>
  <c r="L690" i="31" s="1"/>
  <c r="K594" i="31"/>
  <c r="L594" i="31" s="1"/>
  <c r="K498" i="31"/>
  <c r="L498" i="31" s="1"/>
  <c r="K402" i="31"/>
  <c r="L402" i="31" s="1"/>
  <c r="K306" i="31"/>
  <c r="L306" i="31" s="1"/>
  <c r="K210" i="31"/>
  <c r="L210" i="31" s="1"/>
  <c r="K150" i="31"/>
  <c r="L150" i="31" s="1"/>
  <c r="K66" i="31"/>
  <c r="L66" i="31" s="1"/>
  <c r="K42" i="31"/>
  <c r="L42" i="31" s="1"/>
  <c r="K6" i="31"/>
  <c r="L6" i="31" s="1"/>
  <c r="K666" i="31"/>
  <c r="L666" i="31" s="1"/>
  <c r="K570" i="31"/>
  <c r="L570" i="31" s="1"/>
  <c r="K474" i="31"/>
  <c r="L474" i="31" s="1"/>
  <c r="K378" i="31"/>
  <c r="L378" i="31" s="1"/>
  <c r="K282" i="31"/>
  <c r="L282" i="31" s="1"/>
  <c r="K186" i="31"/>
  <c r="L186" i="31" s="1"/>
  <c r="K114" i="31"/>
  <c r="L114" i="31" s="1"/>
  <c r="K90" i="31"/>
  <c r="L90" i="31" s="1"/>
  <c r="K714" i="31"/>
  <c r="L714" i="31" s="1"/>
  <c r="K618" i="31"/>
  <c r="L618" i="31" s="1"/>
  <c r="K522" i="31"/>
  <c r="L522" i="31" s="1"/>
  <c r="K426" i="31"/>
  <c r="L426" i="31" s="1"/>
  <c r="K330" i="31"/>
  <c r="L330" i="31" s="1"/>
  <c r="K234" i="31"/>
  <c r="L234" i="31" s="1"/>
  <c r="K102" i="31"/>
  <c r="L102" i="31" s="1"/>
  <c r="K18" i="31"/>
  <c r="L18" i="31" s="1"/>
  <c r="K738" i="31"/>
  <c r="L738" i="31" s="1"/>
  <c r="K642" i="31"/>
  <c r="L642" i="31" s="1"/>
  <c r="K546" i="31"/>
  <c r="L546" i="31" s="1"/>
  <c r="K450" i="31"/>
  <c r="L450" i="31" s="1"/>
  <c r="K354" i="31"/>
  <c r="L354" i="31" s="1"/>
  <c r="K258" i="31"/>
  <c r="L258" i="31" s="1"/>
  <c r="K162" i="31"/>
  <c r="L162" i="31" s="1"/>
  <c r="K138" i="31"/>
  <c r="L138" i="31" s="1"/>
  <c r="K54" i="31"/>
  <c r="L54" i="31" s="1"/>
  <c r="K561" i="31"/>
  <c r="L561" i="31" s="1"/>
  <c r="K537" i="31"/>
  <c r="L537" i="31" s="1"/>
  <c r="K393" i="31"/>
  <c r="L393" i="31" s="1"/>
  <c r="K261" i="31"/>
  <c r="L261" i="31" s="1"/>
  <c r="K225" i="31"/>
  <c r="L225" i="31" s="1"/>
  <c r="K717" i="31"/>
  <c r="L717" i="31" s="1"/>
  <c r="K405" i="31"/>
  <c r="L405" i="31" s="1"/>
  <c r="K249" i="31"/>
  <c r="L249" i="31" s="1"/>
  <c r="K201" i="31"/>
  <c r="L201" i="31" s="1"/>
  <c r="K165" i="31"/>
  <c r="L165" i="31" s="1"/>
  <c r="K117" i="31"/>
  <c r="L117" i="31" s="1"/>
  <c r="K69" i="31"/>
  <c r="L69" i="31" s="1"/>
  <c r="K21" i="31"/>
  <c r="L21" i="31" s="1"/>
  <c r="K729" i="31"/>
  <c r="L729" i="31" s="1"/>
  <c r="K681" i="31"/>
  <c r="L681" i="31" s="1"/>
  <c r="K645" i="31"/>
  <c r="L645" i="31" s="1"/>
  <c r="K585" i="31"/>
  <c r="L585" i="31" s="1"/>
  <c r="K477" i="31"/>
  <c r="L477" i="31" s="1"/>
  <c r="K417" i="31"/>
  <c r="L417" i="31" s="1"/>
  <c r="K285" i="31"/>
  <c r="L285" i="31" s="1"/>
  <c r="K705" i="31"/>
  <c r="L705" i="31" s="1"/>
  <c r="K657" i="31"/>
  <c r="L657" i="31" s="1"/>
  <c r="K621" i="31"/>
  <c r="L621" i="31" s="1"/>
  <c r="K429" i="31"/>
  <c r="L429" i="31" s="1"/>
  <c r="K333" i="31"/>
  <c r="L333" i="31" s="1"/>
  <c r="K273" i="31"/>
  <c r="L273" i="31" s="1"/>
  <c r="K213" i="31"/>
  <c r="L213" i="31" s="1"/>
  <c r="K177" i="31"/>
  <c r="L177" i="31" s="1"/>
  <c r="K129" i="31"/>
  <c r="L129" i="31" s="1"/>
  <c r="K669" i="31"/>
  <c r="L669" i="31" s="1"/>
  <c r="K549" i="31"/>
  <c r="L549" i="31" s="1"/>
  <c r="K525" i="31"/>
  <c r="L525" i="31" s="1"/>
  <c r="K501" i="31"/>
  <c r="L501" i="31" s="1"/>
  <c r="K441" i="31"/>
  <c r="L441" i="31" s="1"/>
  <c r="K345" i="31"/>
  <c r="L345" i="31" s="1"/>
  <c r="K309" i="31"/>
  <c r="L309" i="31" s="1"/>
  <c r="K741" i="31"/>
  <c r="L741" i="31" s="1"/>
  <c r="K693" i="31"/>
  <c r="L693" i="31" s="1"/>
  <c r="K609" i="31"/>
  <c r="L609" i="31" s="1"/>
  <c r="K573" i="31"/>
  <c r="L573" i="31" s="1"/>
  <c r="K489" i="31"/>
  <c r="L489" i="31" s="1"/>
  <c r="K453" i="31"/>
  <c r="L453" i="31" s="1"/>
  <c r="K357" i="31"/>
  <c r="L357" i="31" s="1"/>
  <c r="K297" i="31"/>
  <c r="L297" i="31" s="1"/>
  <c r="K237" i="31"/>
  <c r="L237" i="31" s="1"/>
  <c r="K141" i="31"/>
  <c r="L141" i="31" s="1"/>
  <c r="K93" i="31"/>
  <c r="L93" i="31" s="1"/>
  <c r="K45" i="31"/>
  <c r="L45" i="31" s="1"/>
  <c r="K633" i="31"/>
  <c r="L633" i="31" s="1"/>
  <c r="K153" i="31"/>
  <c r="L153" i="31" s="1"/>
  <c r="K57" i="31"/>
  <c r="L57" i="31" s="1"/>
  <c r="K189" i="31"/>
  <c r="L189" i="31" s="1"/>
  <c r="K513" i="31"/>
  <c r="L513" i="31" s="1"/>
  <c r="K381" i="31"/>
  <c r="L381" i="31" s="1"/>
  <c r="K33" i="31"/>
  <c r="L33" i="31" s="1"/>
  <c r="K597" i="31"/>
  <c r="L597" i="31" s="1"/>
  <c r="K369" i="31"/>
  <c r="L369" i="31" s="1"/>
  <c r="K321" i="31"/>
  <c r="L321" i="31" s="1"/>
  <c r="K81" i="31"/>
  <c r="L81" i="31" s="1"/>
  <c r="K105" i="31"/>
  <c r="L105" i="31" s="1"/>
  <c r="K9" i="31"/>
  <c r="L9" i="31" s="1"/>
  <c r="K465" i="31"/>
  <c r="L465" i="31" s="1"/>
  <c r="K737" i="31"/>
  <c r="L737" i="31" s="1"/>
  <c r="K689" i="31"/>
  <c r="L689" i="31" s="1"/>
  <c r="K653" i="31"/>
  <c r="L653" i="31" s="1"/>
  <c r="K593" i="31"/>
  <c r="L593" i="31" s="1"/>
  <c r="K485" i="31"/>
  <c r="L485" i="31" s="1"/>
  <c r="K425" i="31"/>
  <c r="L425" i="31" s="1"/>
  <c r="K293" i="31"/>
  <c r="L293" i="31" s="1"/>
  <c r="K665" i="31"/>
  <c r="L665" i="31" s="1"/>
  <c r="K629" i="31"/>
  <c r="L629" i="31" s="1"/>
  <c r="K557" i="31"/>
  <c r="L557" i="31" s="1"/>
  <c r="K437" i="31"/>
  <c r="L437" i="31" s="1"/>
  <c r="K341" i="31"/>
  <c r="L341" i="31" s="1"/>
  <c r="K281" i="31"/>
  <c r="L281" i="31" s="1"/>
  <c r="K221" i="31"/>
  <c r="L221" i="31" s="1"/>
  <c r="K185" i="31"/>
  <c r="L185" i="31" s="1"/>
  <c r="K149" i="31"/>
  <c r="L149" i="31" s="1"/>
  <c r="K101" i="31"/>
  <c r="L101" i="31" s="1"/>
  <c r="K53" i="31"/>
  <c r="L53" i="31" s="1"/>
  <c r="K5" i="31"/>
  <c r="L5" i="31" s="1"/>
  <c r="K617" i="31"/>
  <c r="L617" i="31" s="1"/>
  <c r="K509" i="31"/>
  <c r="L509" i="31" s="1"/>
  <c r="K449" i="31"/>
  <c r="L449" i="31" s="1"/>
  <c r="K353" i="31"/>
  <c r="L353" i="31" s="1"/>
  <c r="K317" i="31"/>
  <c r="L317" i="31" s="1"/>
  <c r="K581" i="31"/>
  <c r="L581" i="31" s="1"/>
  <c r="K545" i="31"/>
  <c r="L545" i="31" s="1"/>
  <c r="K497" i="31"/>
  <c r="L497" i="31" s="1"/>
  <c r="K461" i="31"/>
  <c r="L461" i="31" s="1"/>
  <c r="K365" i="31"/>
  <c r="L365" i="31" s="1"/>
  <c r="K305" i="31"/>
  <c r="L305" i="31" s="1"/>
  <c r="K245" i="31"/>
  <c r="L245" i="31" s="1"/>
  <c r="K197" i="31"/>
  <c r="L197" i="31" s="1"/>
  <c r="K161" i="31"/>
  <c r="L161" i="31" s="1"/>
  <c r="K113" i="31"/>
  <c r="L113" i="31" s="1"/>
  <c r="K713" i="31"/>
  <c r="L713" i="31" s="1"/>
  <c r="K605" i="31"/>
  <c r="L605" i="31" s="1"/>
  <c r="K473" i="31"/>
  <c r="L473" i="31" s="1"/>
  <c r="K377" i="31"/>
  <c r="L377" i="31" s="1"/>
  <c r="K533" i="31"/>
  <c r="L533" i="31" s="1"/>
  <c r="K389" i="31"/>
  <c r="L389" i="31" s="1"/>
  <c r="K329" i="31"/>
  <c r="L329" i="31" s="1"/>
  <c r="K209" i="31"/>
  <c r="L209" i="31" s="1"/>
  <c r="K173" i="31"/>
  <c r="L173" i="31" s="1"/>
  <c r="K125" i="31"/>
  <c r="L125" i="31" s="1"/>
  <c r="K77" i="31"/>
  <c r="L77" i="31" s="1"/>
  <c r="K29" i="31"/>
  <c r="L29" i="31" s="1"/>
  <c r="K701" i="31"/>
  <c r="L701" i="31" s="1"/>
  <c r="K521" i="31"/>
  <c r="L521" i="31" s="1"/>
  <c r="K401" i="31"/>
  <c r="L401" i="31" s="1"/>
  <c r="K269" i="31"/>
  <c r="L269" i="31" s="1"/>
  <c r="K641" i="31"/>
  <c r="L641" i="31" s="1"/>
  <c r="K89" i="31"/>
  <c r="L89" i="31" s="1"/>
  <c r="K725" i="31"/>
  <c r="L725" i="31" s="1"/>
  <c r="K413" i="31"/>
  <c r="L413" i="31" s="1"/>
  <c r="K677" i="31"/>
  <c r="L677" i="31" s="1"/>
  <c r="K257" i="31"/>
  <c r="L257" i="31" s="1"/>
  <c r="K65" i="31"/>
  <c r="L65" i="31" s="1"/>
  <c r="K233" i="31"/>
  <c r="L233" i="31" s="1"/>
  <c r="K137" i="31"/>
  <c r="L137" i="31" s="1"/>
  <c r="K17" i="31"/>
  <c r="L17" i="31" s="1"/>
  <c r="K41" i="31"/>
  <c r="L41" i="31" s="1"/>
  <c r="K569" i="31"/>
  <c r="L569" i="31" s="1"/>
  <c r="K68" i="31"/>
  <c r="L68" i="31" s="1"/>
  <c r="K260" i="31"/>
  <c r="L260" i="31" s="1"/>
  <c r="K344" i="31"/>
  <c r="L344" i="31" s="1"/>
  <c r="K440" i="31"/>
  <c r="L440" i="31" s="1"/>
  <c r="K536" i="31"/>
  <c r="L536" i="31" s="1"/>
  <c r="K632" i="31"/>
  <c r="L632" i="31" s="1"/>
  <c r="K656" i="31"/>
  <c r="L656" i="31" s="1"/>
  <c r="K680" i="31"/>
  <c r="L680" i="31" s="1"/>
  <c r="K704" i="31"/>
  <c r="L704" i="31" s="1"/>
  <c r="K728" i="31"/>
  <c r="L728" i="31" s="1"/>
  <c r="K668" i="31"/>
  <c r="L668" i="31" s="1"/>
  <c r="K512" i="31"/>
  <c r="L512" i="31" s="1"/>
  <c r="K212" i="31"/>
  <c r="L212" i="31" s="1"/>
  <c r="K644" i="31"/>
  <c r="L644" i="31" s="1"/>
  <c r="K560" i="31"/>
  <c r="L560" i="31" s="1"/>
  <c r="K116" i="31"/>
  <c r="L116" i="31" s="1"/>
  <c r="K620" i="31"/>
  <c r="L620" i="31" s="1"/>
  <c r="K548" i="31"/>
  <c r="L548" i="31" s="1"/>
  <c r="K476" i="31"/>
  <c r="L476" i="31" s="1"/>
  <c r="K284" i="31"/>
  <c r="L284" i="31" s="1"/>
  <c r="K200" i="31"/>
  <c r="L200" i="31" s="1"/>
  <c r="K596" i="31"/>
  <c r="L596" i="31" s="1"/>
  <c r="K296" i="31"/>
  <c r="L296" i="31" s="1"/>
  <c r="K128" i="31"/>
  <c r="L128" i="31" s="1"/>
  <c r="K92" i="31"/>
  <c r="L92" i="31" s="1"/>
  <c r="K56" i="31"/>
  <c r="L56" i="31" s="1"/>
  <c r="K8" i="31"/>
  <c r="L8" i="31" s="1"/>
  <c r="K716" i="31"/>
  <c r="L716" i="31" s="1"/>
  <c r="K488" i="31"/>
  <c r="L488" i="31" s="1"/>
  <c r="K416" i="31"/>
  <c r="L416" i="31" s="1"/>
  <c r="K692" i="31"/>
  <c r="L692" i="31" s="1"/>
  <c r="K368" i="31"/>
  <c r="L368" i="31" s="1"/>
  <c r="K272" i="31"/>
  <c r="L272" i="31" s="1"/>
  <c r="K188" i="31"/>
  <c r="L188" i="31" s="1"/>
  <c r="K44" i="31"/>
  <c r="L44" i="31" s="1"/>
  <c r="K464" i="31"/>
  <c r="L464" i="31" s="1"/>
  <c r="K392" i="31"/>
  <c r="L392" i="31" s="1"/>
  <c r="K740" i="31"/>
  <c r="L740" i="31" s="1"/>
  <c r="K608" i="31"/>
  <c r="L608" i="31" s="1"/>
  <c r="K20" i="31"/>
  <c r="L20" i="31" s="1"/>
  <c r="K380" i="31"/>
  <c r="L380" i="31" s="1"/>
  <c r="K308" i="31"/>
  <c r="L308" i="31" s="1"/>
  <c r="K176" i="31"/>
  <c r="L176" i="31" s="1"/>
  <c r="K32" i="31"/>
  <c r="L32" i="31" s="1"/>
  <c r="K452" i="31"/>
  <c r="L452" i="31" s="1"/>
  <c r="K332" i="31"/>
  <c r="L332" i="31" s="1"/>
  <c r="K236" i="31"/>
  <c r="L236" i="31" s="1"/>
  <c r="K152" i="31"/>
  <c r="L152" i="31" s="1"/>
  <c r="K320" i="31"/>
  <c r="L320" i="31" s="1"/>
  <c r="K500" i="31"/>
  <c r="L500" i="31" s="1"/>
  <c r="K104" i="31"/>
  <c r="L104" i="31" s="1"/>
  <c r="K572" i="31"/>
  <c r="L572" i="31" s="1"/>
  <c r="K524" i="31"/>
  <c r="L524" i="31" s="1"/>
  <c r="K404" i="31"/>
  <c r="L404" i="31" s="1"/>
  <c r="K584" i="31"/>
  <c r="L584" i="31" s="1"/>
  <c r="K164" i="31"/>
  <c r="L164" i="31" s="1"/>
  <c r="K428" i="31"/>
  <c r="L428" i="31" s="1"/>
  <c r="K248" i="31"/>
  <c r="L248" i="31" s="1"/>
  <c r="K80" i="31"/>
  <c r="L80" i="31" s="1"/>
  <c r="K356" i="31"/>
  <c r="L356" i="31" s="1"/>
  <c r="K224" i="31"/>
  <c r="L224" i="31" s="1"/>
  <c r="K140" i="31"/>
  <c r="L140" i="31" s="1"/>
  <c r="K4" i="31"/>
  <c r="L4" i="31" s="1"/>
  <c r="K196" i="31"/>
  <c r="L196" i="31" s="1"/>
  <c r="K376" i="31"/>
  <c r="L376" i="31" s="1"/>
  <c r="K472" i="31"/>
  <c r="L472" i="31" s="1"/>
  <c r="K568" i="31"/>
  <c r="L568" i="31" s="1"/>
  <c r="K664" i="31"/>
  <c r="L664" i="31" s="1"/>
  <c r="K688" i="31"/>
  <c r="L688" i="31" s="1"/>
  <c r="K712" i="31"/>
  <c r="L712" i="31" s="1"/>
  <c r="K736" i="31"/>
  <c r="L736" i="31" s="1"/>
  <c r="K592" i="31"/>
  <c r="L592" i="31" s="1"/>
  <c r="K52" i="31"/>
  <c r="L52" i="31" s="1"/>
  <c r="K304" i="31"/>
  <c r="L304" i="31" s="1"/>
  <c r="K412" i="31"/>
  <c r="L412" i="31" s="1"/>
  <c r="K340" i="31"/>
  <c r="L340" i="31" s="1"/>
  <c r="K16" i="31"/>
  <c r="L16" i="31" s="1"/>
  <c r="K532" i="31"/>
  <c r="L532" i="31" s="1"/>
  <c r="K484" i="31"/>
  <c r="L484" i="31" s="1"/>
  <c r="K364" i="31"/>
  <c r="L364" i="31" s="1"/>
  <c r="K256" i="31"/>
  <c r="L256" i="31" s="1"/>
  <c r="K172" i="31"/>
  <c r="L172" i="31" s="1"/>
  <c r="K652" i="31"/>
  <c r="L652" i="31" s="1"/>
  <c r="K328" i="31"/>
  <c r="L328" i="31" s="1"/>
  <c r="K544" i="31"/>
  <c r="L544" i="31" s="1"/>
  <c r="K448" i="31"/>
  <c r="L448" i="31" s="1"/>
  <c r="K460" i="31"/>
  <c r="L460" i="31" s="1"/>
  <c r="K232" i="31"/>
  <c r="L232" i="31" s="1"/>
  <c r="K700" i="31"/>
  <c r="L700" i="31" s="1"/>
  <c r="K640" i="31"/>
  <c r="L640" i="31" s="1"/>
  <c r="K292" i="31"/>
  <c r="L292" i="31" s="1"/>
  <c r="K148" i="31"/>
  <c r="L148" i="31" s="1"/>
  <c r="K676" i="31"/>
  <c r="L676" i="31" s="1"/>
  <c r="K520" i="31"/>
  <c r="L520" i="31" s="1"/>
  <c r="K424" i="31"/>
  <c r="L424" i="31" s="1"/>
  <c r="K352" i="31"/>
  <c r="L352" i="31" s="1"/>
  <c r="K268" i="31"/>
  <c r="L268" i="31" s="1"/>
  <c r="K220" i="31"/>
  <c r="L220" i="31" s="1"/>
  <c r="K136" i="31"/>
  <c r="L136" i="31" s="1"/>
  <c r="K88" i="31"/>
  <c r="L88" i="31" s="1"/>
  <c r="K628" i="31"/>
  <c r="L628" i="31" s="1"/>
  <c r="K508" i="31"/>
  <c r="L508" i="31" s="1"/>
  <c r="K388" i="31"/>
  <c r="L388" i="31" s="1"/>
  <c r="K280" i="31"/>
  <c r="L280" i="31" s="1"/>
  <c r="K112" i="31"/>
  <c r="L112" i="31" s="1"/>
  <c r="K40" i="31"/>
  <c r="L40" i="31" s="1"/>
  <c r="K616" i="31"/>
  <c r="L616" i="31" s="1"/>
  <c r="K244" i="31"/>
  <c r="L244" i="31" s="1"/>
  <c r="K76" i="31"/>
  <c r="L76" i="31" s="1"/>
  <c r="K604" i="31"/>
  <c r="L604" i="31" s="1"/>
  <c r="K184" i="31"/>
  <c r="L184" i="31" s="1"/>
  <c r="K28" i="31"/>
  <c r="L28" i="31" s="1"/>
  <c r="K496" i="31"/>
  <c r="L496" i="31" s="1"/>
  <c r="K724" i="31"/>
  <c r="L724" i="31" s="1"/>
  <c r="K400" i="31"/>
  <c r="L400" i="31" s="1"/>
  <c r="K124" i="31"/>
  <c r="L124" i="31" s="1"/>
  <c r="K100" i="31"/>
  <c r="L100" i="31" s="1"/>
  <c r="K208" i="31"/>
  <c r="L208" i="31" s="1"/>
  <c r="K580" i="31"/>
  <c r="L580" i="31" s="1"/>
  <c r="K160" i="31"/>
  <c r="L160" i="31" s="1"/>
  <c r="K556" i="31"/>
  <c r="L556" i="31" s="1"/>
  <c r="K436" i="31"/>
  <c r="L436" i="31" s="1"/>
  <c r="K316" i="31"/>
  <c r="L316" i="31" s="1"/>
  <c r="K64" i="31"/>
  <c r="L64" i="31" s="1"/>
  <c r="E15" i="31"/>
  <c r="K132" i="31"/>
  <c r="L132" i="31" s="1"/>
  <c r="K312" i="31"/>
  <c r="L312" i="31" s="1"/>
  <c r="K408" i="31"/>
  <c r="L408" i="31" s="1"/>
  <c r="K504" i="31"/>
  <c r="L504" i="31" s="1"/>
  <c r="K600" i="31"/>
  <c r="L600" i="31" s="1"/>
  <c r="K648" i="31"/>
  <c r="L648" i="31" s="1"/>
  <c r="K672" i="31"/>
  <c r="L672" i="31" s="1"/>
  <c r="K696" i="31"/>
  <c r="L696" i="31" s="1"/>
  <c r="K720" i="31"/>
  <c r="L720" i="31" s="1"/>
  <c r="K744" i="31"/>
  <c r="L744" i="31" s="1"/>
  <c r="K732" i="31"/>
  <c r="L732" i="31" s="1"/>
  <c r="K432" i="31"/>
  <c r="L432" i="31" s="1"/>
  <c r="K336" i="31"/>
  <c r="L336" i="31" s="1"/>
  <c r="K708" i="31"/>
  <c r="L708" i="31" s="1"/>
  <c r="K480" i="31"/>
  <c r="L480" i="31" s="1"/>
  <c r="K384" i="31"/>
  <c r="L384" i="31" s="1"/>
  <c r="K240" i="31"/>
  <c r="L240" i="31" s="1"/>
  <c r="K156" i="31"/>
  <c r="L156" i="31" s="1"/>
  <c r="K108" i="31"/>
  <c r="L108" i="31" s="1"/>
  <c r="K60" i="31"/>
  <c r="L60" i="31" s="1"/>
  <c r="K420" i="31"/>
  <c r="L420" i="31" s="1"/>
  <c r="K216" i="31"/>
  <c r="L216" i="31" s="1"/>
  <c r="K576" i="31"/>
  <c r="L576" i="31" s="1"/>
  <c r="K180" i="31"/>
  <c r="L180" i="31" s="1"/>
  <c r="K36" i="31"/>
  <c r="L36" i="31" s="1"/>
  <c r="K624" i="31"/>
  <c r="L624" i="31" s="1"/>
  <c r="K276" i="31"/>
  <c r="L276" i="31" s="1"/>
  <c r="K84" i="31"/>
  <c r="L84" i="31" s="1"/>
  <c r="K612" i="31"/>
  <c r="L612" i="31" s="1"/>
  <c r="K540" i="31"/>
  <c r="L540" i="31" s="1"/>
  <c r="K396" i="31"/>
  <c r="L396" i="31" s="1"/>
  <c r="K324" i="31"/>
  <c r="L324" i="31" s="1"/>
  <c r="K144" i="31"/>
  <c r="L144" i="31" s="1"/>
  <c r="K96" i="31"/>
  <c r="L96" i="31" s="1"/>
  <c r="K12" i="31"/>
  <c r="L12" i="31" s="1"/>
  <c r="K552" i="31"/>
  <c r="L552" i="31" s="1"/>
  <c r="K228" i="31"/>
  <c r="L228" i="31" s="1"/>
  <c r="K588" i="31"/>
  <c r="L588" i="31" s="1"/>
  <c r="K516" i="31"/>
  <c r="L516" i="31" s="1"/>
  <c r="K444" i="31"/>
  <c r="L444" i="31" s="1"/>
  <c r="K564" i="31"/>
  <c r="L564" i="31" s="1"/>
  <c r="K192" i="31"/>
  <c r="L192" i="31" s="1"/>
  <c r="K72" i="31"/>
  <c r="L72" i="31" s="1"/>
  <c r="K660" i="31"/>
  <c r="L660" i="31" s="1"/>
  <c r="K252" i="31"/>
  <c r="L252" i="31" s="1"/>
  <c r="K492" i="31"/>
  <c r="L492" i="31" s="1"/>
  <c r="K372" i="31"/>
  <c r="L372" i="31" s="1"/>
  <c r="K264" i="31"/>
  <c r="L264" i="31" s="1"/>
  <c r="K456" i="31"/>
  <c r="L456" i="31" s="1"/>
  <c r="K684" i="31"/>
  <c r="L684" i="31" s="1"/>
  <c r="K360" i="31"/>
  <c r="L360" i="31" s="1"/>
  <c r="K300" i="31"/>
  <c r="L300" i="31" s="1"/>
  <c r="K636" i="31"/>
  <c r="L636" i="31" s="1"/>
  <c r="K288" i="31"/>
  <c r="L288" i="31" s="1"/>
  <c r="K204" i="31"/>
  <c r="L204" i="31" s="1"/>
  <c r="K120" i="31"/>
  <c r="L120" i="31" s="1"/>
  <c r="K48" i="31"/>
  <c r="L48" i="31" s="1"/>
  <c r="K528" i="31"/>
  <c r="L528" i="31" s="1"/>
  <c r="K24" i="31"/>
  <c r="L24" i="31" s="1"/>
  <c r="K468" i="31"/>
  <c r="L468" i="31" s="1"/>
  <c r="K348" i="31"/>
  <c r="L348" i="31" s="1"/>
  <c r="K168" i="31"/>
  <c r="L168" i="31" s="1"/>
  <c r="M737" i="31" l="1"/>
  <c r="N737" i="31"/>
  <c r="M29" i="31"/>
  <c r="N29" i="31" s="1"/>
  <c r="M365" i="31"/>
  <c r="N365" i="31" s="1"/>
  <c r="M77" i="31"/>
  <c r="N77" i="31" s="1"/>
  <c r="M521" i="31"/>
  <c r="N521" i="31" s="1"/>
  <c r="M401" i="31"/>
  <c r="N401" i="31" s="1"/>
  <c r="M581" i="31"/>
  <c r="N581" i="31" s="1"/>
  <c r="M113" i="31"/>
  <c r="N113" i="31" s="1"/>
  <c r="M485" i="31"/>
  <c r="N485" i="31" s="1"/>
  <c r="M677" i="31"/>
  <c r="N677" i="31" s="1"/>
  <c r="M69" i="31"/>
  <c r="N69" i="31" s="1"/>
  <c r="M129" i="31"/>
  <c r="N129" i="31" s="1"/>
  <c r="M249" i="31"/>
  <c r="N249" i="31" s="1"/>
  <c r="M93" i="31"/>
  <c r="N93" i="31" s="1"/>
  <c r="M153" i="31"/>
  <c r="N153" i="31" s="1"/>
  <c r="M333" i="31"/>
  <c r="N333" i="31" s="1"/>
  <c r="M345" i="31"/>
  <c r="N345" i="31" s="1"/>
  <c r="M669" i="31"/>
  <c r="N669" i="31" s="1"/>
  <c r="M361" i="31"/>
  <c r="N361" i="31" s="1"/>
  <c r="M577" i="31"/>
  <c r="N577" i="31" s="1"/>
  <c r="M37" i="31"/>
  <c r="N37" i="31" s="1"/>
  <c r="M469" i="31"/>
  <c r="N469" i="31" s="1"/>
  <c r="M289" i="31"/>
  <c r="N289" i="31" s="1"/>
  <c r="M517" i="31"/>
  <c r="N517" i="31" s="1"/>
  <c r="M445" i="31"/>
  <c r="N445" i="31" s="1"/>
  <c r="M238" i="31"/>
  <c r="N238" i="31" s="1"/>
  <c r="M274" i="31"/>
  <c r="N274" i="31" s="1"/>
  <c r="M214" i="31"/>
  <c r="N214" i="31" s="1"/>
  <c r="M454" i="31"/>
  <c r="N454" i="31" s="1"/>
  <c r="M226" i="31"/>
  <c r="N226" i="31" s="1"/>
  <c r="M430" i="31"/>
  <c r="N430" i="31" s="1"/>
  <c r="M110" i="31"/>
  <c r="N110" i="31" s="1"/>
  <c r="M194" i="31"/>
  <c r="N194" i="31" s="1"/>
  <c r="M302" i="31"/>
  <c r="N302" i="31" s="1"/>
  <c r="M434" i="31"/>
  <c r="N434" i="31" s="1"/>
  <c r="M650" i="31"/>
  <c r="N650" i="31" s="1"/>
  <c r="M254" i="31"/>
  <c r="N254" i="31" s="1"/>
  <c r="M266" i="31"/>
  <c r="N266" i="31" s="1"/>
  <c r="M359" i="31"/>
  <c r="N359" i="31" s="1"/>
  <c r="M335" i="31"/>
  <c r="N335" i="31" s="1"/>
  <c r="M287" i="31"/>
  <c r="N287" i="31" s="1"/>
  <c r="M155" i="31"/>
  <c r="N155" i="31" s="1"/>
  <c r="M251" i="31"/>
  <c r="N251" i="31" s="1"/>
  <c r="M635" i="31"/>
  <c r="N635" i="31" s="1"/>
  <c r="M275" i="31"/>
  <c r="N275" i="31" s="1"/>
  <c r="M659" i="31"/>
  <c r="N659" i="31" s="1"/>
  <c r="M620" i="31"/>
  <c r="N620" i="31" s="1"/>
  <c r="M116" i="31"/>
  <c r="N116" i="31" s="1"/>
  <c r="M236" i="31"/>
  <c r="N236" i="31" s="1"/>
  <c r="M176" i="31"/>
  <c r="N176" i="31" s="1"/>
  <c r="M560" i="31"/>
  <c r="N560" i="31" s="1"/>
  <c r="M740" i="31"/>
  <c r="N740" i="31" s="1"/>
  <c r="M344" i="31"/>
  <c r="N344" i="31" s="1"/>
  <c r="M728" i="31"/>
  <c r="N728" i="31" s="1"/>
  <c r="M98" i="31"/>
  <c r="N98" i="31" s="1"/>
  <c r="M100" i="31"/>
  <c r="N100" i="31" s="1"/>
  <c r="M147" i="31"/>
  <c r="N147" i="31" s="1"/>
  <c r="M148" i="31"/>
  <c r="N148" i="31" s="1"/>
  <c r="M258" i="31"/>
  <c r="N258" i="31" s="1"/>
  <c r="M268" i="31"/>
  <c r="N268" i="31" s="1"/>
  <c r="M159" i="31"/>
  <c r="N159" i="31" s="1"/>
  <c r="M160" i="31"/>
  <c r="N160" i="31" s="1"/>
  <c r="M540" i="31"/>
  <c r="N540" i="31" s="1"/>
  <c r="M544" i="31"/>
  <c r="N544" i="31" s="1"/>
  <c r="M35" i="31"/>
  <c r="N35" i="31" s="1"/>
  <c r="M40" i="31"/>
  <c r="N40" i="31" s="1"/>
  <c r="M424" i="31"/>
  <c r="N424" i="31" s="1"/>
  <c r="M702" i="31"/>
  <c r="N702" i="31" s="1"/>
  <c r="M102" i="31"/>
  <c r="N102" i="31" s="1"/>
  <c r="M570" i="31"/>
  <c r="N570" i="31" s="1"/>
  <c r="M162" i="31"/>
  <c r="N162" i="31" s="1"/>
  <c r="M414" i="31"/>
  <c r="N414" i="31" s="1"/>
  <c r="M138" i="31"/>
  <c r="N138" i="31" s="1"/>
  <c r="M462" i="31"/>
  <c r="N462" i="31" s="1"/>
  <c r="M295" i="31"/>
  <c r="N295" i="31" s="1"/>
  <c r="M175" i="31"/>
  <c r="N175" i="31" s="1"/>
  <c r="M31" i="31"/>
  <c r="N31" i="31" s="1"/>
  <c r="M703" i="31"/>
  <c r="N703" i="31" s="1"/>
  <c r="M187" i="31"/>
  <c r="N187" i="31" s="1"/>
  <c r="M571" i="31"/>
  <c r="N571" i="31" s="1"/>
  <c r="M15" i="31"/>
  <c r="N15" i="31" s="1"/>
  <c r="M711" i="31"/>
  <c r="N711" i="31" s="1"/>
  <c r="M687" i="31"/>
  <c r="N687" i="31" s="1"/>
  <c r="M351" i="31"/>
  <c r="N351" i="31" s="1"/>
  <c r="M183" i="31"/>
  <c r="N183" i="31" s="1"/>
  <c r="M99" i="31"/>
  <c r="N99" i="31" s="1"/>
  <c r="M291" i="31"/>
  <c r="N291" i="31" s="1"/>
  <c r="M675" i="31"/>
  <c r="N675" i="31" s="1"/>
  <c r="M684" i="31"/>
  <c r="N684" i="31" s="1"/>
  <c r="M324" i="31"/>
  <c r="N324" i="31" s="1"/>
  <c r="M468" i="31"/>
  <c r="N468" i="31" s="1"/>
  <c r="M492" i="31"/>
  <c r="N492" i="31" s="1"/>
  <c r="M144" i="31"/>
  <c r="N144" i="31" s="1"/>
  <c r="M528" i="31"/>
  <c r="N528" i="31" s="1"/>
  <c r="M24" i="31"/>
  <c r="N24" i="31" s="1"/>
  <c r="M600" i="31"/>
  <c r="N600" i="31" s="1"/>
  <c r="M533" i="31"/>
  <c r="N533" i="31" s="1"/>
  <c r="M689" i="31"/>
  <c r="N689" i="31" s="1"/>
  <c r="M197" i="31"/>
  <c r="N197" i="31" s="1"/>
  <c r="M101" i="31"/>
  <c r="N101" i="31" s="1"/>
  <c r="M629" i="31"/>
  <c r="N629" i="31" s="1"/>
  <c r="M161" i="31"/>
  <c r="N161" i="31" s="1"/>
  <c r="M317" i="31"/>
  <c r="N317" i="31" s="1"/>
  <c r="M585" i="31"/>
  <c r="N585" i="31" s="1"/>
  <c r="M393" i="31"/>
  <c r="N393" i="31" s="1"/>
  <c r="M429" i="31"/>
  <c r="N429" i="31" s="1"/>
  <c r="M465" i="31"/>
  <c r="N465" i="31" s="1"/>
  <c r="M489" i="31"/>
  <c r="N489" i="31" s="1"/>
  <c r="M417" i="31"/>
  <c r="N417" i="31" s="1"/>
  <c r="M573" i="31"/>
  <c r="N573" i="31" s="1"/>
  <c r="M85" i="31"/>
  <c r="N85" i="31" s="1"/>
  <c r="M109" i="31"/>
  <c r="N109" i="31" s="1"/>
  <c r="M181" i="31"/>
  <c r="N181" i="31" s="1"/>
  <c r="M49" i="31"/>
  <c r="N49" i="31" s="1"/>
  <c r="M13" i="31"/>
  <c r="N13" i="31" s="1"/>
  <c r="M481" i="31"/>
  <c r="N481" i="31" s="1"/>
  <c r="M673" i="31"/>
  <c r="N673" i="31" s="1"/>
  <c r="M349" i="31"/>
  <c r="N349" i="31" s="1"/>
  <c r="M730" i="31"/>
  <c r="N730" i="31" s="1"/>
  <c r="M82" i="31"/>
  <c r="N82" i="31" s="1"/>
  <c r="M478" i="31"/>
  <c r="N478" i="31" s="1"/>
  <c r="M166" i="31"/>
  <c r="N166" i="31" s="1"/>
  <c r="M586" i="31"/>
  <c r="N586" i="31" s="1"/>
  <c r="M106" i="31"/>
  <c r="N106" i="31" s="1"/>
  <c r="M634" i="31"/>
  <c r="N634" i="31" s="1"/>
  <c r="M38" i="31"/>
  <c r="N38" i="31" s="1"/>
  <c r="M62" i="31"/>
  <c r="N62" i="31" s="1"/>
  <c r="M362" i="31"/>
  <c r="N362" i="31" s="1"/>
  <c r="M350" i="31"/>
  <c r="N350" i="31" s="1"/>
  <c r="M218" i="31"/>
  <c r="N218" i="31" s="1"/>
  <c r="M422" i="31"/>
  <c r="N422" i="31" s="1"/>
  <c r="M122" i="31"/>
  <c r="N122" i="31" s="1"/>
  <c r="M398" i="31"/>
  <c r="N398" i="31" s="1"/>
  <c r="M455" i="31"/>
  <c r="N455" i="31" s="1"/>
  <c r="M431" i="31"/>
  <c r="N431" i="31" s="1"/>
  <c r="M383" i="31"/>
  <c r="N383" i="31" s="1"/>
  <c r="M215" i="31"/>
  <c r="N215" i="31" s="1"/>
  <c r="M299" i="31"/>
  <c r="N299" i="31" s="1"/>
  <c r="M683" i="31"/>
  <c r="N683" i="31" s="1"/>
  <c r="M323" i="31"/>
  <c r="N323" i="31" s="1"/>
  <c r="M515" i="31"/>
  <c r="N515" i="31" s="1"/>
  <c r="M380" i="31"/>
  <c r="N380" i="31" s="1"/>
  <c r="M452" i="31"/>
  <c r="N452" i="31" s="1"/>
  <c r="M668" i="31"/>
  <c r="N668" i="31" s="1"/>
  <c r="M32" i="31"/>
  <c r="N32" i="31" s="1"/>
  <c r="M416" i="31"/>
  <c r="N416" i="31" s="1"/>
  <c r="M596" i="31"/>
  <c r="N596" i="31" s="1"/>
  <c r="M200" i="31"/>
  <c r="N200" i="31" s="1"/>
  <c r="M584" i="31"/>
  <c r="N584" i="31" s="1"/>
  <c r="M403" i="31"/>
  <c r="N403" i="31" s="1"/>
  <c r="M412" i="31"/>
  <c r="N412" i="31" s="1"/>
  <c r="M580" i="31"/>
  <c r="N580" i="31" s="1"/>
  <c r="M599" i="31"/>
  <c r="N599" i="31" s="1"/>
  <c r="M604" i="31"/>
  <c r="N604" i="31" s="1"/>
  <c r="M17" i="31"/>
  <c r="N17" i="31" s="1"/>
  <c r="M16" i="31"/>
  <c r="N16" i="31" s="1"/>
  <c r="M395" i="31"/>
  <c r="N395" i="31" s="1"/>
  <c r="M400" i="31"/>
  <c r="N400" i="31" s="1"/>
  <c r="M627" i="31"/>
  <c r="N627" i="31" s="1"/>
  <c r="M628" i="31"/>
  <c r="N628" i="31" s="1"/>
  <c r="M273" i="31"/>
  <c r="N273" i="31" s="1"/>
  <c r="M280" i="31"/>
  <c r="N280" i="31" s="1"/>
  <c r="M664" i="31"/>
  <c r="N664" i="31" s="1"/>
  <c r="M606" i="31"/>
  <c r="N606" i="31" s="1"/>
  <c r="M174" i="31"/>
  <c r="N174" i="31" s="1"/>
  <c r="M30" i="31"/>
  <c r="N30" i="31" s="1"/>
  <c r="M198" i="31"/>
  <c r="N198" i="31" s="1"/>
  <c r="M582" i="31"/>
  <c r="N582" i="31" s="1"/>
  <c r="M678" i="31"/>
  <c r="N678" i="31" s="1"/>
  <c r="M594" i="31"/>
  <c r="N594" i="31" s="1"/>
  <c r="M522" i="31"/>
  <c r="N522" i="31" s="1"/>
  <c r="M391" i="31"/>
  <c r="N391" i="31" s="1"/>
  <c r="M271" i="31"/>
  <c r="N271" i="31" s="1"/>
  <c r="M415" i="31"/>
  <c r="N415" i="31" s="1"/>
  <c r="M535" i="31"/>
  <c r="N535" i="31" s="1"/>
  <c r="M427" i="31"/>
  <c r="N427" i="31" s="1"/>
  <c r="M619" i="31"/>
  <c r="N619" i="31" s="1"/>
  <c r="M259" i="31"/>
  <c r="N259" i="31" s="1"/>
  <c r="M643" i="31"/>
  <c r="N643" i="31" s="1"/>
  <c r="M423" i="31"/>
  <c r="N423" i="31" s="1"/>
  <c r="M399" i="31"/>
  <c r="N399" i="31" s="1"/>
  <c r="M279" i="31"/>
  <c r="N279" i="31" s="1"/>
  <c r="M315" i="31"/>
  <c r="N315" i="31" s="1"/>
  <c r="M699" i="31"/>
  <c r="N699" i="31" s="1"/>
  <c r="M339" i="31"/>
  <c r="N339" i="31" s="1"/>
  <c r="M723" i="31"/>
  <c r="N723" i="31" s="1"/>
  <c r="M36" i="31"/>
  <c r="N36" i="31" s="1"/>
  <c r="M180" i="31"/>
  <c r="N180" i="31" s="1"/>
  <c r="M192" i="31"/>
  <c r="N192" i="31" s="1"/>
  <c r="M576" i="31"/>
  <c r="N576" i="31" s="1"/>
  <c r="M72" i="31"/>
  <c r="N72" i="31" s="1"/>
  <c r="M648" i="31"/>
  <c r="N648" i="31" s="1"/>
  <c r="M353" i="31"/>
  <c r="N353" i="31" s="1"/>
  <c r="M53" i="31"/>
  <c r="N53" i="31" s="1"/>
  <c r="M641" i="31"/>
  <c r="N641" i="31" s="1"/>
  <c r="M461" i="31"/>
  <c r="N461" i="31" s="1"/>
  <c r="M257" i="31"/>
  <c r="N257" i="31" s="1"/>
  <c r="M569" i="31"/>
  <c r="N569" i="31" s="1"/>
  <c r="M149" i="31"/>
  <c r="N149" i="31" s="1"/>
  <c r="M617" i="31"/>
  <c r="N617" i="31" s="1"/>
  <c r="M41" i="31"/>
  <c r="N41" i="31" s="1"/>
  <c r="M425" i="31"/>
  <c r="N425" i="31" s="1"/>
  <c r="M245" i="31"/>
  <c r="N245" i="31" s="1"/>
  <c r="M341" i="31"/>
  <c r="N341" i="31" s="1"/>
  <c r="M725" i="31"/>
  <c r="N725" i="31" s="1"/>
  <c r="M605" i="31"/>
  <c r="N605" i="31" s="1"/>
  <c r="M137" i="31"/>
  <c r="N137" i="31" s="1"/>
  <c r="M441" i="31"/>
  <c r="N441" i="31" s="1"/>
  <c r="M213" i="31"/>
  <c r="N213" i="31" s="1"/>
  <c r="M729" i="31"/>
  <c r="N729" i="31" s="1"/>
  <c r="M609" i="31"/>
  <c r="N609" i="31" s="1"/>
  <c r="M45" i="31"/>
  <c r="N45" i="31" s="1"/>
  <c r="M513" i="31"/>
  <c r="N513" i="31" s="1"/>
  <c r="M225" i="31"/>
  <c r="N225" i="31" s="1"/>
  <c r="M525" i="31"/>
  <c r="N525" i="31" s="1"/>
  <c r="M645" i="31"/>
  <c r="N645" i="31" s="1"/>
  <c r="M453" i="31"/>
  <c r="N453" i="31" s="1"/>
  <c r="M177" i="31"/>
  <c r="N177" i="31" s="1"/>
  <c r="M537" i="31"/>
  <c r="N537" i="31" s="1"/>
  <c r="M309" i="31"/>
  <c r="N309" i="31" s="1"/>
  <c r="M717" i="31"/>
  <c r="N717" i="31" s="1"/>
  <c r="M477" i="31"/>
  <c r="N477" i="31" s="1"/>
  <c r="M145" i="31"/>
  <c r="N145" i="31" s="1"/>
  <c r="M253" i="31"/>
  <c r="N253" i="31" s="1"/>
  <c r="M409" i="31"/>
  <c r="N409" i="31" s="1"/>
  <c r="M505" i="31"/>
  <c r="N505" i="31" s="1"/>
  <c r="M337" i="31"/>
  <c r="N337" i="31" s="1"/>
  <c r="M313" i="31"/>
  <c r="N313" i="31" s="1"/>
  <c r="M193" i="31"/>
  <c r="N193" i="31" s="1"/>
  <c r="M421" i="31"/>
  <c r="N421" i="31" s="1"/>
  <c r="M61" i="31"/>
  <c r="N61" i="31" s="1"/>
  <c r="M601" i="31"/>
  <c r="N601" i="31" s="1"/>
  <c r="M553" i="31"/>
  <c r="N553" i="31" s="1"/>
  <c r="M733" i="31"/>
  <c r="N733" i="31" s="1"/>
  <c r="M637" i="31"/>
  <c r="N637" i="31" s="1"/>
  <c r="M265" i="31"/>
  <c r="N265" i="31" s="1"/>
  <c r="M22" i="31"/>
  <c r="N22" i="31" s="1"/>
  <c r="M262" i="31"/>
  <c r="N262" i="31" s="1"/>
  <c r="M94" i="31"/>
  <c r="N94" i="31" s="1"/>
  <c r="M526" i="31"/>
  <c r="N526" i="31" s="1"/>
  <c r="M130" i="31"/>
  <c r="N130" i="31" s="1"/>
  <c r="M394" i="31"/>
  <c r="N394" i="31" s="1"/>
  <c r="M610" i="31"/>
  <c r="N610" i="31" s="1"/>
  <c r="M202" i="31"/>
  <c r="N202" i="31" s="1"/>
  <c r="M466" i="31"/>
  <c r="N466" i="31" s="1"/>
  <c r="M322" i="31"/>
  <c r="N322" i="31" s="1"/>
  <c r="M622" i="31"/>
  <c r="N622" i="31" s="1"/>
  <c r="M154" i="31"/>
  <c r="N154" i="31" s="1"/>
  <c r="M346" i="31"/>
  <c r="N346" i="31" s="1"/>
  <c r="M670" i="31"/>
  <c r="N670" i="31" s="1"/>
  <c r="M598" i="31"/>
  <c r="N598" i="31" s="1"/>
  <c r="M470" i="31"/>
  <c r="N470" i="31" s="1"/>
  <c r="M326" i="31"/>
  <c r="N326" i="31" s="1"/>
  <c r="M386" i="31"/>
  <c r="N386" i="31" s="1"/>
  <c r="M158" i="31"/>
  <c r="N158" i="31" s="1"/>
  <c r="M146" i="31"/>
  <c r="N146" i="31" s="1"/>
  <c r="M458" i="31"/>
  <c r="N458" i="31" s="1"/>
  <c r="M698" i="31"/>
  <c r="N698" i="31" s="1"/>
  <c r="M446" i="31"/>
  <c r="N446" i="31" s="1"/>
  <c r="M674" i="31"/>
  <c r="N674" i="31" s="1"/>
  <c r="M278" i="31"/>
  <c r="N278" i="31" s="1"/>
  <c r="M662" i="31"/>
  <c r="N662" i="31" s="1"/>
  <c r="M482" i="31"/>
  <c r="N482" i="31" s="1"/>
  <c r="M734" i="31"/>
  <c r="N734" i="31" s="1"/>
  <c r="M170" i="31"/>
  <c r="N170" i="31" s="1"/>
  <c r="M722" i="31"/>
  <c r="N722" i="31" s="1"/>
  <c r="M542" i="31"/>
  <c r="N542" i="31" s="1"/>
  <c r="M551" i="31"/>
  <c r="N551" i="31" s="1"/>
  <c r="M107" i="31"/>
  <c r="N107" i="31" s="1"/>
  <c r="M527" i="31"/>
  <c r="N527" i="31" s="1"/>
  <c r="M119" i="31"/>
  <c r="N119" i="31" s="1"/>
  <c r="M479" i="31"/>
  <c r="N479" i="31" s="1"/>
  <c r="M311" i="31"/>
  <c r="N311" i="31" s="1"/>
  <c r="M539" i="31"/>
  <c r="N539" i="31" s="1"/>
  <c r="M731" i="31"/>
  <c r="N731" i="31" s="1"/>
  <c r="M179" i="31"/>
  <c r="N179" i="31" s="1"/>
  <c r="M371" i="31"/>
  <c r="N371" i="31" s="1"/>
  <c r="M563" i="31"/>
  <c r="N563" i="31" s="1"/>
  <c r="M92" i="31"/>
  <c r="N92" i="31" s="1"/>
  <c r="M476" i="31"/>
  <c r="N476" i="31" s="1"/>
  <c r="M164" i="31"/>
  <c r="N164" i="31" s="1"/>
  <c r="M548" i="31"/>
  <c r="N548" i="31" s="1"/>
  <c r="M308" i="31"/>
  <c r="N308" i="31" s="1"/>
  <c r="M44" i="31"/>
  <c r="N44" i="31" s="1"/>
  <c r="M428" i="31"/>
  <c r="N428" i="31" s="1"/>
  <c r="M80" i="31"/>
  <c r="N80" i="31" s="1"/>
  <c r="M272" i="31"/>
  <c r="N272" i="31" s="1"/>
  <c r="M464" i="31"/>
  <c r="N464" i="31" s="1"/>
  <c r="M656" i="31"/>
  <c r="N656" i="31" s="1"/>
  <c r="M644" i="31"/>
  <c r="N644" i="31" s="1"/>
  <c r="M56" i="31"/>
  <c r="N56" i="31" s="1"/>
  <c r="M248" i="31"/>
  <c r="N248" i="31" s="1"/>
  <c r="M440" i="31"/>
  <c r="N440" i="31" s="1"/>
  <c r="M632" i="31"/>
  <c r="N632" i="31" s="1"/>
  <c r="M121" i="31"/>
  <c r="N121" i="31" s="1"/>
  <c r="M124" i="31"/>
  <c r="N124" i="31" s="1"/>
  <c r="M503" i="31"/>
  <c r="N503" i="31" s="1"/>
  <c r="M508" i="31"/>
  <c r="N508" i="31" s="1"/>
  <c r="M293" i="31"/>
  <c r="N293" i="31" s="1"/>
  <c r="M292" i="31"/>
  <c r="N292" i="31" s="1"/>
  <c r="M695" i="31"/>
  <c r="N695" i="31" s="1"/>
  <c r="M700" i="31"/>
  <c r="N700" i="31" s="1"/>
  <c r="M336" i="31"/>
  <c r="N336" i="31" s="1"/>
  <c r="M340" i="31"/>
  <c r="N340" i="31" s="1"/>
  <c r="M75" i="31"/>
  <c r="N75" i="31" s="1"/>
  <c r="M76" i="31"/>
  <c r="N76" i="31" s="1"/>
  <c r="M459" i="31"/>
  <c r="N459" i="31" s="1"/>
  <c r="M460" i="31"/>
  <c r="N460" i="31" s="1"/>
  <c r="M64" i="31"/>
  <c r="N64" i="31" s="1"/>
  <c r="M255" i="31"/>
  <c r="N255" i="31" s="1"/>
  <c r="M256" i="31"/>
  <c r="N256" i="31" s="1"/>
  <c r="M447" i="31"/>
  <c r="N447" i="31" s="1"/>
  <c r="M448" i="31"/>
  <c r="N448" i="31" s="1"/>
  <c r="M630" i="31"/>
  <c r="N630" i="31" s="1"/>
  <c r="M640" i="31"/>
  <c r="N640" i="31" s="1"/>
  <c r="M666" i="31"/>
  <c r="N666" i="31" s="1"/>
  <c r="M676" i="31"/>
  <c r="N676" i="31" s="1"/>
  <c r="M133" i="31"/>
  <c r="N133" i="31" s="1"/>
  <c r="M136" i="31"/>
  <c r="N136" i="31" s="1"/>
  <c r="M327" i="31"/>
  <c r="N327" i="31" s="1"/>
  <c r="M328" i="31"/>
  <c r="N328" i="31" s="1"/>
  <c r="M514" i="31"/>
  <c r="N514" i="31" s="1"/>
  <c r="M520" i="31"/>
  <c r="N520" i="31" s="1"/>
  <c r="M707" i="31"/>
  <c r="N707" i="31" s="1"/>
  <c r="M712" i="31"/>
  <c r="N712" i="31" s="1"/>
  <c r="M54" i="31"/>
  <c r="N54" i="31" s="1"/>
  <c r="M498" i="31"/>
  <c r="N498" i="31" s="1"/>
  <c r="M306" i="31"/>
  <c r="N306" i="31" s="1"/>
  <c r="M126" i="31"/>
  <c r="N126" i="31" s="1"/>
  <c r="M234" i="31"/>
  <c r="N234" i="31" s="1"/>
  <c r="M66" i="31"/>
  <c r="N66" i="31" s="1"/>
  <c r="M270" i="31"/>
  <c r="N270" i="31" s="1"/>
  <c r="M246" i="31"/>
  <c r="N246" i="31" s="1"/>
  <c r="M642" i="31"/>
  <c r="N642" i="31" s="1"/>
  <c r="M402" i="31"/>
  <c r="N402" i="31" s="1"/>
  <c r="M534" i="31"/>
  <c r="N534" i="31" s="1"/>
  <c r="M42" i="31"/>
  <c r="N42" i="31" s="1"/>
  <c r="M378" i="31"/>
  <c r="N378" i="31" s="1"/>
  <c r="M330" i="31"/>
  <c r="N330" i="31" s="1"/>
  <c r="M103" i="31"/>
  <c r="N103" i="31" s="1"/>
  <c r="M487" i="31"/>
  <c r="N487" i="31" s="1"/>
  <c r="M127" i="31"/>
  <c r="N127" i="31" s="1"/>
  <c r="M367" i="31"/>
  <c r="N367" i="31" s="1"/>
  <c r="M139" i="31"/>
  <c r="N139" i="31" s="1"/>
  <c r="M511" i="31"/>
  <c r="N511" i="31" s="1"/>
  <c r="M247" i="31"/>
  <c r="N247" i="31" s="1"/>
  <c r="M631" i="31"/>
  <c r="N631" i="31" s="1"/>
  <c r="M283" i="31"/>
  <c r="N283" i="31" s="1"/>
  <c r="M475" i="31"/>
  <c r="N475" i="31" s="1"/>
  <c r="M667" i="31"/>
  <c r="N667" i="31" s="1"/>
  <c r="M115" i="31"/>
  <c r="N115" i="31" s="1"/>
  <c r="M307" i="31"/>
  <c r="N307" i="31" s="1"/>
  <c r="M499" i="31"/>
  <c r="N499" i="31" s="1"/>
  <c r="M691" i="31"/>
  <c r="N691" i="31" s="1"/>
  <c r="M123" i="31"/>
  <c r="N123" i="31" s="1"/>
  <c r="M519" i="31"/>
  <c r="N519" i="31" s="1"/>
  <c r="M87" i="31"/>
  <c r="N87" i="31" s="1"/>
  <c r="M495" i="31"/>
  <c r="N495" i="31" s="1"/>
  <c r="M543" i="31"/>
  <c r="N543" i="31" s="1"/>
  <c r="M375" i="31"/>
  <c r="N375" i="31" s="1"/>
  <c r="M171" i="31"/>
  <c r="N171" i="31" s="1"/>
  <c r="M363" i="31"/>
  <c r="N363" i="31" s="1"/>
  <c r="M555" i="31"/>
  <c r="N555" i="31" s="1"/>
  <c r="M195" i="31"/>
  <c r="N195" i="31" s="1"/>
  <c r="M387" i="31"/>
  <c r="N387" i="31" s="1"/>
  <c r="M579" i="31"/>
  <c r="N579" i="31" s="1"/>
  <c r="M60" i="31"/>
  <c r="N60" i="31" s="1"/>
  <c r="M444" i="31"/>
  <c r="N444" i="31" s="1"/>
  <c r="M132" i="31"/>
  <c r="N132" i="31" s="1"/>
  <c r="M516" i="31"/>
  <c r="N516" i="31" s="1"/>
  <c r="M276" i="31"/>
  <c r="N276" i="31" s="1"/>
  <c r="M732" i="31"/>
  <c r="N732" i="31" s="1"/>
  <c r="M300" i="31"/>
  <c r="N300" i="31" s="1"/>
  <c r="M48" i="31"/>
  <c r="N48" i="31" s="1"/>
  <c r="M240" i="31"/>
  <c r="N240" i="31" s="1"/>
  <c r="M432" i="31"/>
  <c r="N432" i="31" s="1"/>
  <c r="M624" i="31"/>
  <c r="N624" i="31" s="1"/>
  <c r="M660" i="31"/>
  <c r="N660" i="31" s="1"/>
  <c r="M120" i="31"/>
  <c r="N120" i="31" s="1"/>
  <c r="M312" i="31"/>
  <c r="N312" i="31" s="1"/>
  <c r="M504" i="31"/>
  <c r="N504" i="31" s="1"/>
  <c r="M696" i="31"/>
  <c r="N696" i="31" s="1"/>
  <c r="M209" i="31"/>
  <c r="N209" i="31" s="1"/>
  <c r="M377" i="31"/>
  <c r="N377" i="31" s="1"/>
  <c r="M281" i="31"/>
  <c r="N281" i="31" s="1"/>
  <c r="M413" i="31"/>
  <c r="N413" i="31" s="1"/>
  <c r="M165" i="31"/>
  <c r="N165" i="31" s="1"/>
  <c r="M33" i="31"/>
  <c r="N33" i="31" s="1"/>
  <c r="M285" i="31"/>
  <c r="N285" i="31" s="1"/>
  <c r="M357" i="31"/>
  <c r="N357" i="31" s="1"/>
  <c r="M237" i="31"/>
  <c r="N237" i="31" s="1"/>
  <c r="M369" i="31"/>
  <c r="N369" i="31" s="1"/>
  <c r="M597" i="31"/>
  <c r="N597" i="31" s="1"/>
  <c r="M201" i="31"/>
  <c r="N201" i="31" s="1"/>
  <c r="M169" i="31"/>
  <c r="N169" i="31" s="1"/>
  <c r="M157" i="31"/>
  <c r="N157" i="31" s="1"/>
  <c r="M25" i="31"/>
  <c r="N25" i="31" s="1"/>
  <c r="M373" i="31"/>
  <c r="N373" i="31" s="1"/>
  <c r="M721" i="31"/>
  <c r="N721" i="31" s="1"/>
  <c r="M685" i="31"/>
  <c r="N685" i="31" s="1"/>
  <c r="M574" i="31"/>
  <c r="N574" i="31" s="1"/>
  <c r="M418" i="31"/>
  <c r="N418" i="31" s="1"/>
  <c r="M34" i="31"/>
  <c r="N34" i="31" s="1"/>
  <c r="M382" i="31"/>
  <c r="N382" i="31" s="1"/>
  <c r="M118" i="31"/>
  <c r="N118" i="31" s="1"/>
  <c r="M550" i="31"/>
  <c r="N550" i="31" s="1"/>
  <c r="M58" i="31"/>
  <c r="N58" i="31" s="1"/>
  <c r="M562" i="31"/>
  <c r="N562" i="31" s="1"/>
  <c r="M694" i="31"/>
  <c r="N694" i="31" s="1"/>
  <c r="M602" i="31"/>
  <c r="N602" i="31" s="1"/>
  <c r="M50" i="31"/>
  <c r="N50" i="31" s="1"/>
  <c r="M578" i="31"/>
  <c r="N578" i="31" s="1"/>
  <c r="M314" i="31"/>
  <c r="N314" i="31" s="1"/>
  <c r="M290" i="31"/>
  <c r="N290" i="31" s="1"/>
  <c r="M74" i="31"/>
  <c r="N74" i="31" s="1"/>
  <c r="M59" i="31"/>
  <c r="N59" i="31" s="1"/>
  <c r="M719" i="31"/>
  <c r="N719" i="31" s="1"/>
  <c r="M671" i="31"/>
  <c r="N671" i="31" s="1"/>
  <c r="M443" i="31"/>
  <c r="N443" i="31" s="1"/>
  <c r="M83" i="31"/>
  <c r="N83" i="31" s="1"/>
  <c r="M467" i="31"/>
  <c r="N467" i="31" s="1"/>
  <c r="M284" i="31"/>
  <c r="N284" i="31" s="1"/>
  <c r="M356" i="31"/>
  <c r="N356" i="31" s="1"/>
  <c r="M500" i="31"/>
  <c r="N500" i="31" s="1"/>
  <c r="M716" i="31"/>
  <c r="N716" i="31" s="1"/>
  <c r="M368" i="31"/>
  <c r="N368" i="31" s="1"/>
  <c r="M152" i="31"/>
  <c r="N152" i="31" s="1"/>
  <c r="M536" i="31"/>
  <c r="N536" i="31" s="1"/>
  <c r="M310" i="31"/>
  <c r="N310" i="31" s="1"/>
  <c r="M316" i="31"/>
  <c r="N316" i="31" s="1"/>
  <c r="M483" i="31"/>
  <c r="N483" i="31" s="1"/>
  <c r="M484" i="31"/>
  <c r="N484" i="31" s="1"/>
  <c r="M530" i="31"/>
  <c r="N530" i="31" s="1"/>
  <c r="M532" i="31"/>
  <c r="N532" i="31" s="1"/>
  <c r="M649" i="31"/>
  <c r="N649" i="31" s="1"/>
  <c r="M652" i="31"/>
  <c r="N652" i="31" s="1"/>
  <c r="M347" i="31"/>
  <c r="N347" i="31" s="1"/>
  <c r="M352" i="31"/>
  <c r="N352" i="31" s="1"/>
  <c r="M736" i="31"/>
  <c r="N736" i="31" s="1"/>
  <c r="M233" i="31"/>
  <c r="N233" i="31" s="1"/>
  <c r="M232" i="31"/>
  <c r="N232" i="31" s="1"/>
  <c r="M615" i="31"/>
  <c r="N615" i="31" s="1"/>
  <c r="M616" i="31"/>
  <c r="N616" i="31" s="1"/>
  <c r="M450" i="31"/>
  <c r="N450" i="31" s="1"/>
  <c r="M546" i="31"/>
  <c r="N546" i="31" s="1"/>
  <c r="M486" i="31"/>
  <c r="N486" i="31" s="1"/>
  <c r="M654" i="31"/>
  <c r="N654" i="31" s="1"/>
  <c r="M618" i="31"/>
  <c r="N618" i="31" s="1"/>
  <c r="M726" i="31"/>
  <c r="N726" i="31" s="1"/>
  <c r="M510" i="31"/>
  <c r="N510" i="31" s="1"/>
  <c r="M690" i="31"/>
  <c r="N690" i="31" s="1"/>
  <c r="M679" i="31"/>
  <c r="N679" i="31" s="1"/>
  <c r="M559" i="31"/>
  <c r="N559" i="31" s="1"/>
  <c r="M319" i="31"/>
  <c r="N319" i="31" s="1"/>
  <c r="M439" i="31"/>
  <c r="N439" i="31" s="1"/>
  <c r="M379" i="31"/>
  <c r="N379" i="31" s="1"/>
  <c r="M19" i="31"/>
  <c r="N19" i="31" s="1"/>
  <c r="M211" i="31"/>
  <c r="N211" i="31" s="1"/>
  <c r="M595" i="31"/>
  <c r="N595" i="31" s="1"/>
  <c r="M303" i="31"/>
  <c r="N303" i="31" s="1"/>
  <c r="M735" i="31"/>
  <c r="N735" i="31" s="1"/>
  <c r="M567" i="31"/>
  <c r="N567" i="31" s="1"/>
  <c r="M267" i="31"/>
  <c r="N267" i="31" s="1"/>
  <c r="M651" i="31"/>
  <c r="N651" i="31" s="1"/>
  <c r="M252" i="31"/>
  <c r="N252" i="31" s="1"/>
  <c r="M108" i="31"/>
  <c r="N108" i="31" s="1"/>
  <c r="M720" i="31"/>
  <c r="N720" i="31" s="1"/>
  <c r="M216" i="31"/>
  <c r="N216" i="31" s="1"/>
  <c r="M408" i="31"/>
  <c r="N408" i="31" s="1"/>
  <c r="M173" i="31"/>
  <c r="N173" i="31" s="1"/>
  <c r="M497" i="31"/>
  <c r="N497" i="31" s="1"/>
  <c r="M593" i="31"/>
  <c r="N593" i="31" s="1"/>
  <c r="M545" i="31"/>
  <c r="N545" i="31" s="1"/>
  <c r="M221" i="31"/>
  <c r="N221" i="31" s="1"/>
  <c r="M713" i="31"/>
  <c r="N713" i="31" s="1"/>
  <c r="M653" i="31"/>
  <c r="N653" i="31" s="1"/>
  <c r="M321" i="31"/>
  <c r="N321" i="31" s="1"/>
  <c r="M405" i="31"/>
  <c r="N405" i="31" s="1"/>
  <c r="M621" i="31"/>
  <c r="N621" i="31" s="1"/>
  <c r="M141" i="31"/>
  <c r="N141" i="31" s="1"/>
  <c r="M297" i="31"/>
  <c r="N297" i="31" s="1"/>
  <c r="M657" i="31"/>
  <c r="N657" i="31" s="1"/>
  <c r="M741" i="31"/>
  <c r="N741" i="31" s="1"/>
  <c r="M9" i="31"/>
  <c r="N9" i="31" s="1"/>
  <c r="M589" i="31"/>
  <c r="N589" i="31" s="1"/>
  <c r="M241" i="31"/>
  <c r="N241" i="31" s="1"/>
  <c r="M613" i="31"/>
  <c r="N613" i="31" s="1"/>
  <c r="M697" i="31"/>
  <c r="N697" i="31" s="1"/>
  <c r="M301" i="31"/>
  <c r="N301" i="31" s="1"/>
  <c r="M565" i="31"/>
  <c r="N565" i="31" s="1"/>
  <c r="M661" i="31"/>
  <c r="N661" i="31" s="1"/>
  <c r="M46" i="31"/>
  <c r="N46" i="31" s="1"/>
  <c r="M70" i="31"/>
  <c r="N70" i="31" s="1"/>
  <c r="M406" i="31"/>
  <c r="N406" i="31" s="1"/>
  <c r="M334" i="31"/>
  <c r="N334" i="31" s="1"/>
  <c r="M286" i="31"/>
  <c r="N286" i="31" s="1"/>
  <c r="M490" i="31"/>
  <c r="N490" i="31" s="1"/>
  <c r="M86" i="31"/>
  <c r="N86" i="31" s="1"/>
  <c r="M614" i="31"/>
  <c r="N614" i="31" s="1"/>
  <c r="M554" i="31"/>
  <c r="N554" i="31" s="1"/>
  <c r="M626" i="31"/>
  <c r="N626" i="31" s="1"/>
  <c r="M686" i="31"/>
  <c r="N686" i="31" s="1"/>
  <c r="M410" i="31"/>
  <c r="N410" i="31" s="1"/>
  <c r="M143" i="31"/>
  <c r="N143" i="31" s="1"/>
  <c r="M23" i="31"/>
  <c r="N23" i="31" s="1"/>
  <c r="M95" i="31"/>
  <c r="N95" i="31" s="1"/>
  <c r="M11" i="31"/>
  <c r="N11" i="31" s="1"/>
  <c r="M491" i="31"/>
  <c r="N491" i="31" s="1"/>
  <c r="M131" i="31"/>
  <c r="N131" i="31" s="1"/>
  <c r="M68" i="31"/>
  <c r="N68" i="31" s="1"/>
  <c r="M212" i="31"/>
  <c r="N212" i="31" s="1"/>
  <c r="M332" i="31"/>
  <c r="N332" i="31" s="1"/>
  <c r="M224" i="31"/>
  <c r="N224" i="31" s="1"/>
  <c r="M608" i="31"/>
  <c r="N608" i="31" s="1"/>
  <c r="M8" i="31"/>
  <c r="N8" i="31" s="1"/>
  <c r="M392" i="31"/>
  <c r="N392" i="31" s="1"/>
  <c r="M28" i="31"/>
  <c r="N28" i="31" s="1"/>
  <c r="M189" i="31"/>
  <c r="N189" i="31" s="1"/>
  <c r="M196" i="31"/>
  <c r="N196" i="31" s="1"/>
  <c r="M244" i="31"/>
  <c r="N244" i="31" s="1"/>
  <c r="M364" i="31"/>
  <c r="N364" i="31" s="1"/>
  <c r="M204" i="31"/>
  <c r="N204" i="31" s="1"/>
  <c r="M208" i="31"/>
  <c r="N208" i="31" s="1"/>
  <c r="M591" i="31"/>
  <c r="N591" i="31" s="1"/>
  <c r="M592" i="31"/>
  <c r="N592" i="31" s="1"/>
  <c r="M84" i="31"/>
  <c r="N84" i="31" s="1"/>
  <c r="M88" i="31"/>
  <c r="N88" i="31" s="1"/>
  <c r="M472" i="31"/>
  <c r="N472" i="31" s="1"/>
  <c r="M78" i="31"/>
  <c r="N78" i="31" s="1"/>
  <c r="M18" i="31"/>
  <c r="N18" i="31" s="1"/>
  <c r="M186" i="31"/>
  <c r="N186" i="31" s="1"/>
  <c r="M150" i="31"/>
  <c r="N150" i="31" s="1"/>
  <c r="M390" i="31"/>
  <c r="N390" i="31" s="1"/>
  <c r="M318" i="31"/>
  <c r="N318" i="31" s="1"/>
  <c r="M79" i="31"/>
  <c r="N79" i="31" s="1"/>
  <c r="M43" i="31"/>
  <c r="N43" i="31" s="1"/>
  <c r="M655" i="31"/>
  <c r="N655" i="31" s="1"/>
  <c r="M55" i="31"/>
  <c r="N55" i="31" s="1"/>
  <c r="M91" i="31"/>
  <c r="N91" i="31" s="1"/>
  <c r="M235" i="31"/>
  <c r="N235" i="31" s="1"/>
  <c r="M67" i="31"/>
  <c r="N67" i="31" s="1"/>
  <c r="M451" i="31"/>
  <c r="N451" i="31" s="1"/>
  <c r="M39" i="31"/>
  <c r="N39" i="31" s="1"/>
  <c r="M63" i="31"/>
  <c r="N63" i="31" s="1"/>
  <c r="M27" i="31"/>
  <c r="N27" i="31" s="1"/>
  <c r="M663" i="31"/>
  <c r="N663" i="31" s="1"/>
  <c r="M507" i="31"/>
  <c r="N507" i="31" s="1"/>
  <c r="M531" i="31"/>
  <c r="N531" i="31" s="1"/>
  <c r="M348" i="31"/>
  <c r="N348" i="31" s="1"/>
  <c r="M420" i="31"/>
  <c r="N420" i="31" s="1"/>
  <c r="M564" i="31"/>
  <c r="N564" i="31" s="1"/>
  <c r="M588" i="31"/>
  <c r="N588" i="31" s="1"/>
  <c r="M384" i="31"/>
  <c r="N384" i="31" s="1"/>
  <c r="M612" i="31"/>
  <c r="N612" i="31" s="1"/>
  <c r="M264" i="31"/>
  <c r="N264" i="31" s="1"/>
  <c r="M456" i="31"/>
  <c r="N456" i="31" s="1"/>
  <c r="M473" i="31"/>
  <c r="N473" i="31" s="1"/>
  <c r="M125" i="31"/>
  <c r="N125" i="31" s="1"/>
  <c r="M305" i="31"/>
  <c r="N305" i="31" s="1"/>
  <c r="M269" i="31"/>
  <c r="N269" i="31" s="1"/>
  <c r="M665" i="31"/>
  <c r="N665" i="31" s="1"/>
  <c r="M449" i="31"/>
  <c r="N449" i="31" s="1"/>
  <c r="M329" i="31"/>
  <c r="N329" i="31" s="1"/>
  <c r="M89" i="31"/>
  <c r="N89" i="31" s="1"/>
  <c r="M185" i="31"/>
  <c r="N185" i="31" s="1"/>
  <c r="M65" i="31"/>
  <c r="N65" i="31" s="1"/>
  <c r="M389" i="31"/>
  <c r="N389" i="31" s="1"/>
  <c r="M437" i="31"/>
  <c r="N437" i="31" s="1"/>
  <c r="M701" i="31"/>
  <c r="N701" i="31" s="1"/>
  <c r="M509" i="31"/>
  <c r="N509" i="31" s="1"/>
  <c r="M561" i="31"/>
  <c r="N561" i="31" s="1"/>
  <c r="M105" i="31"/>
  <c r="N105" i="31" s="1"/>
  <c r="M501" i="31"/>
  <c r="N501" i="31" s="1"/>
  <c r="M81" i="31"/>
  <c r="N81" i="31" s="1"/>
  <c r="M117" i="31"/>
  <c r="N117" i="31" s="1"/>
  <c r="M633" i="31"/>
  <c r="N633" i="31" s="1"/>
  <c r="M681" i="31"/>
  <c r="N681" i="31" s="1"/>
  <c r="M705" i="31"/>
  <c r="N705" i="31" s="1"/>
  <c r="M549" i="31"/>
  <c r="N549" i="31" s="1"/>
  <c r="M261" i="31"/>
  <c r="N261" i="31" s="1"/>
  <c r="M21" i="31"/>
  <c r="N21" i="31" s="1"/>
  <c r="M57" i="31"/>
  <c r="N57" i="31" s="1"/>
  <c r="M693" i="31"/>
  <c r="N693" i="31" s="1"/>
  <c r="M381" i="31"/>
  <c r="N381" i="31" s="1"/>
  <c r="M229" i="31"/>
  <c r="N229" i="31" s="1"/>
  <c r="M529" i="31"/>
  <c r="N529" i="31" s="1"/>
  <c r="M325" i="31"/>
  <c r="N325" i="31" s="1"/>
  <c r="M457" i="31"/>
  <c r="N457" i="31" s="1"/>
  <c r="M385" i="31"/>
  <c r="N385" i="31" s="1"/>
  <c r="M397" i="31"/>
  <c r="N397" i="31" s="1"/>
  <c r="M277" i="31"/>
  <c r="N277" i="31" s="1"/>
  <c r="M493" i="31"/>
  <c r="N493" i="31" s="1"/>
  <c r="M97" i="31"/>
  <c r="N97" i="31" s="1"/>
  <c r="M205" i="31"/>
  <c r="N205" i="31" s="1"/>
  <c r="M625" i="31"/>
  <c r="N625" i="31" s="1"/>
  <c r="M709" i="31"/>
  <c r="N709" i="31" s="1"/>
  <c r="M541" i="31"/>
  <c r="N541" i="31" s="1"/>
  <c r="M73" i="31"/>
  <c r="N73" i="31" s="1"/>
  <c r="M142" i="31"/>
  <c r="N142" i="31" s="1"/>
  <c r="M682" i="31"/>
  <c r="N682" i="31" s="1"/>
  <c r="M646" i="31"/>
  <c r="N646" i="31" s="1"/>
  <c r="M706" i="31"/>
  <c r="N706" i="31" s="1"/>
  <c r="M178" i="31"/>
  <c r="N178" i="31" s="1"/>
  <c r="M538" i="31"/>
  <c r="N538" i="31" s="1"/>
  <c r="M718" i="31"/>
  <c r="N718" i="31" s="1"/>
  <c r="M250" i="31"/>
  <c r="N250" i="31" s="1"/>
  <c r="M502" i="31"/>
  <c r="N502" i="31" s="1"/>
  <c r="M358" i="31"/>
  <c r="N358" i="31" s="1"/>
  <c r="M10" i="31"/>
  <c r="N10" i="31" s="1"/>
  <c r="M190" i="31"/>
  <c r="N190" i="31" s="1"/>
  <c r="M442" i="31"/>
  <c r="N442" i="31" s="1"/>
  <c r="M298" i="31"/>
  <c r="N298" i="31" s="1"/>
  <c r="M658" i="31"/>
  <c r="N658" i="31" s="1"/>
  <c r="M14" i="31"/>
  <c r="N14" i="31" s="1"/>
  <c r="M374" i="31"/>
  <c r="N374" i="31" s="1"/>
  <c r="M518" i="31"/>
  <c r="N518" i="31" s="1"/>
  <c r="M638" i="31"/>
  <c r="N638" i="31" s="1"/>
  <c r="M242" i="31"/>
  <c r="N242" i="31" s="1"/>
  <c r="M494" i="31"/>
  <c r="N494" i="31" s="1"/>
  <c r="M506" i="31"/>
  <c r="N506" i="31" s="1"/>
  <c r="M134" i="31"/>
  <c r="N134" i="31" s="1"/>
  <c r="M338" i="31"/>
  <c r="N338" i="31" s="1"/>
  <c r="M710" i="31"/>
  <c r="N710" i="31" s="1"/>
  <c r="M590" i="31"/>
  <c r="N590" i="31" s="1"/>
  <c r="M26" i="31"/>
  <c r="N26" i="31" s="1"/>
  <c r="M206" i="31"/>
  <c r="N206" i="31" s="1"/>
  <c r="M230" i="31"/>
  <c r="N230" i="31" s="1"/>
  <c r="M566" i="31"/>
  <c r="N566" i="31" s="1"/>
  <c r="M263" i="31"/>
  <c r="N263" i="31" s="1"/>
  <c r="M647" i="31"/>
  <c r="N647" i="31" s="1"/>
  <c r="M239" i="31"/>
  <c r="N239" i="31" s="1"/>
  <c r="M623" i="31"/>
  <c r="N623" i="31" s="1"/>
  <c r="M191" i="31"/>
  <c r="N191" i="31" s="1"/>
  <c r="M575" i="31"/>
  <c r="N575" i="31" s="1"/>
  <c r="M71" i="31"/>
  <c r="N71" i="31" s="1"/>
  <c r="M407" i="31"/>
  <c r="N407" i="31" s="1"/>
  <c r="M203" i="31"/>
  <c r="N203" i="31" s="1"/>
  <c r="M587" i="31"/>
  <c r="N587" i="31" s="1"/>
  <c r="M227" i="31"/>
  <c r="N227" i="31" s="1"/>
  <c r="M419" i="31"/>
  <c r="N419" i="31" s="1"/>
  <c r="M611" i="31"/>
  <c r="N611" i="31" s="1"/>
  <c r="M188" i="31"/>
  <c r="N188" i="31" s="1"/>
  <c r="M572" i="31"/>
  <c r="N572" i="31" s="1"/>
  <c r="M260" i="31"/>
  <c r="N260" i="31" s="1"/>
  <c r="M20" i="31"/>
  <c r="N20" i="31" s="1"/>
  <c r="M404" i="31"/>
  <c r="N404" i="31" s="1"/>
  <c r="M140" i="31"/>
  <c r="N140" i="31" s="1"/>
  <c r="M524" i="31"/>
  <c r="N524" i="31" s="1"/>
  <c r="M128" i="31"/>
  <c r="N128" i="31" s="1"/>
  <c r="M320" i="31"/>
  <c r="N320" i="31" s="1"/>
  <c r="M512" i="31"/>
  <c r="N512" i="31" s="1"/>
  <c r="M704" i="31"/>
  <c r="N704" i="31" s="1"/>
  <c r="M692" i="31"/>
  <c r="N692" i="31" s="1"/>
  <c r="M104" i="31"/>
  <c r="N104" i="31" s="1"/>
  <c r="M296" i="31"/>
  <c r="N296" i="31" s="1"/>
  <c r="M488" i="31"/>
  <c r="N488" i="31" s="1"/>
  <c r="M680" i="31"/>
  <c r="N680" i="31" s="1"/>
  <c r="M217" i="31"/>
  <c r="N217" i="31" s="1"/>
  <c r="M220" i="31"/>
  <c r="N220" i="31" s="1"/>
  <c r="M388" i="31"/>
  <c r="N388" i="31" s="1"/>
  <c r="M47" i="31"/>
  <c r="N47" i="31" s="1"/>
  <c r="M52" i="31"/>
  <c r="N52" i="31" s="1"/>
  <c r="M433" i="31"/>
  <c r="N433" i="31" s="1"/>
  <c r="M436" i="31"/>
  <c r="N436" i="31" s="1"/>
  <c r="M167" i="31"/>
  <c r="N167" i="31" s="1"/>
  <c r="M172" i="31"/>
  <c r="N172" i="31" s="1"/>
  <c r="M557" i="31"/>
  <c r="N557" i="31" s="1"/>
  <c r="M556" i="31"/>
  <c r="N556" i="31" s="1"/>
  <c r="M111" i="31"/>
  <c r="N111" i="31" s="1"/>
  <c r="M112" i="31"/>
  <c r="N112" i="31" s="1"/>
  <c r="M294" i="31"/>
  <c r="N294" i="31" s="1"/>
  <c r="M304" i="31"/>
  <c r="N304" i="31" s="1"/>
  <c r="M496" i="31"/>
  <c r="N496" i="31" s="1"/>
  <c r="M688" i="31"/>
  <c r="N688" i="31" s="1"/>
  <c r="M724" i="31"/>
  <c r="N724" i="31" s="1"/>
  <c r="M182" i="31"/>
  <c r="N182" i="31" s="1"/>
  <c r="M184" i="31"/>
  <c r="N184" i="31" s="1"/>
  <c r="M370" i="31"/>
  <c r="N370" i="31" s="1"/>
  <c r="M376" i="31"/>
  <c r="N376" i="31" s="1"/>
  <c r="M568" i="31"/>
  <c r="N568" i="31" s="1"/>
  <c r="M342" i="31"/>
  <c r="N342" i="31" s="1"/>
  <c r="M210" i="31"/>
  <c r="N210" i="31" s="1"/>
  <c r="M438" i="31"/>
  <c r="N438" i="31" s="1"/>
  <c r="M354" i="31"/>
  <c r="N354" i="31" s="1"/>
  <c r="M114" i="31"/>
  <c r="N114" i="31" s="1"/>
  <c r="M426" i="31"/>
  <c r="N426" i="31" s="1"/>
  <c r="M282" i="31"/>
  <c r="N282" i="31" s="1"/>
  <c r="M714" i="31"/>
  <c r="N714" i="31" s="1"/>
  <c r="M222" i="31"/>
  <c r="N222" i="31" s="1"/>
  <c r="M558" i="31"/>
  <c r="N558" i="31" s="1"/>
  <c r="M90" i="31"/>
  <c r="N90" i="31" s="1"/>
  <c r="M474" i="31"/>
  <c r="N474" i="31" s="1"/>
  <c r="M366" i="31"/>
  <c r="N366" i="31" s="1"/>
  <c r="M738" i="31"/>
  <c r="N738" i="31" s="1"/>
  <c r="M199" i="31"/>
  <c r="N199" i="31" s="1"/>
  <c r="M583" i="31"/>
  <c r="N583" i="31" s="1"/>
  <c r="M151" i="31"/>
  <c r="N151" i="31" s="1"/>
  <c r="M463" i="31"/>
  <c r="N463" i="31" s="1"/>
  <c r="M223" i="31"/>
  <c r="N223" i="31" s="1"/>
  <c r="M607" i="31"/>
  <c r="N607" i="31" s="1"/>
  <c r="M343" i="31"/>
  <c r="N343" i="31" s="1"/>
  <c r="M727" i="31"/>
  <c r="N727" i="31" s="1"/>
  <c r="M331" i="31"/>
  <c r="N331" i="31" s="1"/>
  <c r="M523" i="31"/>
  <c r="N523" i="31" s="1"/>
  <c r="M715" i="31"/>
  <c r="N715" i="31" s="1"/>
  <c r="M163" i="31"/>
  <c r="N163" i="31" s="1"/>
  <c r="M355" i="31"/>
  <c r="N355" i="31" s="1"/>
  <c r="M547" i="31"/>
  <c r="N547" i="31" s="1"/>
  <c r="M739" i="31"/>
  <c r="N739" i="31" s="1"/>
  <c r="M231" i="31"/>
  <c r="N231" i="31" s="1"/>
  <c r="M207" i="31"/>
  <c r="N207" i="31" s="1"/>
  <c r="M639" i="31"/>
  <c r="N639" i="31" s="1"/>
  <c r="M135" i="31"/>
  <c r="N135" i="31" s="1"/>
  <c r="M471" i="31"/>
  <c r="N471" i="31" s="1"/>
  <c r="M219" i="31"/>
  <c r="N219" i="31" s="1"/>
  <c r="M411" i="31"/>
  <c r="N411" i="31" s="1"/>
  <c r="M603" i="31"/>
  <c r="N603" i="31" s="1"/>
  <c r="M51" i="31"/>
  <c r="N51" i="31" s="1"/>
  <c r="M243" i="31"/>
  <c r="N243" i="31" s="1"/>
  <c r="M435" i="31"/>
  <c r="N435" i="31" s="1"/>
  <c r="M156" i="31"/>
  <c r="N156" i="31" s="1"/>
  <c r="M228" i="31"/>
  <c r="N228" i="31" s="1"/>
  <c r="M636" i="31"/>
  <c r="N636" i="31" s="1"/>
  <c r="M372" i="31"/>
  <c r="N372" i="31" s="1"/>
  <c r="M12" i="31"/>
  <c r="N12" i="31" s="1"/>
  <c r="M396" i="31"/>
  <c r="N396" i="31" s="1"/>
  <c r="M96" i="31"/>
  <c r="N96" i="31" s="1"/>
  <c r="M288" i="31"/>
  <c r="N288" i="31" s="1"/>
  <c r="M480" i="31"/>
  <c r="N480" i="31" s="1"/>
  <c r="M672" i="31"/>
  <c r="N672" i="31" s="1"/>
  <c r="M708" i="31"/>
  <c r="N708" i="31" s="1"/>
  <c r="M168" i="31"/>
  <c r="N168" i="31" s="1"/>
  <c r="M360" i="31"/>
  <c r="N360" i="31" s="1"/>
  <c r="M552" i="31"/>
  <c r="N552" i="3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<sst xmlns="http://schemas.openxmlformats.org/spreadsheetml/2006/main" count="255" uniqueCount="87">
  <si>
    <t>Date</t>
  </si>
  <si>
    <t>CO2</t>
  </si>
  <si>
    <t>季節変動</t>
    <rPh sb="0" eb="2">
      <t>キセツ</t>
    </rPh>
    <rPh sb="2" eb="4">
      <t>ヘンドウ</t>
    </rPh>
    <phoneticPr fontId="1"/>
  </si>
  <si>
    <t>：指数関数＋バイアス（dは測定年月(Date)）</t>
    <rPh sb="1" eb="3">
      <t>シスウ</t>
    </rPh>
    <rPh sb="3" eb="5">
      <t>カンスウ</t>
    </rPh>
    <rPh sb="13" eb="15">
      <t>ソクテイ</t>
    </rPh>
    <rPh sb="15" eb="16">
      <t>ネン</t>
    </rPh>
    <rPh sb="16" eb="17">
      <t>ゲツ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</si>
  <si>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</si>
  <si>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</si>
  <si>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</si>
  <si>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</si>
  <si>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</si>
  <si>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m(d)</t>
    <phoneticPr fontId="1"/>
  </si>
  <si>
    <t>が最小になるように</t>
    <rPh sb="1" eb="3">
      <t>サイショウ</t>
    </rPh>
    <phoneticPr fontId="1"/>
  </si>
  <si>
    <t>の値を調整する</t>
    <rPh sb="1" eb="2">
      <t>アタイ</t>
    </rPh>
    <rPh sb="3" eb="5">
      <t>チョウセイ</t>
    </rPh>
    <phoneticPr fontId="1"/>
  </si>
  <si>
    <t>ソルバーアドインを使って，</t>
    <rPh sb="9" eb="10">
      <t>ツカ</t>
    </rPh>
    <phoneticPr fontId="1"/>
  </si>
  <si>
    <t>S(m(d))</t>
    <phoneticPr fontId="1"/>
  </si>
  <si>
    <t>S(m)</t>
    <phoneticPr fontId="1"/>
  </si>
  <si>
    <t>残差(I)</t>
    <rPh sb="0" eb="2">
      <t>ザンサ</t>
    </rPh>
    <phoneticPr fontId="1"/>
  </si>
  <si>
    <t xml:space="preserve"> = S(1)</t>
    <phoneticPr fontId="1"/>
  </si>
  <si>
    <t>T(d)</t>
    <phoneticPr fontId="1"/>
  </si>
  <si>
    <r>
      <t>T(d) = e</t>
    </r>
    <r>
      <rPr>
        <vertAlign val="superscript"/>
        <sz val="11"/>
        <color theme="1"/>
        <rFont val="游ゴシック"/>
        <family val="3"/>
        <charset val="128"/>
        <scheme val="minor"/>
      </rPr>
      <t>Ad+B</t>
    </r>
    <r>
      <rPr>
        <sz val="11"/>
        <color theme="1"/>
        <rFont val="游ゴシック"/>
        <family val="2"/>
        <charset val="128"/>
        <scheme val="minor"/>
      </rPr>
      <t>+C</t>
    </r>
    <phoneticPr fontId="1"/>
  </si>
  <si>
    <t>TS(d)=T(d)+S(m(d))</t>
    <phoneticPr fontId="1"/>
  </si>
  <si>
    <t>傾向変動</t>
  </si>
  <si>
    <t>傾向変動</t>
    <rPh sb="0" eb="4">
      <t>ケイコウヘンドウ</t>
    </rPh>
    <phoneticPr fontId="1"/>
  </si>
  <si>
    <t>：傾向変動からの変位（m(d) は d の月部分 ）</t>
    <rPh sb="8" eb="10">
      <t>ヘンイ</t>
    </rPh>
    <rPh sb="21" eb="22">
      <t>ツキ</t>
    </rPh>
    <rPh sb="22" eb="24">
      <t>ブブン</t>
    </rPh>
    <phoneticPr fontId="1"/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</si>
  <si>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</si>
  <si>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TS(d)</t>
    <phoneticPr fontId="1"/>
  </si>
  <si>
    <t>残差平方の平均</t>
    <rPh sb="0" eb="4">
      <t>ザンサヘイホウ</t>
    </rPh>
    <rPh sb="5" eb="7">
      <t>ヘイキン</t>
    </rPh>
    <phoneticPr fontId="1"/>
  </si>
  <si>
    <t>：2次多項式（dは測定年月(Date)）</t>
    <rPh sb="2" eb="3">
      <t>ジ</t>
    </rPh>
    <rPh sb="3" eb="6">
      <t>タコウシキ</t>
    </rPh>
    <rPh sb="9" eb="11">
      <t>ソクテイ</t>
    </rPh>
    <rPh sb="11" eb="12">
      <t>ネン</t>
    </rPh>
    <rPh sb="12" eb="13">
      <t>ゲツ</t>
    </rPh>
    <phoneticPr fontId="1"/>
  </si>
  <si>
    <r>
      <t>T(d) = Ad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+Bd+C</t>
    </r>
    <phoneticPr fontId="1"/>
  </si>
  <si>
    <t>傾向変動のパラメータ（適当な初期値からソルバーで決定）</t>
    <rPh sb="11" eb="13">
      <t>テキトウ</t>
    </rPh>
    <rPh sb="14" eb="17">
      <t>ショキチ</t>
    </rPh>
    <rPh sb="24" eb="26">
      <t>ケッテイ</t>
    </rPh>
    <phoneticPr fontId="1"/>
  </si>
  <si>
    <t>目的変数</t>
    <rPh sb="0" eb="4">
      <t>モクテキヘンスウ</t>
    </rPh>
    <phoneticPr fontId="1"/>
  </si>
  <si>
    <t>変数セル</t>
    <rPh sb="0" eb="2">
      <t>ヘンスウ</t>
    </rPh>
    <phoneticPr fontId="1"/>
  </si>
  <si>
    <t>傾向変動のパラメータ（最小二乗法による2次多項式近似 — Excelの関数で計算）</t>
    <rPh sb="11" eb="16">
      <t>サイショウニジョウホウ</t>
    </rPh>
    <rPh sb="20" eb="26">
      <t>ジタコウシキキンジ</t>
    </rPh>
    <rPh sb="35" eb="37">
      <t>カンスウ</t>
    </rPh>
    <rPh sb="38" eb="40">
      <t>ケイサン</t>
    </rPh>
    <phoneticPr fontId="1"/>
  </si>
  <si>
    <t>手順</t>
    <rPh sb="0" eb="2">
      <t>テジュン</t>
    </rPh>
    <phoneticPr fontId="1"/>
  </si>
  <si>
    <t>ソルバーアドインを追加</t>
    <rPh sb="9" eb="11">
      <t>ツイカ</t>
    </rPh>
    <phoneticPr fontId="1"/>
  </si>
  <si>
    <t>「解決方法の選択」を GRG非線形 にして「解決」をクリック</t>
    <rPh sb="14" eb="17">
      <t>ヒセンケイ</t>
    </rPh>
    <rPh sb="22" eb="24">
      <t>カイケツ</t>
    </rPh>
    <phoneticPr fontId="1"/>
  </si>
  <si>
    <t>準備</t>
    <rPh sb="0" eb="2">
      <t>ジュンビ</t>
    </rPh>
    <phoneticPr fontId="1"/>
  </si>
  <si>
    <t>-</t>
    <phoneticPr fontId="1"/>
  </si>
  <si>
    <t>傾向変動のパラメータ（B6:B8）の数式を眺める</t>
    <rPh sb="0" eb="4">
      <t>ケイコウヘンドウ</t>
    </rPh>
    <rPh sb="18" eb="20">
      <t>スウシキ</t>
    </rPh>
    <rPh sb="21" eb="22">
      <t>ナガ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</si>
  <si>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</si>
  <si>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</si>
  <si>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※ 指数+定数モデルは，増加率が指数関数的に増大するモデル</t>
    <rPh sb="12" eb="15">
      <t>ゾウカリツ</t>
    </rPh>
    <rPh sb="16" eb="21">
      <t>シスウカンスウテキ</t>
    </rPh>
    <rPh sb="22" eb="24">
      <t>ゾウダイ</t>
    </rPh>
    <phoneticPr fontId="1"/>
  </si>
  <si>
    <t>d</t>
    <phoneticPr fontId="1"/>
  </si>
  <si>
    <t>CO2-T(d)</t>
    <phoneticPr fontId="1"/>
  </si>
  <si>
    <t>季節変動（CO2-T(d) の月別平均値）</t>
    <rPh sb="0" eb="4">
      <t>キセツヘンドウ</t>
    </rPh>
    <rPh sb="15" eb="17">
      <t>ツキベツ</t>
    </rPh>
    <rPh sb="17" eb="20">
      <t>ヘイキンチ</t>
    </rPh>
    <phoneticPr fontId="1"/>
  </si>
  <si>
    <r>
      <t>(CO2-T(d))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 の平均</t>
    </r>
    <rPh sb="13" eb="15">
      <t>ヘイキン</t>
    </rPh>
    <phoneticPr fontId="1"/>
  </si>
  <si>
    <t>T(d), CO2-T(d), m(d)（H2～J2）の数式を確認して</t>
    <rPh sb="28" eb="30">
      <t>スウシキ</t>
    </rPh>
    <rPh sb="31" eb="33">
      <t>カクニン</t>
    </rPh>
    <phoneticPr fontId="1"/>
  </si>
  <si>
    <t>742行目までコピーする</t>
    <phoneticPr fontId="1"/>
  </si>
  <si>
    <t>季節変動（B14）の数式を確認して25行目までコピーする</t>
    <rPh sb="0" eb="2">
      <t>キセツ</t>
    </rPh>
    <rPh sb="2" eb="4">
      <t>ヘンドウ</t>
    </rPh>
    <rPh sb="10" eb="12">
      <t>スウシキ</t>
    </rPh>
    <rPh sb="13" eb="15">
      <t>カクニン</t>
    </rPh>
    <phoneticPr fontId="1"/>
  </si>
  <si>
    <t>H, J～L列の数式を200か月分（942行目 (2036/12/1) まで）</t>
    <rPh sb="6" eb="7">
      <t>レツ</t>
    </rPh>
    <rPh sb="8" eb="10">
      <t>スウシキ</t>
    </rPh>
    <rPh sb="15" eb="17">
      <t>ゲツブン</t>
    </rPh>
    <rPh sb="21" eb="23">
      <t>ギョウメ</t>
    </rPh>
    <phoneticPr fontId="1"/>
  </si>
  <si>
    <t>コピーする（将来予測）</t>
    <rPh sb="6" eb="10">
      <t>ショウライヨソク</t>
    </rPh>
    <phoneticPr fontId="1"/>
  </si>
  <si>
    <t>※ 2次多項式モデルは，増加率が線形に増加するモデである</t>
    <rPh sb="3" eb="4">
      <t>ジ</t>
    </rPh>
    <rPh sb="4" eb="7">
      <t>タコウシキ</t>
    </rPh>
    <rPh sb="12" eb="15">
      <t>ゾウカリツ</t>
    </rPh>
    <rPh sb="16" eb="18">
      <t>センケイ</t>
    </rPh>
    <rPh sb="19" eb="21">
      <t>ゾウカ</t>
    </rPh>
    <phoneticPr fontId="1"/>
  </si>
  <si>
    <t xml:space="preserve"> = S(1)</t>
  </si>
  <si>
    <t>d, CO2, TS(d)（F, G, L列）で散布図(平滑線)を描く</t>
    <rPh sb="21" eb="22">
      <t>レツ</t>
    </rPh>
    <rPh sb="24" eb="27">
      <t>サンプズ</t>
    </rPh>
    <rPh sb="28" eb="31">
      <t>ヘイカツセン</t>
    </rPh>
    <rPh sb="33" eb="34">
      <t>エガ</t>
    </rPh>
    <phoneticPr fontId="1"/>
  </si>
  <si>
    <t>d, CO2, T(d)（F～H列）で散布図(平滑線)を描く</t>
    <rPh sb="16" eb="17">
      <t>レツ</t>
    </rPh>
    <rPh sb="19" eb="22">
      <t>サンプズ</t>
    </rPh>
    <rPh sb="23" eb="26">
      <t>ヘイカツセン</t>
    </rPh>
    <rPh sb="28" eb="29">
      <t>エガ</t>
    </rPh>
    <phoneticPr fontId="1"/>
  </si>
  <si>
    <t>A13:B26を選択して，散布図(平滑線とマーカー)を描く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</si>
  <si>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d, 残差(I)（F,M列）で集合縦棒グラフを描く</t>
    <rPh sb="3" eb="5">
      <t>ザンサ</t>
    </rPh>
    <rPh sb="12" eb="13">
      <t>レツ</t>
    </rPh>
    <rPh sb="15" eb="17">
      <t>シュウゴウ</t>
    </rPh>
    <rPh sb="17" eb="19">
      <t>タテボウ</t>
    </rPh>
    <rPh sb="23" eb="24">
      <t>エガ</t>
    </rPh>
    <phoneticPr fontId="1"/>
  </si>
  <si>
    <t>742行目までコピーする</t>
    <rPh sb="3" eb="5">
      <t>ギョウメ</t>
    </rPh>
    <phoneticPr fontId="1"/>
  </si>
  <si>
    <t>S(m(d)), TS(d), 残差(I)（K2～M2）の数式を確認して</t>
    <phoneticPr fontId="1"/>
  </si>
  <si>
    <t>「目的セル」をB10に，「目標値」を最小値に，</t>
    <rPh sb="1" eb="3">
      <t>モクテキ</t>
    </rPh>
    <rPh sb="13" eb="16">
      <t>モクヒョウチ</t>
    </rPh>
    <rPh sb="18" eb="21">
      <t>サイショウチ</t>
    </rPh>
    <phoneticPr fontId="1"/>
  </si>
  <si>
    <t>「変数セルの変更」をB6:B8に，</t>
    <phoneticPr fontId="1"/>
  </si>
  <si>
    <t>前月差</t>
    <rPh sb="0" eb="3">
      <t>ゼンゲツサ</t>
    </rPh>
    <phoneticPr fontId="1"/>
  </si>
  <si>
    <t>Σ</t>
    <phoneticPr fontId="1"/>
  </si>
  <si>
    <t>TCI(d)</t>
    <phoneticPr fontId="1"/>
  </si>
  <si>
    <t>TC(d)</t>
    <phoneticPr fontId="1"/>
  </si>
  <si>
    <t>平均前月差</t>
    <rPh sb="0" eb="2">
      <t>ヘイキン</t>
    </rPh>
    <rPh sb="2" eb="4">
      <t>ゼンゲツ</t>
    </rPh>
    <rPh sb="4" eb="5">
      <t>サ</t>
    </rPh>
    <phoneticPr fontId="1"/>
  </si>
  <si>
    <t>増分補正</t>
    <rPh sb="0" eb="4">
      <t>ゾウブンホセイ</t>
    </rPh>
    <phoneticPr fontId="1"/>
  </si>
  <si>
    <t>累積</t>
    <rPh sb="0" eb="2">
      <t>ルイセキ</t>
    </rPh>
    <phoneticPr fontId="1"/>
  </si>
  <si>
    <t>I</t>
    <phoneticPr fontId="1"/>
  </si>
  <si>
    <t>列 1</t>
  </si>
  <si>
    <t>列 2</t>
  </si>
  <si>
    <t>列 3</t>
  </si>
  <si>
    <t>列 4</t>
  </si>
  <si>
    <t>列 5</t>
  </si>
  <si>
    <t>列 6</t>
  </si>
  <si>
    <t>列 7</t>
  </si>
  <si>
    <t>列 8</t>
  </si>
  <si>
    <t>列 9</t>
  </si>
  <si>
    <t>列 10</t>
  </si>
  <si>
    <t>列 11</t>
  </si>
  <si>
    <t>列 12</t>
  </si>
  <si>
    <t>列 13</t>
  </si>
  <si>
    <t>R</t>
    <phoneticPr fontId="1"/>
  </si>
  <si>
    <r>
      <t>R</t>
    </r>
    <r>
      <rPr>
        <b/>
        <vertAlign val="superscript"/>
        <sz val="11"/>
        <color theme="1"/>
        <rFont val="游ゴシック"/>
        <family val="3"/>
        <charset val="128"/>
        <scheme val="minor"/>
      </rPr>
      <t>-1</t>
    </r>
    <phoneticPr fontId="1"/>
  </si>
  <si>
    <t>RR</t>
    <phoneticPr fontId="1"/>
  </si>
  <si>
    <t>I</t>
  </si>
  <si>
    <t>TC(d)</t>
  </si>
  <si>
    <t>TCI(d)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</si>
</sst>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0.000000000_ ;[Red]\-0.000000000\ "/>
    <numFmt numFmtId="178" formatCode="0.00_);[Red]\(0.0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vertAlign val="superscript"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>
      <alignment vertical="center"/>
    </xf>
    <xf numFmtId="0" fontId="3" fillId="0" borderId="13" xfId="0" applyFont="1" applyBorder="1">
      <alignment vertical="center"/>
    </xf>
    <xf numFmtId="0" fontId="6" fillId="0" borderId="12" xfId="0" applyFont="1" applyBorder="1">
      <alignment vertical="center"/>
    </xf>
    <xf numFmtId="177" fontId="0" fillId="0" borderId="0" xfId="0" applyNumberFormat="1">
      <alignment vertical="center"/>
    </xf>
    <xf numFmtId="177" fontId="0" fillId="0" borderId="9" xfId="0" applyNumberFormat="1" applyBorder="1">
      <alignment vertical="center"/>
    </xf>
    <xf numFmtId="14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16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8.xml"/><Relationship Id="rId5" Type="http://schemas.openxmlformats.org/officeDocument/2006/relationships/chartsheet" Target="chartsheets/sheet2.xml"/><Relationship Id="rId15" Type="http://schemas.openxmlformats.org/officeDocument/2006/relationships/sheetMetadata" Target="metadata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'co2 (2)'!$L$1</c:f>
              <c:strCache>
                <c:ptCount val="1"/>
                <c:pt idx="0">
                  <c:v>TCI(d)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'co2 (2)'!$G$2:$G$747</c:f>
              <c:numCache>
                <c:formatCode>m/d/yyyy</c:formatCode>
                <c:ptCount val="7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</c:numCache>
            </c:numRef>
          </c:xVal>
          <c:yVal>
            <c:numRef>
              <c:f>'co2 (2)'!$L$2:$L$747</c:f>
              <c:numCache>
                <c:formatCode>0.00_);[Red]\(0.00\)</c:formatCode>
                <c:ptCount val="746"/>
                <c:pt idx="0">
                  <c:v>314.32770424061778</c:v>
                </c:pt>
                <c:pt idx="1">
                  <c:v>314.87195276159508</c:v>
                </c:pt>
                <c:pt idx="2">
                  <c:v>314.42902474822739</c:v>
                </c:pt>
                <c:pt idx="3">
                  <c:v>314.31309578647875</c:v>
                </c:pt>
                <c:pt idx="4">
                  <c:v>315.13208485751704</c:v>
                </c:pt>
                <c:pt idx="5">
                  <c:v>316.33992638757172</c:v>
                </c:pt>
                <c:pt idx="6">
                  <c:v>316.41432529467551</c:v>
                </c:pt>
                <c:pt idx="7">
                  <c:v>316.59610125095963</c:v>
                </c:pt>
                <c:pt idx="8">
                  <c:v>315.38164769904711</c:v>
                </c:pt>
                <c:pt idx="9">
                  <c:v>315.55768595041326</c:v>
                </c:pt>
                <c:pt idx="10">
                  <c:v>315.52110125095965</c:v>
                </c:pt>
                <c:pt idx="11">
                  <c:v>315.79584157521566</c:v>
                </c:pt>
                <c:pt idx="12">
                  <c:v>315.27770424061777</c:v>
                </c:pt>
                <c:pt idx="13">
                  <c:v>315.13195276159513</c:v>
                </c:pt>
                <c:pt idx="14">
                  <c:v>315.20902474822742</c:v>
                </c:pt>
                <c:pt idx="15">
                  <c:v>315.7916203766427</c:v>
                </c:pt>
                <c:pt idx="16">
                  <c:v>315.81208485751705</c:v>
                </c:pt>
                <c:pt idx="17">
                  <c:v>316.20992638757173</c:v>
                </c:pt>
                <c:pt idx="18">
                  <c:v>317.0443252946755</c:v>
                </c:pt>
                <c:pt idx="19">
                  <c:v>316.65708485751702</c:v>
                </c:pt>
                <c:pt idx="20">
                  <c:v>316.86164769904713</c:v>
                </c:pt>
                <c:pt idx="21">
                  <c:v>316.46768595041323</c:v>
                </c:pt>
                <c:pt idx="22">
                  <c:v>316.37110125095967</c:v>
                </c:pt>
                <c:pt idx="23">
                  <c:v>316.28584157521567</c:v>
                </c:pt>
                <c:pt idx="24">
                  <c:v>316.20770424061777</c:v>
                </c:pt>
                <c:pt idx="25">
                  <c:v>316.44195276159508</c:v>
                </c:pt>
                <c:pt idx="26">
                  <c:v>316.95902474822742</c:v>
                </c:pt>
                <c:pt idx="27">
                  <c:v>317.2216203766427</c:v>
                </c:pt>
                <c:pt idx="28">
                  <c:v>317.45208485751704</c:v>
                </c:pt>
                <c:pt idx="29">
                  <c:v>317.30992638757169</c:v>
                </c:pt>
                <c:pt idx="30">
                  <c:v>317.37432529467554</c:v>
                </c:pt>
                <c:pt idx="31">
                  <c:v>317.15708485751702</c:v>
                </c:pt>
                <c:pt idx="32">
                  <c:v>317.05164769904712</c:v>
                </c:pt>
                <c:pt idx="33">
                  <c:v>317.07768595041324</c:v>
                </c:pt>
                <c:pt idx="34">
                  <c:v>316.84110125095964</c:v>
                </c:pt>
                <c:pt idx="35">
                  <c:v>317.00584157521564</c:v>
                </c:pt>
                <c:pt idx="36">
                  <c:v>317.16770424061781</c:v>
                </c:pt>
                <c:pt idx="37">
                  <c:v>316.89195276159512</c:v>
                </c:pt>
                <c:pt idx="38">
                  <c:v>317.49902474822738</c:v>
                </c:pt>
                <c:pt idx="39">
                  <c:v>317.4116203766427</c:v>
                </c:pt>
                <c:pt idx="40">
                  <c:v>317.84208485751702</c:v>
                </c:pt>
                <c:pt idx="41">
                  <c:v>318.19992638757174</c:v>
                </c:pt>
                <c:pt idx="42">
                  <c:v>318.19432529467554</c:v>
                </c:pt>
                <c:pt idx="43">
                  <c:v>318.63708485751704</c:v>
                </c:pt>
                <c:pt idx="44">
                  <c:v>318.15164769904715</c:v>
                </c:pt>
                <c:pt idx="45">
                  <c:v>317.89768595041323</c:v>
                </c:pt>
                <c:pt idx="46">
                  <c:v>317.88110125095966</c:v>
                </c:pt>
                <c:pt idx="47">
                  <c:v>317.85584157521566</c:v>
                </c:pt>
                <c:pt idx="48">
                  <c:v>318.3077042406178</c:v>
                </c:pt>
                <c:pt idx="49">
                  <c:v>317.9819527615951</c:v>
                </c:pt>
                <c:pt idx="50">
                  <c:v>317.93902474822738</c:v>
                </c:pt>
                <c:pt idx="51">
                  <c:v>318.26162037664272</c:v>
                </c:pt>
                <c:pt idx="52">
                  <c:v>318.88208485751704</c:v>
                </c:pt>
                <c:pt idx="53">
                  <c:v>318.80992638757169</c:v>
                </c:pt>
                <c:pt idx="54">
                  <c:v>319.45432529467553</c:v>
                </c:pt>
                <c:pt idx="55">
                  <c:v>318.74708485751705</c:v>
                </c:pt>
                <c:pt idx="56">
                  <c:v>318.74164769904712</c:v>
                </c:pt>
                <c:pt idx="57">
                  <c:v>318.58768595041323</c:v>
                </c:pt>
                <c:pt idx="58">
                  <c:v>318.68110125095967</c:v>
                </c:pt>
                <c:pt idx="59">
                  <c:v>318.37584157521565</c:v>
                </c:pt>
                <c:pt idx="60">
                  <c:v>318.4877042406178</c:v>
                </c:pt>
                <c:pt idx="61">
                  <c:v>318.7919527615951</c:v>
                </c:pt>
                <c:pt idx="62">
                  <c:v>319.1690247482274</c:v>
                </c:pt>
                <c:pt idx="63">
                  <c:v>319.12162037664274</c:v>
                </c:pt>
                <c:pt idx="64">
                  <c:v>319.01208485751704</c:v>
                </c:pt>
                <c:pt idx="65">
                  <c:v>319.1799263875717</c:v>
                </c:pt>
                <c:pt idx="66">
                  <c:v>319.41432529467551</c:v>
                </c:pt>
                <c:pt idx="67">
                  <c:v>319.31708485751705</c:v>
                </c:pt>
                <c:pt idx="68">
                  <c:v>319.12164769904712</c:v>
                </c:pt>
                <c:pt idx="69">
                  <c:v>319.23768595041327</c:v>
                </c:pt>
                <c:pt idx="70">
                  <c:v>319.51110125095965</c:v>
                </c:pt>
                <c:pt idx="71">
                  <c:v>319.56501512893465</c:v>
                </c:pt>
                <c:pt idx="72">
                  <c:v>319.53158853813841</c:v>
                </c:pt>
                <c:pt idx="73">
                  <c:v>319.00501061283478</c:v>
                </c:pt>
                <c:pt idx="74">
                  <c:v>319.17902474822739</c:v>
                </c:pt>
                <c:pt idx="75">
                  <c:v>319.53162037664271</c:v>
                </c:pt>
                <c:pt idx="76">
                  <c:v>319.71208485751703</c:v>
                </c:pt>
                <c:pt idx="77">
                  <c:v>320.09992638757171</c:v>
                </c:pt>
                <c:pt idx="78">
                  <c:v>319.90432529467552</c:v>
                </c:pt>
                <c:pt idx="79">
                  <c:v>320.19708485751704</c:v>
                </c:pt>
                <c:pt idx="80">
                  <c:v>319.73164769904713</c:v>
                </c:pt>
                <c:pt idx="81">
                  <c:v>319.59768595041322</c:v>
                </c:pt>
                <c:pt idx="82">
                  <c:v>319.38110125095966</c:v>
                </c:pt>
                <c:pt idx="83">
                  <c:v>319.74584157521565</c:v>
                </c:pt>
                <c:pt idx="84">
                  <c:v>319.51770424061777</c:v>
                </c:pt>
                <c:pt idx="85">
                  <c:v>319.55195276159509</c:v>
                </c:pt>
                <c:pt idx="86">
                  <c:v>319.08902474822742</c:v>
                </c:pt>
                <c:pt idx="87">
                  <c:v>319.51162037664272</c:v>
                </c:pt>
                <c:pt idx="88">
                  <c:v>320.48208485751701</c:v>
                </c:pt>
                <c:pt idx="89">
                  <c:v>320.27992638757172</c:v>
                </c:pt>
                <c:pt idx="90">
                  <c:v>321.01432529467553</c:v>
                </c:pt>
                <c:pt idx="91">
                  <c:v>320.62708485751705</c:v>
                </c:pt>
                <c:pt idx="92">
                  <c:v>320.92164769904713</c:v>
                </c:pt>
                <c:pt idx="93">
                  <c:v>320.30768595041326</c:v>
                </c:pt>
                <c:pt idx="94">
                  <c:v>320.56110125095967</c:v>
                </c:pt>
                <c:pt idx="95">
                  <c:v>320.90584157521567</c:v>
                </c:pt>
                <c:pt idx="96">
                  <c:v>321.01770424061777</c:v>
                </c:pt>
                <c:pt idx="97">
                  <c:v>321.11195276159509</c:v>
                </c:pt>
                <c:pt idx="98">
                  <c:v>320.99902474822738</c:v>
                </c:pt>
                <c:pt idx="99">
                  <c:v>321.39162037664272</c:v>
                </c:pt>
                <c:pt idx="100">
                  <c:v>321.65208485751702</c:v>
                </c:pt>
                <c:pt idx="101">
                  <c:v>321.76992638757173</c:v>
                </c:pt>
                <c:pt idx="102">
                  <c:v>321.84432529467551</c:v>
                </c:pt>
                <c:pt idx="103">
                  <c:v>321.42708485751706</c:v>
                </c:pt>
                <c:pt idx="104">
                  <c:v>321.8316476990471</c:v>
                </c:pt>
                <c:pt idx="105">
                  <c:v>321.91768595041322</c:v>
                </c:pt>
                <c:pt idx="106">
                  <c:v>322.27110125095965</c:v>
                </c:pt>
                <c:pt idx="107">
                  <c:v>321.80584157521565</c:v>
                </c:pt>
                <c:pt idx="108">
                  <c:v>321.66770424061781</c:v>
                </c:pt>
                <c:pt idx="109">
                  <c:v>321.83195276159512</c:v>
                </c:pt>
                <c:pt idx="110">
                  <c:v>321.9190247482274</c:v>
                </c:pt>
                <c:pt idx="111">
                  <c:v>321.7316203766427</c:v>
                </c:pt>
                <c:pt idx="112">
                  <c:v>321.81208485751705</c:v>
                </c:pt>
                <c:pt idx="113">
                  <c:v>322.32992638757173</c:v>
                </c:pt>
                <c:pt idx="114">
                  <c:v>322.45432529467553</c:v>
                </c:pt>
                <c:pt idx="115">
                  <c:v>322.71708485751702</c:v>
                </c:pt>
                <c:pt idx="116">
                  <c:v>322.78164769904714</c:v>
                </c:pt>
                <c:pt idx="117">
                  <c:v>322.84768595041322</c:v>
                </c:pt>
                <c:pt idx="118">
                  <c:v>322.51110125095965</c:v>
                </c:pt>
                <c:pt idx="119">
                  <c:v>322.45584157521563</c:v>
                </c:pt>
                <c:pt idx="120">
                  <c:v>322.51770424061777</c:v>
                </c:pt>
                <c:pt idx="121">
                  <c:v>322.43195276159508</c:v>
                </c:pt>
                <c:pt idx="122">
                  <c:v>322.48902474822739</c:v>
                </c:pt>
                <c:pt idx="123">
                  <c:v>323.00162037664273</c:v>
                </c:pt>
                <c:pt idx="124">
                  <c:v>323.41208485751702</c:v>
                </c:pt>
                <c:pt idx="125">
                  <c:v>323.51992638757173</c:v>
                </c:pt>
                <c:pt idx="126">
                  <c:v>323.53432529467551</c:v>
                </c:pt>
                <c:pt idx="127">
                  <c:v>323.57708485751704</c:v>
                </c:pt>
                <c:pt idx="128">
                  <c:v>323.37164769904712</c:v>
                </c:pt>
                <c:pt idx="129">
                  <c:v>323.77768595041323</c:v>
                </c:pt>
                <c:pt idx="130">
                  <c:v>323.94110125095966</c:v>
                </c:pt>
                <c:pt idx="131">
                  <c:v>323.71584157521568</c:v>
                </c:pt>
                <c:pt idx="132">
                  <c:v>324.25770424061778</c:v>
                </c:pt>
                <c:pt idx="133">
                  <c:v>324.07195276159513</c:v>
                </c:pt>
                <c:pt idx="134">
                  <c:v>324.2990247482274</c:v>
                </c:pt>
                <c:pt idx="135">
                  <c:v>324.3516203766427</c:v>
                </c:pt>
                <c:pt idx="136">
                  <c:v>325.15208485751702</c:v>
                </c:pt>
                <c:pt idx="137">
                  <c:v>325.06992638757174</c:v>
                </c:pt>
                <c:pt idx="138">
                  <c:v>325.58432529467552</c:v>
                </c:pt>
                <c:pt idx="139">
                  <c:v>325.10708485751701</c:v>
                </c:pt>
                <c:pt idx="140">
                  <c:v>324.90164769904715</c:v>
                </c:pt>
                <c:pt idx="141">
                  <c:v>325.00768595041325</c:v>
                </c:pt>
                <c:pt idx="142">
                  <c:v>325.00110125095966</c:v>
                </c:pt>
                <c:pt idx="143">
                  <c:v>325.28584157521567</c:v>
                </c:pt>
                <c:pt idx="144">
                  <c:v>325.5577042406178</c:v>
                </c:pt>
                <c:pt idx="145">
                  <c:v>325.5419527615951</c:v>
                </c:pt>
                <c:pt idx="146">
                  <c:v>324.99902474822738</c:v>
                </c:pt>
                <c:pt idx="147">
                  <c:v>325.31162037664274</c:v>
                </c:pt>
                <c:pt idx="148">
                  <c:v>325.612084857517</c:v>
                </c:pt>
                <c:pt idx="149">
                  <c:v>326.09992638757171</c:v>
                </c:pt>
                <c:pt idx="150">
                  <c:v>326.30432529467555</c:v>
                </c:pt>
                <c:pt idx="151">
                  <c:v>326.38708485751704</c:v>
                </c:pt>
                <c:pt idx="152">
                  <c:v>326.06164769904711</c:v>
                </c:pt>
                <c:pt idx="153">
                  <c:v>326.01768595041324</c:v>
                </c:pt>
                <c:pt idx="154">
                  <c:v>326.11110125095968</c:v>
                </c:pt>
                <c:pt idx="155">
                  <c:v>325.98584157521566</c:v>
                </c:pt>
                <c:pt idx="156">
                  <c:v>325.7977042406178</c:v>
                </c:pt>
                <c:pt idx="157">
                  <c:v>325.20195276159512</c:v>
                </c:pt>
                <c:pt idx="158">
                  <c:v>325.84902474822741</c:v>
                </c:pt>
                <c:pt idx="159">
                  <c:v>326.21162037664271</c:v>
                </c:pt>
                <c:pt idx="160">
                  <c:v>326.63208485751704</c:v>
                </c:pt>
                <c:pt idx="161">
                  <c:v>326.83992638757172</c:v>
                </c:pt>
                <c:pt idx="162">
                  <c:v>326.56432529467554</c:v>
                </c:pt>
                <c:pt idx="163">
                  <c:v>326.88708485751704</c:v>
                </c:pt>
                <c:pt idx="164">
                  <c:v>326.85164769904713</c:v>
                </c:pt>
                <c:pt idx="165">
                  <c:v>326.89768595041323</c:v>
                </c:pt>
                <c:pt idx="166">
                  <c:v>326.71110125095964</c:v>
                </c:pt>
                <c:pt idx="167">
                  <c:v>326.93584157521565</c:v>
                </c:pt>
                <c:pt idx="168">
                  <c:v>326.37770424061779</c:v>
                </c:pt>
                <c:pt idx="169">
                  <c:v>327.13195276159513</c:v>
                </c:pt>
                <c:pt idx="170">
                  <c:v>326.98902474822739</c:v>
                </c:pt>
                <c:pt idx="171">
                  <c:v>326.7316203766427</c:v>
                </c:pt>
                <c:pt idx="172">
                  <c:v>327.31208485751705</c:v>
                </c:pt>
                <c:pt idx="173">
                  <c:v>327.72992638757171</c:v>
                </c:pt>
                <c:pt idx="174">
                  <c:v>328.0443252946755</c:v>
                </c:pt>
                <c:pt idx="175">
                  <c:v>328.52708485751702</c:v>
                </c:pt>
                <c:pt idx="176">
                  <c:v>328.55164769904712</c:v>
                </c:pt>
                <c:pt idx="177">
                  <c:v>328.43768595041325</c:v>
                </c:pt>
                <c:pt idx="178">
                  <c:v>328.49110125095967</c:v>
                </c:pt>
                <c:pt idx="179">
                  <c:v>328.86584157521565</c:v>
                </c:pt>
                <c:pt idx="180">
                  <c:v>328.9277042406178</c:v>
                </c:pt>
                <c:pt idx="181">
                  <c:v>328.9119527615951</c:v>
                </c:pt>
                <c:pt idx="182">
                  <c:v>329.39902474822742</c:v>
                </c:pt>
                <c:pt idx="183">
                  <c:v>329.71162037664271</c:v>
                </c:pt>
                <c:pt idx="184">
                  <c:v>330.14208485751703</c:v>
                </c:pt>
                <c:pt idx="185">
                  <c:v>330.71992638757172</c:v>
                </c:pt>
                <c:pt idx="186">
                  <c:v>330.71432529467552</c:v>
                </c:pt>
                <c:pt idx="187">
                  <c:v>330.50708485751704</c:v>
                </c:pt>
                <c:pt idx="188">
                  <c:v>330.21164769904715</c:v>
                </c:pt>
                <c:pt idx="189">
                  <c:v>329.52768595041323</c:v>
                </c:pt>
                <c:pt idx="190">
                  <c:v>329.29110125095968</c:v>
                </c:pt>
                <c:pt idx="191">
                  <c:v>330.01584157521563</c:v>
                </c:pt>
                <c:pt idx="192">
                  <c:v>330.10770424061781</c:v>
                </c:pt>
                <c:pt idx="193">
                  <c:v>330.06195276159508</c:v>
                </c:pt>
                <c:pt idx="194">
                  <c:v>330.00902474822738</c:v>
                </c:pt>
                <c:pt idx="195">
                  <c:v>329.89162037664272</c:v>
                </c:pt>
                <c:pt idx="196">
                  <c:v>330.45208485751704</c:v>
                </c:pt>
                <c:pt idx="197">
                  <c:v>330.7999263875717</c:v>
                </c:pt>
                <c:pt idx="198">
                  <c:v>330.63432529467553</c:v>
                </c:pt>
                <c:pt idx="199">
                  <c:v>330.69708485751704</c:v>
                </c:pt>
                <c:pt idx="200">
                  <c:v>330.5116476990471</c:v>
                </c:pt>
                <c:pt idx="201">
                  <c:v>330.45768595041324</c:v>
                </c:pt>
                <c:pt idx="202">
                  <c:v>330.34110125095964</c:v>
                </c:pt>
                <c:pt idx="203">
                  <c:v>330.70584157521563</c:v>
                </c:pt>
                <c:pt idx="204">
                  <c:v>330.66770424061781</c:v>
                </c:pt>
                <c:pt idx="205">
                  <c:v>330.72195276159511</c:v>
                </c:pt>
                <c:pt idx="206">
                  <c:v>330.88902474822743</c:v>
                </c:pt>
                <c:pt idx="207">
                  <c:v>331.24162037664274</c:v>
                </c:pt>
                <c:pt idx="208">
                  <c:v>331.17208485751701</c:v>
                </c:pt>
                <c:pt idx="209">
                  <c:v>331.46992638757172</c:v>
                </c:pt>
                <c:pt idx="210">
                  <c:v>331.76432529467553</c:v>
                </c:pt>
                <c:pt idx="211">
                  <c:v>331.66708485751701</c:v>
                </c:pt>
                <c:pt idx="212">
                  <c:v>331.54164769904713</c:v>
                </c:pt>
                <c:pt idx="213">
                  <c:v>331.64768595041323</c:v>
                </c:pt>
                <c:pt idx="214">
                  <c:v>331.69110125095966</c:v>
                </c:pt>
                <c:pt idx="215">
                  <c:v>331.87584157521565</c:v>
                </c:pt>
                <c:pt idx="216">
                  <c:v>332.12770424061779</c:v>
                </c:pt>
                <c:pt idx="217">
                  <c:v>331.99195276159509</c:v>
                </c:pt>
                <c:pt idx="218">
                  <c:v>331.7990247482274</c:v>
                </c:pt>
                <c:pt idx="219">
                  <c:v>331.9716203766427</c:v>
                </c:pt>
                <c:pt idx="220">
                  <c:v>332.32208485751704</c:v>
                </c:pt>
                <c:pt idx="221">
                  <c:v>332.34992638757171</c:v>
                </c:pt>
                <c:pt idx="222">
                  <c:v>332.50432529467554</c:v>
                </c:pt>
                <c:pt idx="223">
                  <c:v>332.26708485751703</c:v>
                </c:pt>
                <c:pt idx="224">
                  <c:v>332.36164769904713</c:v>
                </c:pt>
                <c:pt idx="225">
                  <c:v>332.56768595041325</c:v>
                </c:pt>
                <c:pt idx="226">
                  <c:v>332.87110125095967</c:v>
                </c:pt>
                <c:pt idx="227">
                  <c:v>332.72584157521567</c:v>
                </c:pt>
                <c:pt idx="228">
                  <c:v>333.32770424061778</c:v>
                </c:pt>
                <c:pt idx="229">
                  <c:v>333.4819527615951</c:v>
                </c:pt>
                <c:pt idx="230">
                  <c:v>333.6690247482274</c:v>
                </c:pt>
                <c:pt idx="231">
                  <c:v>333.9116203766427</c:v>
                </c:pt>
                <c:pt idx="232">
                  <c:v>334.19208485751705</c:v>
                </c:pt>
                <c:pt idx="233">
                  <c:v>334.15992638757172</c:v>
                </c:pt>
                <c:pt idx="234">
                  <c:v>334.7943252946755</c:v>
                </c:pt>
                <c:pt idx="235">
                  <c:v>334.48708485751706</c:v>
                </c:pt>
                <c:pt idx="236">
                  <c:v>334.4516476990471</c:v>
                </c:pt>
                <c:pt idx="237">
                  <c:v>334.73768595041327</c:v>
                </c:pt>
                <c:pt idx="238">
                  <c:v>334.91110125095969</c:v>
                </c:pt>
                <c:pt idx="239">
                  <c:v>334.69584157521564</c:v>
                </c:pt>
                <c:pt idx="240">
                  <c:v>335.26770424061777</c:v>
                </c:pt>
                <c:pt idx="241">
                  <c:v>335.17195276159509</c:v>
                </c:pt>
                <c:pt idx="242">
                  <c:v>334.92902474822739</c:v>
                </c:pt>
                <c:pt idx="243">
                  <c:v>335.5416203766427</c:v>
                </c:pt>
                <c:pt idx="244">
                  <c:v>335.81208485751705</c:v>
                </c:pt>
                <c:pt idx="245">
                  <c:v>336.08992638757172</c:v>
                </c:pt>
                <c:pt idx="246">
                  <c:v>335.96432529467552</c:v>
                </c:pt>
                <c:pt idx="247">
                  <c:v>335.87708485751705</c:v>
                </c:pt>
                <c:pt idx="248">
                  <c:v>335.97164769904714</c:v>
                </c:pt>
                <c:pt idx="249">
                  <c:v>335.83768595041323</c:v>
                </c:pt>
                <c:pt idx="250">
                  <c:v>336.17110125095968</c:v>
                </c:pt>
                <c:pt idx="251">
                  <c:v>336.06584157521564</c:v>
                </c:pt>
                <c:pt idx="252">
                  <c:v>336.58770424061777</c:v>
                </c:pt>
                <c:pt idx="253">
                  <c:v>336.2919527615951</c:v>
                </c:pt>
                <c:pt idx="254">
                  <c:v>336.38902474822743</c:v>
                </c:pt>
                <c:pt idx="255">
                  <c:v>336.93162037664274</c:v>
                </c:pt>
                <c:pt idx="256">
                  <c:v>337.00208485751705</c:v>
                </c:pt>
                <c:pt idx="257">
                  <c:v>337.49992638757169</c:v>
                </c:pt>
                <c:pt idx="258">
                  <c:v>337.12432529467554</c:v>
                </c:pt>
                <c:pt idx="259">
                  <c:v>337.18708485751705</c:v>
                </c:pt>
                <c:pt idx="260">
                  <c:v>337.34164769904714</c:v>
                </c:pt>
                <c:pt idx="261">
                  <c:v>337.61768595041326</c:v>
                </c:pt>
                <c:pt idx="262">
                  <c:v>337.95110125095965</c:v>
                </c:pt>
                <c:pt idx="263">
                  <c:v>337.66584157521567</c:v>
                </c:pt>
                <c:pt idx="264">
                  <c:v>338.69770424061778</c:v>
                </c:pt>
                <c:pt idx="265">
                  <c:v>338.17195276159509</c:v>
                </c:pt>
                <c:pt idx="266">
                  <c:v>338.38902474822743</c:v>
                </c:pt>
                <c:pt idx="267">
                  <c:v>338.81162037664274</c:v>
                </c:pt>
                <c:pt idx="268">
                  <c:v>338.83208485751703</c:v>
                </c:pt>
                <c:pt idx="269">
                  <c:v>339.00992638757174</c:v>
                </c:pt>
                <c:pt idx="270">
                  <c:v>339.08432529467552</c:v>
                </c:pt>
                <c:pt idx="271">
                  <c:v>339.34708485751702</c:v>
                </c:pt>
                <c:pt idx="272">
                  <c:v>339.15164769904715</c:v>
                </c:pt>
                <c:pt idx="273">
                  <c:v>339.09768595041322</c:v>
                </c:pt>
                <c:pt idx="274">
                  <c:v>339.18110125095967</c:v>
                </c:pt>
                <c:pt idx="275">
                  <c:v>339.78584157521567</c:v>
                </c:pt>
                <c:pt idx="276">
                  <c:v>340.00770424061778</c:v>
                </c:pt>
                <c:pt idx="277">
                  <c:v>339.9119527615951</c:v>
                </c:pt>
                <c:pt idx="278">
                  <c:v>339.82902474822743</c:v>
                </c:pt>
                <c:pt idx="279">
                  <c:v>339.89162037664272</c:v>
                </c:pt>
                <c:pt idx="280">
                  <c:v>339.76208485751704</c:v>
                </c:pt>
                <c:pt idx="281">
                  <c:v>339.83992638757172</c:v>
                </c:pt>
                <c:pt idx="282">
                  <c:v>339.89432529467553</c:v>
                </c:pt>
                <c:pt idx="283">
                  <c:v>340.18708485751705</c:v>
                </c:pt>
                <c:pt idx="284">
                  <c:v>340.41164769904714</c:v>
                </c:pt>
                <c:pt idx="285">
                  <c:v>340.49768595041326</c:v>
                </c:pt>
                <c:pt idx="286">
                  <c:v>340.69110125095966</c:v>
                </c:pt>
                <c:pt idx="287">
                  <c:v>340.91584157521567</c:v>
                </c:pt>
                <c:pt idx="288">
                  <c:v>341.32770424061778</c:v>
                </c:pt>
                <c:pt idx="289">
                  <c:v>340.9819527615951</c:v>
                </c:pt>
                <c:pt idx="290">
                  <c:v>341.05902474822739</c:v>
                </c:pt>
                <c:pt idx="291">
                  <c:v>340.99162037664274</c:v>
                </c:pt>
                <c:pt idx="292">
                  <c:v>341.33208485751703</c:v>
                </c:pt>
                <c:pt idx="293">
                  <c:v>341.21992638757172</c:v>
                </c:pt>
                <c:pt idx="294">
                  <c:v>341.18432529467555</c:v>
                </c:pt>
                <c:pt idx="295">
                  <c:v>341.18708485751705</c:v>
                </c:pt>
                <c:pt idx="296">
                  <c:v>341.31164769904711</c:v>
                </c:pt>
                <c:pt idx="297">
                  <c:v>341.37768595041325</c:v>
                </c:pt>
                <c:pt idx="298">
                  <c:v>341.32110125095966</c:v>
                </c:pt>
                <c:pt idx="299">
                  <c:v>341.82584157521563</c:v>
                </c:pt>
                <c:pt idx="300">
                  <c:v>341.72770424061781</c:v>
                </c:pt>
                <c:pt idx="301">
                  <c:v>342.3519527615951</c:v>
                </c:pt>
                <c:pt idx="302">
                  <c:v>342.67902474822739</c:v>
                </c:pt>
                <c:pt idx="303">
                  <c:v>342.96162037664271</c:v>
                </c:pt>
                <c:pt idx="304">
                  <c:v>343.25208485751705</c:v>
                </c:pt>
                <c:pt idx="305">
                  <c:v>343.78992638757171</c:v>
                </c:pt>
                <c:pt idx="306">
                  <c:v>343.07432529467553</c:v>
                </c:pt>
                <c:pt idx="307">
                  <c:v>343.31708485751705</c:v>
                </c:pt>
                <c:pt idx="308">
                  <c:v>343.2016476990471</c:v>
                </c:pt>
                <c:pt idx="309">
                  <c:v>343.87768595041325</c:v>
                </c:pt>
                <c:pt idx="310">
                  <c:v>343.64110125095965</c:v>
                </c:pt>
                <c:pt idx="311">
                  <c:v>343.80584157521565</c:v>
                </c:pt>
                <c:pt idx="312">
                  <c:v>343.90770424061776</c:v>
                </c:pt>
                <c:pt idx="313">
                  <c:v>344.46195276159511</c:v>
                </c:pt>
                <c:pt idx="314">
                  <c:v>344.34902474822741</c:v>
                </c:pt>
                <c:pt idx="315">
                  <c:v>344.44162037664273</c:v>
                </c:pt>
                <c:pt idx="316">
                  <c:v>344.66208485751702</c:v>
                </c:pt>
                <c:pt idx="317">
                  <c:v>344.68992638757169</c:v>
                </c:pt>
                <c:pt idx="318">
                  <c:v>344.27432529467552</c:v>
                </c:pt>
                <c:pt idx="319">
                  <c:v>344.67708485751706</c:v>
                </c:pt>
                <c:pt idx="320">
                  <c:v>345.03164769904714</c:v>
                </c:pt>
                <c:pt idx="321">
                  <c:v>345.10768595041327</c:v>
                </c:pt>
                <c:pt idx="322">
                  <c:v>344.91110125095969</c:v>
                </c:pt>
                <c:pt idx="323">
                  <c:v>345.29584157521566</c:v>
                </c:pt>
                <c:pt idx="324">
                  <c:v>346.0477042406178</c:v>
                </c:pt>
                <c:pt idx="325">
                  <c:v>345.76195276159513</c:v>
                </c:pt>
                <c:pt idx="326">
                  <c:v>345.84902474822741</c:v>
                </c:pt>
                <c:pt idx="327">
                  <c:v>345.89162037664272</c:v>
                </c:pt>
                <c:pt idx="328">
                  <c:v>345.83208485751703</c:v>
                </c:pt>
                <c:pt idx="329">
                  <c:v>346.07992638757173</c:v>
                </c:pt>
                <c:pt idx="330">
                  <c:v>346.2943252946755</c:v>
                </c:pt>
                <c:pt idx="331">
                  <c:v>346.12708485751705</c:v>
                </c:pt>
                <c:pt idx="332">
                  <c:v>346.29164769904713</c:v>
                </c:pt>
                <c:pt idx="333">
                  <c:v>346.44768595041324</c:v>
                </c:pt>
                <c:pt idx="334">
                  <c:v>346.24110125095967</c:v>
                </c:pt>
                <c:pt idx="335">
                  <c:v>346.25584157521564</c:v>
                </c:pt>
                <c:pt idx="336">
                  <c:v>346.47770424061781</c:v>
                </c:pt>
                <c:pt idx="337">
                  <c:v>346.96195276159511</c:v>
                </c:pt>
                <c:pt idx="338">
                  <c:v>347.13902474822743</c:v>
                </c:pt>
                <c:pt idx="339">
                  <c:v>347.19162037664273</c:v>
                </c:pt>
                <c:pt idx="340">
                  <c:v>347.21208485751703</c:v>
                </c:pt>
                <c:pt idx="341">
                  <c:v>347.30992638757169</c:v>
                </c:pt>
                <c:pt idx="342">
                  <c:v>348.05432529467555</c:v>
                </c:pt>
                <c:pt idx="343">
                  <c:v>347.49708485751705</c:v>
                </c:pt>
                <c:pt idx="344">
                  <c:v>347.71164769904715</c:v>
                </c:pt>
                <c:pt idx="345">
                  <c:v>347.78768595041322</c:v>
                </c:pt>
                <c:pt idx="346">
                  <c:v>347.96110125095964</c:v>
                </c:pt>
                <c:pt idx="347">
                  <c:v>347.78584157521567</c:v>
                </c:pt>
                <c:pt idx="348">
                  <c:v>348.0477042406178</c:v>
                </c:pt>
                <c:pt idx="349">
                  <c:v>348.39195276159512</c:v>
                </c:pt>
                <c:pt idx="350">
                  <c:v>348.76902474822742</c:v>
                </c:pt>
                <c:pt idx="351">
                  <c:v>348.90162037664271</c:v>
                </c:pt>
                <c:pt idx="352">
                  <c:v>348.78208485751702</c:v>
                </c:pt>
                <c:pt idx="353">
                  <c:v>349.50992638757174</c:v>
                </c:pt>
                <c:pt idx="354">
                  <c:v>349.65432529467552</c:v>
                </c:pt>
                <c:pt idx="355">
                  <c:v>349.68708485751705</c:v>
                </c:pt>
                <c:pt idx="356">
                  <c:v>349.86164769904713</c:v>
                </c:pt>
                <c:pt idx="357">
                  <c:v>349.84768595041322</c:v>
                </c:pt>
                <c:pt idx="358">
                  <c:v>350.37110125095967</c:v>
                </c:pt>
                <c:pt idx="359">
                  <c:v>351.03584157521567</c:v>
                </c:pt>
                <c:pt idx="360">
                  <c:v>350.84770424061782</c:v>
                </c:pt>
                <c:pt idx="361">
                  <c:v>351.00195276159508</c:v>
                </c:pt>
                <c:pt idx="362">
                  <c:v>351.13902474822743</c:v>
                </c:pt>
                <c:pt idx="363">
                  <c:v>351.44162037664273</c:v>
                </c:pt>
                <c:pt idx="364">
                  <c:v>351.65208485751702</c:v>
                </c:pt>
                <c:pt idx="365">
                  <c:v>351.83992638757172</c:v>
                </c:pt>
                <c:pt idx="366">
                  <c:v>351.93432529467555</c:v>
                </c:pt>
                <c:pt idx="367">
                  <c:v>352.20708485751703</c:v>
                </c:pt>
                <c:pt idx="368">
                  <c:v>352.12164769904712</c:v>
                </c:pt>
                <c:pt idx="369">
                  <c:v>352.22768595041322</c:v>
                </c:pt>
                <c:pt idx="370">
                  <c:v>352.70110125095965</c:v>
                </c:pt>
                <c:pt idx="371">
                  <c:v>352.37584157521565</c:v>
                </c:pt>
                <c:pt idx="372">
                  <c:v>352.3077042406178</c:v>
                </c:pt>
                <c:pt idx="373">
                  <c:v>352.83195276159512</c:v>
                </c:pt>
                <c:pt idx="374">
                  <c:v>352.58902474822742</c:v>
                </c:pt>
                <c:pt idx="375">
                  <c:v>352.76162037664272</c:v>
                </c:pt>
                <c:pt idx="376">
                  <c:v>353.17208485751701</c:v>
                </c:pt>
                <c:pt idx="377">
                  <c:v>353.07992638757173</c:v>
                </c:pt>
                <c:pt idx="378">
                  <c:v>353.01432529467553</c:v>
                </c:pt>
                <c:pt idx="379">
                  <c:v>353.31708485751705</c:v>
                </c:pt>
                <c:pt idx="380">
                  <c:v>353.35164769904713</c:v>
                </c:pt>
                <c:pt idx="381">
                  <c:v>353.40768595041322</c:v>
                </c:pt>
                <c:pt idx="382">
                  <c:v>353.60110125095969</c:v>
                </c:pt>
                <c:pt idx="383">
                  <c:v>354.00584157521564</c:v>
                </c:pt>
                <c:pt idx="384">
                  <c:v>354.00770424061778</c:v>
                </c:pt>
                <c:pt idx="385">
                  <c:v>353.61195276159509</c:v>
                </c:pt>
                <c:pt idx="386">
                  <c:v>354.07902474822743</c:v>
                </c:pt>
                <c:pt idx="387">
                  <c:v>353.87162037664274</c:v>
                </c:pt>
                <c:pt idx="388">
                  <c:v>354.08208485751703</c:v>
                </c:pt>
                <c:pt idx="389">
                  <c:v>354.31992638757174</c:v>
                </c:pt>
                <c:pt idx="390">
                  <c:v>354.16432529467551</c:v>
                </c:pt>
                <c:pt idx="391">
                  <c:v>354.50708485751704</c:v>
                </c:pt>
                <c:pt idx="392">
                  <c:v>354.88164769904711</c:v>
                </c:pt>
                <c:pt idx="393">
                  <c:v>355.09768595041322</c:v>
                </c:pt>
                <c:pt idx="394">
                  <c:v>354.66110125095969</c:v>
                </c:pt>
                <c:pt idx="395">
                  <c:v>355.05584157521565</c:v>
                </c:pt>
                <c:pt idx="396">
                  <c:v>355.78770424061781</c:v>
                </c:pt>
                <c:pt idx="397">
                  <c:v>356.01195276159513</c:v>
                </c:pt>
                <c:pt idx="398">
                  <c:v>356.25902474822738</c:v>
                </c:pt>
                <c:pt idx="399">
                  <c:v>355.88162037664273</c:v>
                </c:pt>
                <c:pt idx="400">
                  <c:v>355.44208485751705</c:v>
                </c:pt>
                <c:pt idx="401">
                  <c:v>355.41992638757171</c:v>
                </c:pt>
                <c:pt idx="402">
                  <c:v>355.3543252946755</c:v>
                </c:pt>
                <c:pt idx="403">
                  <c:v>355.53708485751702</c:v>
                </c:pt>
                <c:pt idx="404">
                  <c:v>355.80164769904712</c:v>
                </c:pt>
                <c:pt idx="405">
                  <c:v>355.87768595041325</c:v>
                </c:pt>
                <c:pt idx="406">
                  <c:v>355.93110125095967</c:v>
                </c:pt>
                <c:pt idx="407">
                  <c:v>356.02584157521568</c:v>
                </c:pt>
                <c:pt idx="408">
                  <c:v>356.43770424061779</c:v>
                </c:pt>
                <c:pt idx="409">
                  <c:v>356.56195276159508</c:v>
                </c:pt>
                <c:pt idx="410">
                  <c:v>356.57902474822743</c:v>
                </c:pt>
                <c:pt idx="411">
                  <c:v>356.89162037664272</c:v>
                </c:pt>
                <c:pt idx="412">
                  <c:v>356.29208485751701</c:v>
                </c:pt>
                <c:pt idx="413">
                  <c:v>356.40992638757172</c:v>
                </c:pt>
                <c:pt idx="414">
                  <c:v>356.21432529467552</c:v>
                </c:pt>
                <c:pt idx="415">
                  <c:v>356.63708485751704</c:v>
                </c:pt>
                <c:pt idx="416">
                  <c:v>356.21164769904715</c:v>
                </c:pt>
                <c:pt idx="417">
                  <c:v>356.28768595041322</c:v>
                </c:pt>
                <c:pt idx="418">
                  <c:v>356.64110125095965</c:v>
                </c:pt>
                <c:pt idx="419">
                  <c:v>356.47584157521567</c:v>
                </c:pt>
                <c:pt idx="420">
                  <c:v>357.00770424061778</c:v>
                </c:pt>
                <c:pt idx="421">
                  <c:v>356.87195276159508</c:v>
                </c:pt>
                <c:pt idx="422">
                  <c:v>357.19902474822737</c:v>
                </c:pt>
                <c:pt idx="423">
                  <c:v>357.24162037664274</c:v>
                </c:pt>
                <c:pt idx="424">
                  <c:v>356.84208485751702</c:v>
                </c:pt>
                <c:pt idx="425">
                  <c:v>356.9299263875717</c:v>
                </c:pt>
                <c:pt idx="426">
                  <c:v>356.89432529467553</c:v>
                </c:pt>
                <c:pt idx="427">
                  <c:v>357.31708485751705</c:v>
                </c:pt>
                <c:pt idx="428">
                  <c:v>357.3916476990471</c:v>
                </c:pt>
                <c:pt idx="429">
                  <c:v>357.68768595041325</c:v>
                </c:pt>
                <c:pt idx="430">
                  <c:v>358.31110125095967</c:v>
                </c:pt>
                <c:pt idx="431">
                  <c:v>358.21584157521568</c:v>
                </c:pt>
                <c:pt idx="432">
                  <c:v>358.59770424061782</c:v>
                </c:pt>
                <c:pt idx="433">
                  <c:v>358.67195276159509</c:v>
                </c:pt>
                <c:pt idx="434">
                  <c:v>358.6090247482274</c:v>
                </c:pt>
                <c:pt idx="435">
                  <c:v>358.58162037664272</c:v>
                </c:pt>
                <c:pt idx="436">
                  <c:v>358.82208485751704</c:v>
                </c:pt>
                <c:pt idx="437">
                  <c:v>358.88992638757173</c:v>
                </c:pt>
                <c:pt idx="438">
                  <c:v>359.0443252946755</c:v>
                </c:pt>
                <c:pt idx="439">
                  <c:v>359.32708485751704</c:v>
                </c:pt>
                <c:pt idx="440">
                  <c:v>359.63164769904711</c:v>
                </c:pt>
                <c:pt idx="441">
                  <c:v>359.92768595041326</c:v>
                </c:pt>
                <c:pt idx="442">
                  <c:v>359.91110125095969</c:v>
                </c:pt>
                <c:pt idx="443">
                  <c:v>360.30584157521565</c:v>
                </c:pt>
                <c:pt idx="444">
                  <c:v>360.25770424061778</c:v>
                </c:pt>
                <c:pt idx="445">
                  <c:v>360.86195276159509</c:v>
                </c:pt>
                <c:pt idx="446">
                  <c:v>360.71902474822741</c:v>
                </c:pt>
                <c:pt idx="447">
                  <c:v>360.90162037664271</c:v>
                </c:pt>
                <c:pt idx="448">
                  <c:v>361.16208485751702</c:v>
                </c:pt>
                <c:pt idx="449">
                  <c:v>360.8599263875717</c:v>
                </c:pt>
                <c:pt idx="450">
                  <c:v>361.25432529467554</c:v>
                </c:pt>
                <c:pt idx="451">
                  <c:v>361.07708485751704</c:v>
                </c:pt>
                <c:pt idx="452">
                  <c:v>361.61164769904713</c:v>
                </c:pt>
                <c:pt idx="453">
                  <c:v>361.58768595041323</c:v>
                </c:pt>
                <c:pt idx="454">
                  <c:v>361.99110125095967</c:v>
                </c:pt>
                <c:pt idx="455">
                  <c:v>362.54584157521566</c:v>
                </c:pt>
                <c:pt idx="456">
                  <c:v>362.64770424061777</c:v>
                </c:pt>
                <c:pt idx="457">
                  <c:v>362.12195276159508</c:v>
                </c:pt>
                <c:pt idx="458">
                  <c:v>362.33902474822742</c:v>
                </c:pt>
                <c:pt idx="459">
                  <c:v>362.61162037664275</c:v>
                </c:pt>
                <c:pt idx="460">
                  <c:v>362.92208485751701</c:v>
                </c:pt>
                <c:pt idx="461">
                  <c:v>362.88992638757173</c:v>
                </c:pt>
                <c:pt idx="462">
                  <c:v>362.65432529467552</c:v>
                </c:pt>
                <c:pt idx="463">
                  <c:v>362.93708485751705</c:v>
                </c:pt>
                <c:pt idx="464">
                  <c:v>362.81164769904711</c:v>
                </c:pt>
                <c:pt idx="465">
                  <c:v>363.21768595041323</c:v>
                </c:pt>
                <c:pt idx="466">
                  <c:v>363.13110125095966</c:v>
                </c:pt>
                <c:pt idx="467">
                  <c:v>363.29584157521566</c:v>
                </c:pt>
                <c:pt idx="468">
                  <c:v>363.18770424061779</c:v>
                </c:pt>
                <c:pt idx="469">
                  <c:v>363.77195276159512</c:v>
                </c:pt>
                <c:pt idx="470">
                  <c:v>363.71902474822741</c:v>
                </c:pt>
                <c:pt idx="471">
                  <c:v>363.27162037664272</c:v>
                </c:pt>
                <c:pt idx="472">
                  <c:v>363.74208485751706</c:v>
                </c:pt>
                <c:pt idx="473">
                  <c:v>363.90992638757172</c:v>
                </c:pt>
                <c:pt idx="474">
                  <c:v>363.39432529467553</c:v>
                </c:pt>
                <c:pt idx="475">
                  <c:v>364.10708485751701</c:v>
                </c:pt>
                <c:pt idx="476">
                  <c:v>364.48164769904713</c:v>
                </c:pt>
                <c:pt idx="477">
                  <c:v>365.16768595041322</c:v>
                </c:pt>
                <c:pt idx="478">
                  <c:v>365.27110125095965</c:v>
                </c:pt>
                <c:pt idx="479">
                  <c:v>365.45584157521563</c:v>
                </c:pt>
                <c:pt idx="480">
                  <c:v>365.93770424061779</c:v>
                </c:pt>
                <c:pt idx="481">
                  <c:v>366.02195276159512</c:v>
                </c:pt>
                <c:pt idx="482">
                  <c:v>366.21902474822741</c:v>
                </c:pt>
                <c:pt idx="483">
                  <c:v>366.52162037664272</c:v>
                </c:pt>
                <c:pt idx="484">
                  <c:v>366.91208485751702</c:v>
                </c:pt>
                <c:pt idx="485">
                  <c:v>367.18992638757169</c:v>
                </c:pt>
                <c:pt idx="486">
                  <c:v>367.1043252946755</c:v>
                </c:pt>
                <c:pt idx="487">
                  <c:v>367.55708485751705</c:v>
                </c:pt>
                <c:pt idx="488">
                  <c:v>367.5116476990471</c:v>
                </c:pt>
                <c:pt idx="489">
                  <c:v>367.85768595041327</c:v>
                </c:pt>
                <c:pt idx="490">
                  <c:v>368.09110125095964</c:v>
                </c:pt>
                <c:pt idx="491">
                  <c:v>368.17584157521566</c:v>
                </c:pt>
                <c:pt idx="492">
                  <c:v>368.21770424061776</c:v>
                </c:pt>
                <c:pt idx="493">
                  <c:v>368.55195276159509</c:v>
                </c:pt>
                <c:pt idx="494">
                  <c:v>367.9190247482274</c:v>
                </c:pt>
                <c:pt idx="495">
                  <c:v>367.99162037664274</c:v>
                </c:pt>
                <c:pt idx="496">
                  <c:v>368.54208485751701</c:v>
                </c:pt>
                <c:pt idx="497">
                  <c:v>368.33992638757172</c:v>
                </c:pt>
                <c:pt idx="498">
                  <c:v>367.84432529467551</c:v>
                </c:pt>
                <c:pt idx="499">
                  <c:v>368.45708485751703</c:v>
                </c:pt>
                <c:pt idx="500">
                  <c:v>368.73164769904713</c:v>
                </c:pt>
                <c:pt idx="501">
                  <c:v>368.88768595041324</c:v>
                </c:pt>
                <c:pt idx="502">
                  <c:v>369.08110125095965</c:v>
                </c:pt>
                <c:pt idx="503">
                  <c:v>368.76584157521563</c:v>
                </c:pt>
                <c:pt idx="504">
                  <c:v>369.13770424061778</c:v>
                </c:pt>
                <c:pt idx="505">
                  <c:v>369.07195276159513</c:v>
                </c:pt>
                <c:pt idx="506">
                  <c:v>368.74902474822738</c:v>
                </c:pt>
                <c:pt idx="507">
                  <c:v>369.33162037664272</c:v>
                </c:pt>
                <c:pt idx="508">
                  <c:v>369.39208485751703</c:v>
                </c:pt>
                <c:pt idx="509">
                  <c:v>369.52992638757172</c:v>
                </c:pt>
                <c:pt idx="510">
                  <c:v>369.82432529467553</c:v>
                </c:pt>
                <c:pt idx="511">
                  <c:v>370.05708485751705</c:v>
                </c:pt>
                <c:pt idx="512">
                  <c:v>370.34164769904714</c:v>
                </c:pt>
                <c:pt idx="513">
                  <c:v>370.40768595041322</c:v>
                </c:pt>
                <c:pt idx="514">
                  <c:v>370.22110125095963</c:v>
                </c:pt>
                <c:pt idx="515">
                  <c:v>370.80584157521565</c:v>
                </c:pt>
                <c:pt idx="516">
                  <c:v>370.74770424061779</c:v>
                </c:pt>
                <c:pt idx="517">
                  <c:v>370.27195276159512</c:v>
                </c:pt>
                <c:pt idx="518">
                  <c:v>370.93902474822738</c:v>
                </c:pt>
                <c:pt idx="519">
                  <c:v>370.95162037664272</c:v>
                </c:pt>
                <c:pt idx="520">
                  <c:v>370.89208485751703</c:v>
                </c:pt>
                <c:pt idx="521">
                  <c:v>370.95992638757173</c:v>
                </c:pt>
                <c:pt idx="522">
                  <c:v>371.16432529467551</c:v>
                </c:pt>
                <c:pt idx="523">
                  <c:v>371.41708485751701</c:v>
                </c:pt>
                <c:pt idx="524">
                  <c:v>371.73164769904713</c:v>
                </c:pt>
                <c:pt idx="525">
                  <c:v>372.12768595041325</c:v>
                </c:pt>
                <c:pt idx="526">
                  <c:v>372.38110125095966</c:v>
                </c:pt>
                <c:pt idx="527">
                  <c:v>372.38584157521564</c:v>
                </c:pt>
                <c:pt idx="528">
                  <c:v>372.14770424061777</c:v>
                </c:pt>
                <c:pt idx="529">
                  <c:v>372.26195276159513</c:v>
                </c:pt>
                <c:pt idx="530">
                  <c:v>372.46902474822741</c:v>
                </c:pt>
                <c:pt idx="531">
                  <c:v>373.0416203766427</c:v>
                </c:pt>
                <c:pt idx="532">
                  <c:v>373.29208485751701</c:v>
                </c:pt>
                <c:pt idx="533">
                  <c:v>372.88992638757173</c:v>
                </c:pt>
                <c:pt idx="534">
                  <c:v>373.90432529467552</c:v>
                </c:pt>
                <c:pt idx="535">
                  <c:v>373.57708485751704</c:v>
                </c:pt>
                <c:pt idx="536">
                  <c:v>374.13164769904711</c:v>
                </c:pt>
                <c:pt idx="537">
                  <c:v>374.66768595041322</c:v>
                </c:pt>
                <c:pt idx="538">
                  <c:v>374.62110125095967</c:v>
                </c:pt>
                <c:pt idx="539">
                  <c:v>374.92584157521566</c:v>
                </c:pt>
                <c:pt idx="540">
                  <c:v>374.7377042406178</c:v>
                </c:pt>
                <c:pt idx="541">
                  <c:v>375.06195276159508</c:v>
                </c:pt>
                <c:pt idx="542">
                  <c:v>375.26902474822742</c:v>
                </c:pt>
                <c:pt idx="543">
                  <c:v>375.77162037664272</c:v>
                </c:pt>
                <c:pt idx="544">
                  <c:v>375.87208485751705</c:v>
                </c:pt>
                <c:pt idx="545">
                  <c:v>375.88992638757173</c:v>
                </c:pt>
                <c:pt idx="546">
                  <c:v>376.18432529467555</c:v>
                </c:pt>
                <c:pt idx="547">
                  <c:v>376.32708485751704</c:v>
                </c:pt>
                <c:pt idx="548">
                  <c:v>376.40164769904715</c:v>
                </c:pt>
                <c:pt idx="549">
                  <c:v>376.57768595041324</c:v>
                </c:pt>
                <c:pt idx="550">
                  <c:v>376.73110125095968</c:v>
                </c:pt>
                <c:pt idx="551">
                  <c:v>376.67584157521566</c:v>
                </c:pt>
                <c:pt idx="552">
                  <c:v>377.01770424061777</c:v>
                </c:pt>
                <c:pt idx="553">
                  <c:v>377.9119527615951</c:v>
                </c:pt>
                <c:pt idx="554">
                  <c:v>377.5390247482274</c:v>
                </c:pt>
                <c:pt idx="555">
                  <c:v>377.19162037664273</c:v>
                </c:pt>
                <c:pt idx="556">
                  <c:v>377.03208485751702</c:v>
                </c:pt>
                <c:pt idx="557">
                  <c:v>377.2399263875717</c:v>
                </c:pt>
                <c:pt idx="558">
                  <c:v>377.25432529467554</c:v>
                </c:pt>
                <c:pt idx="559">
                  <c:v>377.54708485751706</c:v>
                </c:pt>
                <c:pt idx="560">
                  <c:v>377.8916476990471</c:v>
                </c:pt>
                <c:pt idx="561">
                  <c:v>378.32768595041324</c:v>
                </c:pt>
                <c:pt idx="562">
                  <c:v>378.28110125095964</c:v>
                </c:pt>
                <c:pt idx="563">
                  <c:v>378.91584157521567</c:v>
                </c:pt>
                <c:pt idx="564">
                  <c:v>378.70770424061777</c:v>
                </c:pt>
                <c:pt idx="565">
                  <c:v>379.46195276159511</c:v>
                </c:pt>
                <c:pt idx="566">
                  <c:v>379.15902474822741</c:v>
                </c:pt>
                <c:pt idx="567">
                  <c:v>379.7216203766427</c:v>
                </c:pt>
                <c:pt idx="568">
                  <c:v>379.93208485751705</c:v>
                </c:pt>
                <c:pt idx="569">
                  <c:v>380.07992638757173</c:v>
                </c:pt>
                <c:pt idx="570">
                  <c:v>379.62432529467554</c:v>
                </c:pt>
                <c:pt idx="571">
                  <c:v>380.12708485751705</c:v>
                </c:pt>
                <c:pt idx="572">
                  <c:v>380.36164769904713</c:v>
                </c:pt>
                <c:pt idx="573">
                  <c:v>380.84768595041322</c:v>
                </c:pt>
                <c:pt idx="574">
                  <c:v>381.31110125095967</c:v>
                </c:pt>
                <c:pt idx="575">
                  <c:v>381.32584157521563</c:v>
                </c:pt>
                <c:pt idx="576">
                  <c:v>381.18770424061779</c:v>
                </c:pt>
                <c:pt idx="577">
                  <c:v>381.77195276159512</c:v>
                </c:pt>
                <c:pt idx="578">
                  <c:v>381.83902474822742</c:v>
                </c:pt>
                <c:pt idx="579">
                  <c:v>381.67162037664269</c:v>
                </c:pt>
                <c:pt idx="580">
                  <c:v>381.552084857517</c:v>
                </c:pt>
                <c:pt idx="581">
                  <c:v>381.88992638757173</c:v>
                </c:pt>
                <c:pt idx="582">
                  <c:v>382.01432529467553</c:v>
                </c:pt>
                <c:pt idx="583">
                  <c:v>382.38708485751704</c:v>
                </c:pt>
                <c:pt idx="584">
                  <c:v>382.19164769904711</c:v>
                </c:pt>
                <c:pt idx="585">
                  <c:v>382.54768595041327</c:v>
                </c:pt>
                <c:pt idx="586">
                  <c:v>382.52110125095965</c:v>
                </c:pt>
                <c:pt idx="587">
                  <c:v>383.01584157521563</c:v>
                </c:pt>
                <c:pt idx="588">
                  <c:v>382.96770424061776</c:v>
                </c:pt>
                <c:pt idx="589">
                  <c:v>383.64195276159512</c:v>
                </c:pt>
                <c:pt idx="590">
                  <c:v>383.32902474822743</c:v>
                </c:pt>
                <c:pt idx="591">
                  <c:v>383.51162037664272</c:v>
                </c:pt>
                <c:pt idx="592">
                  <c:v>383.71208485751703</c:v>
                </c:pt>
                <c:pt idx="593">
                  <c:v>383.24992638757169</c:v>
                </c:pt>
                <c:pt idx="594">
                  <c:v>384.06432529467554</c:v>
                </c:pt>
                <c:pt idx="595">
                  <c:v>384.18708485751705</c:v>
                </c:pt>
                <c:pt idx="596">
                  <c:v>384.41164769904714</c:v>
                </c:pt>
                <c:pt idx="597">
                  <c:v>384.49768595041326</c:v>
                </c:pt>
                <c:pt idx="598">
                  <c:v>385.01110125095965</c:v>
                </c:pt>
                <c:pt idx="599">
                  <c:v>385.14584157521563</c:v>
                </c:pt>
                <c:pt idx="600">
                  <c:v>384.45770424061777</c:v>
                </c:pt>
                <c:pt idx="601">
                  <c:v>384.18195276159508</c:v>
                </c:pt>
                <c:pt idx="602">
                  <c:v>385.42902474822739</c:v>
                </c:pt>
                <c:pt idx="603">
                  <c:v>385.69162037664273</c:v>
                </c:pt>
                <c:pt idx="604">
                  <c:v>385.52208485751703</c:v>
                </c:pt>
                <c:pt idx="605">
                  <c:v>385.4899263875717</c:v>
                </c:pt>
                <c:pt idx="606">
                  <c:v>386.2943252946755</c:v>
                </c:pt>
                <c:pt idx="607">
                  <c:v>386.10708485751701</c:v>
                </c:pt>
                <c:pt idx="608">
                  <c:v>386.06164769904711</c:v>
                </c:pt>
                <c:pt idx="609">
                  <c:v>385.99768595041326</c:v>
                </c:pt>
                <c:pt idx="610">
                  <c:v>386.59110125095964</c:v>
                </c:pt>
                <c:pt idx="611">
                  <c:v>386.42584157521566</c:v>
                </c:pt>
                <c:pt idx="612">
                  <c:v>387.14770424061777</c:v>
                </c:pt>
                <c:pt idx="613">
                  <c:v>386.9819527615951</c:v>
                </c:pt>
                <c:pt idx="614">
                  <c:v>387.08902474822742</c:v>
                </c:pt>
                <c:pt idx="615">
                  <c:v>387.26162037664272</c:v>
                </c:pt>
                <c:pt idx="616">
                  <c:v>387.34208485751702</c:v>
                </c:pt>
                <c:pt idx="617">
                  <c:v>387.4899263875717</c:v>
                </c:pt>
                <c:pt idx="618">
                  <c:v>387.8543252946755</c:v>
                </c:pt>
                <c:pt idx="619">
                  <c:v>387.65708485751702</c:v>
                </c:pt>
                <c:pt idx="620">
                  <c:v>388.10164769904713</c:v>
                </c:pt>
                <c:pt idx="621">
                  <c:v>388.37768595041325</c:v>
                </c:pt>
                <c:pt idx="622">
                  <c:v>388.49110125095967</c:v>
                </c:pt>
                <c:pt idx="623">
                  <c:v>389.38584157521564</c:v>
                </c:pt>
                <c:pt idx="624">
                  <c:v>389.63770424061778</c:v>
                </c:pt>
                <c:pt idx="625">
                  <c:v>389.7919527615951</c:v>
                </c:pt>
                <c:pt idx="626">
                  <c:v>390.13902474822743</c:v>
                </c:pt>
                <c:pt idx="627">
                  <c:v>389.88162037664273</c:v>
                </c:pt>
                <c:pt idx="628">
                  <c:v>389.60208485751701</c:v>
                </c:pt>
                <c:pt idx="629">
                  <c:v>389.9299263875717</c:v>
                </c:pt>
                <c:pt idx="630">
                  <c:v>390.0443252946755</c:v>
                </c:pt>
                <c:pt idx="631">
                  <c:v>390.48708485751706</c:v>
                </c:pt>
                <c:pt idx="632">
                  <c:v>390.72164769904714</c:v>
                </c:pt>
                <c:pt idx="633">
                  <c:v>390.69768595041324</c:v>
                </c:pt>
                <c:pt idx="634">
                  <c:v>391.24110125095967</c:v>
                </c:pt>
                <c:pt idx="635">
                  <c:v>391.22584157521567</c:v>
                </c:pt>
                <c:pt idx="636">
                  <c:v>391.07770424061778</c:v>
                </c:pt>
                <c:pt idx="637">
                  <c:v>390.78195276159511</c:v>
                </c:pt>
                <c:pt idx="638">
                  <c:v>391.19902474822737</c:v>
                </c:pt>
                <c:pt idx="639">
                  <c:v>391.33162037664272</c:v>
                </c:pt>
                <c:pt idx="640">
                  <c:v>391.862084857517</c:v>
                </c:pt>
                <c:pt idx="641">
                  <c:v>391.6199263875717</c:v>
                </c:pt>
                <c:pt idx="642">
                  <c:v>392.20432529467553</c:v>
                </c:pt>
                <c:pt idx="643">
                  <c:v>392.25708485751704</c:v>
                </c:pt>
                <c:pt idx="644">
                  <c:v>392.29164769904713</c:v>
                </c:pt>
                <c:pt idx="645">
                  <c:v>392.68768595041325</c:v>
                </c:pt>
                <c:pt idx="646">
                  <c:v>393.01110125095965</c:v>
                </c:pt>
                <c:pt idx="647">
                  <c:v>392.65584157521567</c:v>
                </c:pt>
                <c:pt idx="648">
                  <c:v>392.9877042406178</c:v>
                </c:pt>
                <c:pt idx="649">
                  <c:v>393.84195276159511</c:v>
                </c:pt>
                <c:pt idx="650">
                  <c:v>393.7890247482274</c:v>
                </c:pt>
                <c:pt idx="651">
                  <c:v>393.52162037664272</c:v>
                </c:pt>
                <c:pt idx="652">
                  <c:v>393.79208485751701</c:v>
                </c:pt>
                <c:pt idx="653">
                  <c:v>393.94992638757174</c:v>
                </c:pt>
                <c:pt idx="654">
                  <c:v>394.33432529467552</c:v>
                </c:pt>
                <c:pt idx="655">
                  <c:v>394.33708485751703</c:v>
                </c:pt>
                <c:pt idx="656">
                  <c:v>395.00164769904711</c:v>
                </c:pt>
                <c:pt idx="657">
                  <c:v>395.21768595041323</c:v>
                </c:pt>
                <c:pt idx="658">
                  <c:v>395.55110125095968</c:v>
                </c:pt>
                <c:pt idx="659">
                  <c:v>396.15584157521567</c:v>
                </c:pt>
                <c:pt idx="660">
                  <c:v>395.88770424061778</c:v>
                </c:pt>
                <c:pt idx="661">
                  <c:v>395.76195276159513</c:v>
                </c:pt>
                <c:pt idx="662">
                  <c:v>396.89902474822742</c:v>
                </c:pt>
                <c:pt idx="663">
                  <c:v>396.51162037664272</c:v>
                </c:pt>
                <c:pt idx="664">
                  <c:v>396.64208485751703</c:v>
                </c:pt>
                <c:pt idx="665">
                  <c:v>396.81992638757174</c:v>
                </c:pt>
                <c:pt idx="666">
                  <c:v>396.59432529467551</c:v>
                </c:pt>
                <c:pt idx="667">
                  <c:v>397.02708485751702</c:v>
                </c:pt>
                <c:pt idx="668">
                  <c:v>397.24164769904712</c:v>
                </c:pt>
                <c:pt idx="669">
                  <c:v>397.70768595041324</c:v>
                </c:pt>
                <c:pt idx="670">
                  <c:v>397.87110125095967</c:v>
                </c:pt>
                <c:pt idx="671">
                  <c:v>397.40584157521567</c:v>
                </c:pt>
                <c:pt idx="672">
                  <c:v>398.09770424061782</c:v>
                </c:pt>
                <c:pt idx="673">
                  <c:v>398.74195276159509</c:v>
                </c:pt>
                <c:pt idx="674">
                  <c:v>398.7990247482274</c:v>
                </c:pt>
                <c:pt idx="675">
                  <c:v>398.95162037664272</c:v>
                </c:pt>
                <c:pt idx="676">
                  <c:v>398.34208485751702</c:v>
                </c:pt>
                <c:pt idx="677">
                  <c:v>398.6199263875717</c:v>
                </c:pt>
                <c:pt idx="678">
                  <c:v>398.6043252946755</c:v>
                </c:pt>
                <c:pt idx="679">
                  <c:v>398.97708485751701</c:v>
                </c:pt>
                <c:pt idx="680">
                  <c:v>399.28164769904714</c:v>
                </c:pt>
                <c:pt idx="681">
                  <c:v>399.67768595041326</c:v>
                </c:pt>
                <c:pt idx="682">
                  <c:v>399.79110125095968</c:v>
                </c:pt>
                <c:pt idx="683">
                  <c:v>399.61584157521565</c:v>
                </c:pt>
                <c:pt idx="684">
                  <c:v>400.13770424061778</c:v>
                </c:pt>
                <c:pt idx="685">
                  <c:v>400.86195276159509</c:v>
                </c:pt>
                <c:pt idx="686">
                  <c:v>401.01902474822742</c:v>
                </c:pt>
                <c:pt idx="687">
                  <c:v>400.52162037664272</c:v>
                </c:pt>
                <c:pt idx="688">
                  <c:v>400.88208485751704</c:v>
                </c:pt>
                <c:pt idx="689">
                  <c:v>400.40992638757172</c:v>
                </c:pt>
                <c:pt idx="690">
                  <c:v>400.70432529467553</c:v>
                </c:pt>
                <c:pt idx="691">
                  <c:v>401.60708485751701</c:v>
                </c:pt>
                <c:pt idx="692">
                  <c:v>402.29164769904713</c:v>
                </c:pt>
                <c:pt idx="693">
                  <c:v>402.77768595041323</c:v>
                </c:pt>
                <c:pt idx="694">
                  <c:v>402.59110125095964</c:v>
                </c:pt>
                <c:pt idx="695">
                  <c:v>403.46584157521568</c:v>
                </c:pt>
                <c:pt idx="696">
                  <c:v>403.47770424061781</c:v>
                </c:pt>
                <c:pt idx="697">
                  <c:v>404.9819527615951</c:v>
                </c:pt>
                <c:pt idx="698">
                  <c:v>404.57902474822743</c:v>
                </c:pt>
                <c:pt idx="699">
                  <c:v>404.64162037664272</c:v>
                </c:pt>
                <c:pt idx="700">
                  <c:v>403.77208485751703</c:v>
                </c:pt>
                <c:pt idx="701">
                  <c:v>403.64992638757172</c:v>
                </c:pt>
                <c:pt idx="702">
                  <c:v>404.21432529467552</c:v>
                </c:pt>
                <c:pt idx="703">
                  <c:v>404.82708485751704</c:v>
                </c:pt>
                <c:pt idx="704">
                  <c:v>405.69164769904711</c:v>
                </c:pt>
                <c:pt idx="705">
                  <c:v>405.43768595041325</c:v>
                </c:pt>
                <c:pt idx="706">
                  <c:v>406.01110125095965</c:v>
                </c:pt>
                <c:pt idx="707">
                  <c:v>405.94584157521564</c:v>
                </c:pt>
                <c:pt idx="708">
                  <c:v>405.6777042406178</c:v>
                </c:pt>
                <c:pt idx="709">
                  <c:v>406.36195276159509</c:v>
                </c:pt>
                <c:pt idx="710">
                  <c:v>406.82902474822743</c:v>
                </c:pt>
                <c:pt idx="711">
                  <c:v>406.76162037664272</c:v>
                </c:pt>
                <c:pt idx="712">
                  <c:v>406.47208485751702</c:v>
                </c:pt>
                <c:pt idx="713">
                  <c:v>406.64992638757172</c:v>
                </c:pt>
                <c:pt idx="714">
                  <c:v>406.47432529467551</c:v>
                </c:pt>
                <c:pt idx="715">
                  <c:v>406.96708485751702</c:v>
                </c:pt>
                <c:pt idx="716">
                  <c:v>407.22164769904714</c:v>
                </c:pt>
                <c:pt idx="717">
                  <c:v>407.63768595041324</c:v>
                </c:pt>
                <c:pt idx="718">
                  <c:v>407.99110125095967</c:v>
                </c:pt>
                <c:pt idx="719">
                  <c:v>407.64584157521563</c:v>
                </c:pt>
                <c:pt idx="720">
                  <c:v>407.87770424061779</c:v>
                </c:pt>
                <c:pt idx="721">
                  <c:v>407.71195276159511</c:v>
                </c:pt>
                <c:pt idx="722">
                  <c:v>408.21902474822741</c:v>
                </c:pt>
                <c:pt idx="723">
                  <c:v>408.52162037664272</c:v>
                </c:pt>
                <c:pt idx="724">
                  <c:v>408.17208485751701</c:v>
                </c:pt>
                <c:pt idx="725">
                  <c:v>408.50992638757174</c:v>
                </c:pt>
                <c:pt idx="726">
                  <c:v>408.7943252946755</c:v>
                </c:pt>
                <c:pt idx="727">
                  <c:v>409.31708485751705</c:v>
                </c:pt>
                <c:pt idx="728">
                  <c:v>410.17164769904713</c:v>
                </c:pt>
                <c:pt idx="729">
                  <c:v>410.11768595041326</c:v>
                </c:pt>
                <c:pt idx="730">
                  <c:v>410.86110125095968</c:v>
                </c:pt>
                <c:pt idx="731">
                  <c:v>410.96584157521568</c:v>
                </c:pt>
                <c:pt idx="732">
                  <c:v>410.62770424061779</c:v>
                </c:pt>
                <c:pt idx="733">
                  <c:v>410.93195276159508</c:v>
                </c:pt>
                <c:pt idx="734">
                  <c:v>411.74902474822738</c:v>
                </c:pt>
                <c:pt idx="735">
                  <c:v>411.6016203766427</c:v>
                </c:pt>
                <c:pt idx="736">
                  <c:v>411.12208485751705</c:v>
                </c:pt>
                <c:pt idx="737">
                  <c:v>411.4899263875717</c:v>
                </c:pt>
                <c:pt idx="738">
                  <c:v>411.75432529467554</c:v>
                </c:pt>
                <c:pt idx="739">
                  <c:v>411.75708485751704</c:v>
                </c:pt>
                <c:pt idx="740">
                  <c:v>412.34164769904714</c:v>
                </c:pt>
                <c:pt idx="741">
                  <c:v>412.73768595041327</c:v>
                </c:pt>
                <c:pt idx="742">
                  <c:v>413.31110125095967</c:v>
                </c:pt>
                <c:pt idx="743">
                  <c:v>413.39584157521563</c:v>
                </c:pt>
                <c:pt idx="744">
                  <c:v>413.13770424061778</c:v>
                </c:pt>
                <c:pt idx="745">
                  <c:v>413.59195276159511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F-4BDF-8E27-63F82831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411311"/>
        <c:axId val="1767332111"/>
      </c:scatterChart>
      <c:valAx>
        <c:axId val="1406411311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332111"/>
        <c:crosses val="autoZero"/>
        <c:crossBetween val="midCat"/>
        <c:majorUnit val="3652.5"/>
      </c:valAx>
      <c:valAx>
        <c:axId val="176733211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411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'co2 (2)'!$M$1</c:f>
              <c:strCache>
                <c:ptCount val="1"/>
                <c:pt idx="0">
                  <c:v>TC(d)</c:v>
                </c:pt>
              </c:strCache>
            </c:strRef>
          </c:tx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'co2 (2)'!$G$2:$G$747</c:f>
              <c:numCache>
                <c:formatCode>m/d/yyyy</c:formatCode>
                <c:ptCount val="7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</c:numCache>
            </c:numRef>
          </c:xVal>
          <c:yVal>
            <c:numRef>
              <c:f>'co2 (2)'!$M$2:$M$747</c:f>
              <c:numCache>
                <c:formatCode>General</c:formatCode>
                <c:ptCount val="746"/>
                <c:pt idx="6">
                  <c:v>315.42962431693985</c:v>
                </c:pt>
                <c:pt idx="7">
                  <c:v>315.48004098360656</c:v>
                </c:pt>
                <c:pt idx="8">
                  <c:v>315.52337431693985</c:v>
                </c:pt>
                <c:pt idx="9">
                  <c:v>315.61747950819671</c:v>
                </c:pt>
                <c:pt idx="10">
                  <c:v>315.7074180327869</c:v>
                </c:pt>
                <c:pt idx="11">
                  <c:v>315.73033469945352</c:v>
                </c:pt>
                <c:pt idx="12">
                  <c:v>315.75116803278689</c:v>
                </c:pt>
                <c:pt idx="13">
                  <c:v>315.77995901639343</c:v>
                </c:pt>
                <c:pt idx="14">
                  <c:v>315.84416666666669</c:v>
                </c:pt>
                <c:pt idx="15">
                  <c:v>315.94375000000008</c:v>
                </c:pt>
                <c:pt idx="16">
                  <c:v>316.01708333333335</c:v>
                </c:pt>
                <c:pt idx="17">
                  <c:v>316.07291666666674</c:v>
                </c:pt>
                <c:pt idx="18">
                  <c:v>316.13208333333341</c:v>
                </c:pt>
                <c:pt idx="19">
                  <c:v>316.22541666666666</c:v>
                </c:pt>
                <c:pt idx="20">
                  <c:v>316.35291666666666</c:v>
                </c:pt>
                <c:pt idx="21">
                  <c:v>316.48541666666665</c:v>
                </c:pt>
                <c:pt idx="22">
                  <c:v>316.61333333333329</c:v>
                </c:pt>
                <c:pt idx="23">
                  <c:v>316.72750000000002</c:v>
                </c:pt>
                <c:pt idx="24">
                  <c:v>316.78708333333333</c:v>
                </c:pt>
                <c:pt idx="25">
                  <c:v>316.82166666666666</c:v>
                </c:pt>
                <c:pt idx="26">
                  <c:v>316.85041666666672</c:v>
                </c:pt>
                <c:pt idx="27">
                  <c:v>316.88374999999996</c:v>
                </c:pt>
                <c:pt idx="28">
                  <c:v>316.92874999999998</c:v>
                </c:pt>
                <c:pt idx="29">
                  <c:v>316.9783333333333</c:v>
                </c:pt>
                <c:pt idx="30">
                  <c:v>317.04833333333329</c:v>
                </c:pt>
                <c:pt idx="31">
                  <c:v>317.10708333333326</c:v>
                </c:pt>
                <c:pt idx="32">
                  <c:v>317.14833333333337</c:v>
                </c:pt>
                <c:pt idx="33">
                  <c:v>317.17874999999998</c:v>
                </c:pt>
                <c:pt idx="34">
                  <c:v>317.20291666666662</c:v>
                </c:pt>
                <c:pt idx="35">
                  <c:v>317.25624999999997</c:v>
                </c:pt>
                <c:pt idx="36">
                  <c:v>317.32749999999993</c:v>
                </c:pt>
                <c:pt idx="37">
                  <c:v>317.42333333333335</c:v>
                </c:pt>
                <c:pt idx="38">
                  <c:v>317.53083333333331</c:v>
                </c:pt>
                <c:pt idx="39">
                  <c:v>317.61083333333335</c:v>
                </c:pt>
                <c:pt idx="40">
                  <c:v>317.68833333333333</c:v>
                </c:pt>
                <c:pt idx="41">
                  <c:v>317.76708333333335</c:v>
                </c:pt>
                <c:pt idx="42">
                  <c:v>317.84999999999997</c:v>
                </c:pt>
                <c:pt idx="43">
                  <c:v>317.94291666666658</c:v>
                </c:pt>
                <c:pt idx="44">
                  <c:v>318.00666666666666</c:v>
                </c:pt>
                <c:pt idx="45">
                  <c:v>318.06041666666664</c:v>
                </c:pt>
                <c:pt idx="46">
                  <c:v>318.13916666666665</c:v>
                </c:pt>
                <c:pt idx="47">
                  <c:v>318.20791666666668</c:v>
                </c:pt>
                <c:pt idx="48">
                  <c:v>318.2858333333333</c:v>
                </c:pt>
                <c:pt idx="49">
                  <c:v>318.34291666666661</c:v>
                </c:pt>
                <c:pt idx="50">
                  <c:v>318.37208333333336</c:v>
                </c:pt>
                <c:pt idx="51">
                  <c:v>318.42541666666665</c:v>
                </c:pt>
                <c:pt idx="52">
                  <c:v>318.48750000000001</c:v>
                </c:pt>
                <c:pt idx="53">
                  <c:v>318.54249999999996</c:v>
                </c:pt>
                <c:pt idx="54">
                  <c:v>318.57166666666666</c:v>
                </c:pt>
                <c:pt idx="55">
                  <c:v>318.61291666666671</c:v>
                </c:pt>
                <c:pt idx="56">
                  <c:v>318.69791666666663</c:v>
                </c:pt>
                <c:pt idx="57">
                  <c:v>318.78499999999997</c:v>
                </c:pt>
                <c:pt idx="58">
                  <c:v>318.82625000000002</c:v>
                </c:pt>
                <c:pt idx="59">
                  <c:v>318.84708333333333</c:v>
                </c:pt>
                <c:pt idx="60">
                  <c:v>318.86083333333335</c:v>
                </c:pt>
                <c:pt idx="61">
                  <c:v>318.88291666666669</c:v>
                </c:pt>
                <c:pt idx="62">
                  <c:v>318.92249999999996</c:v>
                </c:pt>
                <c:pt idx="63">
                  <c:v>318.96541666666673</c:v>
                </c:pt>
                <c:pt idx="64">
                  <c:v>319.02708333333334</c:v>
                </c:pt>
                <c:pt idx="65">
                  <c:v>319.1112155647383</c:v>
                </c:pt>
                <c:pt idx="66">
                  <c:v>319.20425964187325</c:v>
                </c:pt>
                <c:pt idx="67">
                  <c:v>319.25663223140498</c:v>
                </c:pt>
                <c:pt idx="68">
                  <c:v>319.26592630853992</c:v>
                </c:pt>
                <c:pt idx="69">
                  <c:v>319.2834263085399</c:v>
                </c:pt>
                <c:pt idx="70">
                  <c:v>319.32967630853994</c:v>
                </c:pt>
                <c:pt idx="71">
                  <c:v>319.39717630853988</c:v>
                </c:pt>
                <c:pt idx="72">
                  <c:v>319.45592630853992</c:v>
                </c:pt>
                <c:pt idx="73">
                  <c:v>319.51300964187323</c:v>
                </c:pt>
                <c:pt idx="74">
                  <c:v>319.57509297520659</c:v>
                </c:pt>
                <c:pt idx="75">
                  <c:v>319.6155096418733</c:v>
                </c:pt>
                <c:pt idx="76">
                  <c:v>319.6250929752066</c:v>
                </c:pt>
                <c:pt idx="77">
                  <c:v>319.62721074380164</c:v>
                </c:pt>
                <c:pt idx="78">
                  <c:v>319.63416666666666</c:v>
                </c:pt>
                <c:pt idx="79">
                  <c:v>319.65637741046828</c:v>
                </c:pt>
                <c:pt idx="80">
                  <c:v>319.67541666666665</c:v>
                </c:pt>
                <c:pt idx="81">
                  <c:v>319.67083333333335</c:v>
                </c:pt>
                <c:pt idx="82">
                  <c:v>319.70208333333341</c:v>
                </c:pt>
                <c:pt idx="83">
                  <c:v>319.74166666666667</c:v>
                </c:pt>
                <c:pt idx="84">
                  <c:v>319.79541666666671</c:v>
                </c:pt>
                <c:pt idx="85">
                  <c:v>319.85958333333332</c:v>
                </c:pt>
                <c:pt idx="86">
                  <c:v>319.92708333333331</c:v>
                </c:pt>
                <c:pt idx="87">
                  <c:v>320.00625000000002</c:v>
                </c:pt>
                <c:pt idx="88">
                  <c:v>320.08499999999998</c:v>
                </c:pt>
                <c:pt idx="89">
                  <c:v>320.1825</c:v>
                </c:pt>
                <c:pt idx="90">
                  <c:v>320.29333333333335</c:v>
                </c:pt>
                <c:pt idx="91">
                  <c:v>320.42083333333329</c:v>
                </c:pt>
                <c:pt idx="92">
                  <c:v>320.56541666666664</c:v>
                </c:pt>
                <c:pt idx="93">
                  <c:v>320.72333333333336</c:v>
                </c:pt>
                <c:pt idx="94">
                  <c:v>320.8504166666666</c:v>
                </c:pt>
                <c:pt idx="95">
                  <c:v>320.96124999999995</c:v>
                </c:pt>
                <c:pt idx="96">
                  <c:v>321.05791666666659</c:v>
                </c:pt>
                <c:pt idx="97">
                  <c:v>321.12583333333328</c:v>
                </c:pt>
                <c:pt idx="98">
                  <c:v>321.1970833333333</c:v>
                </c:pt>
                <c:pt idx="99">
                  <c:v>321.30208333333331</c:v>
                </c:pt>
                <c:pt idx="100">
                  <c:v>321.44041666666664</c:v>
                </c:pt>
                <c:pt idx="101">
                  <c:v>321.54916666666668</c:v>
                </c:pt>
                <c:pt idx="102">
                  <c:v>321.61375000000004</c:v>
                </c:pt>
                <c:pt idx="103">
                  <c:v>321.67083333333329</c:v>
                </c:pt>
                <c:pt idx="104">
                  <c:v>321.73916666666662</c:v>
                </c:pt>
                <c:pt idx="105">
                  <c:v>321.79166666666669</c:v>
                </c:pt>
                <c:pt idx="106">
                  <c:v>321.8125</c:v>
                </c:pt>
                <c:pt idx="107">
                  <c:v>321.84250000000003</c:v>
                </c:pt>
                <c:pt idx="108">
                  <c:v>321.89125000000007</c:v>
                </c:pt>
                <c:pt idx="109">
                  <c:v>321.97041666666672</c:v>
                </c:pt>
                <c:pt idx="110">
                  <c:v>322.06374999999997</c:v>
                </c:pt>
                <c:pt idx="111">
                  <c:v>322.14208333333335</c:v>
                </c:pt>
                <c:pt idx="112">
                  <c:v>322.19083333333327</c:v>
                </c:pt>
                <c:pt idx="113">
                  <c:v>322.22791666666666</c:v>
                </c:pt>
                <c:pt idx="114">
                  <c:v>322.29041666666666</c:v>
                </c:pt>
                <c:pt idx="115">
                  <c:v>322.3508333333333</c:v>
                </c:pt>
                <c:pt idx="116">
                  <c:v>322.39958333333334</c:v>
                </c:pt>
                <c:pt idx="117">
                  <c:v>322.47624999999994</c:v>
                </c:pt>
                <c:pt idx="118">
                  <c:v>322.59583333333325</c:v>
                </c:pt>
                <c:pt idx="119">
                  <c:v>322.71208333333328</c:v>
                </c:pt>
                <c:pt idx="120">
                  <c:v>322.80666666666667</c:v>
                </c:pt>
                <c:pt idx="121">
                  <c:v>322.88749999999999</c:v>
                </c:pt>
                <c:pt idx="122">
                  <c:v>322.94791666666669</c:v>
                </c:pt>
                <c:pt idx="123">
                  <c:v>323.01124999999996</c:v>
                </c:pt>
                <c:pt idx="124">
                  <c:v>323.10958333333332</c:v>
                </c:pt>
                <c:pt idx="125">
                  <c:v>323.22166666666664</c:v>
                </c:pt>
                <c:pt idx="126">
                  <c:v>323.34666666666664</c:v>
                </c:pt>
                <c:pt idx="127">
                  <c:v>323.48750000000001</c:v>
                </c:pt>
                <c:pt idx="128">
                  <c:v>323.63124999999997</c:v>
                </c:pt>
                <c:pt idx="129">
                  <c:v>323.76291666666668</c:v>
                </c:pt>
                <c:pt idx="130">
                  <c:v>323.89166666666671</c:v>
                </c:pt>
                <c:pt idx="131">
                  <c:v>324.02875</c:v>
                </c:pt>
                <c:pt idx="132">
                  <c:v>324.17874999999998</c:v>
                </c:pt>
                <c:pt idx="133">
                  <c:v>324.32791666666668</c:v>
                </c:pt>
                <c:pt idx="134">
                  <c:v>324.45541666666662</c:v>
                </c:pt>
                <c:pt idx="135">
                  <c:v>324.57041666666663</c:v>
                </c:pt>
                <c:pt idx="136">
                  <c:v>324.66583333333335</c:v>
                </c:pt>
                <c:pt idx="137">
                  <c:v>324.77541666666667</c:v>
                </c:pt>
                <c:pt idx="138">
                  <c:v>324.89500000000004</c:v>
                </c:pt>
                <c:pt idx="139">
                  <c:v>325.01041666666674</c:v>
                </c:pt>
                <c:pt idx="140">
                  <c:v>325.10083333333336</c:v>
                </c:pt>
                <c:pt idx="141">
                  <c:v>325.17</c:v>
                </c:pt>
                <c:pt idx="142">
                  <c:v>325.22916666666663</c:v>
                </c:pt>
                <c:pt idx="143">
                  <c:v>325.29124999999993</c:v>
                </c:pt>
                <c:pt idx="144">
                  <c:v>325.36416666666668</c:v>
                </c:pt>
                <c:pt idx="145">
                  <c:v>325.44750000000005</c:v>
                </c:pt>
                <c:pt idx="146">
                  <c:v>325.54916666666668</c:v>
                </c:pt>
                <c:pt idx="147">
                  <c:v>325.63958333333335</c:v>
                </c:pt>
                <c:pt idx="148">
                  <c:v>325.72791666666666</c:v>
                </c:pt>
                <c:pt idx="149">
                  <c:v>325.80333333333334</c:v>
                </c:pt>
                <c:pt idx="150">
                  <c:v>325.84249999999997</c:v>
                </c:pt>
                <c:pt idx="151">
                  <c:v>325.83833333333331</c:v>
                </c:pt>
                <c:pt idx="152">
                  <c:v>325.85958333333332</c:v>
                </c:pt>
                <c:pt idx="153">
                  <c:v>325.9325</c:v>
                </c:pt>
                <c:pt idx="154">
                  <c:v>326.01249999999999</c:v>
                </c:pt>
                <c:pt idx="155">
                  <c:v>326.08583333333331</c:v>
                </c:pt>
                <c:pt idx="156">
                  <c:v>326.1275</c:v>
                </c:pt>
                <c:pt idx="157">
                  <c:v>326.15916666666664</c:v>
                </c:pt>
                <c:pt idx="158">
                  <c:v>326.21291666666667</c:v>
                </c:pt>
                <c:pt idx="159">
                  <c:v>326.28249999999997</c:v>
                </c:pt>
                <c:pt idx="160">
                  <c:v>326.34416666666669</c:v>
                </c:pt>
                <c:pt idx="161">
                  <c:v>326.40875</c:v>
                </c:pt>
                <c:pt idx="162">
                  <c:v>326.47250000000003</c:v>
                </c:pt>
                <c:pt idx="163">
                  <c:v>326.57708333333329</c:v>
                </c:pt>
                <c:pt idx="164">
                  <c:v>326.70499999999998</c:v>
                </c:pt>
                <c:pt idx="165">
                  <c:v>326.77416666666664</c:v>
                </c:pt>
                <c:pt idx="166">
                  <c:v>326.82416666666666</c:v>
                </c:pt>
                <c:pt idx="167">
                  <c:v>326.88958333333335</c:v>
                </c:pt>
                <c:pt idx="168">
                  <c:v>326.98833333333329</c:v>
                </c:pt>
                <c:pt idx="169">
                  <c:v>327.11833333333334</c:v>
                </c:pt>
                <c:pt idx="170">
                  <c:v>327.25749999999999</c:v>
                </c:pt>
                <c:pt idx="171">
                  <c:v>327.39249999999998</c:v>
                </c:pt>
                <c:pt idx="172">
                  <c:v>327.53083333333331</c:v>
                </c:pt>
                <c:pt idx="173">
                  <c:v>327.68541666666664</c:v>
                </c:pt>
                <c:pt idx="174">
                  <c:v>327.87208333333331</c:v>
                </c:pt>
                <c:pt idx="175">
                  <c:v>328.05249999999995</c:v>
                </c:pt>
                <c:pt idx="176">
                  <c:v>328.22708333333338</c:v>
                </c:pt>
                <c:pt idx="177">
                  <c:v>328.45166666666665</c:v>
                </c:pt>
                <c:pt idx="178">
                  <c:v>328.69375000000002</c:v>
                </c:pt>
                <c:pt idx="179">
                  <c:v>328.93624999999997</c:v>
                </c:pt>
                <c:pt idx="180">
                  <c:v>329.17208333333338</c:v>
                </c:pt>
                <c:pt idx="181">
                  <c:v>329.36583333333334</c:v>
                </c:pt>
                <c:pt idx="182">
                  <c:v>329.51749999999998</c:v>
                </c:pt>
                <c:pt idx="183">
                  <c:v>329.63208333333336</c:v>
                </c:pt>
                <c:pt idx="184">
                  <c:v>329.71083333333337</c:v>
                </c:pt>
                <c:pt idx="185">
                  <c:v>329.79208333333332</c:v>
                </c:pt>
                <c:pt idx="186">
                  <c:v>329.88916666666677</c:v>
                </c:pt>
                <c:pt idx="187">
                  <c:v>329.98625000000004</c:v>
                </c:pt>
                <c:pt idx="188">
                  <c:v>330.05958333333336</c:v>
                </c:pt>
                <c:pt idx="189">
                  <c:v>330.09250000000003</c:v>
                </c:pt>
                <c:pt idx="190">
                  <c:v>330.11291666666659</c:v>
                </c:pt>
                <c:pt idx="191">
                  <c:v>330.12916666666661</c:v>
                </c:pt>
                <c:pt idx="192">
                  <c:v>330.12916666666661</c:v>
                </c:pt>
                <c:pt idx="193">
                  <c:v>330.13374999999996</c:v>
                </c:pt>
                <c:pt idx="194">
                  <c:v>330.1541666666667</c:v>
                </c:pt>
                <c:pt idx="195">
                  <c:v>330.20541666666668</c:v>
                </c:pt>
                <c:pt idx="196">
                  <c:v>330.2879166666666</c:v>
                </c:pt>
                <c:pt idx="197">
                  <c:v>330.36041666666665</c:v>
                </c:pt>
                <c:pt idx="198">
                  <c:v>330.41250000000002</c:v>
                </c:pt>
                <c:pt idx="199">
                  <c:v>330.46333333333337</c:v>
                </c:pt>
                <c:pt idx="200">
                  <c:v>330.52749999999997</c:v>
                </c:pt>
                <c:pt idx="201">
                  <c:v>330.62041666666664</c:v>
                </c:pt>
                <c:pt idx="202">
                  <c:v>330.70666666666671</c:v>
                </c:pt>
                <c:pt idx="203">
                  <c:v>330.76458333333335</c:v>
                </c:pt>
                <c:pt idx="204">
                  <c:v>330.83958333333334</c:v>
                </c:pt>
                <c:pt idx="205">
                  <c:v>330.92708333333331</c:v>
                </c:pt>
                <c:pt idx="206">
                  <c:v>331.01041666666669</c:v>
                </c:pt>
                <c:pt idx="207">
                  <c:v>331.10291666666666</c:v>
                </c:pt>
                <c:pt idx="208">
                  <c:v>331.20875000000001</c:v>
                </c:pt>
                <c:pt idx="209">
                  <c:v>331.31375000000003</c:v>
                </c:pt>
                <c:pt idx="210">
                  <c:v>331.42333333333335</c:v>
                </c:pt>
                <c:pt idx="211">
                  <c:v>331.53708333333333</c:v>
                </c:pt>
                <c:pt idx="212">
                  <c:v>331.62791666666675</c:v>
                </c:pt>
                <c:pt idx="213">
                  <c:v>331.69625000000002</c:v>
                </c:pt>
                <c:pt idx="214">
                  <c:v>331.7745833333334</c:v>
                </c:pt>
                <c:pt idx="215">
                  <c:v>331.85916666666668</c:v>
                </c:pt>
                <c:pt idx="216">
                  <c:v>331.92666666666668</c:v>
                </c:pt>
                <c:pt idx="217">
                  <c:v>331.98249999999996</c:v>
                </c:pt>
                <c:pt idx="218">
                  <c:v>332.04166666666669</c:v>
                </c:pt>
                <c:pt idx="219">
                  <c:v>332.11416666666668</c:v>
                </c:pt>
                <c:pt idx="220">
                  <c:v>332.20166666666665</c:v>
                </c:pt>
                <c:pt idx="221">
                  <c:v>332.28625000000005</c:v>
                </c:pt>
                <c:pt idx="222">
                  <c:v>332.37166666666667</c:v>
                </c:pt>
                <c:pt idx="223">
                  <c:v>332.48375000000004</c:v>
                </c:pt>
                <c:pt idx="224">
                  <c:v>332.62374999999997</c:v>
                </c:pt>
                <c:pt idx="225">
                  <c:v>332.78250000000003</c:v>
                </c:pt>
                <c:pt idx="226">
                  <c:v>332.94124999999997</c:v>
                </c:pt>
                <c:pt idx="227">
                  <c:v>333.09458333333333</c:v>
                </c:pt>
                <c:pt idx="228">
                  <c:v>333.26541666666668</c:v>
                </c:pt>
                <c:pt idx="229">
                  <c:v>333.45333333333332</c:v>
                </c:pt>
                <c:pt idx="230">
                  <c:v>333.63291666666663</c:v>
                </c:pt>
                <c:pt idx="231">
                  <c:v>333.8104166666667</c:v>
                </c:pt>
                <c:pt idx="232">
                  <c:v>333.98583333333335</c:v>
                </c:pt>
                <c:pt idx="233">
                  <c:v>334.15291666666667</c:v>
                </c:pt>
                <c:pt idx="234">
                  <c:v>334.31583333333333</c:v>
                </c:pt>
                <c:pt idx="235">
                  <c:v>334.46708333333328</c:v>
                </c:pt>
                <c:pt idx="236">
                  <c:v>334.59</c:v>
                </c:pt>
                <c:pt idx="237">
                  <c:v>334.71041666666662</c:v>
                </c:pt>
                <c:pt idx="238">
                  <c:v>334.8458333333333</c:v>
                </c:pt>
                <c:pt idx="239">
                  <c:v>334.99374999999998</c:v>
                </c:pt>
                <c:pt idx="240">
                  <c:v>335.1229166666667</c:v>
                </c:pt>
                <c:pt idx="241">
                  <c:v>335.22958333333332</c:v>
                </c:pt>
                <c:pt idx="242">
                  <c:v>335.35083333333336</c:v>
                </c:pt>
                <c:pt idx="243">
                  <c:v>335.46</c:v>
                </c:pt>
                <c:pt idx="244">
                  <c:v>335.55833333333328</c:v>
                </c:pt>
                <c:pt idx="245">
                  <c:v>335.6679166666666</c:v>
                </c:pt>
                <c:pt idx="246">
                  <c:v>335.78</c:v>
                </c:pt>
                <c:pt idx="247">
                  <c:v>335.8816666666666</c:v>
                </c:pt>
                <c:pt idx="248">
                  <c:v>335.98916666666662</c:v>
                </c:pt>
                <c:pt idx="249">
                  <c:v>336.10791666666665</c:v>
                </c:pt>
                <c:pt idx="250">
                  <c:v>336.21541666666661</c:v>
                </c:pt>
                <c:pt idx="251">
                  <c:v>336.32374999999996</c:v>
                </c:pt>
                <c:pt idx="252">
                  <c:v>336.43083333333328</c:v>
                </c:pt>
                <c:pt idx="253">
                  <c:v>336.53375</c:v>
                </c:pt>
                <c:pt idx="254">
                  <c:v>336.64541666666668</c:v>
                </c:pt>
                <c:pt idx="255">
                  <c:v>336.7766666666667</c:v>
                </c:pt>
                <c:pt idx="256">
                  <c:v>336.92500000000001</c:v>
                </c:pt>
                <c:pt idx="257">
                  <c:v>337.06583333333333</c:v>
                </c:pt>
                <c:pt idx="258">
                  <c:v>337.22041666666672</c:v>
                </c:pt>
                <c:pt idx="259">
                  <c:v>337.38666666666671</c:v>
                </c:pt>
                <c:pt idx="260">
                  <c:v>337.54833333333335</c:v>
                </c:pt>
                <c:pt idx="261">
                  <c:v>337.71</c:v>
                </c:pt>
                <c:pt idx="262">
                  <c:v>337.86458333333331</c:v>
                </c:pt>
                <c:pt idx="263">
                  <c:v>338.00375000000003</c:v>
                </c:pt>
                <c:pt idx="264">
                  <c:v>338.14833333333337</c:v>
                </c:pt>
                <c:pt idx="265">
                  <c:v>338.32</c:v>
                </c:pt>
                <c:pt idx="266">
                  <c:v>338.48541666666671</c:v>
                </c:pt>
                <c:pt idx="267">
                  <c:v>338.62250000000006</c:v>
                </c:pt>
                <c:pt idx="268">
                  <c:v>338.73541666666665</c:v>
                </c:pt>
                <c:pt idx="269">
                  <c:v>338.875</c:v>
                </c:pt>
                <c:pt idx="270">
                  <c:v>339.01791666666668</c:v>
                </c:pt>
                <c:pt idx="271">
                  <c:v>339.14500000000004</c:v>
                </c:pt>
                <c:pt idx="272">
                  <c:v>339.27750000000003</c:v>
                </c:pt>
                <c:pt idx="273">
                  <c:v>339.38249999999999</c:v>
                </c:pt>
                <c:pt idx="274">
                  <c:v>339.46625</c:v>
                </c:pt>
                <c:pt idx="275">
                  <c:v>339.53958333333333</c:v>
                </c:pt>
                <c:pt idx="276">
                  <c:v>339.60791666666665</c:v>
                </c:pt>
                <c:pt idx="277">
                  <c:v>339.67666666666668</c:v>
                </c:pt>
                <c:pt idx="278">
                  <c:v>339.76416666666665</c:v>
                </c:pt>
                <c:pt idx="279">
                  <c:v>339.87500000000006</c:v>
                </c:pt>
                <c:pt idx="280">
                  <c:v>339.99625000000003</c:v>
                </c:pt>
                <c:pt idx="281">
                  <c:v>340.10624999999999</c:v>
                </c:pt>
                <c:pt idx="282">
                  <c:v>340.20833333333331</c:v>
                </c:pt>
                <c:pt idx="283">
                  <c:v>340.3079166666667</c:v>
                </c:pt>
                <c:pt idx="284">
                  <c:v>340.40375</c:v>
                </c:pt>
                <c:pt idx="285">
                  <c:v>340.50083333333333</c:v>
                </c:pt>
                <c:pt idx="286">
                  <c:v>340.61208333333332</c:v>
                </c:pt>
                <c:pt idx="287">
                  <c:v>340.73500000000001</c:v>
                </c:pt>
                <c:pt idx="288">
                  <c:v>340.84625000000005</c:v>
                </c:pt>
                <c:pt idx="289">
                  <c:v>340.94166666666672</c:v>
                </c:pt>
                <c:pt idx="290">
                  <c:v>341.02083333333331</c:v>
                </c:pt>
                <c:pt idx="291">
                  <c:v>341.09500000000003</c:v>
                </c:pt>
                <c:pt idx="292">
                  <c:v>341.15791666666667</c:v>
                </c:pt>
                <c:pt idx="293">
                  <c:v>341.22208333333333</c:v>
                </c:pt>
                <c:pt idx="294">
                  <c:v>341.2766666666667</c:v>
                </c:pt>
                <c:pt idx="295">
                  <c:v>341.35041666666666</c:v>
                </c:pt>
                <c:pt idx="296">
                  <c:v>341.47499999999997</c:v>
                </c:pt>
                <c:pt idx="297">
                  <c:v>341.62458333333331</c:v>
                </c:pt>
                <c:pt idx="298">
                  <c:v>341.78666666666663</c:v>
                </c:pt>
                <c:pt idx="299">
                  <c:v>341.97374999999994</c:v>
                </c:pt>
                <c:pt idx="300">
                  <c:v>342.15958333333327</c:v>
                </c:pt>
                <c:pt idx="301">
                  <c:v>342.32708333333335</c:v>
                </c:pt>
                <c:pt idx="302">
                  <c:v>342.49458333333331</c:v>
                </c:pt>
                <c:pt idx="303">
                  <c:v>342.67749999999995</c:v>
                </c:pt>
                <c:pt idx="304">
                  <c:v>342.87833333333327</c:v>
                </c:pt>
                <c:pt idx="305">
                  <c:v>343.05749999999995</c:v>
                </c:pt>
                <c:pt idx="306">
                  <c:v>343.23083333333335</c:v>
                </c:pt>
                <c:pt idx="307">
                  <c:v>343.40958333333333</c:v>
                </c:pt>
                <c:pt idx="308">
                  <c:v>343.56708333333336</c:v>
                </c:pt>
                <c:pt idx="309">
                  <c:v>343.69833333333332</c:v>
                </c:pt>
                <c:pt idx="310">
                  <c:v>343.81874999999997</c:v>
                </c:pt>
                <c:pt idx="311">
                  <c:v>343.91499999999996</c:v>
                </c:pt>
                <c:pt idx="312">
                  <c:v>344.0025</c:v>
                </c:pt>
                <c:pt idx="313">
                  <c:v>344.10916666666668</c:v>
                </c:pt>
                <c:pt idx="314">
                  <c:v>344.24208333333331</c:v>
                </c:pt>
                <c:pt idx="315">
                  <c:v>344.36958333333331</c:v>
                </c:pt>
                <c:pt idx="316">
                  <c:v>344.47375000000005</c:v>
                </c:pt>
                <c:pt idx="317">
                  <c:v>344.58875000000006</c:v>
                </c:pt>
                <c:pt idx="318">
                  <c:v>344.74</c:v>
                </c:pt>
                <c:pt idx="319">
                  <c:v>344.88333333333338</c:v>
                </c:pt>
                <c:pt idx="320">
                  <c:v>345</c:v>
                </c:pt>
                <c:pt idx="321">
                  <c:v>345.1229166666667</c:v>
                </c:pt>
                <c:pt idx="322">
                  <c:v>345.23208333333332</c:v>
                </c:pt>
                <c:pt idx="323">
                  <c:v>345.33874999999995</c:v>
                </c:pt>
                <c:pt idx="324">
                  <c:v>345.48083333333335</c:v>
                </c:pt>
                <c:pt idx="325">
                  <c:v>345.62541666666669</c:v>
                </c:pt>
                <c:pt idx="326">
                  <c:v>345.7383333333334</c:v>
                </c:pt>
                <c:pt idx="327">
                  <c:v>345.84666666666675</c:v>
                </c:pt>
                <c:pt idx="328">
                  <c:v>345.95791666666673</c:v>
                </c:pt>
                <c:pt idx="329">
                  <c:v>346.05333333333334</c:v>
                </c:pt>
                <c:pt idx="330">
                  <c:v>346.11124999999998</c:v>
                </c:pt>
                <c:pt idx="331">
                  <c:v>346.17916666666662</c:v>
                </c:pt>
                <c:pt idx="332">
                  <c:v>346.28291666666661</c:v>
                </c:pt>
                <c:pt idx="333">
                  <c:v>346.39083333333332</c:v>
                </c:pt>
                <c:pt idx="334">
                  <c:v>346.5025</c:v>
                </c:pt>
                <c:pt idx="335">
                  <c:v>346.61124999999993</c:v>
                </c:pt>
                <c:pt idx="336">
                  <c:v>346.73583333333323</c:v>
                </c:pt>
                <c:pt idx="337">
                  <c:v>346.86624999999998</c:v>
                </c:pt>
                <c:pt idx="338">
                  <c:v>346.98250000000002</c:v>
                </c:pt>
                <c:pt idx="339">
                  <c:v>347.09750000000003</c:v>
                </c:pt>
                <c:pt idx="340">
                  <c:v>347.22499999999997</c:v>
                </c:pt>
                <c:pt idx="341">
                  <c:v>347.36041666666665</c:v>
                </c:pt>
                <c:pt idx="342">
                  <c:v>347.48958333333331</c:v>
                </c:pt>
                <c:pt idx="343">
                  <c:v>347.61458333333331</c:v>
                </c:pt>
                <c:pt idx="344">
                  <c:v>347.74208333333331</c:v>
                </c:pt>
                <c:pt idx="345">
                  <c:v>347.88125000000008</c:v>
                </c:pt>
                <c:pt idx="346">
                  <c:v>348.01791666666662</c:v>
                </c:pt>
                <c:pt idx="347">
                  <c:v>348.17500000000001</c:v>
                </c:pt>
                <c:pt idx="348">
                  <c:v>348.33333333333331</c:v>
                </c:pt>
                <c:pt idx="349">
                  <c:v>348.49125000000004</c:v>
                </c:pt>
                <c:pt idx="350">
                  <c:v>348.67208333333338</c:v>
                </c:pt>
                <c:pt idx="351">
                  <c:v>348.84749999999991</c:v>
                </c:pt>
                <c:pt idx="352">
                  <c:v>349.03375</c:v>
                </c:pt>
                <c:pt idx="353">
                  <c:v>349.26958333333329</c:v>
                </c:pt>
                <c:pt idx="354">
                  <c:v>349.5216666666667</c:v>
                </c:pt>
                <c:pt idx="355">
                  <c:v>349.74708333333336</c:v>
                </c:pt>
                <c:pt idx="356">
                  <c:v>349.95458333333335</c:v>
                </c:pt>
                <c:pt idx="357">
                  <c:v>350.15916666666664</c:v>
                </c:pt>
                <c:pt idx="358">
                  <c:v>350.38458333333341</c:v>
                </c:pt>
                <c:pt idx="359">
                  <c:v>350.60124999999999</c:v>
                </c:pt>
                <c:pt idx="360">
                  <c:v>350.79333333333329</c:v>
                </c:pt>
                <c:pt idx="361">
                  <c:v>350.99333333333334</c:v>
                </c:pt>
                <c:pt idx="362">
                  <c:v>351.19250000000005</c:v>
                </c:pt>
                <c:pt idx="363">
                  <c:v>351.38583333333332</c:v>
                </c:pt>
                <c:pt idx="364">
                  <c:v>351.58208333333329</c:v>
                </c:pt>
                <c:pt idx="365">
                  <c:v>351.73499999999996</c:v>
                </c:pt>
                <c:pt idx="366">
                  <c:v>351.85166666666669</c:v>
                </c:pt>
                <c:pt idx="367">
                  <c:v>351.98874999999998</c:v>
                </c:pt>
                <c:pt idx="368">
                  <c:v>352.12541666666658</c:v>
                </c:pt>
                <c:pt idx="369">
                  <c:v>352.24083333333334</c:v>
                </c:pt>
                <c:pt idx="370">
                  <c:v>352.35916666666662</c:v>
                </c:pt>
                <c:pt idx="371">
                  <c:v>352.47416666666663</c:v>
                </c:pt>
                <c:pt idx="372">
                  <c:v>352.57083333333327</c:v>
                </c:pt>
                <c:pt idx="373">
                  <c:v>352.66208333333333</c:v>
                </c:pt>
                <c:pt idx="374">
                  <c:v>352.7595833333333</c:v>
                </c:pt>
                <c:pt idx="375">
                  <c:v>352.85999999999996</c:v>
                </c:pt>
                <c:pt idx="376">
                  <c:v>352.94666666666672</c:v>
                </c:pt>
                <c:pt idx="377">
                  <c:v>353.05208333333343</c:v>
                </c:pt>
                <c:pt idx="378">
                  <c:v>353.19083333333333</c:v>
                </c:pt>
                <c:pt idx="379">
                  <c:v>353.29416666666663</c:v>
                </c:pt>
                <c:pt idx="380">
                  <c:v>353.38875000000002</c:v>
                </c:pt>
                <c:pt idx="381">
                  <c:v>353.49708333333336</c:v>
                </c:pt>
                <c:pt idx="382">
                  <c:v>353.58124999999995</c:v>
                </c:pt>
                <c:pt idx="383">
                  <c:v>353.67083333333335</c:v>
                </c:pt>
                <c:pt idx="384">
                  <c:v>353.77041666666668</c:v>
                </c:pt>
                <c:pt idx="385">
                  <c:v>353.86791666666664</c:v>
                </c:pt>
                <c:pt idx="386">
                  <c:v>353.98125000000005</c:v>
                </c:pt>
                <c:pt idx="387">
                  <c:v>354.1154166666667</c:v>
                </c:pt>
                <c:pt idx="388">
                  <c:v>354.23</c:v>
                </c:pt>
                <c:pt idx="389">
                  <c:v>354.31791666666669</c:v>
                </c:pt>
                <c:pt idx="390">
                  <c:v>354.43583333333328</c:v>
                </c:pt>
                <c:pt idx="391">
                  <c:v>354.61000000000007</c:v>
                </c:pt>
                <c:pt idx="392">
                  <c:v>354.8008333333334</c:v>
                </c:pt>
                <c:pt idx="393">
                  <c:v>354.97541666666672</c:v>
                </c:pt>
                <c:pt idx="394">
                  <c:v>355.11583333333334</c:v>
                </c:pt>
                <c:pt idx="395">
                  <c:v>355.21833333333342</c:v>
                </c:pt>
                <c:pt idx="396">
                  <c:v>355.31375000000003</c:v>
                </c:pt>
                <c:pt idx="397">
                  <c:v>355.40625</c:v>
                </c:pt>
                <c:pt idx="398">
                  <c:v>355.48749999999995</c:v>
                </c:pt>
                <c:pt idx="399">
                  <c:v>355.55833333333334</c:v>
                </c:pt>
                <c:pt idx="400">
                  <c:v>355.64375000000001</c:v>
                </c:pt>
                <c:pt idx="401">
                  <c:v>355.73708333333337</c:v>
                </c:pt>
                <c:pt idx="402">
                  <c:v>355.80458333333331</c:v>
                </c:pt>
                <c:pt idx="403">
                  <c:v>355.85458333333332</c:v>
                </c:pt>
                <c:pt idx="404">
                  <c:v>355.89083333333332</c:v>
                </c:pt>
                <c:pt idx="405">
                  <c:v>355.94624999999996</c:v>
                </c:pt>
                <c:pt idx="406">
                  <c:v>356.02375000000001</c:v>
                </c:pt>
                <c:pt idx="407">
                  <c:v>356.1004166666666</c:v>
                </c:pt>
                <c:pt idx="408">
                  <c:v>356.17750000000001</c:v>
                </c:pt>
                <c:pt idx="409">
                  <c:v>356.25916666666666</c:v>
                </c:pt>
                <c:pt idx="410">
                  <c:v>356.3220833333333</c:v>
                </c:pt>
                <c:pt idx="411">
                  <c:v>356.35625000000005</c:v>
                </c:pt>
                <c:pt idx="412">
                  <c:v>356.40291666666667</c:v>
                </c:pt>
                <c:pt idx="413">
                  <c:v>356.45125000000007</c:v>
                </c:pt>
                <c:pt idx="414">
                  <c:v>356.49375000000003</c:v>
                </c:pt>
                <c:pt idx="415">
                  <c:v>356.53041666666667</c:v>
                </c:pt>
                <c:pt idx="416">
                  <c:v>356.56916666666666</c:v>
                </c:pt>
                <c:pt idx="417">
                  <c:v>356.60958333333332</c:v>
                </c:pt>
                <c:pt idx="418">
                  <c:v>356.64708333333334</c:v>
                </c:pt>
                <c:pt idx="419">
                  <c:v>356.69166666666666</c:v>
                </c:pt>
                <c:pt idx="420">
                  <c:v>356.74166666666673</c:v>
                </c:pt>
                <c:pt idx="421">
                  <c:v>356.79833333333335</c:v>
                </c:pt>
                <c:pt idx="422">
                  <c:v>356.87583333333333</c:v>
                </c:pt>
                <c:pt idx="423">
                  <c:v>356.98333333333335</c:v>
                </c:pt>
                <c:pt idx="424">
                  <c:v>357.11124999999998</c:v>
                </c:pt>
                <c:pt idx="425">
                  <c:v>357.25333333333333</c:v>
                </c:pt>
                <c:pt idx="426">
                  <c:v>357.39208333333335</c:v>
                </c:pt>
                <c:pt idx="427">
                  <c:v>357.53333333333336</c:v>
                </c:pt>
                <c:pt idx="428">
                  <c:v>357.66708333333332</c:v>
                </c:pt>
                <c:pt idx="429">
                  <c:v>357.78166666666669</c:v>
                </c:pt>
                <c:pt idx="430">
                  <c:v>357.92</c:v>
                </c:pt>
                <c:pt idx="431">
                  <c:v>358.0841666666667</c:v>
                </c:pt>
                <c:pt idx="432">
                  <c:v>358.25541666666669</c:v>
                </c:pt>
                <c:pt idx="433">
                  <c:v>358.42875000000004</c:v>
                </c:pt>
                <c:pt idx="434">
                  <c:v>358.60583333333335</c:v>
                </c:pt>
                <c:pt idx="435">
                  <c:v>358.79250000000002</c:v>
                </c:pt>
                <c:pt idx="436">
                  <c:v>358.9525000000001</c:v>
                </c:pt>
                <c:pt idx="437">
                  <c:v>359.10624999999999</c:v>
                </c:pt>
                <c:pt idx="438">
                  <c:v>359.26250000000005</c:v>
                </c:pt>
                <c:pt idx="439">
                  <c:v>359.42291666666671</c:v>
                </c:pt>
                <c:pt idx="440">
                  <c:v>359.60208333333338</c:v>
                </c:pt>
                <c:pt idx="441">
                  <c:v>359.78666666666669</c:v>
                </c:pt>
                <c:pt idx="442">
                  <c:v>359.98083333333335</c:v>
                </c:pt>
                <c:pt idx="443">
                  <c:v>360.16041666666666</c:v>
                </c:pt>
                <c:pt idx="444">
                  <c:v>360.33458333333334</c:v>
                </c:pt>
                <c:pt idx="445">
                  <c:v>360.49958333333331</c:v>
                </c:pt>
                <c:pt idx="446">
                  <c:v>360.65500000000003</c:v>
                </c:pt>
                <c:pt idx="447">
                  <c:v>360.80666666666667</c:v>
                </c:pt>
                <c:pt idx="448">
                  <c:v>360.96250000000009</c:v>
                </c:pt>
                <c:pt idx="449">
                  <c:v>361.1425000000001</c:v>
                </c:pt>
                <c:pt idx="450">
                  <c:v>361.33541666666662</c:v>
                </c:pt>
                <c:pt idx="451">
                  <c:v>361.48749999999995</c:v>
                </c:pt>
                <c:pt idx="452">
                  <c:v>361.60750000000002</c:v>
                </c:pt>
                <c:pt idx="453">
                  <c:v>361.74624999999997</c:v>
                </c:pt>
                <c:pt idx="454">
                  <c:v>361.89083333333332</c:v>
                </c:pt>
                <c:pt idx="455">
                  <c:v>362.04874999999998</c:v>
                </c:pt>
                <c:pt idx="456">
                  <c:v>362.19166666666666</c:v>
                </c:pt>
                <c:pt idx="457">
                  <c:v>362.32750000000004</c:v>
                </c:pt>
                <c:pt idx="458">
                  <c:v>362.45499999999998</c:v>
                </c:pt>
                <c:pt idx="459">
                  <c:v>362.57291666666669</c:v>
                </c:pt>
                <c:pt idx="460">
                  <c:v>362.68833333333333</c:v>
                </c:pt>
                <c:pt idx="461">
                  <c:v>362.76708333333335</c:v>
                </c:pt>
                <c:pt idx="462">
                  <c:v>362.82083333333338</c:v>
                </c:pt>
                <c:pt idx="463">
                  <c:v>362.91208333333333</c:v>
                </c:pt>
                <c:pt idx="464">
                  <c:v>363.03833333333324</c:v>
                </c:pt>
                <c:pt idx="465">
                  <c:v>363.12333333333328</c:v>
                </c:pt>
                <c:pt idx="466">
                  <c:v>363.18499999999995</c:v>
                </c:pt>
                <c:pt idx="467">
                  <c:v>363.26166666666671</c:v>
                </c:pt>
                <c:pt idx="468">
                  <c:v>363.33499999999998</c:v>
                </c:pt>
                <c:pt idx="469">
                  <c:v>363.41458333333338</c:v>
                </c:pt>
                <c:pt idx="470">
                  <c:v>363.53291666666672</c:v>
                </c:pt>
                <c:pt idx="471">
                  <c:v>363.68374999999997</c:v>
                </c:pt>
                <c:pt idx="472">
                  <c:v>363.85416666666669</c:v>
                </c:pt>
                <c:pt idx="473">
                  <c:v>364.0333333333333</c:v>
                </c:pt>
                <c:pt idx="474">
                  <c:v>364.23791666666671</c:v>
                </c:pt>
                <c:pt idx="475">
                  <c:v>364.44624999999996</c:v>
                </c:pt>
                <c:pt idx="476">
                  <c:v>364.64416666666671</c:v>
                </c:pt>
                <c:pt idx="477">
                  <c:v>364.88375000000002</c:v>
                </c:pt>
                <c:pt idx="478">
                  <c:v>365.15125000000006</c:v>
                </c:pt>
                <c:pt idx="479">
                  <c:v>365.42</c:v>
                </c:pt>
                <c:pt idx="480">
                  <c:v>365.71125000000001</c:v>
                </c:pt>
                <c:pt idx="481">
                  <c:v>366.0095833333333</c:v>
                </c:pt>
                <c:pt idx="482">
                  <c:v>366.27958333333328</c:v>
                </c:pt>
                <c:pt idx="483">
                  <c:v>366.51791666666668</c:v>
                </c:pt>
                <c:pt idx="484">
                  <c:v>366.74749999999995</c:v>
                </c:pt>
                <c:pt idx="485">
                  <c:v>366.9783333333333</c:v>
                </c:pt>
                <c:pt idx="486">
                  <c:v>367.18666666666667</c:v>
                </c:pt>
                <c:pt idx="487">
                  <c:v>367.38708333333329</c:v>
                </c:pt>
                <c:pt idx="488">
                  <c:v>367.56333333333333</c:v>
                </c:pt>
                <c:pt idx="489">
                  <c:v>367.69541666666669</c:v>
                </c:pt>
                <c:pt idx="490">
                  <c:v>367.82458333333335</c:v>
                </c:pt>
                <c:pt idx="491">
                  <c:v>367.94041666666675</c:v>
                </c:pt>
                <c:pt idx="492">
                  <c:v>368.01916666666671</c:v>
                </c:pt>
                <c:pt idx="493">
                  <c:v>368.08750000000003</c:v>
                </c:pt>
                <c:pt idx="494">
                  <c:v>368.1758333333334</c:v>
                </c:pt>
                <c:pt idx="495">
                  <c:v>368.2695833333334</c:v>
                </c:pt>
                <c:pt idx="496">
                  <c:v>368.35374999999999</c:v>
                </c:pt>
                <c:pt idx="497">
                  <c:v>368.41958333333332</c:v>
                </c:pt>
                <c:pt idx="498">
                  <c:v>368.48250000000007</c:v>
                </c:pt>
                <c:pt idx="499">
                  <c:v>368.54250000000008</c:v>
                </c:pt>
                <c:pt idx="500">
                  <c:v>368.59874999999994</c:v>
                </c:pt>
                <c:pt idx="501">
                  <c:v>368.68916666666672</c:v>
                </c:pt>
                <c:pt idx="502">
                  <c:v>368.78041666666672</c:v>
                </c:pt>
                <c:pt idx="503">
                  <c:v>368.8654166666667</c:v>
                </c:pt>
                <c:pt idx="504">
                  <c:v>368.9975</c:v>
                </c:pt>
                <c:pt idx="505">
                  <c:v>369.1466666666667</c:v>
                </c:pt>
                <c:pt idx="506">
                  <c:v>369.28041666666672</c:v>
                </c:pt>
                <c:pt idx="507">
                  <c:v>369.41083333333336</c:v>
                </c:pt>
                <c:pt idx="508">
                  <c:v>369.5216666666667</c:v>
                </c:pt>
                <c:pt idx="509">
                  <c:v>369.65416666666664</c:v>
                </c:pt>
                <c:pt idx="510">
                  <c:v>369.80625000000003</c:v>
                </c:pt>
                <c:pt idx="511">
                  <c:v>369.92333333333335</c:v>
                </c:pt>
                <c:pt idx="512">
                  <c:v>370.0645833333333</c:v>
                </c:pt>
                <c:pt idx="513">
                  <c:v>370.22333333333336</c:v>
                </c:pt>
                <c:pt idx="514">
                  <c:v>370.3533333333333</c:v>
                </c:pt>
                <c:pt idx="515">
                  <c:v>370.47541666666666</c:v>
                </c:pt>
                <c:pt idx="516">
                  <c:v>370.59083333333336</c:v>
                </c:pt>
                <c:pt idx="517">
                  <c:v>370.70333333333338</c:v>
                </c:pt>
                <c:pt idx="518">
                  <c:v>370.81791666666669</c:v>
                </c:pt>
                <c:pt idx="519">
                  <c:v>370.94750000000005</c:v>
                </c:pt>
                <c:pt idx="520">
                  <c:v>371.10916666666668</c:v>
                </c:pt>
                <c:pt idx="521">
                  <c:v>371.26500000000004</c:v>
                </c:pt>
                <c:pt idx="522">
                  <c:v>371.38916666666665</c:v>
                </c:pt>
                <c:pt idx="523">
                  <c:v>371.53041666666667</c:v>
                </c:pt>
                <c:pt idx="524">
                  <c:v>371.67708333333331</c:v>
                </c:pt>
                <c:pt idx="525">
                  <c:v>371.82791666666662</c:v>
                </c:pt>
                <c:pt idx="526">
                  <c:v>372.01499999999993</c:v>
                </c:pt>
                <c:pt idx="527">
                  <c:v>372.19541666666663</c:v>
                </c:pt>
                <c:pt idx="528">
                  <c:v>372.39000000000004</c:v>
                </c:pt>
                <c:pt idx="529">
                  <c:v>372.59416666666669</c:v>
                </c:pt>
                <c:pt idx="530">
                  <c:v>372.78416666666664</c:v>
                </c:pt>
                <c:pt idx="531">
                  <c:v>372.98999999999995</c:v>
                </c:pt>
                <c:pt idx="532">
                  <c:v>373.18916666666661</c:v>
                </c:pt>
                <c:pt idx="533">
                  <c:v>373.38833333333332</c:v>
                </c:pt>
                <c:pt idx="534">
                  <c:v>373.60208333333338</c:v>
                </c:pt>
                <c:pt idx="535">
                  <c:v>373.8266666666666</c:v>
                </c:pt>
                <c:pt idx="536">
                  <c:v>374.06</c:v>
                </c:pt>
                <c:pt idx="537">
                  <c:v>374.29041666666666</c:v>
                </c:pt>
                <c:pt idx="538">
                  <c:v>374.5116666666666</c:v>
                </c:pt>
                <c:pt idx="539">
                  <c:v>374.74416666666667</c:v>
                </c:pt>
                <c:pt idx="540">
                  <c:v>374.96416666666664</c:v>
                </c:pt>
                <c:pt idx="541">
                  <c:v>375.17374999999998</c:v>
                </c:pt>
                <c:pt idx="542">
                  <c:v>375.38291666666669</c:v>
                </c:pt>
                <c:pt idx="543">
                  <c:v>375.55708333333337</c:v>
                </c:pt>
                <c:pt idx="544">
                  <c:v>375.72458333333338</c:v>
                </c:pt>
                <c:pt idx="545">
                  <c:v>375.88541666666669</c:v>
                </c:pt>
                <c:pt idx="546">
                  <c:v>376.05333333333334</c:v>
                </c:pt>
                <c:pt idx="547">
                  <c:v>376.26708333333323</c:v>
                </c:pt>
                <c:pt idx="548">
                  <c:v>376.4804166666666</c:v>
                </c:pt>
                <c:pt idx="549">
                  <c:v>376.63416666666654</c:v>
                </c:pt>
                <c:pt idx="550">
                  <c:v>376.74166666666656</c:v>
                </c:pt>
                <c:pt idx="551">
                  <c:v>376.84625000000005</c:v>
                </c:pt>
                <c:pt idx="552">
                  <c:v>376.9470833333333</c:v>
                </c:pt>
                <c:pt idx="553">
                  <c:v>377.04250000000002</c:v>
                </c:pt>
                <c:pt idx="554">
                  <c:v>377.15541666666672</c:v>
                </c:pt>
                <c:pt idx="555">
                  <c:v>377.29041666666672</c:v>
                </c:pt>
                <c:pt idx="556">
                  <c:v>377.4279166666667</c:v>
                </c:pt>
                <c:pt idx="557">
                  <c:v>377.58583333333331</c:v>
                </c:pt>
                <c:pt idx="558">
                  <c:v>377.74958333333331</c:v>
                </c:pt>
                <c:pt idx="559">
                  <c:v>377.88458333333341</c:v>
                </c:pt>
                <c:pt idx="560">
                  <c:v>378.01666666666671</c:v>
                </c:pt>
                <c:pt idx="561">
                  <c:v>378.1895833333333</c:v>
                </c:pt>
                <c:pt idx="562">
                  <c:v>378.41583333333341</c:v>
                </c:pt>
                <c:pt idx="563">
                  <c:v>378.65499999999997</c:v>
                </c:pt>
                <c:pt idx="564">
                  <c:v>378.87208333333336</c:v>
                </c:pt>
                <c:pt idx="565">
                  <c:v>379.07833333333321</c:v>
                </c:pt>
                <c:pt idx="566">
                  <c:v>379.28874999999994</c:v>
                </c:pt>
                <c:pt idx="567">
                  <c:v>379.49666666666673</c:v>
                </c:pt>
                <c:pt idx="568">
                  <c:v>379.72791666666672</c:v>
                </c:pt>
                <c:pt idx="569">
                  <c:v>379.95458333333335</c:v>
                </c:pt>
                <c:pt idx="570">
                  <c:v>380.15833333333336</c:v>
                </c:pt>
                <c:pt idx="571">
                  <c:v>380.35791666666665</c:v>
                </c:pt>
                <c:pt idx="572">
                  <c:v>380.56583333333333</c:v>
                </c:pt>
                <c:pt idx="573">
                  <c:v>380.75874999999996</c:v>
                </c:pt>
                <c:pt idx="574">
                  <c:v>380.90749999999997</c:v>
                </c:pt>
                <c:pt idx="575">
                  <c:v>381.05041666666665</c:v>
                </c:pt>
                <c:pt idx="576">
                  <c:v>381.22541666666666</c:v>
                </c:pt>
                <c:pt idx="577">
                  <c:v>381.41916666666674</c:v>
                </c:pt>
                <c:pt idx="578">
                  <c:v>381.58958333333339</c:v>
                </c:pt>
                <c:pt idx="579">
                  <c:v>381.73666666666668</c:v>
                </c:pt>
                <c:pt idx="580">
                  <c:v>381.85791666666665</c:v>
                </c:pt>
                <c:pt idx="581">
                  <c:v>381.97874999999999</c:v>
                </c:pt>
                <c:pt idx="582">
                  <c:v>382.12333333333339</c:v>
                </c:pt>
                <c:pt idx="583">
                  <c:v>382.27541666666662</c:v>
                </c:pt>
                <c:pt idx="584">
                  <c:v>382.41541666666666</c:v>
                </c:pt>
                <c:pt idx="585">
                  <c:v>382.55416666666662</c:v>
                </c:pt>
                <c:pt idx="586">
                  <c:v>382.72083333333336</c:v>
                </c:pt>
                <c:pt idx="587">
                  <c:v>382.86750000000001</c:v>
                </c:pt>
                <c:pt idx="588">
                  <c:v>383.0095833333333</c:v>
                </c:pt>
                <c:pt idx="589">
                  <c:v>383.17</c:v>
                </c:pt>
                <c:pt idx="590">
                  <c:v>383.33750000000003</c:v>
                </c:pt>
                <c:pt idx="591">
                  <c:v>383.51125000000002</c:v>
                </c:pt>
                <c:pt idx="592">
                  <c:v>383.69625000000002</c:v>
                </c:pt>
                <c:pt idx="593">
                  <c:v>383.88875000000002</c:v>
                </c:pt>
                <c:pt idx="594">
                  <c:v>384.03958333333338</c:v>
                </c:pt>
                <c:pt idx="595">
                  <c:v>384.12416666666672</c:v>
                </c:pt>
                <c:pt idx="596">
                  <c:v>384.23416666666662</c:v>
                </c:pt>
                <c:pt idx="597">
                  <c:v>384.41249999999997</c:v>
                </c:pt>
                <c:pt idx="598">
                  <c:v>384.57874999999996</c:v>
                </c:pt>
                <c:pt idx="599">
                  <c:v>384.74749999999995</c:v>
                </c:pt>
                <c:pt idx="600">
                  <c:v>384.93374999999997</c:v>
                </c:pt>
                <c:pt idx="601">
                  <c:v>385.10666666666674</c:v>
                </c:pt>
                <c:pt idx="602">
                  <c:v>385.25541666666669</c:v>
                </c:pt>
                <c:pt idx="603">
                  <c:v>385.3866666666666</c:v>
                </c:pt>
                <c:pt idx="604">
                  <c:v>385.51500000000004</c:v>
                </c:pt>
                <c:pt idx="605">
                  <c:v>385.63416666666666</c:v>
                </c:pt>
                <c:pt idx="606">
                  <c:v>385.79958333333326</c:v>
                </c:pt>
                <c:pt idx="607">
                  <c:v>386.02833333333336</c:v>
                </c:pt>
                <c:pt idx="608">
                  <c:v>386.21416666666664</c:v>
                </c:pt>
                <c:pt idx="609">
                  <c:v>386.34875000000005</c:v>
                </c:pt>
                <c:pt idx="610">
                  <c:v>386.49</c:v>
                </c:pt>
                <c:pt idx="611">
                  <c:v>386.64916666666664</c:v>
                </c:pt>
                <c:pt idx="612">
                  <c:v>386.79750000000007</c:v>
                </c:pt>
                <c:pt idx="613">
                  <c:v>386.92708333333331</c:v>
                </c:pt>
                <c:pt idx="614">
                  <c:v>387.07666666666665</c:v>
                </c:pt>
                <c:pt idx="615">
                  <c:v>387.26083333333344</c:v>
                </c:pt>
                <c:pt idx="616">
                  <c:v>387.43916666666672</c:v>
                </c:pt>
                <c:pt idx="617">
                  <c:v>387.64166666666659</c:v>
                </c:pt>
                <c:pt idx="618">
                  <c:v>387.86874999999992</c:v>
                </c:pt>
                <c:pt idx="619">
                  <c:v>388.08958333333334</c:v>
                </c:pt>
                <c:pt idx="620">
                  <c:v>388.33375000000001</c:v>
                </c:pt>
                <c:pt idx="621">
                  <c:v>388.57</c:v>
                </c:pt>
                <c:pt idx="622">
                  <c:v>388.77333333333331</c:v>
                </c:pt>
                <c:pt idx="623">
                  <c:v>388.96916666666669</c:v>
                </c:pt>
                <c:pt idx="624">
                  <c:v>389.16208333333338</c:v>
                </c:pt>
                <c:pt idx="625">
                  <c:v>389.37125000000009</c:v>
                </c:pt>
                <c:pt idx="626">
                  <c:v>389.59833333333341</c:v>
                </c:pt>
                <c:pt idx="627">
                  <c:v>389.80416666666673</c:v>
                </c:pt>
                <c:pt idx="628">
                  <c:v>390.01541666666662</c:v>
                </c:pt>
                <c:pt idx="629">
                  <c:v>390.20666666666671</c:v>
                </c:pt>
                <c:pt idx="630">
                  <c:v>390.34333333333331</c:v>
                </c:pt>
                <c:pt idx="631">
                  <c:v>390.44458333333336</c:v>
                </c:pt>
                <c:pt idx="632">
                  <c:v>390.53</c:v>
                </c:pt>
                <c:pt idx="633">
                  <c:v>390.6345833333333</c:v>
                </c:pt>
                <c:pt idx="634">
                  <c:v>390.78916666666674</c:v>
                </c:pt>
                <c:pt idx="635">
                  <c:v>390.95374999999996</c:v>
                </c:pt>
                <c:pt idx="636">
                  <c:v>391.11416666666656</c:v>
                </c:pt>
                <c:pt idx="637">
                  <c:v>391.27791666666667</c:v>
                </c:pt>
                <c:pt idx="638">
                  <c:v>391.41708333333327</c:v>
                </c:pt>
                <c:pt idx="639">
                  <c:v>391.56541666666664</c:v>
                </c:pt>
                <c:pt idx="640">
                  <c:v>391.72208333333333</c:v>
                </c:pt>
                <c:pt idx="641">
                  <c:v>391.85541666666671</c:v>
                </c:pt>
                <c:pt idx="642">
                  <c:v>391.99458333333337</c:v>
                </c:pt>
                <c:pt idx="643">
                  <c:v>392.20166666666665</c:v>
                </c:pt>
                <c:pt idx="644">
                  <c:v>392.43708333333331</c:v>
                </c:pt>
                <c:pt idx="645">
                  <c:v>392.63625000000002</c:v>
                </c:pt>
                <c:pt idx="646">
                  <c:v>392.80791666666664</c:v>
                </c:pt>
                <c:pt idx="647">
                  <c:v>392.98541666666665</c:v>
                </c:pt>
                <c:pt idx="648">
                  <c:v>393.17124999999993</c:v>
                </c:pt>
                <c:pt idx="649">
                  <c:v>393.34666666666664</c:v>
                </c:pt>
                <c:pt idx="650">
                  <c:v>393.54625000000004</c:v>
                </c:pt>
                <c:pt idx="651">
                  <c:v>393.76458333333329</c:v>
                </c:pt>
                <c:pt idx="652">
                  <c:v>393.97583333333324</c:v>
                </c:pt>
                <c:pt idx="653">
                  <c:v>394.22750000000002</c:v>
                </c:pt>
                <c:pt idx="654">
                  <c:v>394.49416666666667</c:v>
                </c:pt>
                <c:pt idx="655">
                  <c:v>394.69499999999999</c:v>
                </c:pt>
                <c:pt idx="656">
                  <c:v>394.90458333333339</c:v>
                </c:pt>
                <c:pt idx="657">
                  <c:v>395.15875000000005</c:v>
                </c:pt>
                <c:pt idx="658">
                  <c:v>395.40208333333339</c:v>
                </c:pt>
                <c:pt idx="659">
                  <c:v>395.64041666666668</c:v>
                </c:pt>
                <c:pt idx="660">
                  <c:v>395.85416666666669</c:v>
                </c:pt>
                <c:pt idx="661">
                  <c:v>396.0604166666667</c:v>
                </c:pt>
                <c:pt idx="662">
                  <c:v>396.26583333333338</c:v>
                </c:pt>
                <c:pt idx="663">
                  <c:v>396.46291666666667</c:v>
                </c:pt>
                <c:pt idx="664">
                  <c:v>396.66333333333336</c:v>
                </c:pt>
                <c:pt idx="665">
                  <c:v>396.81208333333331</c:v>
                </c:pt>
                <c:pt idx="666">
                  <c:v>396.95625000000001</c:v>
                </c:pt>
                <c:pt idx="667">
                  <c:v>397.17249999999996</c:v>
                </c:pt>
                <c:pt idx="668">
                  <c:v>397.37583333333333</c:v>
                </c:pt>
                <c:pt idx="669">
                  <c:v>397.55666666666667</c:v>
                </c:pt>
                <c:pt idx="670">
                  <c:v>397.72916666666669</c:v>
                </c:pt>
                <c:pt idx="671">
                  <c:v>397.87500000000006</c:v>
                </c:pt>
                <c:pt idx="672">
                  <c:v>398.03375</c:v>
                </c:pt>
                <c:pt idx="673">
                  <c:v>398.19874999999996</c:v>
                </c:pt>
                <c:pt idx="674">
                  <c:v>398.36500000000001</c:v>
                </c:pt>
                <c:pt idx="675">
                  <c:v>398.53208333333333</c:v>
                </c:pt>
                <c:pt idx="676">
                  <c:v>398.69416666666666</c:v>
                </c:pt>
                <c:pt idx="677">
                  <c:v>398.86625000000004</c:v>
                </c:pt>
                <c:pt idx="678">
                  <c:v>399.04333333333335</c:v>
                </c:pt>
                <c:pt idx="679">
                  <c:v>399.2166666666667</c:v>
                </c:pt>
                <c:pt idx="680">
                  <c:v>399.39750000000004</c:v>
                </c:pt>
                <c:pt idx="681">
                  <c:v>399.55541666666664</c:v>
                </c:pt>
                <c:pt idx="682">
                  <c:v>399.72666666666674</c:v>
                </c:pt>
                <c:pt idx="683">
                  <c:v>399.90708333333333</c:v>
                </c:pt>
                <c:pt idx="684">
                  <c:v>400.06916666666666</c:v>
                </c:pt>
                <c:pt idx="685">
                  <c:v>400.26624999999996</c:v>
                </c:pt>
                <c:pt idx="686">
                  <c:v>400.50125000000003</c:v>
                </c:pt>
                <c:pt idx="687">
                  <c:v>400.75583333333333</c:v>
                </c:pt>
                <c:pt idx="688">
                  <c:v>401.00166666666672</c:v>
                </c:pt>
                <c:pt idx="689">
                  <c:v>401.27875</c:v>
                </c:pt>
                <c:pt idx="690">
                  <c:v>401.57833333333332</c:v>
                </c:pt>
                <c:pt idx="691">
                  <c:v>401.88916666666665</c:v>
                </c:pt>
                <c:pt idx="692">
                  <c:v>402.2091666666667</c:v>
                </c:pt>
                <c:pt idx="693">
                  <c:v>402.52916666666664</c:v>
                </c:pt>
                <c:pt idx="694">
                  <c:v>402.82124999999996</c:v>
                </c:pt>
                <c:pt idx="695">
                  <c:v>403.0766666666666</c:v>
                </c:pt>
                <c:pt idx="696">
                  <c:v>403.3579166666666</c:v>
                </c:pt>
                <c:pt idx="697">
                  <c:v>403.63833333333332</c:v>
                </c:pt>
                <c:pt idx="698">
                  <c:v>403.91416666666669</c:v>
                </c:pt>
                <c:pt idx="699">
                  <c:v>404.16666666666669</c:v>
                </c:pt>
                <c:pt idx="700">
                  <c:v>404.42</c:v>
                </c:pt>
                <c:pt idx="701">
                  <c:v>404.6658333333333</c:v>
                </c:pt>
                <c:pt idx="702">
                  <c:v>404.8608333333334</c:v>
                </c:pt>
                <c:pt idx="703">
                  <c:v>405.01</c:v>
                </c:pt>
                <c:pt idx="704">
                  <c:v>405.16124999999994</c:v>
                </c:pt>
                <c:pt idx="705">
                  <c:v>405.34333333333331</c:v>
                </c:pt>
                <c:pt idx="706">
                  <c:v>405.54416666666663</c:v>
                </c:pt>
                <c:pt idx="707">
                  <c:v>405.78166666666669</c:v>
                </c:pt>
                <c:pt idx="708">
                  <c:v>406.00083333333333</c:v>
                </c:pt>
                <c:pt idx="709">
                  <c:v>406.18416666666673</c:v>
                </c:pt>
                <c:pt idx="710">
                  <c:v>406.33708333333334</c:v>
                </c:pt>
                <c:pt idx="711">
                  <c:v>406.49250000000001</c:v>
                </c:pt>
                <c:pt idx="712">
                  <c:v>406.66666666666657</c:v>
                </c:pt>
                <c:pt idx="713">
                  <c:v>406.81999999999994</c:v>
                </c:pt>
                <c:pt idx="714">
                  <c:v>406.98250000000002</c:v>
                </c:pt>
                <c:pt idx="715">
                  <c:v>407.13041666666663</c:v>
                </c:pt>
                <c:pt idx="716">
                  <c:v>407.24458333333331</c:v>
                </c:pt>
                <c:pt idx="717">
                  <c:v>407.37583333333328</c:v>
                </c:pt>
                <c:pt idx="718">
                  <c:v>407.52</c:v>
                </c:pt>
                <c:pt idx="719">
                  <c:v>407.66833333333329</c:v>
                </c:pt>
                <c:pt idx="720">
                  <c:v>407.84249999999997</c:v>
                </c:pt>
                <c:pt idx="721">
                  <c:v>408.03708333333338</c:v>
                </c:pt>
                <c:pt idx="722">
                  <c:v>408.25791666666669</c:v>
                </c:pt>
                <c:pt idx="723">
                  <c:v>408.48416666666662</c:v>
                </c:pt>
                <c:pt idx="724">
                  <c:v>408.70708333333329</c:v>
                </c:pt>
                <c:pt idx="725">
                  <c:v>408.96500000000009</c:v>
                </c:pt>
                <c:pt idx="726">
                  <c:v>409.21791666666672</c:v>
                </c:pt>
                <c:pt idx="727">
                  <c:v>409.46666666666664</c:v>
                </c:pt>
                <c:pt idx="728">
                  <c:v>409.74791666666664</c:v>
                </c:pt>
                <c:pt idx="729">
                  <c:v>410.02333333333331</c:v>
                </c:pt>
                <c:pt idx="730">
                  <c:v>410.27458333333334</c:v>
                </c:pt>
                <c:pt idx="731">
                  <c:v>410.52166666666659</c:v>
                </c:pt>
                <c:pt idx="732">
                  <c:v>410.76916666666665</c:v>
                </c:pt>
                <c:pt idx="733">
                  <c:v>410.99416666666656</c:v>
                </c:pt>
                <c:pt idx="734">
                  <c:v>411.18624999999997</c:v>
                </c:pt>
                <c:pt idx="735">
                  <c:v>411.38583333333332</c:v>
                </c:pt>
                <c:pt idx="736">
                  <c:v>411.59708333333333</c:v>
                </c:pt>
                <c:pt idx="737">
                  <c:v>411.80041666666671</c:v>
                </c:pt>
                <c:pt idx="738">
                  <c:v>412.00624999999997</c:v>
                </c:pt>
                <c:pt idx="739">
                  <c:v>412.22166666666664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1F-441D-BD03-18301CD67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411311"/>
        <c:axId val="1767332111"/>
      </c:scatterChart>
      <c:valAx>
        <c:axId val="1406411311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7332111"/>
        <c:crosses val="autoZero"/>
        <c:crossBetween val="midCat"/>
        <c:majorUnit val="3652.5"/>
      </c:valAx>
      <c:valAx>
        <c:axId val="176733211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41131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 (2)'!$N$1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'co2 (2)'!$G$2:$G$747</c:f>
              <c:numCache>
                <c:formatCode>m/d/yyyy</c:formatCode>
                <c:ptCount val="746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21337</c:v>
                </c:pt>
                <c:pt idx="4">
                  <c:v>21367</c:v>
                </c:pt>
                <c:pt idx="5">
                  <c:v>21398</c:v>
                </c:pt>
                <c:pt idx="6">
                  <c:v>21429</c:v>
                </c:pt>
                <c:pt idx="7">
                  <c:v>21459</c:v>
                </c:pt>
                <c:pt idx="8">
                  <c:v>21490</c:v>
                </c:pt>
                <c:pt idx="9">
                  <c:v>21520</c:v>
                </c:pt>
                <c:pt idx="10">
                  <c:v>21551</c:v>
                </c:pt>
                <c:pt idx="11">
                  <c:v>21582</c:v>
                </c:pt>
                <c:pt idx="12">
                  <c:v>21610</c:v>
                </c:pt>
                <c:pt idx="13">
                  <c:v>21641</c:v>
                </c:pt>
                <c:pt idx="14">
                  <c:v>21671</c:v>
                </c:pt>
                <c:pt idx="15">
                  <c:v>21702</c:v>
                </c:pt>
                <c:pt idx="16">
                  <c:v>21732</c:v>
                </c:pt>
                <c:pt idx="17">
                  <c:v>21763</c:v>
                </c:pt>
                <c:pt idx="18">
                  <c:v>21794</c:v>
                </c:pt>
                <c:pt idx="19">
                  <c:v>21824</c:v>
                </c:pt>
                <c:pt idx="20">
                  <c:v>21855</c:v>
                </c:pt>
                <c:pt idx="21">
                  <c:v>21885</c:v>
                </c:pt>
                <c:pt idx="22">
                  <c:v>21916</c:v>
                </c:pt>
                <c:pt idx="23">
                  <c:v>21947</c:v>
                </c:pt>
                <c:pt idx="24">
                  <c:v>21976</c:v>
                </c:pt>
                <c:pt idx="25">
                  <c:v>22007</c:v>
                </c:pt>
                <c:pt idx="26">
                  <c:v>22037</c:v>
                </c:pt>
                <c:pt idx="27">
                  <c:v>22068</c:v>
                </c:pt>
                <c:pt idx="28">
                  <c:v>22098</c:v>
                </c:pt>
                <c:pt idx="29">
                  <c:v>22129</c:v>
                </c:pt>
                <c:pt idx="30">
                  <c:v>22160</c:v>
                </c:pt>
                <c:pt idx="31">
                  <c:v>22190</c:v>
                </c:pt>
                <c:pt idx="32">
                  <c:v>22221</c:v>
                </c:pt>
                <c:pt idx="33">
                  <c:v>22251</c:v>
                </c:pt>
                <c:pt idx="34">
                  <c:v>22282</c:v>
                </c:pt>
                <c:pt idx="35">
                  <c:v>22313</c:v>
                </c:pt>
                <c:pt idx="36">
                  <c:v>22341</c:v>
                </c:pt>
                <c:pt idx="37">
                  <c:v>22372</c:v>
                </c:pt>
                <c:pt idx="38">
                  <c:v>22402</c:v>
                </c:pt>
                <c:pt idx="39">
                  <c:v>22433</c:v>
                </c:pt>
                <c:pt idx="40">
                  <c:v>22463</c:v>
                </c:pt>
                <c:pt idx="41">
                  <c:v>22494</c:v>
                </c:pt>
                <c:pt idx="42">
                  <c:v>22525</c:v>
                </c:pt>
                <c:pt idx="43">
                  <c:v>22555</c:v>
                </c:pt>
                <c:pt idx="44">
                  <c:v>22586</c:v>
                </c:pt>
                <c:pt idx="45">
                  <c:v>22616</c:v>
                </c:pt>
                <c:pt idx="46">
                  <c:v>22647</c:v>
                </c:pt>
                <c:pt idx="47">
                  <c:v>22678</c:v>
                </c:pt>
                <c:pt idx="48">
                  <c:v>22706</c:v>
                </c:pt>
                <c:pt idx="49">
                  <c:v>22737</c:v>
                </c:pt>
                <c:pt idx="50">
                  <c:v>22767</c:v>
                </c:pt>
                <c:pt idx="51">
                  <c:v>22798</c:v>
                </c:pt>
                <c:pt idx="52">
                  <c:v>22828</c:v>
                </c:pt>
                <c:pt idx="53">
                  <c:v>22859</c:v>
                </c:pt>
                <c:pt idx="54">
                  <c:v>22890</c:v>
                </c:pt>
                <c:pt idx="55">
                  <c:v>22920</c:v>
                </c:pt>
                <c:pt idx="56">
                  <c:v>22951</c:v>
                </c:pt>
                <c:pt idx="57">
                  <c:v>22981</c:v>
                </c:pt>
                <c:pt idx="58">
                  <c:v>23012</c:v>
                </c:pt>
                <c:pt idx="59">
                  <c:v>23043</c:v>
                </c:pt>
                <c:pt idx="60">
                  <c:v>23071</c:v>
                </c:pt>
                <c:pt idx="61">
                  <c:v>23102</c:v>
                </c:pt>
                <c:pt idx="62">
                  <c:v>23132</c:v>
                </c:pt>
                <c:pt idx="63">
                  <c:v>23163</c:v>
                </c:pt>
                <c:pt idx="64">
                  <c:v>23193</c:v>
                </c:pt>
                <c:pt idx="65">
                  <c:v>23224</c:v>
                </c:pt>
                <c:pt idx="66">
                  <c:v>23255</c:v>
                </c:pt>
                <c:pt idx="67">
                  <c:v>23285</c:v>
                </c:pt>
                <c:pt idx="68">
                  <c:v>23316</c:v>
                </c:pt>
                <c:pt idx="69">
                  <c:v>23346</c:v>
                </c:pt>
                <c:pt idx="70">
                  <c:v>23377</c:v>
                </c:pt>
                <c:pt idx="71">
                  <c:v>23408</c:v>
                </c:pt>
                <c:pt idx="72">
                  <c:v>23437</c:v>
                </c:pt>
                <c:pt idx="73">
                  <c:v>23468</c:v>
                </c:pt>
                <c:pt idx="74">
                  <c:v>23498</c:v>
                </c:pt>
                <c:pt idx="75">
                  <c:v>23529</c:v>
                </c:pt>
                <c:pt idx="76">
                  <c:v>23559</c:v>
                </c:pt>
                <c:pt idx="77">
                  <c:v>23590</c:v>
                </c:pt>
                <c:pt idx="78">
                  <c:v>23621</c:v>
                </c:pt>
                <c:pt idx="79">
                  <c:v>23651</c:v>
                </c:pt>
                <c:pt idx="80">
                  <c:v>23682</c:v>
                </c:pt>
                <c:pt idx="81">
                  <c:v>23712</c:v>
                </c:pt>
                <c:pt idx="82">
                  <c:v>23743</c:v>
                </c:pt>
                <c:pt idx="83">
                  <c:v>23774</c:v>
                </c:pt>
                <c:pt idx="84">
                  <c:v>23802</c:v>
                </c:pt>
                <c:pt idx="85">
                  <c:v>23833</c:v>
                </c:pt>
                <c:pt idx="86">
                  <c:v>23863</c:v>
                </c:pt>
                <c:pt idx="87">
                  <c:v>23894</c:v>
                </c:pt>
                <c:pt idx="88">
                  <c:v>23924</c:v>
                </c:pt>
                <c:pt idx="89">
                  <c:v>23955</c:v>
                </c:pt>
                <c:pt idx="90">
                  <c:v>23986</c:v>
                </c:pt>
                <c:pt idx="91">
                  <c:v>24016</c:v>
                </c:pt>
                <c:pt idx="92">
                  <c:v>24047</c:v>
                </c:pt>
                <c:pt idx="93">
                  <c:v>24077</c:v>
                </c:pt>
                <c:pt idx="94">
                  <c:v>24108</c:v>
                </c:pt>
                <c:pt idx="95">
                  <c:v>24139</c:v>
                </c:pt>
                <c:pt idx="96">
                  <c:v>24167</c:v>
                </c:pt>
                <c:pt idx="97">
                  <c:v>24198</c:v>
                </c:pt>
                <c:pt idx="98">
                  <c:v>24228</c:v>
                </c:pt>
                <c:pt idx="99">
                  <c:v>24259</c:v>
                </c:pt>
                <c:pt idx="100">
                  <c:v>24289</c:v>
                </c:pt>
                <c:pt idx="101">
                  <c:v>24320</c:v>
                </c:pt>
                <c:pt idx="102">
                  <c:v>24351</c:v>
                </c:pt>
                <c:pt idx="103">
                  <c:v>24381</c:v>
                </c:pt>
                <c:pt idx="104">
                  <c:v>24412</c:v>
                </c:pt>
                <c:pt idx="105">
                  <c:v>24442</c:v>
                </c:pt>
                <c:pt idx="106">
                  <c:v>24473</c:v>
                </c:pt>
                <c:pt idx="107">
                  <c:v>24504</c:v>
                </c:pt>
                <c:pt idx="108">
                  <c:v>24532</c:v>
                </c:pt>
                <c:pt idx="109">
                  <c:v>24563</c:v>
                </c:pt>
                <c:pt idx="110">
                  <c:v>24593</c:v>
                </c:pt>
                <c:pt idx="111">
                  <c:v>24624</c:v>
                </c:pt>
                <c:pt idx="112">
                  <c:v>24654</c:v>
                </c:pt>
                <c:pt idx="113">
                  <c:v>24685</c:v>
                </c:pt>
                <c:pt idx="114">
                  <c:v>24716</c:v>
                </c:pt>
                <c:pt idx="115">
                  <c:v>24746</c:v>
                </c:pt>
                <c:pt idx="116">
                  <c:v>24777</c:v>
                </c:pt>
                <c:pt idx="117">
                  <c:v>24807</c:v>
                </c:pt>
                <c:pt idx="118">
                  <c:v>24838</c:v>
                </c:pt>
                <c:pt idx="119">
                  <c:v>24869</c:v>
                </c:pt>
                <c:pt idx="120">
                  <c:v>24898</c:v>
                </c:pt>
                <c:pt idx="121">
                  <c:v>24929</c:v>
                </c:pt>
                <c:pt idx="122">
                  <c:v>24959</c:v>
                </c:pt>
                <c:pt idx="123">
                  <c:v>24990</c:v>
                </c:pt>
                <c:pt idx="124">
                  <c:v>25020</c:v>
                </c:pt>
                <c:pt idx="125">
                  <c:v>25051</c:v>
                </c:pt>
                <c:pt idx="126">
                  <c:v>25082</c:v>
                </c:pt>
                <c:pt idx="127">
                  <c:v>25112</c:v>
                </c:pt>
                <c:pt idx="128">
                  <c:v>25143</c:v>
                </c:pt>
                <c:pt idx="129">
                  <c:v>25173</c:v>
                </c:pt>
                <c:pt idx="130">
                  <c:v>25204</c:v>
                </c:pt>
                <c:pt idx="131">
                  <c:v>25235</c:v>
                </c:pt>
                <c:pt idx="132">
                  <c:v>25263</c:v>
                </c:pt>
                <c:pt idx="133">
                  <c:v>25294</c:v>
                </c:pt>
                <c:pt idx="134">
                  <c:v>25324</c:v>
                </c:pt>
                <c:pt idx="135">
                  <c:v>25355</c:v>
                </c:pt>
                <c:pt idx="136">
                  <c:v>25385</c:v>
                </c:pt>
                <c:pt idx="137">
                  <c:v>25416</c:v>
                </c:pt>
                <c:pt idx="138">
                  <c:v>25447</c:v>
                </c:pt>
                <c:pt idx="139">
                  <c:v>25477</c:v>
                </c:pt>
                <c:pt idx="140">
                  <c:v>25508</c:v>
                </c:pt>
                <c:pt idx="141">
                  <c:v>25538</c:v>
                </c:pt>
                <c:pt idx="142">
                  <c:v>25569</c:v>
                </c:pt>
                <c:pt idx="143">
                  <c:v>25600</c:v>
                </c:pt>
                <c:pt idx="144">
                  <c:v>25628</c:v>
                </c:pt>
                <c:pt idx="145">
                  <c:v>25659</c:v>
                </c:pt>
                <c:pt idx="146">
                  <c:v>25689</c:v>
                </c:pt>
                <c:pt idx="147">
                  <c:v>25720</c:v>
                </c:pt>
                <c:pt idx="148">
                  <c:v>25750</c:v>
                </c:pt>
                <c:pt idx="149">
                  <c:v>25781</c:v>
                </c:pt>
                <c:pt idx="150">
                  <c:v>25812</c:v>
                </c:pt>
                <c:pt idx="151">
                  <c:v>25842</c:v>
                </c:pt>
                <c:pt idx="152">
                  <c:v>25873</c:v>
                </c:pt>
                <c:pt idx="153">
                  <c:v>25903</c:v>
                </c:pt>
                <c:pt idx="154">
                  <c:v>25934</c:v>
                </c:pt>
                <c:pt idx="155">
                  <c:v>25965</c:v>
                </c:pt>
                <c:pt idx="156">
                  <c:v>25993</c:v>
                </c:pt>
                <c:pt idx="157">
                  <c:v>26024</c:v>
                </c:pt>
                <c:pt idx="158">
                  <c:v>26054</c:v>
                </c:pt>
                <c:pt idx="159">
                  <c:v>26085</c:v>
                </c:pt>
                <c:pt idx="160">
                  <c:v>26115</c:v>
                </c:pt>
                <c:pt idx="161">
                  <c:v>26146</c:v>
                </c:pt>
                <c:pt idx="162">
                  <c:v>26177</c:v>
                </c:pt>
                <c:pt idx="163">
                  <c:v>26207</c:v>
                </c:pt>
                <c:pt idx="164">
                  <c:v>26238</c:v>
                </c:pt>
                <c:pt idx="165">
                  <c:v>26268</c:v>
                </c:pt>
                <c:pt idx="166">
                  <c:v>26299</c:v>
                </c:pt>
                <c:pt idx="167">
                  <c:v>26330</c:v>
                </c:pt>
                <c:pt idx="168">
                  <c:v>26359</c:v>
                </c:pt>
                <c:pt idx="169">
                  <c:v>26390</c:v>
                </c:pt>
                <c:pt idx="170">
                  <c:v>26420</c:v>
                </c:pt>
                <c:pt idx="171">
                  <c:v>26451</c:v>
                </c:pt>
                <c:pt idx="172">
                  <c:v>26481</c:v>
                </c:pt>
                <c:pt idx="173">
                  <c:v>26512</c:v>
                </c:pt>
                <c:pt idx="174">
                  <c:v>26543</c:v>
                </c:pt>
                <c:pt idx="175">
                  <c:v>26573</c:v>
                </c:pt>
                <c:pt idx="176">
                  <c:v>26604</c:v>
                </c:pt>
                <c:pt idx="177">
                  <c:v>26634</c:v>
                </c:pt>
                <c:pt idx="178">
                  <c:v>26665</c:v>
                </c:pt>
                <c:pt idx="179">
                  <c:v>26696</c:v>
                </c:pt>
                <c:pt idx="180">
                  <c:v>26724</c:v>
                </c:pt>
                <c:pt idx="181">
                  <c:v>26755</c:v>
                </c:pt>
                <c:pt idx="182">
                  <c:v>26785</c:v>
                </c:pt>
                <c:pt idx="183">
                  <c:v>26816</c:v>
                </c:pt>
                <c:pt idx="184">
                  <c:v>26846</c:v>
                </c:pt>
                <c:pt idx="185">
                  <c:v>26877</c:v>
                </c:pt>
                <c:pt idx="186">
                  <c:v>26908</c:v>
                </c:pt>
                <c:pt idx="187">
                  <c:v>26938</c:v>
                </c:pt>
                <c:pt idx="188">
                  <c:v>26969</c:v>
                </c:pt>
                <c:pt idx="189">
                  <c:v>26999</c:v>
                </c:pt>
                <c:pt idx="190">
                  <c:v>27030</c:v>
                </c:pt>
                <c:pt idx="191">
                  <c:v>27061</c:v>
                </c:pt>
                <c:pt idx="192">
                  <c:v>27089</c:v>
                </c:pt>
                <c:pt idx="193">
                  <c:v>27120</c:v>
                </c:pt>
                <c:pt idx="194">
                  <c:v>27150</c:v>
                </c:pt>
                <c:pt idx="195">
                  <c:v>27181</c:v>
                </c:pt>
                <c:pt idx="196">
                  <c:v>27211</c:v>
                </c:pt>
                <c:pt idx="197">
                  <c:v>27242</c:v>
                </c:pt>
                <c:pt idx="198">
                  <c:v>27273</c:v>
                </c:pt>
                <c:pt idx="199">
                  <c:v>27303</c:v>
                </c:pt>
                <c:pt idx="200">
                  <c:v>27334</c:v>
                </c:pt>
                <c:pt idx="201">
                  <c:v>27364</c:v>
                </c:pt>
                <c:pt idx="202">
                  <c:v>27395</c:v>
                </c:pt>
                <c:pt idx="203">
                  <c:v>27426</c:v>
                </c:pt>
                <c:pt idx="204">
                  <c:v>27454</c:v>
                </c:pt>
                <c:pt idx="205">
                  <c:v>27485</c:v>
                </c:pt>
                <c:pt idx="206">
                  <c:v>27515</c:v>
                </c:pt>
                <c:pt idx="207">
                  <c:v>27546</c:v>
                </c:pt>
                <c:pt idx="208">
                  <c:v>27576</c:v>
                </c:pt>
                <c:pt idx="209">
                  <c:v>27607</c:v>
                </c:pt>
                <c:pt idx="210">
                  <c:v>27638</c:v>
                </c:pt>
                <c:pt idx="211">
                  <c:v>27668</c:v>
                </c:pt>
                <c:pt idx="212">
                  <c:v>27699</c:v>
                </c:pt>
                <c:pt idx="213">
                  <c:v>27729</c:v>
                </c:pt>
                <c:pt idx="214">
                  <c:v>27760</c:v>
                </c:pt>
                <c:pt idx="215">
                  <c:v>27791</c:v>
                </c:pt>
                <c:pt idx="216">
                  <c:v>27820</c:v>
                </c:pt>
                <c:pt idx="217">
                  <c:v>27851</c:v>
                </c:pt>
                <c:pt idx="218">
                  <c:v>27881</c:v>
                </c:pt>
                <c:pt idx="219">
                  <c:v>27912</c:v>
                </c:pt>
                <c:pt idx="220">
                  <c:v>27942</c:v>
                </c:pt>
                <c:pt idx="221">
                  <c:v>27973</c:v>
                </c:pt>
                <c:pt idx="222">
                  <c:v>28004</c:v>
                </c:pt>
                <c:pt idx="223">
                  <c:v>28034</c:v>
                </c:pt>
                <c:pt idx="224">
                  <c:v>28065</c:v>
                </c:pt>
                <c:pt idx="225">
                  <c:v>28095</c:v>
                </c:pt>
                <c:pt idx="226">
                  <c:v>28126</c:v>
                </c:pt>
                <c:pt idx="227">
                  <c:v>28157</c:v>
                </c:pt>
                <c:pt idx="228">
                  <c:v>28185</c:v>
                </c:pt>
                <c:pt idx="229">
                  <c:v>28216</c:v>
                </c:pt>
                <c:pt idx="230">
                  <c:v>28246</c:v>
                </c:pt>
                <c:pt idx="231">
                  <c:v>28277</c:v>
                </c:pt>
                <c:pt idx="232">
                  <c:v>28307</c:v>
                </c:pt>
                <c:pt idx="233">
                  <c:v>28338</c:v>
                </c:pt>
                <c:pt idx="234">
                  <c:v>28369</c:v>
                </c:pt>
                <c:pt idx="235">
                  <c:v>28399</c:v>
                </c:pt>
                <c:pt idx="236">
                  <c:v>28430</c:v>
                </c:pt>
                <c:pt idx="237">
                  <c:v>28460</c:v>
                </c:pt>
                <c:pt idx="238">
                  <c:v>28491</c:v>
                </c:pt>
                <c:pt idx="239">
                  <c:v>28522</c:v>
                </c:pt>
                <c:pt idx="240">
                  <c:v>28550</c:v>
                </c:pt>
                <c:pt idx="241">
                  <c:v>28581</c:v>
                </c:pt>
                <c:pt idx="242">
                  <c:v>28611</c:v>
                </c:pt>
                <c:pt idx="243">
                  <c:v>28642</c:v>
                </c:pt>
                <c:pt idx="244">
                  <c:v>28672</c:v>
                </c:pt>
                <c:pt idx="245">
                  <c:v>28703</c:v>
                </c:pt>
                <c:pt idx="246">
                  <c:v>28734</c:v>
                </c:pt>
                <c:pt idx="247">
                  <c:v>28764</c:v>
                </c:pt>
                <c:pt idx="248">
                  <c:v>28795</c:v>
                </c:pt>
                <c:pt idx="249">
                  <c:v>28825</c:v>
                </c:pt>
                <c:pt idx="250">
                  <c:v>28856</c:v>
                </c:pt>
                <c:pt idx="251">
                  <c:v>28887</c:v>
                </c:pt>
                <c:pt idx="252">
                  <c:v>28915</c:v>
                </c:pt>
                <c:pt idx="253">
                  <c:v>28946</c:v>
                </c:pt>
                <c:pt idx="254">
                  <c:v>28976</c:v>
                </c:pt>
                <c:pt idx="255">
                  <c:v>29007</c:v>
                </c:pt>
                <c:pt idx="256">
                  <c:v>29037</c:v>
                </c:pt>
                <c:pt idx="257">
                  <c:v>29068</c:v>
                </c:pt>
                <c:pt idx="258">
                  <c:v>29099</c:v>
                </c:pt>
                <c:pt idx="259">
                  <c:v>29129</c:v>
                </c:pt>
                <c:pt idx="260">
                  <c:v>29160</c:v>
                </c:pt>
                <c:pt idx="261">
                  <c:v>29190</c:v>
                </c:pt>
                <c:pt idx="262">
                  <c:v>29221</c:v>
                </c:pt>
                <c:pt idx="263">
                  <c:v>29252</c:v>
                </c:pt>
                <c:pt idx="264">
                  <c:v>29281</c:v>
                </c:pt>
                <c:pt idx="265">
                  <c:v>29312</c:v>
                </c:pt>
                <c:pt idx="266">
                  <c:v>29342</c:v>
                </c:pt>
                <c:pt idx="267">
                  <c:v>29373</c:v>
                </c:pt>
                <c:pt idx="268">
                  <c:v>29403</c:v>
                </c:pt>
                <c:pt idx="269">
                  <c:v>29434</c:v>
                </c:pt>
                <c:pt idx="270">
                  <c:v>29465</c:v>
                </c:pt>
                <c:pt idx="271">
                  <c:v>29495</c:v>
                </c:pt>
                <c:pt idx="272">
                  <c:v>29526</c:v>
                </c:pt>
                <c:pt idx="273">
                  <c:v>29556</c:v>
                </c:pt>
                <c:pt idx="274">
                  <c:v>29587</c:v>
                </c:pt>
                <c:pt idx="275">
                  <c:v>29618</c:v>
                </c:pt>
                <c:pt idx="276">
                  <c:v>29646</c:v>
                </c:pt>
                <c:pt idx="277">
                  <c:v>29677</c:v>
                </c:pt>
                <c:pt idx="278">
                  <c:v>29707</c:v>
                </c:pt>
                <c:pt idx="279">
                  <c:v>29738</c:v>
                </c:pt>
                <c:pt idx="280">
                  <c:v>29768</c:v>
                </c:pt>
                <c:pt idx="281">
                  <c:v>29799</c:v>
                </c:pt>
                <c:pt idx="282">
                  <c:v>29830</c:v>
                </c:pt>
                <c:pt idx="283">
                  <c:v>29860</c:v>
                </c:pt>
                <c:pt idx="284">
                  <c:v>29891</c:v>
                </c:pt>
                <c:pt idx="285">
                  <c:v>29921</c:v>
                </c:pt>
                <c:pt idx="286">
                  <c:v>29952</c:v>
                </c:pt>
                <c:pt idx="287">
                  <c:v>29983</c:v>
                </c:pt>
                <c:pt idx="288">
                  <c:v>30011</c:v>
                </c:pt>
                <c:pt idx="289">
                  <c:v>30042</c:v>
                </c:pt>
                <c:pt idx="290">
                  <c:v>30072</c:v>
                </c:pt>
                <c:pt idx="291">
                  <c:v>30103</c:v>
                </c:pt>
                <c:pt idx="292">
                  <c:v>30133</c:v>
                </c:pt>
                <c:pt idx="293">
                  <c:v>30164</c:v>
                </c:pt>
                <c:pt idx="294">
                  <c:v>30195</c:v>
                </c:pt>
                <c:pt idx="295">
                  <c:v>30225</c:v>
                </c:pt>
                <c:pt idx="296">
                  <c:v>30256</c:v>
                </c:pt>
                <c:pt idx="297">
                  <c:v>30286</c:v>
                </c:pt>
                <c:pt idx="298">
                  <c:v>30317</c:v>
                </c:pt>
                <c:pt idx="299">
                  <c:v>30348</c:v>
                </c:pt>
                <c:pt idx="300">
                  <c:v>30376</c:v>
                </c:pt>
                <c:pt idx="301">
                  <c:v>30407</c:v>
                </c:pt>
                <c:pt idx="302">
                  <c:v>30437</c:v>
                </c:pt>
                <c:pt idx="303">
                  <c:v>30468</c:v>
                </c:pt>
                <c:pt idx="304">
                  <c:v>30498</c:v>
                </c:pt>
                <c:pt idx="305">
                  <c:v>30529</c:v>
                </c:pt>
                <c:pt idx="306">
                  <c:v>30560</c:v>
                </c:pt>
                <c:pt idx="307">
                  <c:v>30590</c:v>
                </c:pt>
                <c:pt idx="308">
                  <c:v>30621</c:v>
                </c:pt>
                <c:pt idx="309">
                  <c:v>30651</c:v>
                </c:pt>
                <c:pt idx="310">
                  <c:v>30682</c:v>
                </c:pt>
                <c:pt idx="311">
                  <c:v>30713</c:v>
                </c:pt>
                <c:pt idx="312">
                  <c:v>30742</c:v>
                </c:pt>
                <c:pt idx="313">
                  <c:v>30773</c:v>
                </c:pt>
                <c:pt idx="314">
                  <c:v>30803</c:v>
                </c:pt>
                <c:pt idx="315">
                  <c:v>30834</c:v>
                </c:pt>
                <c:pt idx="316">
                  <c:v>30864</c:v>
                </c:pt>
                <c:pt idx="317">
                  <c:v>30895</c:v>
                </c:pt>
                <c:pt idx="318">
                  <c:v>30926</c:v>
                </c:pt>
                <c:pt idx="319">
                  <c:v>30956</c:v>
                </c:pt>
                <c:pt idx="320">
                  <c:v>30987</c:v>
                </c:pt>
                <c:pt idx="321">
                  <c:v>31017</c:v>
                </c:pt>
                <c:pt idx="322">
                  <c:v>31048</c:v>
                </c:pt>
                <c:pt idx="323">
                  <c:v>31079</c:v>
                </c:pt>
                <c:pt idx="324">
                  <c:v>31107</c:v>
                </c:pt>
                <c:pt idx="325">
                  <c:v>31138</c:v>
                </c:pt>
                <c:pt idx="326">
                  <c:v>31168</c:v>
                </c:pt>
                <c:pt idx="327">
                  <c:v>31199</c:v>
                </c:pt>
                <c:pt idx="328">
                  <c:v>31229</c:v>
                </c:pt>
                <c:pt idx="329">
                  <c:v>31260</c:v>
                </c:pt>
                <c:pt idx="330">
                  <c:v>31291</c:v>
                </c:pt>
                <c:pt idx="331">
                  <c:v>31321</c:v>
                </c:pt>
                <c:pt idx="332">
                  <c:v>31352</c:v>
                </c:pt>
                <c:pt idx="333">
                  <c:v>31382</c:v>
                </c:pt>
                <c:pt idx="334">
                  <c:v>31413</c:v>
                </c:pt>
                <c:pt idx="335">
                  <c:v>31444</c:v>
                </c:pt>
                <c:pt idx="336">
                  <c:v>31472</c:v>
                </c:pt>
                <c:pt idx="337">
                  <c:v>31503</c:v>
                </c:pt>
                <c:pt idx="338">
                  <c:v>31533</c:v>
                </c:pt>
                <c:pt idx="339">
                  <c:v>31564</c:v>
                </c:pt>
                <c:pt idx="340">
                  <c:v>31594</c:v>
                </c:pt>
                <c:pt idx="341">
                  <c:v>31625</c:v>
                </c:pt>
                <c:pt idx="342">
                  <c:v>31656</c:v>
                </c:pt>
                <c:pt idx="343">
                  <c:v>31686</c:v>
                </c:pt>
                <c:pt idx="344">
                  <c:v>31717</c:v>
                </c:pt>
                <c:pt idx="345">
                  <c:v>31747</c:v>
                </c:pt>
                <c:pt idx="346">
                  <c:v>31778</c:v>
                </c:pt>
                <c:pt idx="347">
                  <c:v>31809</c:v>
                </c:pt>
                <c:pt idx="348">
                  <c:v>31837</c:v>
                </c:pt>
                <c:pt idx="349">
                  <c:v>31868</c:v>
                </c:pt>
                <c:pt idx="350">
                  <c:v>31898</c:v>
                </c:pt>
                <c:pt idx="351">
                  <c:v>31929</c:v>
                </c:pt>
                <c:pt idx="352">
                  <c:v>31959</c:v>
                </c:pt>
                <c:pt idx="353">
                  <c:v>31990</c:v>
                </c:pt>
                <c:pt idx="354">
                  <c:v>32021</c:v>
                </c:pt>
                <c:pt idx="355">
                  <c:v>32051</c:v>
                </c:pt>
                <c:pt idx="356">
                  <c:v>32082</c:v>
                </c:pt>
                <c:pt idx="357">
                  <c:v>32112</c:v>
                </c:pt>
                <c:pt idx="358">
                  <c:v>32143</c:v>
                </c:pt>
                <c:pt idx="359">
                  <c:v>32174</c:v>
                </c:pt>
                <c:pt idx="360">
                  <c:v>32203</c:v>
                </c:pt>
                <c:pt idx="361">
                  <c:v>32234</c:v>
                </c:pt>
                <c:pt idx="362">
                  <c:v>32264</c:v>
                </c:pt>
                <c:pt idx="363">
                  <c:v>32295</c:v>
                </c:pt>
                <c:pt idx="364">
                  <c:v>32325</c:v>
                </c:pt>
                <c:pt idx="365">
                  <c:v>32356</c:v>
                </c:pt>
                <c:pt idx="366">
                  <c:v>32387</c:v>
                </c:pt>
                <c:pt idx="367">
                  <c:v>32417</c:v>
                </c:pt>
                <c:pt idx="368">
                  <c:v>32448</c:v>
                </c:pt>
                <c:pt idx="369">
                  <c:v>32478</c:v>
                </c:pt>
                <c:pt idx="370">
                  <c:v>32509</c:v>
                </c:pt>
                <c:pt idx="371">
                  <c:v>32540</c:v>
                </c:pt>
                <c:pt idx="372">
                  <c:v>32568</c:v>
                </c:pt>
                <c:pt idx="373">
                  <c:v>32599</c:v>
                </c:pt>
                <c:pt idx="374">
                  <c:v>32629</c:v>
                </c:pt>
                <c:pt idx="375">
                  <c:v>32660</c:v>
                </c:pt>
                <c:pt idx="376">
                  <c:v>32690</c:v>
                </c:pt>
                <c:pt idx="377">
                  <c:v>32721</c:v>
                </c:pt>
                <c:pt idx="378">
                  <c:v>32752</c:v>
                </c:pt>
                <c:pt idx="379">
                  <c:v>32782</c:v>
                </c:pt>
                <c:pt idx="380">
                  <c:v>32813</c:v>
                </c:pt>
                <c:pt idx="381">
                  <c:v>32843</c:v>
                </c:pt>
                <c:pt idx="382">
                  <c:v>32874</c:v>
                </c:pt>
                <c:pt idx="383">
                  <c:v>32905</c:v>
                </c:pt>
                <c:pt idx="384">
                  <c:v>32933</c:v>
                </c:pt>
                <c:pt idx="385">
                  <c:v>32964</c:v>
                </c:pt>
                <c:pt idx="386">
                  <c:v>32994</c:v>
                </c:pt>
                <c:pt idx="387">
                  <c:v>33025</c:v>
                </c:pt>
                <c:pt idx="388">
                  <c:v>33055</c:v>
                </c:pt>
                <c:pt idx="389">
                  <c:v>33086</c:v>
                </c:pt>
                <c:pt idx="390">
                  <c:v>33117</c:v>
                </c:pt>
                <c:pt idx="391">
                  <c:v>33147</c:v>
                </c:pt>
                <c:pt idx="392">
                  <c:v>33178</c:v>
                </c:pt>
                <c:pt idx="393">
                  <c:v>33208</c:v>
                </c:pt>
                <c:pt idx="394">
                  <c:v>33239</c:v>
                </c:pt>
                <c:pt idx="395">
                  <c:v>33270</c:v>
                </c:pt>
                <c:pt idx="396">
                  <c:v>33298</c:v>
                </c:pt>
                <c:pt idx="397">
                  <c:v>33329</c:v>
                </c:pt>
                <c:pt idx="398">
                  <c:v>33359</c:v>
                </c:pt>
                <c:pt idx="399">
                  <c:v>33390</c:v>
                </c:pt>
                <c:pt idx="400">
                  <c:v>33420</c:v>
                </c:pt>
                <c:pt idx="401">
                  <c:v>33451</c:v>
                </c:pt>
                <c:pt idx="402">
                  <c:v>33482</c:v>
                </c:pt>
                <c:pt idx="403">
                  <c:v>33512</c:v>
                </c:pt>
                <c:pt idx="404">
                  <c:v>33543</c:v>
                </c:pt>
                <c:pt idx="405">
                  <c:v>33573</c:v>
                </c:pt>
                <c:pt idx="406">
                  <c:v>33604</c:v>
                </c:pt>
                <c:pt idx="407">
                  <c:v>33635</c:v>
                </c:pt>
                <c:pt idx="408">
                  <c:v>33664</c:v>
                </c:pt>
                <c:pt idx="409">
                  <c:v>33695</c:v>
                </c:pt>
                <c:pt idx="410">
                  <c:v>33725</c:v>
                </c:pt>
                <c:pt idx="411">
                  <c:v>33756</c:v>
                </c:pt>
                <c:pt idx="412">
                  <c:v>33786</c:v>
                </c:pt>
                <c:pt idx="413">
                  <c:v>33817</c:v>
                </c:pt>
                <c:pt idx="414">
                  <c:v>33848</c:v>
                </c:pt>
                <c:pt idx="415">
                  <c:v>33878</c:v>
                </c:pt>
                <c:pt idx="416">
                  <c:v>33909</c:v>
                </c:pt>
                <c:pt idx="417">
                  <c:v>33939</c:v>
                </c:pt>
                <c:pt idx="418">
                  <c:v>33970</c:v>
                </c:pt>
                <c:pt idx="419">
                  <c:v>34001</c:v>
                </c:pt>
                <c:pt idx="420">
                  <c:v>34029</c:v>
                </c:pt>
                <c:pt idx="421">
                  <c:v>34060</c:v>
                </c:pt>
                <c:pt idx="422">
                  <c:v>34090</c:v>
                </c:pt>
                <c:pt idx="423">
                  <c:v>34121</c:v>
                </c:pt>
                <c:pt idx="424">
                  <c:v>34151</c:v>
                </c:pt>
                <c:pt idx="425">
                  <c:v>34182</c:v>
                </c:pt>
                <c:pt idx="426">
                  <c:v>34213</c:v>
                </c:pt>
                <c:pt idx="427">
                  <c:v>34243</c:v>
                </c:pt>
                <c:pt idx="428">
                  <c:v>34274</c:v>
                </c:pt>
                <c:pt idx="429">
                  <c:v>34304</c:v>
                </c:pt>
                <c:pt idx="430">
                  <c:v>34335</c:v>
                </c:pt>
                <c:pt idx="431">
                  <c:v>34366</c:v>
                </c:pt>
                <c:pt idx="432">
                  <c:v>34394</c:v>
                </c:pt>
                <c:pt idx="433">
                  <c:v>34425</c:v>
                </c:pt>
                <c:pt idx="434">
                  <c:v>34455</c:v>
                </c:pt>
                <c:pt idx="435">
                  <c:v>34486</c:v>
                </c:pt>
                <c:pt idx="436">
                  <c:v>34516</c:v>
                </c:pt>
                <c:pt idx="437">
                  <c:v>34547</c:v>
                </c:pt>
                <c:pt idx="438">
                  <c:v>34578</c:v>
                </c:pt>
                <c:pt idx="439">
                  <c:v>34608</c:v>
                </c:pt>
                <c:pt idx="440">
                  <c:v>34639</c:v>
                </c:pt>
                <c:pt idx="441">
                  <c:v>34669</c:v>
                </c:pt>
                <c:pt idx="442">
                  <c:v>34700</c:v>
                </c:pt>
                <c:pt idx="443">
                  <c:v>34731</c:v>
                </c:pt>
                <c:pt idx="444">
                  <c:v>34759</c:v>
                </c:pt>
                <c:pt idx="445">
                  <c:v>34790</c:v>
                </c:pt>
                <c:pt idx="446">
                  <c:v>34820</c:v>
                </c:pt>
                <c:pt idx="447">
                  <c:v>34851</c:v>
                </c:pt>
                <c:pt idx="448">
                  <c:v>34881</c:v>
                </c:pt>
                <c:pt idx="449">
                  <c:v>34912</c:v>
                </c:pt>
                <c:pt idx="450">
                  <c:v>34943</c:v>
                </c:pt>
                <c:pt idx="451">
                  <c:v>34973</c:v>
                </c:pt>
                <c:pt idx="452">
                  <c:v>35004</c:v>
                </c:pt>
                <c:pt idx="453">
                  <c:v>35034</c:v>
                </c:pt>
                <c:pt idx="454">
                  <c:v>35065</c:v>
                </c:pt>
                <c:pt idx="455">
                  <c:v>35096</c:v>
                </c:pt>
                <c:pt idx="456">
                  <c:v>35125</c:v>
                </c:pt>
                <c:pt idx="457">
                  <c:v>35156</c:v>
                </c:pt>
                <c:pt idx="458">
                  <c:v>35186</c:v>
                </c:pt>
                <c:pt idx="459">
                  <c:v>35217</c:v>
                </c:pt>
                <c:pt idx="460">
                  <c:v>35247</c:v>
                </c:pt>
                <c:pt idx="461">
                  <c:v>35278</c:v>
                </c:pt>
                <c:pt idx="462">
                  <c:v>35309</c:v>
                </c:pt>
                <c:pt idx="463">
                  <c:v>35339</c:v>
                </c:pt>
                <c:pt idx="464">
                  <c:v>35370</c:v>
                </c:pt>
                <c:pt idx="465">
                  <c:v>35400</c:v>
                </c:pt>
                <c:pt idx="466">
                  <c:v>35431</c:v>
                </c:pt>
                <c:pt idx="467">
                  <c:v>35462</c:v>
                </c:pt>
                <c:pt idx="468">
                  <c:v>35490</c:v>
                </c:pt>
                <c:pt idx="469">
                  <c:v>35521</c:v>
                </c:pt>
                <c:pt idx="470">
                  <c:v>35551</c:v>
                </c:pt>
                <c:pt idx="471">
                  <c:v>35582</c:v>
                </c:pt>
                <c:pt idx="472">
                  <c:v>35612</c:v>
                </c:pt>
                <c:pt idx="473">
                  <c:v>35643</c:v>
                </c:pt>
                <c:pt idx="474">
                  <c:v>35674</c:v>
                </c:pt>
                <c:pt idx="475">
                  <c:v>35704</c:v>
                </c:pt>
                <c:pt idx="476">
                  <c:v>35735</c:v>
                </c:pt>
                <c:pt idx="477">
                  <c:v>35765</c:v>
                </c:pt>
                <c:pt idx="478">
                  <c:v>35796</c:v>
                </c:pt>
                <c:pt idx="479">
                  <c:v>35827</c:v>
                </c:pt>
                <c:pt idx="480">
                  <c:v>35855</c:v>
                </c:pt>
                <c:pt idx="481">
                  <c:v>35886</c:v>
                </c:pt>
                <c:pt idx="482">
                  <c:v>35916</c:v>
                </c:pt>
                <c:pt idx="483">
                  <c:v>35947</c:v>
                </c:pt>
                <c:pt idx="484">
                  <c:v>35977</c:v>
                </c:pt>
                <c:pt idx="485">
                  <c:v>36008</c:v>
                </c:pt>
                <c:pt idx="486">
                  <c:v>36039</c:v>
                </c:pt>
                <c:pt idx="487">
                  <c:v>36069</c:v>
                </c:pt>
                <c:pt idx="488">
                  <c:v>36100</c:v>
                </c:pt>
                <c:pt idx="489">
                  <c:v>36130</c:v>
                </c:pt>
                <c:pt idx="490">
                  <c:v>36161</c:v>
                </c:pt>
                <c:pt idx="491">
                  <c:v>36192</c:v>
                </c:pt>
                <c:pt idx="492">
                  <c:v>36220</c:v>
                </c:pt>
                <c:pt idx="493">
                  <c:v>36251</c:v>
                </c:pt>
                <c:pt idx="494">
                  <c:v>36281</c:v>
                </c:pt>
                <c:pt idx="495">
                  <c:v>36312</c:v>
                </c:pt>
                <c:pt idx="496">
                  <c:v>36342</c:v>
                </c:pt>
                <c:pt idx="497">
                  <c:v>36373</c:v>
                </c:pt>
                <c:pt idx="498">
                  <c:v>36404</c:v>
                </c:pt>
                <c:pt idx="499">
                  <c:v>36434</c:v>
                </c:pt>
                <c:pt idx="500">
                  <c:v>36465</c:v>
                </c:pt>
                <c:pt idx="501">
                  <c:v>36495</c:v>
                </c:pt>
                <c:pt idx="502">
                  <c:v>36526</c:v>
                </c:pt>
                <c:pt idx="503">
                  <c:v>36557</c:v>
                </c:pt>
                <c:pt idx="504">
                  <c:v>36586</c:v>
                </c:pt>
                <c:pt idx="505">
                  <c:v>36617</c:v>
                </c:pt>
                <c:pt idx="506">
                  <c:v>36647</c:v>
                </c:pt>
                <c:pt idx="507">
                  <c:v>36678</c:v>
                </c:pt>
                <c:pt idx="508">
                  <c:v>36708</c:v>
                </c:pt>
                <c:pt idx="509">
                  <c:v>36739</c:v>
                </c:pt>
                <c:pt idx="510">
                  <c:v>36770</c:v>
                </c:pt>
                <c:pt idx="511">
                  <c:v>36800</c:v>
                </c:pt>
                <c:pt idx="512">
                  <c:v>36831</c:v>
                </c:pt>
                <c:pt idx="513">
                  <c:v>36861</c:v>
                </c:pt>
                <c:pt idx="514">
                  <c:v>36892</c:v>
                </c:pt>
                <c:pt idx="515">
                  <c:v>36923</c:v>
                </c:pt>
                <c:pt idx="516">
                  <c:v>36951</c:v>
                </c:pt>
                <c:pt idx="517">
                  <c:v>36982</c:v>
                </c:pt>
                <c:pt idx="518">
                  <c:v>37012</c:v>
                </c:pt>
                <c:pt idx="519">
                  <c:v>37043</c:v>
                </c:pt>
                <c:pt idx="520">
                  <c:v>37073</c:v>
                </c:pt>
                <c:pt idx="521">
                  <c:v>37104</c:v>
                </c:pt>
                <c:pt idx="522">
                  <c:v>37135</c:v>
                </c:pt>
                <c:pt idx="523">
                  <c:v>37165</c:v>
                </c:pt>
                <c:pt idx="524">
                  <c:v>37196</c:v>
                </c:pt>
                <c:pt idx="525">
                  <c:v>37226</c:v>
                </c:pt>
                <c:pt idx="526">
                  <c:v>37257</c:v>
                </c:pt>
                <c:pt idx="527">
                  <c:v>37288</c:v>
                </c:pt>
                <c:pt idx="528">
                  <c:v>37316</c:v>
                </c:pt>
                <c:pt idx="529">
                  <c:v>37347</c:v>
                </c:pt>
                <c:pt idx="530">
                  <c:v>37377</c:v>
                </c:pt>
                <c:pt idx="531">
                  <c:v>37408</c:v>
                </c:pt>
                <c:pt idx="532">
                  <c:v>37438</c:v>
                </c:pt>
                <c:pt idx="533">
                  <c:v>37469</c:v>
                </c:pt>
                <c:pt idx="534">
                  <c:v>37500</c:v>
                </c:pt>
                <c:pt idx="535">
                  <c:v>37530</c:v>
                </c:pt>
                <c:pt idx="536">
                  <c:v>37561</c:v>
                </c:pt>
                <c:pt idx="537">
                  <c:v>37591</c:v>
                </c:pt>
                <c:pt idx="538">
                  <c:v>37622</c:v>
                </c:pt>
                <c:pt idx="539">
                  <c:v>37653</c:v>
                </c:pt>
                <c:pt idx="540">
                  <c:v>37681</c:v>
                </c:pt>
                <c:pt idx="541">
                  <c:v>37712</c:v>
                </c:pt>
                <c:pt idx="542">
                  <c:v>37742</c:v>
                </c:pt>
                <c:pt idx="543">
                  <c:v>37773</c:v>
                </c:pt>
                <c:pt idx="544">
                  <c:v>37803</c:v>
                </c:pt>
                <c:pt idx="545">
                  <c:v>37834</c:v>
                </c:pt>
                <c:pt idx="546">
                  <c:v>37865</c:v>
                </c:pt>
                <c:pt idx="547">
                  <c:v>37895</c:v>
                </c:pt>
                <c:pt idx="548">
                  <c:v>37926</c:v>
                </c:pt>
                <c:pt idx="549">
                  <c:v>37956</c:v>
                </c:pt>
                <c:pt idx="550">
                  <c:v>37987</c:v>
                </c:pt>
                <c:pt idx="551">
                  <c:v>38018</c:v>
                </c:pt>
                <c:pt idx="552">
                  <c:v>38047</c:v>
                </c:pt>
                <c:pt idx="553">
                  <c:v>38078</c:v>
                </c:pt>
                <c:pt idx="554">
                  <c:v>38108</c:v>
                </c:pt>
                <c:pt idx="555">
                  <c:v>38139</c:v>
                </c:pt>
                <c:pt idx="556">
                  <c:v>38169</c:v>
                </c:pt>
                <c:pt idx="557">
                  <c:v>38200</c:v>
                </c:pt>
                <c:pt idx="558">
                  <c:v>38231</c:v>
                </c:pt>
                <c:pt idx="559">
                  <c:v>38261</c:v>
                </c:pt>
                <c:pt idx="560">
                  <c:v>38292</c:v>
                </c:pt>
                <c:pt idx="561">
                  <c:v>38322</c:v>
                </c:pt>
                <c:pt idx="562">
                  <c:v>38353</c:v>
                </c:pt>
                <c:pt idx="563">
                  <c:v>38384</c:v>
                </c:pt>
                <c:pt idx="564">
                  <c:v>38412</c:v>
                </c:pt>
                <c:pt idx="565">
                  <c:v>38443</c:v>
                </c:pt>
                <c:pt idx="566">
                  <c:v>38473</c:v>
                </c:pt>
                <c:pt idx="567">
                  <c:v>38504</c:v>
                </c:pt>
                <c:pt idx="568">
                  <c:v>38534</c:v>
                </c:pt>
                <c:pt idx="569">
                  <c:v>38565</c:v>
                </c:pt>
                <c:pt idx="570">
                  <c:v>38596</c:v>
                </c:pt>
                <c:pt idx="571">
                  <c:v>38626</c:v>
                </c:pt>
                <c:pt idx="572">
                  <c:v>38657</c:v>
                </c:pt>
                <c:pt idx="573">
                  <c:v>38687</c:v>
                </c:pt>
                <c:pt idx="574">
                  <c:v>38718</c:v>
                </c:pt>
                <c:pt idx="575">
                  <c:v>38749</c:v>
                </c:pt>
                <c:pt idx="576">
                  <c:v>38777</c:v>
                </c:pt>
                <c:pt idx="577">
                  <c:v>38808</c:v>
                </c:pt>
                <c:pt idx="578">
                  <c:v>38838</c:v>
                </c:pt>
                <c:pt idx="579">
                  <c:v>38869</c:v>
                </c:pt>
                <c:pt idx="580">
                  <c:v>38899</c:v>
                </c:pt>
                <c:pt idx="581">
                  <c:v>38930</c:v>
                </c:pt>
                <c:pt idx="582">
                  <c:v>38961</c:v>
                </c:pt>
                <c:pt idx="583">
                  <c:v>38991</c:v>
                </c:pt>
                <c:pt idx="584">
                  <c:v>39022</c:v>
                </c:pt>
                <c:pt idx="585">
                  <c:v>39052</c:v>
                </c:pt>
                <c:pt idx="586">
                  <c:v>39083</c:v>
                </c:pt>
                <c:pt idx="587">
                  <c:v>39114</c:v>
                </c:pt>
                <c:pt idx="588">
                  <c:v>39142</c:v>
                </c:pt>
                <c:pt idx="589">
                  <c:v>39173</c:v>
                </c:pt>
                <c:pt idx="590">
                  <c:v>39203</c:v>
                </c:pt>
                <c:pt idx="591">
                  <c:v>39234</c:v>
                </c:pt>
                <c:pt idx="592">
                  <c:v>39264</c:v>
                </c:pt>
                <c:pt idx="593">
                  <c:v>39295</c:v>
                </c:pt>
                <c:pt idx="594">
                  <c:v>39326</c:v>
                </c:pt>
                <c:pt idx="595">
                  <c:v>39356</c:v>
                </c:pt>
                <c:pt idx="596">
                  <c:v>39387</c:v>
                </c:pt>
                <c:pt idx="597">
                  <c:v>39417</c:v>
                </c:pt>
                <c:pt idx="598">
                  <c:v>39448</c:v>
                </c:pt>
                <c:pt idx="599">
                  <c:v>39479</c:v>
                </c:pt>
                <c:pt idx="600">
                  <c:v>39508</c:v>
                </c:pt>
                <c:pt idx="601">
                  <c:v>39539</c:v>
                </c:pt>
                <c:pt idx="602">
                  <c:v>39569</c:v>
                </c:pt>
                <c:pt idx="603">
                  <c:v>39600</c:v>
                </c:pt>
                <c:pt idx="604">
                  <c:v>39630</c:v>
                </c:pt>
                <c:pt idx="605">
                  <c:v>39661</c:v>
                </c:pt>
                <c:pt idx="606">
                  <c:v>39692</c:v>
                </c:pt>
                <c:pt idx="607">
                  <c:v>39722</c:v>
                </c:pt>
                <c:pt idx="608">
                  <c:v>39753</c:v>
                </c:pt>
                <c:pt idx="609">
                  <c:v>39783</c:v>
                </c:pt>
                <c:pt idx="610">
                  <c:v>39814</c:v>
                </c:pt>
                <c:pt idx="611">
                  <c:v>39845</c:v>
                </c:pt>
                <c:pt idx="612">
                  <c:v>39873</c:v>
                </c:pt>
                <c:pt idx="613">
                  <c:v>39904</c:v>
                </c:pt>
                <c:pt idx="614">
                  <c:v>39934</c:v>
                </c:pt>
                <c:pt idx="615">
                  <c:v>39965</c:v>
                </c:pt>
                <c:pt idx="616">
                  <c:v>39995</c:v>
                </c:pt>
                <c:pt idx="617">
                  <c:v>40026</c:v>
                </c:pt>
                <c:pt idx="618">
                  <c:v>40057</c:v>
                </c:pt>
                <c:pt idx="619">
                  <c:v>40087</c:v>
                </c:pt>
                <c:pt idx="620">
                  <c:v>40118</c:v>
                </c:pt>
                <c:pt idx="621">
                  <c:v>40148</c:v>
                </c:pt>
                <c:pt idx="622">
                  <c:v>40179</c:v>
                </c:pt>
                <c:pt idx="623">
                  <c:v>40210</c:v>
                </c:pt>
                <c:pt idx="624">
                  <c:v>40238</c:v>
                </c:pt>
                <c:pt idx="625">
                  <c:v>40269</c:v>
                </c:pt>
                <c:pt idx="626">
                  <c:v>40299</c:v>
                </c:pt>
                <c:pt idx="627">
                  <c:v>40330</c:v>
                </c:pt>
                <c:pt idx="628">
                  <c:v>40360</c:v>
                </c:pt>
                <c:pt idx="629">
                  <c:v>40391</c:v>
                </c:pt>
                <c:pt idx="630">
                  <c:v>40422</c:v>
                </c:pt>
                <c:pt idx="631">
                  <c:v>40452</c:v>
                </c:pt>
                <c:pt idx="632">
                  <c:v>40483</c:v>
                </c:pt>
                <c:pt idx="633">
                  <c:v>40513</c:v>
                </c:pt>
                <c:pt idx="634">
                  <c:v>40544</c:v>
                </c:pt>
                <c:pt idx="635">
                  <c:v>40575</c:v>
                </c:pt>
                <c:pt idx="636">
                  <c:v>40603</c:v>
                </c:pt>
                <c:pt idx="637">
                  <c:v>40634</c:v>
                </c:pt>
                <c:pt idx="638">
                  <c:v>40664</c:v>
                </c:pt>
                <c:pt idx="639">
                  <c:v>40695</c:v>
                </c:pt>
                <c:pt idx="640">
                  <c:v>40725</c:v>
                </c:pt>
                <c:pt idx="641">
                  <c:v>40756</c:v>
                </c:pt>
                <c:pt idx="642">
                  <c:v>40787</c:v>
                </c:pt>
                <c:pt idx="643">
                  <c:v>40817</c:v>
                </c:pt>
                <c:pt idx="644">
                  <c:v>40848</c:v>
                </c:pt>
                <c:pt idx="645">
                  <c:v>40878</c:v>
                </c:pt>
                <c:pt idx="646">
                  <c:v>40909</c:v>
                </c:pt>
                <c:pt idx="647">
                  <c:v>40940</c:v>
                </c:pt>
                <c:pt idx="648">
                  <c:v>40969</c:v>
                </c:pt>
                <c:pt idx="649">
                  <c:v>41000</c:v>
                </c:pt>
                <c:pt idx="650">
                  <c:v>41030</c:v>
                </c:pt>
                <c:pt idx="651">
                  <c:v>41061</c:v>
                </c:pt>
                <c:pt idx="652">
                  <c:v>41091</c:v>
                </c:pt>
                <c:pt idx="653">
                  <c:v>41122</c:v>
                </c:pt>
                <c:pt idx="654">
                  <c:v>41153</c:v>
                </c:pt>
                <c:pt idx="655">
                  <c:v>41183</c:v>
                </c:pt>
                <c:pt idx="656">
                  <c:v>41214</c:v>
                </c:pt>
                <c:pt idx="657">
                  <c:v>41244</c:v>
                </c:pt>
                <c:pt idx="658">
                  <c:v>41275</c:v>
                </c:pt>
                <c:pt idx="659">
                  <c:v>41306</c:v>
                </c:pt>
                <c:pt idx="660">
                  <c:v>41334</c:v>
                </c:pt>
                <c:pt idx="661">
                  <c:v>41365</c:v>
                </c:pt>
                <c:pt idx="662">
                  <c:v>41395</c:v>
                </c:pt>
                <c:pt idx="663">
                  <c:v>41426</c:v>
                </c:pt>
                <c:pt idx="664">
                  <c:v>41456</c:v>
                </c:pt>
                <c:pt idx="665">
                  <c:v>41487</c:v>
                </c:pt>
                <c:pt idx="666">
                  <c:v>41518</c:v>
                </c:pt>
                <c:pt idx="667">
                  <c:v>41548</c:v>
                </c:pt>
                <c:pt idx="668">
                  <c:v>41579</c:v>
                </c:pt>
                <c:pt idx="669">
                  <c:v>41609</c:v>
                </c:pt>
                <c:pt idx="670">
                  <c:v>41640</c:v>
                </c:pt>
                <c:pt idx="671">
                  <c:v>41671</c:v>
                </c:pt>
                <c:pt idx="672">
                  <c:v>41699</c:v>
                </c:pt>
                <c:pt idx="673">
                  <c:v>41730</c:v>
                </c:pt>
                <c:pt idx="674">
                  <c:v>41760</c:v>
                </c:pt>
                <c:pt idx="675">
                  <c:v>41791</c:v>
                </c:pt>
                <c:pt idx="676">
                  <c:v>41821</c:v>
                </c:pt>
                <c:pt idx="677">
                  <c:v>41852</c:v>
                </c:pt>
                <c:pt idx="678">
                  <c:v>41883</c:v>
                </c:pt>
                <c:pt idx="679">
                  <c:v>41913</c:v>
                </c:pt>
                <c:pt idx="680">
                  <c:v>41944</c:v>
                </c:pt>
                <c:pt idx="681">
                  <c:v>41974</c:v>
                </c:pt>
                <c:pt idx="682">
                  <c:v>42005</c:v>
                </c:pt>
                <c:pt idx="683">
                  <c:v>42036</c:v>
                </c:pt>
                <c:pt idx="684">
                  <c:v>42064</c:v>
                </c:pt>
                <c:pt idx="685">
                  <c:v>42095</c:v>
                </c:pt>
                <c:pt idx="686">
                  <c:v>42125</c:v>
                </c:pt>
                <c:pt idx="687">
                  <c:v>42156</c:v>
                </c:pt>
                <c:pt idx="688">
                  <c:v>42186</c:v>
                </c:pt>
                <c:pt idx="689">
                  <c:v>42217</c:v>
                </c:pt>
                <c:pt idx="690">
                  <c:v>42248</c:v>
                </c:pt>
                <c:pt idx="691">
                  <c:v>42278</c:v>
                </c:pt>
                <c:pt idx="692">
                  <c:v>42309</c:v>
                </c:pt>
                <c:pt idx="693">
                  <c:v>42339</c:v>
                </c:pt>
                <c:pt idx="694">
                  <c:v>42370</c:v>
                </c:pt>
                <c:pt idx="695">
                  <c:v>42401</c:v>
                </c:pt>
                <c:pt idx="696">
                  <c:v>42430</c:v>
                </c:pt>
                <c:pt idx="697">
                  <c:v>42461</c:v>
                </c:pt>
                <c:pt idx="698">
                  <c:v>42491</c:v>
                </c:pt>
                <c:pt idx="699">
                  <c:v>42522</c:v>
                </c:pt>
                <c:pt idx="700">
                  <c:v>42552</c:v>
                </c:pt>
                <c:pt idx="701">
                  <c:v>42583</c:v>
                </c:pt>
                <c:pt idx="702">
                  <c:v>42614</c:v>
                </c:pt>
                <c:pt idx="703">
                  <c:v>42644</c:v>
                </c:pt>
                <c:pt idx="704">
                  <c:v>42675</c:v>
                </c:pt>
                <c:pt idx="705">
                  <c:v>42705</c:v>
                </c:pt>
                <c:pt idx="706">
                  <c:v>42736</c:v>
                </c:pt>
                <c:pt idx="707">
                  <c:v>42767</c:v>
                </c:pt>
                <c:pt idx="708">
                  <c:v>42795</c:v>
                </c:pt>
                <c:pt idx="709">
                  <c:v>42826</c:v>
                </c:pt>
                <c:pt idx="710">
                  <c:v>42856</c:v>
                </c:pt>
                <c:pt idx="711">
                  <c:v>42887</c:v>
                </c:pt>
                <c:pt idx="712">
                  <c:v>42917</c:v>
                </c:pt>
                <c:pt idx="713">
                  <c:v>42948</c:v>
                </c:pt>
                <c:pt idx="714">
                  <c:v>42979</c:v>
                </c:pt>
                <c:pt idx="715">
                  <c:v>43009</c:v>
                </c:pt>
                <c:pt idx="716">
                  <c:v>43040</c:v>
                </c:pt>
                <c:pt idx="717">
                  <c:v>43070</c:v>
                </c:pt>
                <c:pt idx="718">
                  <c:v>43101</c:v>
                </c:pt>
                <c:pt idx="719">
                  <c:v>43132</c:v>
                </c:pt>
                <c:pt idx="720">
                  <c:v>43160</c:v>
                </c:pt>
                <c:pt idx="721">
                  <c:v>43191</c:v>
                </c:pt>
                <c:pt idx="722">
                  <c:v>43221</c:v>
                </c:pt>
                <c:pt idx="723">
                  <c:v>43252</c:v>
                </c:pt>
                <c:pt idx="724">
                  <c:v>43282</c:v>
                </c:pt>
                <c:pt idx="725">
                  <c:v>43313</c:v>
                </c:pt>
                <c:pt idx="726">
                  <c:v>43344</c:v>
                </c:pt>
                <c:pt idx="727">
                  <c:v>43374</c:v>
                </c:pt>
                <c:pt idx="728">
                  <c:v>43405</c:v>
                </c:pt>
                <c:pt idx="729">
                  <c:v>43435</c:v>
                </c:pt>
                <c:pt idx="730">
                  <c:v>43466</c:v>
                </c:pt>
                <c:pt idx="731">
                  <c:v>43497</c:v>
                </c:pt>
                <c:pt idx="732">
                  <c:v>43525</c:v>
                </c:pt>
                <c:pt idx="733">
                  <c:v>43556</c:v>
                </c:pt>
                <c:pt idx="734">
                  <c:v>43586</c:v>
                </c:pt>
                <c:pt idx="735">
                  <c:v>43617</c:v>
                </c:pt>
                <c:pt idx="736">
                  <c:v>43647</c:v>
                </c:pt>
                <c:pt idx="737">
                  <c:v>43678</c:v>
                </c:pt>
                <c:pt idx="738">
                  <c:v>43709</c:v>
                </c:pt>
                <c:pt idx="739">
                  <c:v>43739</c:v>
                </c:pt>
                <c:pt idx="740">
                  <c:v>43770</c:v>
                </c:pt>
                <c:pt idx="741">
                  <c:v>43800</c:v>
                </c:pt>
                <c:pt idx="742">
                  <c:v>43831</c:v>
                </c:pt>
                <c:pt idx="743">
                  <c:v>43862</c:v>
                </c:pt>
                <c:pt idx="744">
                  <c:v>43891</c:v>
                </c:pt>
                <c:pt idx="745">
                  <c:v>43922</c:v>
                </c:pt>
              </c:numCache>
            </c:numRef>
          </c:cat>
          <c:val>
            <c:numRef>
              <c:f>'co2 (2)'!$N$2:$N$747</c:f>
              <c:numCache>
                <c:formatCode>General</c:formatCode>
                <c:ptCount val="746"/>
                <c:pt idx="6" formatCode="0.00_);[Red]\(0.00\)">
                  <c:v>0.98470097773565612</c:v>
                </c:pt>
                <c:pt idx="7" formatCode="0.00_);[Red]\(0.00\)">
                  <c:v>1.1160602673530775</c:v>
                </c:pt>
                <c:pt idx="8" formatCode="0.00_);[Red]\(0.00\)">
                  <c:v>-0.14172661789274343</c:v>
                </c:pt>
                <c:pt idx="9" formatCode="0.00_);[Red]\(0.00\)">
                  <c:v>-5.9793557783450524E-2</c:v>
                </c:pt>
                <c:pt idx="10" formatCode="0.00_);[Red]\(0.00\)">
                  <c:v>-0.18631678182725864</c:v>
                </c:pt>
                <c:pt idx="11" formatCode="0.00_);[Red]\(0.00\)">
                  <c:v>6.5506875762139316E-2</c:v>
                </c:pt>
                <c:pt idx="12" formatCode="0.00_);[Red]\(0.00\)">
                  <c:v>-0.47346379216912737</c:v>
                </c:pt>
                <c:pt idx="13" formatCode="0.00_);[Red]\(0.00\)">
                  <c:v>-0.64800625479830387</c:v>
                </c:pt>
                <c:pt idx="14" formatCode="0.00_);[Red]\(0.00\)">
                  <c:v>-0.63514191843927392</c:v>
                </c:pt>
                <c:pt idx="15" formatCode="0.00_);[Red]\(0.00\)">
                  <c:v>-0.15212962335738212</c:v>
                </c:pt>
                <c:pt idx="16" formatCode="0.00_);[Red]\(0.00\)">
                  <c:v>-0.20499847581629638</c:v>
                </c:pt>
                <c:pt idx="17" formatCode="0.00_);[Red]\(0.00\)">
                  <c:v>0.13700972090498453</c:v>
                </c:pt>
                <c:pt idx="18" formatCode="0.00_);[Red]\(0.00\)">
                  <c:v>0.91224196134209024</c:v>
                </c:pt>
                <c:pt idx="19" formatCode="0.00_);[Red]\(0.00\)">
                  <c:v>0.43166819085035968</c:v>
                </c:pt>
                <c:pt idx="20" formatCode="0.00_);[Red]\(0.00\)">
                  <c:v>0.50873103238046724</c:v>
                </c:pt>
                <c:pt idx="21" formatCode="0.00_);[Red]\(0.00\)">
                  <c:v>-1.7730716253424816E-2</c:v>
                </c:pt>
                <c:pt idx="22" formatCode="0.00_);[Red]\(0.00\)">
                  <c:v>-0.2422320823736186</c:v>
                </c:pt>
                <c:pt idx="23" formatCode="0.00_);[Red]\(0.00\)">
                  <c:v>-0.44165842478435025</c:v>
                </c:pt>
                <c:pt idx="24" formatCode="0.00_);[Red]\(0.00\)">
                  <c:v>-0.57937909271555554</c:v>
                </c:pt>
                <c:pt idx="25" formatCode="0.00_);[Red]\(0.00\)">
                  <c:v>-0.37971390507158276</c:v>
                </c:pt>
                <c:pt idx="26" formatCode="0.00_);[Red]\(0.00\)">
                  <c:v>0.10860808156070334</c:v>
                </c:pt>
                <c:pt idx="27" formatCode="0.00_);[Red]\(0.00\)">
                  <c:v>0.33787037664274067</c:v>
                </c:pt>
                <c:pt idx="28" formatCode="0.00_);[Red]\(0.00\)">
                  <c:v>0.52333485751705666</c:v>
                </c:pt>
                <c:pt idx="29" formatCode="0.00_);[Red]\(0.00\)">
                  <c:v>0.33159305423839669</c:v>
                </c:pt>
                <c:pt idx="30" formatCode="0.00_);[Red]\(0.00\)">
                  <c:v>0.32599196134225394</c:v>
                </c:pt>
                <c:pt idx="31" formatCode="0.00_);[Red]\(0.00\)">
                  <c:v>5.0001524183755919E-2</c:v>
                </c:pt>
                <c:pt idx="32" formatCode="0.00_);[Red]\(0.00\)">
                  <c:v>-9.6685634286245659E-2</c:v>
                </c:pt>
                <c:pt idx="33" formatCode="0.00_);[Red]\(0.00\)">
                  <c:v>-0.1010640495867392</c:v>
                </c:pt>
                <c:pt idx="34" formatCode="0.00_);[Red]\(0.00\)">
                  <c:v>-0.36181541570698528</c:v>
                </c:pt>
                <c:pt idx="35" formatCode="0.00_);[Red]\(0.00\)">
                  <c:v>-0.25040842478432523</c:v>
                </c:pt>
                <c:pt idx="36" formatCode="0.00_);[Red]\(0.00\)">
                  <c:v>-0.15979575938212065</c:v>
                </c:pt>
                <c:pt idx="37" formatCode="0.00_);[Red]\(0.00\)">
                  <c:v>-0.53138057173822517</c:v>
                </c:pt>
                <c:pt idx="38" formatCode="0.00_);[Red]\(0.00\)">
                  <c:v>-3.1808585105920884E-2</c:v>
                </c:pt>
                <c:pt idx="39" formatCode="0.00_);[Red]\(0.00\)">
                  <c:v>-0.19921295669064421</c:v>
                </c:pt>
                <c:pt idx="40" formatCode="0.00_);[Red]\(0.00\)">
                  <c:v>0.15375152418368998</c:v>
                </c:pt>
                <c:pt idx="41" formatCode="0.00_);[Red]\(0.00\)">
                  <c:v>0.43284305423838987</c:v>
                </c:pt>
                <c:pt idx="42" formatCode="0.00_);[Red]\(0.00\)">
                  <c:v>0.3443252946755706</c:v>
                </c:pt>
                <c:pt idx="43" formatCode="0.00_);[Red]\(0.00\)">
                  <c:v>0.694168190850462</c:v>
                </c:pt>
                <c:pt idx="44" formatCode="0.00_);[Red]\(0.00\)">
                  <c:v>0.14498103238048543</c:v>
                </c:pt>
                <c:pt idx="45" formatCode="0.00_);[Red]\(0.00\)">
                  <c:v>-0.16273071625340663</c:v>
                </c:pt>
                <c:pt idx="46" formatCode="0.00_);[Red]\(0.00\)">
                  <c:v>-0.25806541570699437</c:v>
                </c:pt>
                <c:pt idx="47" formatCode="0.00_);[Red]\(0.00\)">
                  <c:v>-0.35207509145101312</c:v>
                </c:pt>
                <c:pt idx="48" formatCode="0.00_);[Red]\(0.00\)">
                  <c:v>2.1870907284494479E-2</c:v>
                </c:pt>
                <c:pt idx="49" formatCode="0.00_);[Red]\(0.00\)">
                  <c:v>-0.36096390507151455</c:v>
                </c:pt>
                <c:pt idx="50" formatCode="0.00_);[Red]\(0.00\)">
                  <c:v>-0.43305858510598227</c:v>
                </c:pt>
                <c:pt idx="51" formatCode="0.00_);[Red]\(0.00\)">
                  <c:v>-0.16379629002392448</c:v>
                </c:pt>
                <c:pt idx="52" formatCode="0.00_);[Red]\(0.00\)">
                  <c:v>0.39458485751703165</c:v>
                </c:pt>
                <c:pt idx="53" formatCode="0.00_);[Red]\(0.00\)">
                  <c:v>0.26742638757173154</c:v>
                </c:pt>
                <c:pt idx="54" formatCode="0.00_);[Red]\(0.00\)">
                  <c:v>0.88265862800886907</c:v>
                </c:pt>
                <c:pt idx="55" formatCode="0.00_);[Red]\(0.00\)">
                  <c:v>0.13416819085034604</c:v>
                </c:pt>
                <c:pt idx="56" formatCode="0.00_);[Red]\(0.00\)">
                  <c:v>4.3731032380492252E-2</c:v>
                </c:pt>
                <c:pt idx="57" formatCode="0.00_);[Red]\(0.00\)">
                  <c:v>-0.19731404958673693</c:v>
                </c:pt>
                <c:pt idx="58" formatCode="0.00_);[Red]\(0.00\)">
                  <c:v>-0.14514874904034514</c:v>
                </c:pt>
                <c:pt idx="59" formatCode="0.00_);[Red]\(0.00\)">
                  <c:v>-0.47124175811768509</c:v>
                </c:pt>
                <c:pt idx="60" formatCode="0.00_);[Red]\(0.00\)">
                  <c:v>-0.37312909271554418</c:v>
                </c:pt>
                <c:pt idx="61" formatCode="0.00_);[Red]\(0.00\)">
                  <c:v>-9.0963905071589579E-2</c:v>
                </c:pt>
                <c:pt idx="62" formatCode="0.00_);[Red]\(0.00\)">
                  <c:v>0.24652474822744352</c:v>
                </c:pt>
                <c:pt idx="63" formatCode="0.00_);[Red]\(0.00\)">
                  <c:v>0.15620370997601185</c:v>
                </c:pt>
                <c:pt idx="64" formatCode="0.00_);[Red]\(0.00\)">
                  <c:v>-1.4998475816298651E-2</c:v>
                </c:pt>
                <c:pt idx="65" formatCode="0.00_);[Red]\(0.00\)">
                  <c:v>6.8710822833395468E-2</c:v>
                </c:pt>
                <c:pt idx="66" formatCode="0.00_);[Red]\(0.00\)">
                  <c:v>0.21006565280225686</c:v>
                </c:pt>
                <c:pt idx="67" formatCode="0.00_);[Red]\(0.00\)">
                  <c:v>6.045262611206681E-2</c:v>
                </c:pt>
                <c:pt idx="68" formatCode="0.00_);[Red]\(0.00\)">
                  <c:v>-0.14427860949280102</c:v>
                </c:pt>
                <c:pt idx="69" formatCode="0.00_);[Red]\(0.00\)">
                  <c:v>-4.5740358126636238E-2</c:v>
                </c:pt>
                <c:pt idx="70" formatCode="0.00_);[Red]\(0.00\)">
                  <c:v>0.18142494241971008</c:v>
                </c:pt>
                <c:pt idx="71" formatCode="0.00_);[Red]\(0.00\)">
                  <c:v>0.16783882039476339</c:v>
                </c:pt>
                <c:pt idx="72" formatCode="0.00_);[Red]\(0.00\)">
                  <c:v>7.5662229598492559E-2</c:v>
                </c:pt>
                <c:pt idx="73" formatCode="0.00_);[Red]\(0.00\)">
                  <c:v>-0.50799902903844441</c:v>
                </c:pt>
                <c:pt idx="74" formatCode="0.00_);[Red]\(0.00\)">
                  <c:v>-0.39606822697919597</c:v>
                </c:pt>
                <c:pt idx="75" formatCode="0.00_);[Red]\(0.00\)">
                  <c:v>-8.3889265230595811E-2</c:v>
                </c:pt>
                <c:pt idx="76" formatCode="0.00_);[Red]\(0.00\)">
                  <c:v>8.6991882310428537E-2</c:v>
                </c:pt>
                <c:pt idx="77" formatCode="0.00_);[Red]\(0.00\)">
                  <c:v>0.4727156437700728</c:v>
                </c:pt>
                <c:pt idx="78" formatCode="0.00_);[Red]\(0.00\)">
                  <c:v>0.2701586280088577</c:v>
                </c:pt>
                <c:pt idx="79" formatCode="0.00_);[Red]\(0.00\)">
                  <c:v>0.54070744704876006</c:v>
                </c:pt>
                <c:pt idx="80" formatCode="0.00_);[Red]\(0.00\)">
                  <c:v>5.6231032380480883E-2</c:v>
                </c:pt>
                <c:pt idx="81" formatCode="0.00_);[Red]\(0.00\)">
                  <c:v>-7.3147382920126347E-2</c:v>
                </c:pt>
                <c:pt idx="82" formatCode="0.00_);[Red]\(0.00\)">
                  <c:v>-0.32098208237374592</c:v>
                </c:pt>
                <c:pt idx="83" formatCode="0.00_);[Red]\(0.00\)">
                  <c:v>4.1749085489755089E-3</c:v>
                </c:pt>
                <c:pt idx="84" formatCode="0.00_);[Red]\(0.00\)">
                  <c:v>-0.27771242604893587</c:v>
                </c:pt>
                <c:pt idx="85" formatCode="0.00_);[Red]\(0.00\)">
                  <c:v>-0.30763057173822972</c:v>
                </c:pt>
                <c:pt idx="86" formatCode="0.00_);[Red]\(0.00\)">
                  <c:v>-0.83805858510589815</c:v>
                </c:pt>
                <c:pt idx="87" formatCode="0.00_);[Red]\(0.00\)">
                  <c:v>-0.49462962335729799</c:v>
                </c:pt>
                <c:pt idx="88" formatCode="0.00_);[Red]\(0.00\)">
                  <c:v>0.39708485751702938</c:v>
                </c:pt>
                <c:pt idx="89" formatCode="0.00_);[Red]\(0.00\)">
                  <c:v>9.7426387571715622E-2</c:v>
                </c:pt>
                <c:pt idx="90" formatCode="0.00_);[Red]\(0.00\)">
                  <c:v>0.72099196134217891</c:v>
                </c:pt>
                <c:pt idx="91" formatCode="0.00_);[Red]\(0.00\)">
                  <c:v>0.20625152418375592</c:v>
                </c:pt>
                <c:pt idx="92" formatCode="0.00_);[Red]\(0.00\)">
                  <c:v>0.35623103238049225</c:v>
                </c:pt>
                <c:pt idx="93" formatCode="0.00_);[Red]\(0.00\)">
                  <c:v>-0.41564738292009906</c:v>
                </c:pt>
                <c:pt idx="94" formatCode="0.00_);[Red]\(0.00\)">
                  <c:v>-0.28931541570693753</c:v>
                </c:pt>
                <c:pt idx="95" formatCode="0.00_);[Red]\(0.00\)">
                  <c:v>-5.5408424784275212E-2</c:v>
                </c:pt>
                <c:pt idx="96" formatCode="0.00_);[Red]\(0.00\)">
                  <c:v>-4.0212426048810812E-2</c:v>
                </c:pt>
                <c:pt idx="97" formatCode="0.00_);[Red]\(0.00\)">
                  <c:v>-1.3880571738184244E-2</c:v>
                </c:pt>
                <c:pt idx="98" formatCode="0.00_);[Red]\(0.00\)">
                  <c:v>-0.19805858510591179</c:v>
                </c:pt>
                <c:pt idx="99" formatCode="0.00_);[Red]\(0.00\)">
                  <c:v>8.9537043309405817E-2</c:v>
                </c:pt>
                <c:pt idx="100" formatCode="0.00_);[Red]\(0.00\)">
                  <c:v>0.21166819085038924</c:v>
                </c:pt>
                <c:pt idx="101" formatCode="0.00_);[Red]\(0.00\)">
                  <c:v>0.22075972090505047</c:v>
                </c:pt>
                <c:pt idx="102" formatCode="0.00_);[Red]\(0.00\)">
                  <c:v>0.23057529467547511</c:v>
                </c:pt>
                <c:pt idx="103" formatCode="0.00_);[Red]\(0.00\)">
                  <c:v>-0.24374847581623271</c:v>
                </c:pt>
                <c:pt idx="104" formatCode="0.00_);[Red]\(0.00\)">
                  <c:v>9.2481032380476336E-2</c:v>
                </c:pt>
                <c:pt idx="105" formatCode="0.00_);[Red]\(0.00\)">
                  <c:v>0.12601928374652971</c:v>
                </c:pt>
                <c:pt idx="106" formatCode="0.00_);[Red]\(0.00\)">
                  <c:v>0.45860125095964577</c:v>
                </c:pt>
                <c:pt idx="107" formatCode="0.00_);[Red]\(0.00\)">
                  <c:v>-3.665842478437753E-2</c:v>
                </c:pt>
                <c:pt idx="108" formatCode="0.00_);[Red]\(0.00\)">
                  <c:v>-0.22354575938226162</c:v>
                </c:pt>
                <c:pt idx="109" formatCode="0.00_);[Red]\(0.00\)">
                  <c:v>-0.13846390507160322</c:v>
                </c:pt>
                <c:pt idx="110" formatCode="0.00_);[Red]\(0.00\)">
                  <c:v>-0.14472525177257012</c:v>
                </c:pt>
                <c:pt idx="111" formatCode="0.00_);[Red]\(0.00\)">
                  <c:v>-0.41046295669065103</c:v>
                </c:pt>
                <c:pt idx="112" formatCode="0.00_);[Red]\(0.00\)">
                  <c:v>-0.37874847581622362</c:v>
                </c:pt>
                <c:pt idx="113" formatCode="0.00_);[Red]\(0.00\)">
                  <c:v>0.10200972090507321</c:v>
                </c:pt>
                <c:pt idx="114" formatCode="0.00_);[Red]\(0.00\)">
                  <c:v>0.16390862800886907</c:v>
                </c:pt>
                <c:pt idx="115" formatCode="0.00_);[Red]\(0.00\)">
                  <c:v>0.36625152418372409</c:v>
                </c:pt>
                <c:pt idx="116" formatCode="0.00_);[Red]\(0.00\)">
                  <c:v>0.38206436571380209</c:v>
                </c:pt>
                <c:pt idx="117" formatCode="0.00_);[Red]\(0.00\)">
                  <c:v>0.37143595041328581</c:v>
                </c:pt>
                <c:pt idx="118" formatCode="0.00_);[Red]\(0.00\)">
                  <c:v>-8.4732082373591311E-2</c:v>
                </c:pt>
                <c:pt idx="119" formatCode="0.00_);[Red]\(0.00\)">
                  <c:v>-0.25624175811765326</c:v>
                </c:pt>
                <c:pt idx="120" formatCode="0.00_);[Red]\(0.00\)">
                  <c:v>-0.28896242604889721</c:v>
                </c:pt>
                <c:pt idx="121" formatCode="0.00_);[Red]\(0.00\)">
                  <c:v>-0.45554723840490396</c:v>
                </c:pt>
                <c:pt idx="122" formatCode="0.00_);[Red]\(0.00\)">
                  <c:v>-0.45889191843929211</c:v>
                </c:pt>
                <c:pt idx="123" formatCode="0.00_);[Red]\(0.00\)">
                  <c:v>-9.6296233572275014E-3</c:v>
                </c:pt>
                <c:pt idx="124" formatCode="0.00_);[Red]\(0.00\)">
                  <c:v>0.3025015241836968</c:v>
                </c:pt>
                <c:pt idx="125" formatCode="0.00_);[Red]\(0.00\)">
                  <c:v>0.29825972090509367</c:v>
                </c:pt>
                <c:pt idx="126" formatCode="0.00_);[Red]\(0.00\)">
                  <c:v>0.18765862800887589</c:v>
                </c:pt>
                <c:pt idx="127" formatCode="0.00_);[Red]\(0.00\)">
                  <c:v>8.958485751702483E-2</c:v>
                </c:pt>
                <c:pt idx="128" formatCode="0.00_);[Red]\(0.00\)">
                  <c:v>-0.25960230095284942</c:v>
                </c:pt>
                <c:pt idx="129" formatCode="0.00_);[Red]\(0.00\)">
                  <c:v>1.4769283746545625E-2</c:v>
                </c:pt>
                <c:pt idx="130" formatCode="0.00_);[Red]\(0.00\)">
                  <c:v>4.9434584292953332E-2</c:v>
                </c:pt>
                <c:pt idx="131" formatCode="0.00_);[Red]\(0.00\)">
                  <c:v>-0.31290842478432523</c:v>
                </c:pt>
                <c:pt idx="132" formatCode="0.00_);[Red]\(0.00\)">
                  <c:v>7.8954240617804317E-2</c:v>
                </c:pt>
                <c:pt idx="133" formatCode="0.00_);[Red]\(0.00\)">
                  <c:v>-0.2559639050715532</c:v>
                </c:pt>
                <c:pt idx="134" formatCode="0.00_);[Red]\(0.00\)">
                  <c:v>-0.15639191843922617</c:v>
                </c:pt>
                <c:pt idx="135" formatCode="0.00_);[Red]\(0.00\)">
                  <c:v>-0.21879629002393131</c:v>
                </c:pt>
                <c:pt idx="136" formatCode="0.00_);[Red]\(0.00\)">
                  <c:v>0.48625152418367179</c:v>
                </c:pt>
                <c:pt idx="137" formatCode="0.00_);[Red]\(0.00\)">
                  <c:v>0.29450972090506866</c:v>
                </c:pt>
                <c:pt idx="138" formatCode="0.00_);[Red]\(0.00\)">
                  <c:v>0.6893252946754842</c:v>
                </c:pt>
                <c:pt idx="139" formatCode="0.00_);[Red]\(0.00\)">
                  <c:v>9.6668190850266456E-2</c:v>
                </c:pt>
                <c:pt idx="140" formatCode="0.00_);[Red]\(0.00\)">
                  <c:v>-0.19918563428620928</c:v>
                </c:pt>
                <c:pt idx="141" formatCode="0.00_);[Red]\(0.00\)">
                  <c:v>-0.16231404958676876</c:v>
                </c:pt>
                <c:pt idx="142" formatCode="0.00_);[Red]\(0.00\)">
                  <c:v>-0.22806541570696481</c:v>
                </c:pt>
                <c:pt idx="143" formatCode="0.00_);[Red]\(0.00\)">
                  <c:v>-5.4084247842638433E-3</c:v>
                </c:pt>
                <c:pt idx="144" formatCode="0.00_);[Red]\(0.00\)">
                  <c:v>0.1935375739511187</c:v>
                </c:pt>
                <c:pt idx="145" formatCode="0.00_);[Red]\(0.00\)">
                  <c:v>9.4452761595050561E-2</c:v>
                </c:pt>
                <c:pt idx="146" formatCode="0.00_);[Red]\(0.00\)">
                  <c:v>-0.55014191843929439</c:v>
                </c:pt>
                <c:pt idx="147" formatCode="0.00_);[Red]\(0.00\)">
                  <c:v>-0.32796295669061237</c:v>
                </c:pt>
                <c:pt idx="148" formatCode="0.00_);[Red]\(0.00\)">
                  <c:v>-0.11583180914965396</c:v>
                </c:pt>
                <c:pt idx="149" formatCode="0.00_);[Red]\(0.00\)">
                  <c:v>0.29659305423837168</c:v>
                </c:pt>
                <c:pt idx="150" formatCode="0.00_);[Red]\(0.00\)">
                  <c:v>0.46182529467557742</c:v>
                </c:pt>
                <c:pt idx="151" formatCode="0.00_);[Red]\(0.00\)">
                  <c:v>0.54875152418372863</c:v>
                </c:pt>
                <c:pt idx="152" formatCode="0.00_);[Red]\(0.00\)">
                  <c:v>0.20206436571379527</c:v>
                </c:pt>
                <c:pt idx="153" formatCode="0.00_);[Red]\(0.00\)">
                  <c:v>8.5185950413233513E-2</c:v>
                </c:pt>
                <c:pt idx="154" formatCode="0.00_);[Red]\(0.00\)">
                  <c:v>9.8601250959688969E-2</c:v>
                </c:pt>
                <c:pt idx="155" formatCode="0.00_);[Red]\(0.00\)">
                  <c:v>-9.9991758117653262E-2</c:v>
                </c:pt>
                <c:pt idx="156" formatCode="0.00_);[Red]\(0.00\)">
                  <c:v>-0.32979575938219341</c:v>
                </c:pt>
                <c:pt idx="157" formatCode="0.00_);[Red]\(0.00\)">
                  <c:v>-0.95721390507151227</c:v>
                </c:pt>
                <c:pt idx="158" formatCode="0.00_);[Red]\(0.00\)">
                  <c:v>-0.36389191843926483</c:v>
                </c:pt>
                <c:pt idx="159" formatCode="0.00_);[Red]\(0.00\)">
                  <c:v>-7.087962335725706E-2</c:v>
                </c:pt>
                <c:pt idx="160" formatCode="0.00_);[Red]\(0.00\)">
                  <c:v>0.28791819085034831</c:v>
                </c:pt>
                <c:pt idx="161" formatCode="0.00_);[Red]\(0.00\)">
                  <c:v>0.43117638757172472</c:v>
                </c:pt>
                <c:pt idx="162" formatCode="0.00_);[Red]\(0.00\)">
                  <c:v>9.1825294675516034E-2</c:v>
                </c:pt>
                <c:pt idx="163" formatCode="0.00_);[Red]\(0.00\)">
                  <c:v>0.31000152418374682</c:v>
                </c:pt>
                <c:pt idx="164" formatCode="0.00_);[Red]\(0.00\)">
                  <c:v>0.14664769904715058</c:v>
                </c:pt>
                <c:pt idx="165" formatCode="0.00_);[Red]\(0.00\)">
                  <c:v>0.12351928374658883</c:v>
                </c:pt>
                <c:pt idx="166" formatCode="0.00_);[Red]\(0.00\)">
                  <c:v>-0.11306541570701256</c:v>
                </c:pt>
                <c:pt idx="167" formatCode="0.00_);[Red]\(0.00\)">
                  <c:v>4.6258241882298989E-2</c:v>
                </c:pt>
                <c:pt idx="168" formatCode="0.00_);[Red]\(0.00\)">
                  <c:v>-0.6106290927154987</c:v>
                </c:pt>
                <c:pt idx="169" formatCode="0.00_);[Red]\(0.00\)">
                  <c:v>1.3619428261790745E-2</c:v>
                </c:pt>
                <c:pt idx="170" formatCode="0.00_);[Red]\(0.00\)">
                  <c:v>-0.26847525177259968</c:v>
                </c:pt>
                <c:pt idx="171" formatCode="0.00_);[Red]\(0.00\)">
                  <c:v>-0.66087962335728889</c:v>
                </c:pt>
                <c:pt idx="172" formatCode="0.00_);[Red]\(0.00\)">
                  <c:v>-0.21874847581625545</c:v>
                </c:pt>
                <c:pt idx="173" formatCode="0.00_);[Red]\(0.00\)">
                  <c:v>4.4509720905068662E-2</c:v>
                </c:pt>
                <c:pt idx="174" formatCode="0.00_);[Red]\(0.00\)">
                  <c:v>0.17224196134219483</c:v>
                </c:pt>
                <c:pt idx="175" formatCode="0.00_);[Red]\(0.00\)">
                  <c:v>0.47458485751707258</c:v>
                </c:pt>
                <c:pt idx="176" formatCode="0.00_);[Red]\(0.00\)">
                  <c:v>0.3245643657137407</c:v>
                </c:pt>
                <c:pt idx="177" formatCode="0.00_);[Red]\(0.00\)">
                  <c:v>-1.3980716253399805E-2</c:v>
                </c:pt>
                <c:pt idx="178" formatCode="0.00_);[Red]\(0.00\)">
                  <c:v>-0.20264874904034968</c:v>
                </c:pt>
                <c:pt idx="179" formatCode="0.00_);[Red]\(0.00\)">
                  <c:v>-7.0408424784318413E-2</c:v>
                </c:pt>
                <c:pt idx="180" formatCode="0.00_);[Red]\(0.00\)">
                  <c:v>-0.24437909271557601</c:v>
                </c:pt>
                <c:pt idx="181" formatCode="0.00_);[Red]\(0.00\)">
                  <c:v>-0.45388057173823881</c:v>
                </c:pt>
                <c:pt idx="182" formatCode="0.00_);[Red]\(0.00\)">
                  <c:v>-0.11847525177256557</c:v>
                </c:pt>
                <c:pt idx="183" formatCode="0.00_);[Red]\(0.00\)">
                  <c:v>7.9537043309358069E-2</c:v>
                </c:pt>
                <c:pt idx="184" formatCode="0.00_);[Red]\(0.00\)">
                  <c:v>0.43125152418366497</c:v>
                </c:pt>
                <c:pt idx="185" formatCode="0.00_);[Red]\(0.00\)">
                  <c:v>0.92784305423839442</c:v>
                </c:pt>
                <c:pt idx="186" formatCode="0.00_);[Red]\(0.00\)">
                  <c:v>0.82515862800875084</c:v>
                </c:pt>
                <c:pt idx="187" formatCode="0.00_);[Red]\(0.00\)">
                  <c:v>0.52083485751700209</c:v>
                </c:pt>
                <c:pt idx="188" formatCode="0.00_);[Red]\(0.00\)">
                  <c:v>0.1520643657137839</c:v>
                </c:pt>
                <c:pt idx="189" formatCode="0.00_);[Red]\(0.00\)">
                  <c:v>-0.56481404958680059</c:v>
                </c:pt>
                <c:pt idx="190" formatCode="0.00_);[Red]\(0.00\)">
                  <c:v>-0.82181541570690797</c:v>
                </c:pt>
                <c:pt idx="191" formatCode="0.00_);[Red]\(0.00\)">
                  <c:v>-0.11332509145097447</c:v>
                </c:pt>
                <c:pt idx="192" formatCode="0.00_);[Red]\(0.00\)">
                  <c:v>-2.1462426048799443E-2</c:v>
                </c:pt>
                <c:pt idx="193" formatCode="0.00_);[Red]\(0.00\)">
                  <c:v>-7.1797238404883501E-2</c:v>
                </c:pt>
                <c:pt idx="194" formatCode="0.00_);[Red]\(0.00\)">
                  <c:v>-0.14514191843932167</c:v>
                </c:pt>
                <c:pt idx="195" formatCode="0.00_);[Red]\(0.00\)">
                  <c:v>-0.31379629002395859</c:v>
                </c:pt>
                <c:pt idx="196" formatCode="0.00_);[Red]\(0.00\)">
                  <c:v>0.16416819085043244</c:v>
                </c:pt>
                <c:pt idx="197" formatCode="0.00_);[Red]\(0.00\)">
                  <c:v>0.43950972090505047</c:v>
                </c:pt>
                <c:pt idx="198" formatCode="0.00_);[Red]\(0.00\)">
                  <c:v>0.22182529467551149</c:v>
                </c:pt>
                <c:pt idx="199" formatCode="0.00_);[Red]\(0.00\)">
                  <c:v>0.23375152418367406</c:v>
                </c:pt>
                <c:pt idx="200" formatCode="0.00_);[Red]\(0.00\)">
                  <c:v>-1.5852300952872156E-2</c:v>
                </c:pt>
                <c:pt idx="201" formatCode="0.00_);[Red]\(0.00\)">
                  <c:v>-0.16273071625340663</c:v>
                </c:pt>
                <c:pt idx="202" formatCode="0.00_);[Red]\(0.00\)">
                  <c:v>-0.36556541570706713</c:v>
                </c:pt>
                <c:pt idx="203" formatCode="0.00_);[Red]\(0.00\)">
                  <c:v>-5.8741758117719201E-2</c:v>
                </c:pt>
                <c:pt idx="204" formatCode="0.00_);[Red]\(0.00\)">
                  <c:v>-0.17187909271552826</c:v>
                </c:pt>
                <c:pt idx="205" formatCode="0.00_);[Red]\(0.00\)">
                  <c:v>-0.20513057173820926</c:v>
                </c:pt>
                <c:pt idx="206" formatCode="0.00_);[Red]\(0.00\)">
                  <c:v>-0.12139191843925801</c:v>
                </c:pt>
                <c:pt idx="207" formatCode="0.00_);[Red]\(0.00\)">
                  <c:v>0.13870370997608461</c:v>
                </c:pt>
                <c:pt idx="208" formatCode="0.00_);[Red]\(0.00\)">
                  <c:v>-3.6665142483002455E-2</c:v>
                </c:pt>
                <c:pt idx="209" formatCode="0.00_);[Red]\(0.00\)">
                  <c:v>0.15617638757169061</c:v>
                </c:pt>
                <c:pt idx="210" formatCode="0.00_);[Red]\(0.00\)">
                  <c:v>0.34099196134218346</c:v>
                </c:pt>
                <c:pt idx="211" formatCode="0.00_);[Red]\(0.00\)">
                  <c:v>0.13000152418368316</c:v>
                </c:pt>
                <c:pt idx="212" formatCode="0.00_);[Red]\(0.00\)">
                  <c:v>-8.6268967619616888E-2</c:v>
                </c:pt>
                <c:pt idx="213" formatCode="0.00_);[Red]\(0.00\)">
                  <c:v>-4.856404958678695E-2</c:v>
                </c:pt>
                <c:pt idx="214" formatCode="0.00_);[Red]\(0.00\)">
                  <c:v>-8.3482082373734556E-2</c:v>
                </c:pt>
                <c:pt idx="215" formatCode="0.00_);[Red]\(0.00\)">
                  <c:v>1.667490854896414E-2</c:v>
                </c:pt>
                <c:pt idx="216" formatCode="0.00_);[Red]\(0.00\)">
                  <c:v>0.20103757395111188</c:v>
                </c:pt>
                <c:pt idx="217" formatCode="0.00_);[Red]\(0.00\)">
                  <c:v>9.4527615951278676E-3</c:v>
                </c:pt>
                <c:pt idx="218" formatCode="0.00_);[Red]\(0.00\)">
                  <c:v>-0.24264191843928984</c:v>
                </c:pt>
                <c:pt idx="219" formatCode="0.00_);[Red]\(0.00\)">
                  <c:v>-0.14254629002397223</c:v>
                </c:pt>
                <c:pt idx="220" formatCode="0.00_);[Red]\(0.00\)">
                  <c:v>0.12041819085038696</c:v>
                </c:pt>
                <c:pt idx="221" formatCode="0.00_);[Red]\(0.00\)">
                  <c:v>6.3676387571661053E-2</c:v>
                </c:pt>
                <c:pt idx="222" formatCode="0.00_);[Red]\(0.00\)">
                  <c:v>0.13265862800886907</c:v>
                </c:pt>
                <c:pt idx="223" formatCode="0.00_);[Red]\(0.00\)">
                  <c:v>-0.21666514248300928</c:v>
                </c:pt>
                <c:pt idx="224" formatCode="0.00_);[Red]\(0.00\)">
                  <c:v>-0.26210230095284714</c:v>
                </c:pt>
                <c:pt idx="225" formatCode="0.00_);[Red]\(0.00\)">
                  <c:v>-0.21481404958677786</c:v>
                </c:pt>
                <c:pt idx="226" formatCode="0.00_);[Red]\(0.00\)">
                  <c:v>-7.0148749040299663E-2</c:v>
                </c:pt>
                <c:pt idx="227" formatCode="0.00_);[Red]\(0.00\)">
                  <c:v>-0.36874175811766463</c:v>
                </c:pt>
                <c:pt idx="228" formatCode="0.00_);[Red]\(0.00\)">
                  <c:v>6.2287573951095965E-2</c:v>
                </c:pt>
                <c:pt idx="229" formatCode="0.00_);[Red]\(0.00\)">
                  <c:v>2.8619428261777102E-2</c:v>
                </c:pt>
                <c:pt idx="230" formatCode="0.00_);[Red]\(0.00\)">
                  <c:v>3.6108081560769278E-2</c:v>
                </c:pt>
                <c:pt idx="231" formatCode="0.00_);[Red]\(0.00\)">
                  <c:v>0.10120370997600503</c:v>
                </c:pt>
                <c:pt idx="232" formatCode="0.00_);[Red]\(0.00\)">
                  <c:v>0.20625152418369908</c:v>
                </c:pt>
                <c:pt idx="233" formatCode="0.00_);[Red]\(0.00\)">
                  <c:v>7.0097209050459242E-3</c:v>
                </c:pt>
                <c:pt idx="234" formatCode="0.00_);[Red]\(0.00\)">
                  <c:v>0.47849196134217209</c:v>
                </c:pt>
                <c:pt idx="235" formatCode="0.00_);[Red]\(0.00\)">
                  <c:v>2.0001524183783204E-2</c:v>
                </c:pt>
                <c:pt idx="236" formatCode="0.00_);[Red]\(0.00\)">
                  <c:v>-0.13835230095287443</c:v>
                </c:pt>
                <c:pt idx="237" formatCode="0.00_);[Red]\(0.00\)">
                  <c:v>2.7269283746647943E-2</c:v>
                </c:pt>
                <c:pt idx="238" formatCode="0.00_);[Red]\(0.00\)">
                  <c:v>6.5267917626385952E-2</c:v>
                </c:pt>
                <c:pt idx="239" formatCode="0.00_);[Red]\(0.00\)">
                  <c:v>-0.29790842478433888</c:v>
                </c:pt>
                <c:pt idx="240" formatCode="0.00_);[Red]\(0.00\)">
                  <c:v>0.14478757395107777</c:v>
                </c:pt>
                <c:pt idx="241" formatCode="0.00_);[Red]\(0.00\)">
                  <c:v>-5.7630571738229719E-2</c:v>
                </c:pt>
                <c:pt idx="242" formatCode="0.00_);[Red]\(0.00\)">
                  <c:v>-0.42180858510596408</c:v>
                </c:pt>
                <c:pt idx="243" formatCode="0.00_);[Red]\(0.00\)">
                  <c:v>8.1620376642717929E-2</c:v>
                </c:pt>
                <c:pt idx="244" formatCode="0.00_);[Red]\(0.00\)">
                  <c:v>0.25375152418376956</c:v>
                </c:pt>
                <c:pt idx="245" formatCode="0.00_);[Red]\(0.00\)">
                  <c:v>0.42200972090512323</c:v>
                </c:pt>
                <c:pt idx="246" formatCode="0.00_);[Red]\(0.00\)">
                  <c:v>0.18432529467554559</c:v>
                </c:pt>
                <c:pt idx="247" formatCode="0.00_);[Red]\(0.00\)">
                  <c:v>-4.581809149556193E-3</c:v>
                </c:pt>
                <c:pt idx="248" formatCode="0.00_);[Red]\(0.00\)">
                  <c:v>-1.7518967619480463E-2</c:v>
                </c:pt>
                <c:pt idx="249" formatCode="0.00_);[Red]\(0.00\)">
                  <c:v>-0.27023071625342254</c:v>
                </c:pt>
                <c:pt idx="250" formatCode="0.00_);[Red]\(0.00\)">
                  <c:v>-4.4315415706932981E-2</c:v>
                </c:pt>
                <c:pt idx="251" formatCode="0.00_);[Red]\(0.00\)">
                  <c:v>-0.25790842478431841</c:v>
                </c:pt>
                <c:pt idx="252" formatCode="0.00_);[Red]\(0.00\)">
                  <c:v>0.15687090728448538</c:v>
                </c:pt>
                <c:pt idx="253" formatCode="0.00_);[Red]\(0.00\)">
                  <c:v>-0.24179723840489942</c:v>
                </c:pt>
                <c:pt idx="254" formatCode="0.00_);[Red]\(0.00\)">
                  <c:v>-0.25639191843924891</c:v>
                </c:pt>
                <c:pt idx="255" formatCode="0.00_);[Red]\(0.00\)">
                  <c:v>0.15495370997604141</c:v>
                </c:pt>
                <c:pt idx="256" formatCode="0.00_);[Red]\(0.00\)">
                  <c:v>7.7084857517036198E-2</c:v>
                </c:pt>
                <c:pt idx="257" formatCode="0.00_);[Red]\(0.00\)">
                  <c:v>0.43409305423836031</c:v>
                </c:pt>
                <c:pt idx="258" formatCode="0.00_);[Red]\(0.00\)">
                  <c:v>-9.6091371991178676E-2</c:v>
                </c:pt>
                <c:pt idx="259" formatCode="0.00_);[Red]\(0.00\)">
                  <c:v>-0.19958180914966306</c:v>
                </c:pt>
                <c:pt idx="260" formatCode="0.00_);[Red]\(0.00\)">
                  <c:v>-0.20668563428620246</c:v>
                </c:pt>
                <c:pt idx="261" formatCode="0.00_);[Red]\(0.00\)">
                  <c:v>-9.2314049586718738E-2</c:v>
                </c:pt>
                <c:pt idx="262" formatCode="0.00_);[Red]\(0.00\)">
                  <c:v>8.6517917626338203E-2</c:v>
                </c:pt>
                <c:pt idx="263" formatCode="0.00_);[Red]\(0.00\)">
                  <c:v>-0.33790842478435934</c:v>
                </c:pt>
                <c:pt idx="264" formatCode="0.00_);[Red]\(0.00\)">
                  <c:v>0.54937090728441262</c:v>
                </c:pt>
                <c:pt idx="265" formatCode="0.00_);[Red]\(0.00\)">
                  <c:v>-0.14804723840489942</c:v>
                </c:pt>
                <c:pt idx="266" formatCode="0.00_);[Red]\(0.00\)">
                  <c:v>-9.6391918439280744E-2</c:v>
                </c:pt>
                <c:pt idx="267" formatCode="0.00_);[Red]\(0.00\)">
                  <c:v>0.189120376642677</c:v>
                </c:pt>
                <c:pt idx="268" formatCode="0.00_);[Red]\(0.00\)">
                  <c:v>9.6668190850380142E-2</c:v>
                </c:pt>
                <c:pt idx="269" formatCode="0.00_);[Red]\(0.00\)">
                  <c:v>0.13492638757173836</c:v>
                </c:pt>
                <c:pt idx="270" formatCode="0.00_);[Red]\(0.00\)">
                  <c:v>6.6408628008844062E-2</c:v>
                </c:pt>
                <c:pt idx="271" formatCode="0.00_);[Red]\(0.00\)">
                  <c:v>0.20208485751697935</c:v>
                </c:pt>
                <c:pt idx="272" formatCode="0.00_);[Red]\(0.00\)">
                  <c:v>-0.1258523009528858</c:v>
                </c:pt>
                <c:pt idx="273" formatCode="0.00_);[Red]\(0.00\)">
                  <c:v>-0.28481404958677103</c:v>
                </c:pt>
                <c:pt idx="274" formatCode="0.00_);[Red]\(0.00\)">
                  <c:v>-0.2851487490403315</c:v>
                </c:pt>
                <c:pt idx="275" formatCode="0.00_);[Red]\(0.00\)">
                  <c:v>0.24625824188234446</c:v>
                </c:pt>
                <c:pt idx="276" formatCode="0.00_);[Red]\(0.00\)">
                  <c:v>0.39978757395113007</c:v>
                </c:pt>
                <c:pt idx="277" formatCode="0.00_);[Red]\(0.00\)">
                  <c:v>0.23528609492842634</c:v>
                </c:pt>
                <c:pt idx="278" formatCode="0.00_);[Red]\(0.00\)">
                  <c:v>6.4858081560771552E-2</c:v>
                </c:pt>
                <c:pt idx="279" formatCode="0.00_);[Red]\(0.00\)">
                  <c:v>1.6620376642663359E-2</c:v>
                </c:pt>
                <c:pt idx="280" formatCode="0.00_);[Red]\(0.00\)">
                  <c:v>-0.23416514248299336</c:v>
                </c:pt>
                <c:pt idx="281" formatCode="0.00_);[Red]\(0.00\)">
                  <c:v>-0.26632361242826619</c:v>
                </c:pt>
                <c:pt idx="282" formatCode="0.00_);[Red]\(0.00\)">
                  <c:v>-0.31400803865778926</c:v>
                </c:pt>
                <c:pt idx="283" formatCode="0.00_);[Red]\(0.00\)">
                  <c:v>-0.12083180914964942</c:v>
                </c:pt>
                <c:pt idx="284" formatCode="0.00_);[Red]\(0.00\)">
                  <c:v>7.8976990471346653E-3</c:v>
                </c:pt>
                <c:pt idx="285" formatCode="0.00_);[Red]\(0.00\)">
                  <c:v>-3.1473829200763248E-3</c:v>
                </c:pt>
                <c:pt idx="286" formatCode="0.00_);[Red]\(0.00\)">
                  <c:v>7.9017917626345024E-2</c:v>
                </c:pt>
                <c:pt idx="287" formatCode="0.00_);[Red]\(0.00\)">
                  <c:v>0.18084157521565203</c:v>
                </c:pt>
                <c:pt idx="288" formatCode="0.00_);[Red]\(0.00\)">
                  <c:v>0.48145424061772246</c:v>
                </c:pt>
                <c:pt idx="289" formatCode="0.00_);[Red]\(0.00\)">
                  <c:v>4.0286094928376315E-2</c:v>
                </c:pt>
                <c:pt idx="290" formatCode="0.00_);[Red]\(0.00\)">
                  <c:v>3.8191414894072295E-2</c:v>
                </c:pt>
                <c:pt idx="291" formatCode="0.00_);[Red]\(0.00\)">
                  <c:v>-0.10337962335728434</c:v>
                </c:pt>
                <c:pt idx="292" formatCode="0.00_);[Red]\(0.00\)">
                  <c:v>0.1741681908503665</c:v>
                </c:pt>
                <c:pt idx="293" formatCode="0.00_);[Red]\(0.00\)">
                  <c:v>-2.1569457616124055E-3</c:v>
                </c:pt>
                <c:pt idx="294" formatCode="0.00_);[Red]\(0.00\)">
                  <c:v>-9.2341371991153665E-2</c:v>
                </c:pt>
                <c:pt idx="295" formatCode="0.00_);[Red]\(0.00\)">
                  <c:v>-0.16333180914961076</c:v>
                </c:pt>
                <c:pt idx="296" formatCode="0.00_);[Red]\(0.00\)">
                  <c:v>-0.16335230095285169</c:v>
                </c:pt>
                <c:pt idx="297" formatCode="0.00_);[Red]\(0.00\)">
                  <c:v>-0.24689738292005359</c:v>
                </c:pt>
                <c:pt idx="298" formatCode="0.00_);[Red]\(0.00\)">
                  <c:v>-0.46556541570697618</c:v>
                </c:pt>
                <c:pt idx="299" formatCode="0.00_);[Red]\(0.00\)">
                  <c:v>-0.14790842478430477</c:v>
                </c:pt>
                <c:pt idx="300" formatCode="0.00_);[Red]\(0.00\)">
                  <c:v>-0.43187909271546232</c:v>
                </c:pt>
                <c:pt idx="301" formatCode="0.00_);[Red]\(0.00\)">
                  <c:v>2.4869428261752091E-2</c:v>
                </c:pt>
                <c:pt idx="302" formatCode="0.00_);[Red]\(0.00\)">
                  <c:v>0.18444141489408139</c:v>
                </c:pt>
                <c:pt idx="303" formatCode="0.00_);[Red]\(0.00\)">
                  <c:v>0.28412037664276113</c:v>
                </c:pt>
                <c:pt idx="304" formatCode="0.00_);[Red]\(0.00\)">
                  <c:v>0.37375152418377411</c:v>
                </c:pt>
                <c:pt idx="305" formatCode="0.00_);[Red]\(0.00\)">
                  <c:v>0.73242638757176337</c:v>
                </c:pt>
                <c:pt idx="306" formatCode="0.00_);[Red]\(0.00\)">
                  <c:v>-0.15650803865781882</c:v>
                </c:pt>
                <c:pt idx="307" formatCode="0.00_);[Red]\(0.00\)">
                  <c:v>-9.2498475816285008E-2</c:v>
                </c:pt>
                <c:pt idx="308" formatCode="0.00_);[Red]\(0.00\)">
                  <c:v>-0.36543563428625703</c:v>
                </c:pt>
                <c:pt idx="309" formatCode="0.00_);[Red]\(0.00\)">
                  <c:v>0.17935261707992822</c:v>
                </c:pt>
                <c:pt idx="310" formatCode="0.00_);[Red]\(0.00\)">
                  <c:v>-0.17764874904031558</c:v>
                </c:pt>
                <c:pt idx="311" formatCode="0.00_);[Red]\(0.00\)">
                  <c:v>-0.10915842478431159</c:v>
                </c:pt>
                <c:pt idx="312" formatCode="0.00_);[Red]\(0.00\)">
                  <c:v>-9.4795759382236611E-2</c:v>
                </c:pt>
                <c:pt idx="313" formatCode="0.00_);[Red]\(0.00\)">
                  <c:v>0.35278609492843316</c:v>
                </c:pt>
                <c:pt idx="314" formatCode="0.00_);[Red]\(0.00\)">
                  <c:v>0.10694141489409503</c:v>
                </c:pt>
                <c:pt idx="315" formatCode="0.00_);[Red]\(0.00\)">
                  <c:v>7.2037043309421733E-2</c:v>
                </c:pt>
                <c:pt idx="316" formatCode="0.00_);[Red]\(0.00\)">
                  <c:v>0.18833485751696344</c:v>
                </c:pt>
                <c:pt idx="317" formatCode="0.00_);[Red]\(0.00\)">
                  <c:v>0.10117638757162695</c:v>
                </c:pt>
                <c:pt idx="318" formatCode="0.00_);[Red]\(0.00\)">
                  <c:v>-0.46567470532448851</c:v>
                </c:pt>
                <c:pt idx="319" formatCode="0.00_);[Red]\(0.00\)">
                  <c:v>-0.20624847581632366</c:v>
                </c:pt>
                <c:pt idx="320" formatCode="0.00_);[Red]\(0.00\)">
                  <c:v>3.1647699047141487E-2</c:v>
                </c:pt>
                <c:pt idx="321" formatCode="0.00_);[Red]\(0.00\)">
                  <c:v>-1.523071625342709E-2</c:v>
                </c:pt>
                <c:pt idx="322" formatCode="0.00_);[Red]\(0.00\)">
                  <c:v>-0.32098208237363224</c:v>
                </c:pt>
                <c:pt idx="323" formatCode="0.00_);[Red]\(0.00\)">
                  <c:v>-4.2908424784286581E-2</c:v>
                </c:pt>
                <c:pt idx="324" formatCode="0.00_);[Red]\(0.00\)">
                  <c:v>0.56687090728445355</c:v>
                </c:pt>
                <c:pt idx="325" formatCode="0.00_);[Red]\(0.00\)">
                  <c:v>0.13653609492843088</c:v>
                </c:pt>
                <c:pt idx="326" formatCode="0.00_);[Red]\(0.00\)">
                  <c:v>0.11069141489400636</c:v>
                </c:pt>
                <c:pt idx="327" formatCode="0.00_);[Red]\(0.00\)">
                  <c:v>4.4953709975970924E-2</c:v>
                </c:pt>
                <c:pt idx="328" formatCode="0.00_);[Red]\(0.00\)">
                  <c:v>-0.12583180914970171</c:v>
                </c:pt>
                <c:pt idx="329" formatCode="0.00_);[Red]\(0.00\)">
                  <c:v>2.6593054238389868E-2</c:v>
                </c:pt>
                <c:pt idx="330" formatCode="0.00_);[Red]\(0.00\)">
                  <c:v>0.18307529467551831</c:v>
                </c:pt>
                <c:pt idx="331" formatCode="0.00_);[Red]\(0.00\)">
                  <c:v>-5.2081809149569835E-2</c:v>
                </c:pt>
                <c:pt idx="332" formatCode="0.00_);[Red]\(0.00\)">
                  <c:v>8.7310323805240841E-3</c:v>
                </c:pt>
                <c:pt idx="333" formatCode="0.00_);[Red]\(0.00\)">
                  <c:v>5.6852617079925949E-2</c:v>
                </c:pt>
                <c:pt idx="334" formatCode="0.00_);[Red]\(0.00\)">
                  <c:v>-0.26139874904032467</c:v>
                </c:pt>
                <c:pt idx="335" formatCode="0.00_);[Red]\(0.00\)">
                  <c:v>-0.35540842478428658</c:v>
                </c:pt>
                <c:pt idx="336" formatCode="0.00_);[Red]\(0.00\)">
                  <c:v>-0.25812909271542139</c:v>
                </c:pt>
                <c:pt idx="337" formatCode="0.00_);[Red]\(0.00\)">
                  <c:v>9.5702761595134689E-2</c:v>
                </c:pt>
                <c:pt idx="338" formatCode="0.00_);[Red]\(0.00\)">
                  <c:v>0.15652474822741169</c:v>
                </c:pt>
                <c:pt idx="339" formatCode="0.00_);[Red]\(0.00\)">
                  <c:v>9.412037664270656E-2</c:v>
                </c:pt>
                <c:pt idx="340" formatCode="0.00_);[Red]\(0.00\)">
                  <c:v>-1.2915142482938791E-2</c:v>
                </c:pt>
                <c:pt idx="341" formatCode="0.00_);[Red]\(0.00\)">
                  <c:v>-5.0490279094958623E-2</c:v>
                </c:pt>
                <c:pt idx="342" formatCode="0.00_);[Red]\(0.00\)">
                  <c:v>0.56474196134223575</c:v>
                </c:pt>
                <c:pt idx="343" formatCode="0.00_);[Red]\(0.00\)">
                  <c:v>-0.11749847581626227</c:v>
                </c:pt>
                <c:pt idx="344" formatCode="0.00_);[Red]\(0.00\)">
                  <c:v>-3.0435634286163804E-2</c:v>
                </c:pt>
                <c:pt idx="345" formatCode="0.00_);[Red]\(0.00\)">
                  <c:v>-9.356404958685971E-2</c:v>
                </c:pt>
                <c:pt idx="346" formatCode="0.00_);[Red]\(0.00\)">
                  <c:v>-5.6815415706978456E-2</c:v>
                </c:pt>
                <c:pt idx="347" formatCode="0.00_);[Red]\(0.00\)">
                  <c:v>-0.38915842478434115</c:v>
                </c:pt>
                <c:pt idx="348" formatCode="0.00_);[Red]\(0.00\)">
                  <c:v>-0.28562909271551007</c:v>
                </c:pt>
                <c:pt idx="349" formatCode="0.00_);[Red]\(0.00\)">
                  <c:v>-9.9297238404915333E-2</c:v>
                </c:pt>
                <c:pt idx="350" formatCode="0.00_);[Red]\(0.00\)">
                  <c:v>9.6941414894047284E-2</c:v>
                </c:pt>
                <c:pt idx="351" formatCode="0.00_);[Red]\(0.00\)">
                  <c:v>5.4120376642799783E-2</c:v>
                </c:pt>
                <c:pt idx="352" formatCode="0.00_);[Red]\(0.00\)">
                  <c:v>-0.25166514248297744</c:v>
                </c:pt>
                <c:pt idx="353" formatCode="0.00_);[Red]\(0.00\)">
                  <c:v>0.24034305423845126</c:v>
                </c:pt>
                <c:pt idx="354" formatCode="0.00_);[Red]\(0.00\)">
                  <c:v>0.13265862800881223</c:v>
                </c:pt>
                <c:pt idx="355" formatCode="0.00_);[Red]\(0.00\)">
                  <c:v>-5.9998475816314567E-2</c:v>
                </c:pt>
                <c:pt idx="356" formatCode="0.00_);[Red]\(0.00\)">
                  <c:v>-9.2935634286220647E-2</c:v>
                </c:pt>
                <c:pt idx="357" formatCode="0.00_);[Red]\(0.00\)">
                  <c:v>-0.31148071625341345</c:v>
                </c:pt>
                <c:pt idx="358" formatCode="0.00_);[Red]\(0.00\)">
                  <c:v>-1.3482082373741378E-2</c:v>
                </c:pt>
                <c:pt idx="359" formatCode="0.00_);[Red]\(0.00\)">
                  <c:v>0.43459157521567704</c:v>
                </c:pt>
                <c:pt idx="360" formatCode="0.00_);[Red]\(0.00\)">
                  <c:v>5.4370907284521763E-2</c:v>
                </c:pt>
                <c:pt idx="361" formatCode="0.00_);[Red]\(0.00\)">
                  <c:v>8.6194282617384488E-3</c:v>
                </c:pt>
                <c:pt idx="362" formatCode="0.00_);[Red]\(0.00\)">
                  <c:v>-5.3475251772624688E-2</c:v>
                </c:pt>
                <c:pt idx="363" formatCode="0.00_);[Red]\(0.00\)">
                  <c:v>5.5787043309408091E-2</c:v>
                </c:pt>
                <c:pt idx="364" formatCode="0.00_);[Red]\(0.00\)">
                  <c:v>7.0001524183737729E-2</c:v>
                </c:pt>
                <c:pt idx="365" formatCode="0.00_);[Red]\(0.00\)">
                  <c:v>0.10492638757176564</c:v>
                </c:pt>
                <c:pt idx="366" formatCode="0.00_);[Red]\(0.00\)">
                  <c:v>8.2658628008857704E-2</c:v>
                </c:pt>
                <c:pt idx="367" formatCode="0.00_);[Red]\(0.00\)">
                  <c:v>0.21833485751704984</c:v>
                </c:pt>
                <c:pt idx="368" formatCode="0.00_);[Red]\(0.00\)">
                  <c:v>-3.7689676194645472E-3</c:v>
                </c:pt>
                <c:pt idx="369" formatCode="0.00_);[Red]\(0.00\)">
                  <c:v>-1.3147382920124073E-2</c:v>
                </c:pt>
                <c:pt idx="370" formatCode="0.00_);[Red]\(0.00\)">
                  <c:v>0.34193458429302837</c:v>
                </c:pt>
                <c:pt idx="371" formatCode="0.00_);[Red]\(0.00\)">
                  <c:v>-9.8325091450988111E-2</c:v>
                </c:pt>
                <c:pt idx="372" formatCode="0.00_);[Red]\(0.00\)">
                  <c:v>-0.26312909271547369</c:v>
                </c:pt>
                <c:pt idx="373" formatCode="0.00_);[Red]\(0.00\)">
                  <c:v>0.16986942826179074</c:v>
                </c:pt>
                <c:pt idx="374" formatCode="0.00_);[Red]\(0.00\)">
                  <c:v>-0.17055858510587996</c:v>
                </c:pt>
                <c:pt idx="375" formatCode="0.00_);[Red]\(0.00\)">
                  <c:v>-9.8379623357232049E-2</c:v>
                </c:pt>
                <c:pt idx="376" formatCode="0.00_);[Red]\(0.00\)">
                  <c:v>0.22541819085029147</c:v>
                </c:pt>
                <c:pt idx="377" formatCode="0.00_);[Red]\(0.00\)">
                  <c:v>2.7843054238303466E-2</c:v>
                </c:pt>
                <c:pt idx="378" formatCode="0.00_);[Red]\(0.00\)">
                  <c:v>-0.17650803865780063</c:v>
                </c:pt>
                <c:pt idx="379" formatCode="0.00_);[Red]\(0.00\)">
                  <c:v>2.2918190850418796E-2</c:v>
                </c:pt>
                <c:pt idx="380" formatCode="0.00_);[Red]\(0.00\)">
                  <c:v>-3.7102300952881251E-2</c:v>
                </c:pt>
                <c:pt idx="381" formatCode="0.00_);[Red]\(0.00\)">
                  <c:v>-8.9397382920139989E-2</c:v>
                </c:pt>
                <c:pt idx="382" formatCode="0.00_);[Red]\(0.00\)">
                  <c:v>1.985125095973217E-2</c:v>
                </c:pt>
                <c:pt idx="383" formatCode="0.00_);[Red]\(0.00\)">
                  <c:v>0.33500824188229217</c:v>
                </c:pt>
                <c:pt idx="384" formatCode="0.00_);[Red]\(0.00\)">
                  <c:v>0.23728757395110733</c:v>
                </c:pt>
                <c:pt idx="385" formatCode="0.00_);[Red]\(0.00\)">
                  <c:v>-0.2559639050715532</c:v>
                </c:pt>
                <c:pt idx="386" formatCode="0.00_);[Red]\(0.00\)">
                  <c:v>9.777474822737986E-2</c:v>
                </c:pt>
                <c:pt idx="387" formatCode="0.00_);[Red]\(0.00\)">
                  <c:v>-0.24379629002396541</c:v>
                </c:pt>
                <c:pt idx="388" formatCode="0.00_);[Red]\(0.00\)">
                  <c:v>-0.14791514248298654</c:v>
                </c:pt>
                <c:pt idx="389" formatCode="0.00_);[Red]\(0.00\)">
                  <c:v>2.0097209050504716E-3</c:v>
                </c:pt>
                <c:pt idx="390" formatCode="0.00_);[Red]\(0.00\)">
                  <c:v>-0.27150803865777107</c:v>
                </c:pt>
                <c:pt idx="391" formatCode="0.00_);[Red]\(0.00\)">
                  <c:v>-0.10291514248302747</c:v>
                </c:pt>
                <c:pt idx="392" formatCode="0.00_);[Red]\(0.00\)">
                  <c:v>8.0814365713706593E-2</c:v>
                </c:pt>
                <c:pt idx="393" formatCode="0.00_);[Red]\(0.00\)">
                  <c:v>0.1222692837465047</c:v>
                </c:pt>
                <c:pt idx="394" formatCode="0.00_);[Red]\(0.00\)">
                  <c:v>-0.4547320823736527</c:v>
                </c:pt>
                <c:pt idx="395" formatCode="0.00_);[Red]\(0.00\)">
                  <c:v>-0.16249175811776695</c:v>
                </c:pt>
                <c:pt idx="396" formatCode="0.00_);[Red]\(0.00\)">
                  <c:v>0.47395424061778613</c:v>
                </c:pt>
                <c:pt idx="397" formatCode="0.00_);[Red]\(0.00\)">
                  <c:v>0.60570276159512559</c:v>
                </c:pt>
                <c:pt idx="398" formatCode="0.00_);[Red]\(0.00\)">
                  <c:v>0.77152474822742079</c:v>
                </c:pt>
                <c:pt idx="399" formatCode="0.00_);[Red]\(0.00\)">
                  <c:v>0.32328704330939217</c:v>
                </c:pt>
                <c:pt idx="400" formatCode="0.00_);[Red]\(0.00\)">
                  <c:v>-0.20166514248296608</c:v>
                </c:pt>
                <c:pt idx="401" formatCode="0.00_);[Red]\(0.00\)">
                  <c:v>-0.31715694576166698</c:v>
                </c:pt>
                <c:pt idx="402" formatCode="0.00_);[Red]\(0.00\)">
                  <c:v>-0.45025803865780745</c:v>
                </c:pt>
                <c:pt idx="403" formatCode="0.00_);[Red]\(0.00\)">
                  <c:v>-0.31749847581630775</c:v>
                </c:pt>
                <c:pt idx="404" formatCode="0.00_);[Red]\(0.00\)">
                  <c:v>-8.9185634286195636E-2</c:v>
                </c:pt>
                <c:pt idx="405" formatCode="0.00_);[Red]\(0.00\)">
                  <c:v>-6.8564049586711917E-2</c:v>
                </c:pt>
                <c:pt idx="406" formatCode="0.00_);[Red]\(0.00\)">
                  <c:v>-9.2648749040336043E-2</c:v>
                </c:pt>
                <c:pt idx="407" formatCode="0.00_);[Red]\(0.00\)">
                  <c:v>-7.4575091450924447E-2</c:v>
                </c:pt>
                <c:pt idx="408" formatCode="0.00_);[Red]\(0.00\)">
                  <c:v>0.26020424061778158</c:v>
                </c:pt>
                <c:pt idx="409" formatCode="0.00_);[Red]\(0.00\)">
                  <c:v>0.30278609492842179</c:v>
                </c:pt>
                <c:pt idx="410" formatCode="0.00_);[Red]\(0.00\)">
                  <c:v>0.25694141489412914</c:v>
                </c:pt>
                <c:pt idx="411" formatCode="0.00_);[Red]\(0.00\)">
                  <c:v>0.53537037664267473</c:v>
                </c:pt>
                <c:pt idx="412" formatCode="0.00_);[Red]\(0.00\)">
                  <c:v>-0.11083180914965851</c:v>
                </c:pt>
                <c:pt idx="413" formatCode="0.00_);[Red]\(0.00\)">
                  <c:v>-4.1323612428357137E-2</c:v>
                </c:pt>
                <c:pt idx="414" formatCode="0.00_);[Red]\(0.00\)">
                  <c:v>-0.2794247053245158</c:v>
                </c:pt>
                <c:pt idx="415" formatCode="0.00_);[Red]\(0.00\)">
                  <c:v>0.10666819085037105</c:v>
                </c:pt>
                <c:pt idx="416" formatCode="0.00_);[Red]\(0.00\)">
                  <c:v>-0.3575189676195123</c:v>
                </c:pt>
                <c:pt idx="417" formatCode="0.00_);[Red]\(0.00\)">
                  <c:v>-0.32189738292009906</c:v>
                </c:pt>
                <c:pt idx="418" formatCode="0.00_);[Red]\(0.00\)">
                  <c:v>-5.9820823736913553E-3</c:v>
                </c:pt>
                <c:pt idx="419" formatCode="0.00_);[Red]\(0.00\)">
                  <c:v>-0.21582509145099493</c:v>
                </c:pt>
                <c:pt idx="420" formatCode="0.00_);[Red]\(0.00\)">
                  <c:v>0.26603757395105276</c:v>
                </c:pt>
                <c:pt idx="421" formatCode="0.00_);[Red]\(0.00\)">
                  <c:v>7.3619428261736175E-2</c:v>
                </c:pt>
                <c:pt idx="422" formatCode="0.00_);[Red]\(0.00\)">
                  <c:v>0.32319141489404046</c:v>
                </c:pt>
                <c:pt idx="423" formatCode="0.00_);[Red]\(0.00\)">
                  <c:v>0.25828704330939445</c:v>
                </c:pt>
                <c:pt idx="424" formatCode="0.00_);[Red]\(0.00\)">
                  <c:v>-0.26916514248296153</c:v>
                </c:pt>
                <c:pt idx="425" formatCode="0.00_);[Red]\(0.00\)">
                  <c:v>-0.32340694576163287</c:v>
                </c:pt>
                <c:pt idx="426" formatCode="0.00_);[Red]\(0.00\)">
                  <c:v>-0.49775803865782109</c:v>
                </c:pt>
                <c:pt idx="427" formatCode="0.00_);[Red]\(0.00\)">
                  <c:v>-0.21624847581631457</c:v>
                </c:pt>
                <c:pt idx="428" formatCode="0.00_);[Red]\(0.00\)">
                  <c:v>-0.27543563428622519</c:v>
                </c:pt>
                <c:pt idx="429" formatCode="0.00_);[Red]\(0.00\)">
                  <c:v>-9.3980716253440733E-2</c:v>
                </c:pt>
                <c:pt idx="430" formatCode="0.00_);[Red]\(0.00\)">
                  <c:v>0.39110125095965032</c:v>
                </c:pt>
                <c:pt idx="431" formatCode="0.00_);[Red]\(0.00\)">
                  <c:v>0.13167490854897324</c:v>
                </c:pt>
                <c:pt idx="432" formatCode="0.00_);[Red]\(0.00\)">
                  <c:v>0.34228757395112552</c:v>
                </c:pt>
                <c:pt idx="433" formatCode="0.00_);[Red]\(0.00\)">
                  <c:v>0.24320276159505738</c:v>
                </c:pt>
                <c:pt idx="434" formatCode="0.00_);[Red]\(0.00\)">
                  <c:v>3.1914148940472842E-3</c:v>
                </c:pt>
                <c:pt idx="435" formatCode="0.00_);[Red]\(0.00\)">
                  <c:v>-0.21087962335730026</c:v>
                </c:pt>
                <c:pt idx="436" formatCode="0.00_);[Red]\(0.00\)">
                  <c:v>-0.1304151424830593</c:v>
                </c:pt>
                <c:pt idx="437" formatCode="0.00_);[Red]\(0.00\)">
                  <c:v>-0.21632361242825482</c:v>
                </c:pt>
                <c:pt idx="438" formatCode="0.00_);[Red]\(0.00\)">
                  <c:v>-0.21817470532454308</c:v>
                </c:pt>
                <c:pt idx="439" formatCode="0.00_);[Red]\(0.00\)">
                  <c:v>-9.5831809149672154E-2</c:v>
                </c:pt>
                <c:pt idx="440" formatCode="0.00_);[Red]\(0.00\)">
                  <c:v>2.9564365713724783E-2</c:v>
                </c:pt>
                <c:pt idx="441" formatCode="0.00_);[Red]\(0.00\)">
                  <c:v>0.14101928374657291</c:v>
                </c:pt>
                <c:pt idx="442" formatCode="0.00_);[Red]\(0.00\)">
                  <c:v>-6.9732082373661797E-2</c:v>
                </c:pt>
                <c:pt idx="443" formatCode="0.00_);[Red]\(0.00\)">
                  <c:v>0.14542490854898915</c:v>
                </c:pt>
                <c:pt idx="444" formatCode="0.00_);[Red]\(0.00\)">
                  <c:v>-7.6879092715557817E-2</c:v>
                </c:pt>
                <c:pt idx="445" formatCode="0.00_);[Red]\(0.00\)">
                  <c:v>0.3623694282617862</c:v>
                </c:pt>
                <c:pt idx="446" formatCode="0.00_);[Red]\(0.00\)">
                  <c:v>6.4024748227382133E-2</c:v>
                </c:pt>
                <c:pt idx="447" formatCode="0.00_);[Red]\(0.00\)">
                  <c:v>9.4953709976039136E-2</c:v>
                </c:pt>
                <c:pt idx="448" formatCode="0.00_);[Red]\(0.00\)">
                  <c:v>0.19958485751692479</c:v>
                </c:pt>
                <c:pt idx="449" formatCode="0.00_);[Red]\(0.00\)">
                  <c:v>-0.28257361242839352</c:v>
                </c:pt>
                <c:pt idx="450" formatCode="0.00_);[Red]\(0.00\)">
                  <c:v>-8.1091371991078631E-2</c:v>
                </c:pt>
                <c:pt idx="451" formatCode="0.00_);[Red]\(0.00\)">
                  <c:v>-0.41041514248291833</c:v>
                </c:pt>
                <c:pt idx="452" formatCode="0.00_);[Red]\(0.00\)">
                  <c:v>4.1476990471096542E-3</c:v>
                </c:pt>
                <c:pt idx="453" formatCode="0.00_);[Red]\(0.00\)">
                  <c:v>-0.15856404958674375</c:v>
                </c:pt>
                <c:pt idx="454" formatCode="0.00_);[Red]\(0.00\)">
                  <c:v>0.10026791762635412</c:v>
                </c:pt>
                <c:pt idx="455" formatCode="0.00_);[Red]\(0.00\)">
                  <c:v>0.49709157521567704</c:v>
                </c:pt>
                <c:pt idx="456" formatCode="0.00_);[Red]\(0.00\)">
                  <c:v>0.45603757395110733</c:v>
                </c:pt>
                <c:pt idx="457" formatCode="0.00_);[Red]\(0.00\)">
                  <c:v>-0.20554723840496081</c:v>
                </c:pt>
                <c:pt idx="458" formatCode="0.00_);[Red]\(0.00\)">
                  <c:v>-0.11597525177256784</c:v>
                </c:pt>
                <c:pt idx="459" formatCode="0.00_);[Red]\(0.00\)">
                  <c:v>3.8703709976061873E-2</c:v>
                </c:pt>
                <c:pt idx="460" formatCode="0.00_);[Red]\(0.00\)">
                  <c:v>0.23375152418367406</c:v>
                </c:pt>
                <c:pt idx="461" formatCode="0.00_);[Red]\(0.00\)">
                  <c:v>0.12284305423838759</c:v>
                </c:pt>
                <c:pt idx="462" formatCode="0.00_);[Red]\(0.00\)">
                  <c:v>-0.16650803865786656</c:v>
                </c:pt>
                <c:pt idx="463" formatCode="0.00_);[Red]\(0.00\)">
                  <c:v>2.5001524183721813E-2</c:v>
                </c:pt>
                <c:pt idx="464" formatCode="0.00_);[Red]\(0.00\)">
                  <c:v>-0.22668563428612742</c:v>
                </c:pt>
                <c:pt idx="465" formatCode="0.00_);[Red]\(0.00\)">
                  <c:v>9.4352617079948686E-2</c:v>
                </c:pt>
                <c:pt idx="466" formatCode="0.00_);[Red]\(0.00\)">
                  <c:v>-5.389874904028602E-2</c:v>
                </c:pt>
                <c:pt idx="467" formatCode="0.00_);[Red]\(0.00\)">
                  <c:v>3.4174908548948224E-2</c:v>
                </c:pt>
                <c:pt idx="468" formatCode="0.00_);[Red]\(0.00\)">
                  <c:v>-0.14729575938218886</c:v>
                </c:pt>
                <c:pt idx="469" formatCode="0.00_);[Red]\(0.00\)">
                  <c:v>0.3573694282617339</c:v>
                </c:pt>
                <c:pt idx="470" formatCode="0.00_);[Red]\(0.00\)">
                  <c:v>0.1861080815606897</c:v>
                </c:pt>
                <c:pt idx="471" formatCode="0.00_);[Red]\(0.00\)">
                  <c:v>-0.41212962335725933</c:v>
                </c:pt>
                <c:pt idx="472" formatCode="0.00_);[Red]\(0.00\)">
                  <c:v>-0.11208180914962895</c:v>
                </c:pt>
                <c:pt idx="473" formatCode="0.00_);[Red]\(0.00\)">
                  <c:v>-0.12340694576158739</c:v>
                </c:pt>
                <c:pt idx="474" formatCode="0.00_);[Red]\(0.00\)">
                  <c:v>-0.84359137199118095</c:v>
                </c:pt>
                <c:pt idx="475" formatCode="0.00_);[Red]\(0.00\)">
                  <c:v>-0.33916514248295471</c:v>
                </c:pt>
                <c:pt idx="476" formatCode="0.00_);[Red]\(0.00\)">
                  <c:v>-0.16251896761957596</c:v>
                </c:pt>
                <c:pt idx="477" formatCode="0.00_);[Red]\(0.00\)">
                  <c:v>0.28393595041319486</c:v>
                </c:pt>
                <c:pt idx="478" formatCode="0.00_);[Red]\(0.00\)">
                  <c:v>0.11985125095958438</c:v>
                </c:pt>
                <c:pt idx="479" formatCode="0.00_);[Red]\(0.00\)">
                  <c:v>3.5841575215613375E-2</c:v>
                </c:pt>
                <c:pt idx="480" formatCode="0.00_);[Red]\(0.00\)">
                  <c:v>0.22645424061778385</c:v>
                </c:pt>
                <c:pt idx="481" formatCode="0.00_);[Red]\(0.00\)">
                  <c:v>1.2369428261820303E-2</c:v>
                </c:pt>
                <c:pt idx="482" formatCode="0.00_);[Red]\(0.00\)">
                  <c:v>-6.0558585105866314E-2</c:v>
                </c:pt>
                <c:pt idx="483" formatCode="0.00_);[Red]\(0.00\)">
                  <c:v>3.7037099760368619E-3</c:v>
                </c:pt>
                <c:pt idx="484" formatCode="0.00_);[Red]\(0.00\)">
                  <c:v>0.1645848575170703</c:v>
                </c:pt>
                <c:pt idx="485" formatCode="0.00_);[Red]\(0.00\)">
                  <c:v>0.21159305423839214</c:v>
                </c:pt>
                <c:pt idx="486" formatCode="0.00_);[Red]\(0.00\)">
                  <c:v>-8.234137199116276E-2</c:v>
                </c:pt>
                <c:pt idx="487" formatCode="0.00_);[Red]\(0.00\)">
                  <c:v>0.17000152418376047</c:v>
                </c:pt>
                <c:pt idx="488" formatCode="0.00_);[Red]\(0.00\)">
                  <c:v>-5.1685634286229742E-2</c:v>
                </c:pt>
                <c:pt idx="489" formatCode="0.00_);[Red]\(0.00\)">
                  <c:v>0.162269283746582</c:v>
                </c:pt>
                <c:pt idx="490" formatCode="0.00_);[Red]\(0.00\)">
                  <c:v>0.26651791762628818</c:v>
                </c:pt>
                <c:pt idx="491" formatCode="0.00_);[Red]\(0.00\)">
                  <c:v>0.2354249085489073</c:v>
                </c:pt>
                <c:pt idx="492" formatCode="0.00_);[Red]\(0.00\)">
                  <c:v>0.19853757395105731</c:v>
                </c:pt>
                <c:pt idx="493" formatCode="0.00_);[Red]\(0.00\)">
                  <c:v>0.46445276159505511</c:v>
                </c:pt>
                <c:pt idx="494" formatCode="0.00_);[Red]\(0.00\)">
                  <c:v>-0.25680858510600046</c:v>
                </c:pt>
                <c:pt idx="495" formatCode="0.00_);[Red]\(0.00\)">
                  <c:v>-0.27796295669065785</c:v>
                </c:pt>
                <c:pt idx="496" formatCode="0.00_);[Red]\(0.00\)">
                  <c:v>0.18833485751702028</c:v>
                </c:pt>
                <c:pt idx="497" formatCode="0.00_);[Red]\(0.00\)">
                  <c:v>-7.9656945761598763E-2</c:v>
                </c:pt>
                <c:pt idx="498" formatCode="0.00_);[Red]\(0.00\)">
                  <c:v>-0.638174705324559</c:v>
                </c:pt>
                <c:pt idx="499" formatCode="0.00_);[Red]\(0.00\)">
                  <c:v>-8.5415142483043383E-2</c:v>
                </c:pt>
                <c:pt idx="500" formatCode="0.00_);[Red]\(0.00\)">
                  <c:v>0.13289769904719151</c:v>
                </c:pt>
                <c:pt idx="501" formatCode="0.00_);[Red]\(0.00\)">
                  <c:v>0.19851928374652061</c:v>
                </c:pt>
                <c:pt idx="502" formatCode="0.00_);[Red]\(0.00\)">
                  <c:v>0.30068458429292377</c:v>
                </c:pt>
                <c:pt idx="503" formatCode="0.00_);[Red]\(0.00\)">
                  <c:v>-9.957509145107224E-2</c:v>
                </c:pt>
                <c:pt idx="504" formatCode="0.00_);[Red]\(0.00\)">
                  <c:v>0.14020424061777703</c:v>
                </c:pt>
                <c:pt idx="505" formatCode="0.00_);[Red]\(0.00\)">
                  <c:v>-7.4713905071575937E-2</c:v>
                </c:pt>
                <c:pt idx="506" formatCode="0.00_);[Red]\(0.00\)">
                  <c:v>-0.53139191843933986</c:v>
                </c:pt>
                <c:pt idx="507" formatCode="0.00_);[Red]\(0.00\)">
                  <c:v>-7.9212956690639658E-2</c:v>
                </c:pt>
                <c:pt idx="508" formatCode="0.00_);[Red]\(0.00\)">
                  <c:v>-0.12958180914966988</c:v>
                </c:pt>
                <c:pt idx="509" formatCode="0.00_);[Red]\(0.00\)">
                  <c:v>-0.12424027909491997</c:v>
                </c:pt>
                <c:pt idx="510" formatCode="0.00_);[Red]\(0.00\)">
                  <c:v>1.8075294675497844E-2</c:v>
                </c:pt>
                <c:pt idx="511" formatCode="0.00_);[Red]\(0.00\)">
                  <c:v>0.13375152418370817</c:v>
                </c:pt>
                <c:pt idx="512" formatCode="0.00_);[Red]\(0.00\)">
                  <c:v>0.27706436571384074</c:v>
                </c:pt>
                <c:pt idx="513" formatCode="0.00_);[Red]\(0.00\)">
                  <c:v>0.18435261707986683</c:v>
                </c:pt>
                <c:pt idx="514" formatCode="0.00_);[Red]\(0.00\)">
                  <c:v>-0.1322320823736618</c:v>
                </c:pt>
                <c:pt idx="515" formatCode="0.00_);[Red]\(0.00\)">
                  <c:v>0.33042490854899143</c:v>
                </c:pt>
                <c:pt idx="516" formatCode="0.00_);[Red]\(0.00\)">
                  <c:v>0.15687090728442854</c:v>
                </c:pt>
                <c:pt idx="517" formatCode="0.00_);[Red]\(0.00\)">
                  <c:v>-0.43138057173825928</c:v>
                </c:pt>
                <c:pt idx="518" formatCode="0.00_);[Red]\(0.00\)">
                  <c:v>0.12110808156069197</c:v>
                </c:pt>
                <c:pt idx="519" formatCode="0.00_);[Red]\(0.00\)">
                  <c:v>4.1203766426747279E-3</c:v>
                </c:pt>
                <c:pt idx="520" formatCode="0.00_);[Red]\(0.00\)">
                  <c:v>-0.21708180914964714</c:v>
                </c:pt>
                <c:pt idx="521" formatCode="0.00_);[Red]\(0.00\)">
                  <c:v>-0.30507361242831621</c:v>
                </c:pt>
                <c:pt idx="522" formatCode="0.00_);[Red]\(0.00\)">
                  <c:v>-0.22484137199114684</c:v>
                </c:pt>
                <c:pt idx="523" formatCode="0.00_);[Red]\(0.00\)">
                  <c:v>-0.11333180914965624</c:v>
                </c:pt>
                <c:pt idx="524" formatCode="0.00_);[Red]\(0.00\)">
                  <c:v>5.4564365713815732E-2</c:v>
                </c:pt>
                <c:pt idx="525" formatCode="0.00_);[Red]\(0.00\)">
                  <c:v>0.29976928374662748</c:v>
                </c:pt>
                <c:pt idx="526" formatCode="0.00_);[Red]\(0.00\)">
                  <c:v>0.3661012509597299</c:v>
                </c:pt>
                <c:pt idx="527" formatCode="0.00_);[Red]\(0.00\)">
                  <c:v>0.19042490854900507</c:v>
                </c:pt>
                <c:pt idx="528" formatCode="0.00_);[Red]\(0.00\)">
                  <c:v>-0.24229575938227299</c:v>
                </c:pt>
                <c:pt idx="529" formatCode="0.00_);[Red]\(0.00\)">
                  <c:v>-0.33221390507156912</c:v>
                </c:pt>
                <c:pt idx="530" formatCode="0.00_);[Red]\(0.00\)">
                  <c:v>-0.3151419184392239</c:v>
                </c:pt>
                <c:pt idx="531" formatCode="0.00_);[Red]\(0.00\)">
                  <c:v>5.1620376642745214E-2</c:v>
                </c:pt>
                <c:pt idx="532" formatCode="0.00_);[Red]\(0.00\)">
                  <c:v>0.10291819085040288</c:v>
                </c:pt>
                <c:pt idx="533" formatCode="0.00_);[Red]\(0.00\)">
                  <c:v>-0.49840694576158739</c:v>
                </c:pt>
                <c:pt idx="534" formatCode="0.00_);[Red]\(0.00\)">
                  <c:v>0.30224196134213344</c:v>
                </c:pt>
                <c:pt idx="535" formatCode="0.00_);[Red]\(0.00\)">
                  <c:v>-0.24958180914956074</c:v>
                </c:pt>
                <c:pt idx="536" formatCode="0.00_);[Red]\(0.00\)">
                  <c:v>7.1647699047105107E-2</c:v>
                </c:pt>
                <c:pt idx="537" formatCode="0.00_);[Red]\(0.00\)">
                  <c:v>0.37726928374655699</c:v>
                </c:pt>
                <c:pt idx="538" formatCode="0.00_);[Red]\(0.00\)">
                  <c:v>0.10943458429306929</c:v>
                </c:pt>
                <c:pt idx="539" formatCode="0.00_);[Red]\(0.00\)">
                  <c:v>0.1816749085489846</c:v>
                </c:pt>
                <c:pt idx="540" formatCode="0.00_);[Red]\(0.00\)">
                  <c:v>-0.22646242604884037</c:v>
                </c:pt>
                <c:pt idx="541" formatCode="0.00_);[Red]\(0.00\)">
                  <c:v>-0.11179723840490396</c:v>
                </c:pt>
                <c:pt idx="542" formatCode="0.00_);[Red]\(0.00\)">
                  <c:v>-0.11389191843926483</c:v>
                </c:pt>
                <c:pt idx="543" formatCode="0.00_);[Red]\(0.00\)">
                  <c:v>0.21453704330934897</c:v>
                </c:pt>
                <c:pt idx="544" formatCode="0.00_);[Red]\(0.00\)">
                  <c:v>0.14750152418366724</c:v>
                </c:pt>
                <c:pt idx="545" formatCode="0.00_);[Red]\(0.00\)">
                  <c:v>4.5097209050481979E-3</c:v>
                </c:pt>
                <c:pt idx="546" formatCode="0.00_);[Red]\(0.00\)">
                  <c:v>0.13099196134220392</c:v>
                </c:pt>
                <c:pt idx="547" formatCode="0.00_);[Red]\(0.00\)">
                  <c:v>6.0001524183803667E-2</c:v>
                </c:pt>
                <c:pt idx="548" formatCode="0.00_);[Red]\(0.00\)">
                  <c:v>-7.8768967619453178E-2</c:v>
                </c:pt>
                <c:pt idx="549" formatCode="0.00_);[Red]\(0.00\)">
                  <c:v>-5.6480716253304308E-2</c:v>
                </c:pt>
                <c:pt idx="550" formatCode="0.00_);[Red]\(0.00\)">
                  <c:v>-1.0565415706878412E-2</c:v>
                </c:pt>
                <c:pt idx="551" formatCode="0.00_);[Red]\(0.00\)">
                  <c:v>-0.17040842478439799</c:v>
                </c:pt>
                <c:pt idx="552" formatCode="0.00_);[Red]\(0.00\)">
                  <c:v>7.0620907284478562E-2</c:v>
                </c:pt>
                <c:pt idx="553" formatCode="0.00_);[Red]\(0.00\)">
                  <c:v>0.86945276159508467</c:v>
                </c:pt>
                <c:pt idx="554" formatCode="0.00_);[Red]\(0.00\)">
                  <c:v>0.3836080815606806</c:v>
                </c:pt>
                <c:pt idx="555" formatCode="0.00_);[Red]\(0.00\)">
                  <c:v>-9.8796290023983602E-2</c:v>
                </c:pt>
                <c:pt idx="556" formatCode="0.00_);[Red]\(0.00\)">
                  <c:v>-0.39583180914968352</c:v>
                </c:pt>
                <c:pt idx="557" formatCode="0.00_);[Red]\(0.00\)">
                  <c:v>-0.34590694576161241</c:v>
                </c:pt>
                <c:pt idx="558" formatCode="0.00_);[Red]\(0.00\)">
                  <c:v>-0.49525803865776652</c:v>
                </c:pt>
                <c:pt idx="559" formatCode="0.00_);[Red]\(0.00\)">
                  <c:v>-0.3374984758163464</c:v>
                </c:pt>
                <c:pt idx="560" formatCode="0.00_);[Red]\(0.00\)">
                  <c:v>-0.12501896761961007</c:v>
                </c:pt>
                <c:pt idx="561" formatCode="0.00_);[Red]\(0.00\)">
                  <c:v>0.13810261707993732</c:v>
                </c:pt>
                <c:pt idx="562" formatCode="0.00_);[Red]\(0.00\)">
                  <c:v>-0.13473208237377321</c:v>
                </c:pt>
                <c:pt idx="563" formatCode="0.00_);[Red]\(0.00\)">
                  <c:v>0.26084157521569296</c:v>
                </c:pt>
                <c:pt idx="564" formatCode="0.00_);[Red]\(0.00\)">
                  <c:v>-0.16437909271559192</c:v>
                </c:pt>
                <c:pt idx="565" formatCode="0.00_);[Red]\(0.00\)">
                  <c:v>0.38361942826190898</c:v>
                </c:pt>
                <c:pt idx="566" formatCode="0.00_);[Red]\(0.00\)">
                  <c:v>-0.12972525177252692</c:v>
                </c:pt>
                <c:pt idx="567" formatCode="0.00_);[Red]\(0.00\)">
                  <c:v>0.22495370997597774</c:v>
                </c:pt>
                <c:pt idx="568" formatCode="0.00_);[Red]\(0.00\)">
                  <c:v>0.20416819085033922</c:v>
                </c:pt>
                <c:pt idx="569" formatCode="0.00_);[Red]\(0.00\)">
                  <c:v>0.12534305423838532</c:v>
                </c:pt>
                <c:pt idx="570" formatCode="0.00_);[Red]\(0.00\)">
                  <c:v>-0.53400803865781654</c:v>
                </c:pt>
                <c:pt idx="571" formatCode="0.00_);[Red]\(0.00\)">
                  <c:v>-0.23083180914960622</c:v>
                </c:pt>
                <c:pt idx="572" formatCode="0.00_);[Red]\(0.00\)">
                  <c:v>-0.20418563428620473</c:v>
                </c:pt>
                <c:pt idx="573" formatCode="0.00_);[Red]\(0.00\)">
                  <c:v>8.8935950413258524E-2</c:v>
                </c:pt>
                <c:pt idx="574" formatCode="0.00_);[Red]\(0.00\)">
                  <c:v>0.40360125095969579</c:v>
                </c:pt>
                <c:pt idx="575" formatCode="0.00_);[Red]\(0.00\)">
                  <c:v>0.2754249085489846</c:v>
                </c:pt>
                <c:pt idx="576" formatCode="0.00_);[Red]\(0.00\)">
                  <c:v>-3.7712426048869929E-2</c:v>
                </c:pt>
                <c:pt idx="577" formatCode="0.00_);[Red]\(0.00\)">
                  <c:v>0.35278609492837631</c:v>
                </c:pt>
                <c:pt idx="578" formatCode="0.00_);[Red]\(0.00\)">
                  <c:v>0.24944141489402227</c:v>
                </c:pt>
                <c:pt idx="579" formatCode="0.00_);[Red]\(0.00\)">
                  <c:v>-6.5046290023985875E-2</c:v>
                </c:pt>
                <c:pt idx="580" formatCode="0.00_);[Red]\(0.00\)">
                  <c:v>-0.30583180914965169</c:v>
                </c:pt>
                <c:pt idx="581" formatCode="0.00_);[Red]\(0.00\)">
                  <c:v>-8.8823612428257093E-2</c:v>
                </c:pt>
                <c:pt idx="582" formatCode="0.00_);[Red]\(0.00\)">
                  <c:v>-0.10900803865786202</c:v>
                </c:pt>
                <c:pt idx="583" formatCode="0.00_);[Red]\(0.00\)">
                  <c:v>0.11166819085042334</c:v>
                </c:pt>
                <c:pt idx="584" formatCode="0.00_);[Red]\(0.00\)">
                  <c:v>-0.22376896761954868</c:v>
                </c:pt>
                <c:pt idx="585" formatCode="0.00_);[Red]\(0.00\)">
                  <c:v>-6.4807162533497831E-3</c:v>
                </c:pt>
                <c:pt idx="586" formatCode="0.00_);[Red]\(0.00\)">
                  <c:v>-0.19973208237371409</c:v>
                </c:pt>
                <c:pt idx="587" formatCode="0.00_);[Red]\(0.00\)">
                  <c:v>0.14834157521562474</c:v>
                </c:pt>
                <c:pt idx="588" formatCode="0.00_);[Red]\(0.00\)">
                  <c:v>-4.1879092715532806E-2</c:v>
                </c:pt>
                <c:pt idx="589" formatCode="0.00_);[Red]\(0.00\)">
                  <c:v>0.47195276159510513</c:v>
                </c:pt>
                <c:pt idx="590" formatCode="0.00_);[Red]\(0.00\)">
                  <c:v>-8.4752517726087717E-3</c:v>
                </c:pt>
                <c:pt idx="591" formatCode="0.00_);[Red]\(0.00\)">
                  <c:v>3.7037664270656023E-4</c:v>
                </c:pt>
                <c:pt idx="592" formatCode="0.00_);[Red]\(0.00\)">
                  <c:v>1.583485751700664E-2</c:v>
                </c:pt>
                <c:pt idx="593" formatCode="0.00_);[Red]\(0.00\)">
                  <c:v>-0.6388236124283253</c:v>
                </c:pt>
                <c:pt idx="594" formatCode="0.00_);[Red]\(0.00\)">
                  <c:v>2.4741961342158447E-2</c:v>
                </c:pt>
                <c:pt idx="595" formatCode="0.00_);[Red]\(0.00\)">
                  <c:v>6.2918190850325573E-2</c:v>
                </c:pt>
                <c:pt idx="596" formatCode="0.00_);[Red]\(0.00\)">
                  <c:v>0.17748103238051272</c:v>
                </c:pt>
                <c:pt idx="597" formatCode="0.00_);[Red]\(0.00\)">
                  <c:v>8.5185950413290357E-2</c:v>
                </c:pt>
                <c:pt idx="598" formatCode="0.00_);[Red]\(0.00\)">
                  <c:v>0.43235125095969806</c:v>
                </c:pt>
                <c:pt idx="599" formatCode="0.00_);[Red]\(0.00\)">
                  <c:v>0.39834157521568159</c:v>
                </c:pt>
                <c:pt idx="600" formatCode="0.00_);[Red]\(0.00\)">
                  <c:v>-0.4760457593822025</c:v>
                </c:pt>
                <c:pt idx="601" formatCode="0.00_);[Red]\(0.00\)">
                  <c:v>-0.92471390507165552</c:v>
                </c:pt>
                <c:pt idx="602" formatCode="0.00_);[Red]\(0.00\)">
                  <c:v>0.17360808156070107</c:v>
                </c:pt>
                <c:pt idx="603" formatCode="0.00_);[Red]\(0.00\)">
                  <c:v>0.30495370997613236</c:v>
                </c:pt>
                <c:pt idx="604" formatCode="0.00_);[Red]\(0.00\)">
                  <c:v>7.0848575169861761E-3</c:v>
                </c:pt>
                <c:pt idx="605" formatCode="0.00_);[Red]\(0.00\)">
                  <c:v>-0.14424027909495862</c:v>
                </c:pt>
                <c:pt idx="606" formatCode="0.00_);[Red]\(0.00\)">
                  <c:v>0.49474196134224258</c:v>
                </c:pt>
                <c:pt idx="607" formatCode="0.00_);[Red]\(0.00\)">
                  <c:v>7.8751524183644506E-2</c:v>
                </c:pt>
                <c:pt idx="608" formatCode="0.00_);[Red]\(0.00\)">
                  <c:v>-0.15251896761952821</c:v>
                </c:pt>
                <c:pt idx="609" formatCode="0.00_);[Red]\(0.00\)">
                  <c:v>-0.35106404958679605</c:v>
                </c:pt>
                <c:pt idx="610" formatCode="0.00_);[Red]\(0.00\)">
                  <c:v>0.10110125095962985</c:v>
                </c:pt>
                <c:pt idx="611" formatCode="0.00_);[Red]\(0.00\)">
                  <c:v>-0.22332509145098811</c:v>
                </c:pt>
                <c:pt idx="612" formatCode="0.00_);[Red]\(0.00\)">
                  <c:v>0.35020424061769972</c:v>
                </c:pt>
                <c:pt idx="613" formatCode="0.00_);[Red]\(0.00\)">
                  <c:v>5.486942826178165E-2</c:v>
                </c:pt>
                <c:pt idx="614" formatCode="0.00_);[Red]\(0.00\)">
                  <c:v>1.2358081560762457E-2</c:v>
                </c:pt>
                <c:pt idx="615" formatCode="0.00_);[Red]\(0.00\)">
                  <c:v>7.8704330928758282E-4</c:v>
                </c:pt>
                <c:pt idx="616" formatCode="0.00_);[Red]\(0.00\)">
                  <c:v>-9.7081809149699438E-2</c:v>
                </c:pt>
                <c:pt idx="617" formatCode="0.00_);[Red]\(0.00\)">
                  <c:v>-0.15174027909489496</c:v>
                </c:pt>
                <c:pt idx="618" formatCode="0.00_);[Red]\(0.00\)">
                  <c:v>-1.4424705324415754E-2</c:v>
                </c:pt>
                <c:pt idx="619" formatCode="0.00_);[Red]\(0.00\)">
                  <c:v>-0.43249847581631684</c:v>
                </c:pt>
                <c:pt idx="620" formatCode="0.00_);[Red]\(0.00\)">
                  <c:v>-0.23210230095287443</c:v>
                </c:pt>
                <c:pt idx="621" formatCode="0.00_);[Red]\(0.00\)">
                  <c:v>-0.19231404958674148</c:v>
                </c:pt>
                <c:pt idx="622" formatCode="0.00_);[Red]\(0.00\)">
                  <c:v>-0.28223208237363906</c:v>
                </c:pt>
                <c:pt idx="623" formatCode="0.00_);[Red]\(0.00\)">
                  <c:v>0.4166749085489414</c:v>
                </c:pt>
                <c:pt idx="624" formatCode="0.00_);[Red]\(0.00\)">
                  <c:v>0.47562090728439443</c:v>
                </c:pt>
                <c:pt idx="625" formatCode="0.00_);[Red]\(0.00\)">
                  <c:v>0.42070276159500963</c:v>
                </c:pt>
                <c:pt idx="626" formatCode="0.00_);[Red]\(0.00\)">
                  <c:v>0.54069141489401318</c:v>
                </c:pt>
                <c:pt idx="627" formatCode="0.00_);[Red]\(0.00\)">
                  <c:v>7.7453709975998208E-2</c:v>
                </c:pt>
                <c:pt idx="628" formatCode="0.00_);[Red]\(0.00\)">
                  <c:v>-0.41333180914961076</c:v>
                </c:pt>
                <c:pt idx="629" formatCode="0.00_);[Red]\(0.00\)">
                  <c:v>-0.27674027909500865</c:v>
                </c:pt>
                <c:pt idx="630" formatCode="0.00_);[Red]\(0.00\)">
                  <c:v>-0.2990080386578029</c:v>
                </c:pt>
                <c:pt idx="631" formatCode="0.00_);[Red]\(0.00\)">
                  <c:v>4.2501524183705897E-2</c:v>
                </c:pt>
                <c:pt idx="632" formatCode="0.00_);[Red]\(0.00\)">
                  <c:v>0.1916476990471665</c:v>
                </c:pt>
                <c:pt idx="633" formatCode="0.00_);[Red]\(0.00\)">
                  <c:v>6.3102617079948686E-2</c:v>
                </c:pt>
                <c:pt idx="634" formatCode="0.00_);[Red]\(0.00\)">
                  <c:v>0.45193458429292832</c:v>
                </c:pt>
                <c:pt idx="635" formatCode="0.00_);[Red]\(0.00\)">
                  <c:v>0.27209157521571115</c:v>
                </c:pt>
                <c:pt idx="636" formatCode="0.00_);[Red]\(0.00\)">
                  <c:v>-3.6462426048785801E-2</c:v>
                </c:pt>
                <c:pt idx="637" formatCode="0.00_);[Red]\(0.00\)">
                  <c:v>-0.49596390507156229</c:v>
                </c:pt>
                <c:pt idx="638" formatCode="0.00_);[Red]\(0.00\)">
                  <c:v>-0.2180585851058936</c:v>
                </c:pt>
                <c:pt idx="639" formatCode="0.00_);[Red]\(0.00\)">
                  <c:v>-0.23379629002391766</c:v>
                </c:pt>
                <c:pt idx="640" formatCode="0.00_);[Red]\(0.00\)">
                  <c:v>0.14000152418367406</c:v>
                </c:pt>
                <c:pt idx="641" formatCode="0.00_);[Red]\(0.00\)">
                  <c:v>-0.23549027909501774</c:v>
                </c:pt>
                <c:pt idx="642" formatCode="0.00_);[Red]\(0.00\)">
                  <c:v>0.20974196134216072</c:v>
                </c:pt>
                <c:pt idx="643" formatCode="0.00_);[Red]\(0.00\)">
                  <c:v>5.5418190850389237E-2</c:v>
                </c:pt>
                <c:pt idx="644" formatCode="0.00_);[Red]\(0.00\)">
                  <c:v>-0.1454356342861729</c:v>
                </c:pt>
                <c:pt idx="645" formatCode="0.00_);[Red]\(0.00\)">
                  <c:v>5.1435950413235787E-2</c:v>
                </c:pt>
                <c:pt idx="646" formatCode="0.00_);[Red]\(0.00\)">
                  <c:v>0.20318458429301245</c:v>
                </c:pt>
                <c:pt idx="647" formatCode="0.00_);[Red]\(0.00\)">
                  <c:v>-0.32957509145097674</c:v>
                </c:pt>
                <c:pt idx="648" formatCode="0.00_);[Red]\(0.00\)">
                  <c:v>-0.18354575938212747</c:v>
                </c:pt>
                <c:pt idx="649" formatCode="0.00_);[Red]\(0.00\)">
                  <c:v>0.49528609492847409</c:v>
                </c:pt>
                <c:pt idx="650" formatCode="0.00_);[Red]\(0.00\)">
                  <c:v>0.24277474822736167</c:v>
                </c:pt>
                <c:pt idx="651" formatCode="0.00_);[Red]\(0.00\)">
                  <c:v>-0.24296295669057599</c:v>
                </c:pt>
                <c:pt idx="652" formatCode="0.00_);[Red]\(0.00\)">
                  <c:v>-0.18374847581623044</c:v>
                </c:pt>
                <c:pt idx="653" formatCode="0.00_);[Red]\(0.00\)">
                  <c:v>-0.27757361242828438</c:v>
                </c:pt>
                <c:pt idx="654" formatCode="0.00_);[Red]\(0.00\)">
                  <c:v>-0.15984137199114912</c:v>
                </c:pt>
                <c:pt idx="655" formatCode="0.00_);[Red]\(0.00\)">
                  <c:v>-0.35791514248296608</c:v>
                </c:pt>
                <c:pt idx="656" formatCode="0.00_);[Red]\(0.00\)">
                  <c:v>9.7064365713720235E-2</c:v>
                </c:pt>
                <c:pt idx="657" formatCode="0.00_);[Red]\(0.00\)">
                  <c:v>5.8935950413172122E-2</c:v>
                </c:pt>
                <c:pt idx="658" formatCode="0.00_);[Red]\(0.00\)">
                  <c:v>0.14901791762628136</c:v>
                </c:pt>
                <c:pt idx="659" formatCode="0.00_);[Red]\(0.00\)">
                  <c:v>0.5154249085489937</c:v>
                </c:pt>
                <c:pt idx="660" formatCode="0.00_);[Red]\(0.00\)">
                  <c:v>3.3537573951093691E-2</c:v>
                </c:pt>
                <c:pt idx="661" formatCode="0.00_);[Red]\(0.00\)">
                  <c:v>-0.29846390507157139</c:v>
                </c:pt>
                <c:pt idx="662" formatCode="0.00_);[Red]\(0.00\)">
                  <c:v>0.63319141489404274</c:v>
                </c:pt>
                <c:pt idx="663" formatCode="0.00_);[Red]\(0.00\)">
                  <c:v>4.8703709976052778E-2</c:v>
                </c:pt>
                <c:pt idx="664" formatCode="0.00_);[Red]\(0.00\)">
                  <c:v>-2.1248475816321388E-2</c:v>
                </c:pt>
                <c:pt idx="665" formatCode="0.00_);[Red]\(0.00\)">
                  <c:v>7.843054238435343E-3</c:v>
                </c:pt>
                <c:pt idx="666" formatCode="0.00_);[Red]\(0.00\)">
                  <c:v>-0.36192470532449761</c:v>
                </c:pt>
                <c:pt idx="667" formatCode="0.00_);[Red]\(0.00\)">
                  <c:v>-0.14541514248293197</c:v>
                </c:pt>
                <c:pt idx="668" formatCode="0.00_);[Red]\(0.00\)">
                  <c:v>-0.13418563428621155</c:v>
                </c:pt>
                <c:pt idx="669" formatCode="0.00_);[Red]\(0.00\)">
                  <c:v>0.15101928374656381</c:v>
                </c:pt>
                <c:pt idx="670" formatCode="0.00_);[Red]\(0.00\)">
                  <c:v>0.14193458429298289</c:v>
                </c:pt>
                <c:pt idx="671" formatCode="0.00_);[Red]\(0.00\)">
                  <c:v>-0.46915842478438208</c:v>
                </c:pt>
                <c:pt idx="672" formatCode="0.00_);[Red]\(0.00\)">
                  <c:v>6.3954240617817959E-2</c:v>
                </c:pt>
                <c:pt idx="673" formatCode="0.00_);[Red]\(0.00\)">
                  <c:v>0.54320276159512559</c:v>
                </c:pt>
                <c:pt idx="674" formatCode="0.00_);[Red]\(0.00\)">
                  <c:v>0.43402474822738668</c:v>
                </c:pt>
                <c:pt idx="675" formatCode="0.00_);[Red]\(0.00\)">
                  <c:v>0.4195370433093899</c:v>
                </c:pt>
                <c:pt idx="676" formatCode="0.00_);[Red]\(0.00\)">
                  <c:v>-0.35208180914963805</c:v>
                </c:pt>
                <c:pt idx="677" formatCode="0.00_);[Red]\(0.00\)">
                  <c:v>-0.24632361242834122</c:v>
                </c:pt>
                <c:pt idx="678" formatCode="0.00_);[Red]\(0.00\)">
                  <c:v>-0.4390080386578461</c:v>
                </c:pt>
                <c:pt idx="679" formatCode="0.00_);[Red]\(0.00\)">
                  <c:v>-0.23958180914968352</c:v>
                </c:pt>
                <c:pt idx="680" formatCode="0.00_);[Red]\(0.00\)">
                  <c:v>-0.11585230095289489</c:v>
                </c:pt>
                <c:pt idx="681" formatCode="0.00_);[Red]\(0.00\)">
                  <c:v>0.12226928374661838</c:v>
                </c:pt>
                <c:pt idx="682" formatCode="0.00_);[Red]\(0.00\)">
                  <c:v>6.4434584292939689E-2</c:v>
                </c:pt>
                <c:pt idx="683" formatCode="0.00_);[Red]\(0.00\)">
                  <c:v>-0.29124175811767827</c:v>
                </c:pt>
                <c:pt idx="684" formatCode="0.00_);[Red]\(0.00\)">
                  <c:v>6.8537573951118702E-2</c:v>
                </c:pt>
                <c:pt idx="685" formatCode="0.00_);[Red]\(0.00\)">
                  <c:v>0.59570276159513469</c:v>
                </c:pt>
                <c:pt idx="686" formatCode="0.00_);[Red]\(0.00\)">
                  <c:v>0.51777474822739578</c:v>
                </c:pt>
                <c:pt idx="687" formatCode="0.00_);[Red]\(0.00\)">
                  <c:v>-0.23421295669061237</c:v>
                </c:pt>
                <c:pt idx="688" formatCode="0.00_);[Red]\(0.00\)">
                  <c:v>-0.11958180914967897</c:v>
                </c:pt>
                <c:pt idx="689" formatCode="0.00_);[Red]\(0.00\)">
                  <c:v>-0.86882361242828665</c:v>
                </c:pt>
                <c:pt idx="690" formatCode="0.00_);[Red]\(0.00\)">
                  <c:v>-0.87400803865779153</c:v>
                </c:pt>
                <c:pt idx="691" formatCode="0.00_);[Red]\(0.00\)">
                  <c:v>-0.28208180914964487</c:v>
                </c:pt>
                <c:pt idx="692" formatCode="0.00_);[Red]\(0.00\)">
                  <c:v>8.2481032380428587E-2</c:v>
                </c:pt>
                <c:pt idx="693" formatCode="0.00_);[Red]\(0.00\)">
                  <c:v>0.24851928374658883</c:v>
                </c:pt>
                <c:pt idx="694" formatCode="0.00_);[Red]\(0.00\)">
                  <c:v>-0.23014874904032467</c:v>
                </c:pt>
                <c:pt idx="695" formatCode="0.00_);[Red]\(0.00\)">
                  <c:v>0.3891749085490801</c:v>
                </c:pt>
                <c:pt idx="696" formatCode="0.00_);[Red]\(0.00\)">
                  <c:v>0.1197875739512142</c:v>
                </c:pt>
                <c:pt idx="697" formatCode="0.00_);[Red]\(0.00\)">
                  <c:v>1.3436194282617748</c:v>
                </c:pt>
                <c:pt idx="698" formatCode="0.00_);[Red]\(0.00\)">
                  <c:v>0.66485808156073745</c:v>
                </c:pt>
                <c:pt idx="699" formatCode="0.00_);[Red]\(0.00\)">
                  <c:v>0.47495370997603459</c:v>
                </c:pt>
                <c:pt idx="700" formatCode="0.00_);[Red]\(0.00\)">
                  <c:v>-0.64791514248298654</c:v>
                </c:pt>
                <c:pt idx="701" formatCode="0.00_);[Red]\(0.00\)">
                  <c:v>-1.0159069457615715</c:v>
                </c:pt>
                <c:pt idx="702" formatCode="0.00_);[Red]\(0.00\)">
                  <c:v>-0.64650803865788475</c:v>
                </c:pt>
                <c:pt idx="703" formatCode="0.00_);[Red]\(0.00\)">
                  <c:v>-0.18291514248295471</c:v>
                </c:pt>
                <c:pt idx="704" formatCode="0.00_);[Red]\(0.00\)">
                  <c:v>0.53039769904717105</c:v>
                </c:pt>
                <c:pt idx="705" formatCode="0.00_);[Red]\(0.00\)">
                  <c:v>9.4352617079948686E-2</c:v>
                </c:pt>
                <c:pt idx="706" formatCode="0.00_);[Red]\(0.00\)">
                  <c:v>0.46693458429302837</c:v>
                </c:pt>
                <c:pt idx="707" formatCode="0.00_);[Red]\(0.00\)">
                  <c:v>0.16417490854894368</c:v>
                </c:pt>
                <c:pt idx="708" formatCode="0.00_);[Red]\(0.00\)">
                  <c:v>-0.32312909271553281</c:v>
                </c:pt>
                <c:pt idx="709" formatCode="0.00_);[Red]\(0.00\)">
                  <c:v>0.17778609492836495</c:v>
                </c:pt>
                <c:pt idx="710" formatCode="0.00_);[Red]\(0.00\)">
                  <c:v>0.49194141489408594</c:v>
                </c:pt>
                <c:pt idx="711" formatCode="0.00_);[Red]\(0.00\)">
                  <c:v>0.26912037664271793</c:v>
                </c:pt>
                <c:pt idx="712" formatCode="0.00_);[Red]\(0.00\)">
                  <c:v>-0.19458180914955392</c:v>
                </c:pt>
                <c:pt idx="713" formatCode="0.00_);[Red]\(0.00\)">
                  <c:v>-0.17007361242821162</c:v>
                </c:pt>
                <c:pt idx="714" formatCode="0.00_);[Red]\(0.00\)">
                  <c:v>-0.5081747053245067</c:v>
                </c:pt>
                <c:pt idx="715" formatCode="0.00_);[Red]\(0.00\)">
                  <c:v>-0.16333180914961076</c:v>
                </c:pt>
                <c:pt idx="716" formatCode="0.00_);[Red]\(0.00\)">
                  <c:v>-2.2935634286170625E-2</c:v>
                </c:pt>
                <c:pt idx="717" formatCode="0.00_);[Red]\(0.00\)">
                  <c:v>0.26185261707996688</c:v>
                </c:pt>
                <c:pt idx="718" formatCode="0.00_);[Red]\(0.00\)">
                  <c:v>0.47110125095969124</c:v>
                </c:pt>
                <c:pt idx="719" formatCode="0.00_);[Red]\(0.00\)">
                  <c:v>-2.2491758117666905E-2</c:v>
                </c:pt>
                <c:pt idx="720" formatCode="0.00_);[Red]\(0.00\)">
                  <c:v>3.5204240617815685E-2</c:v>
                </c:pt>
                <c:pt idx="721" formatCode="0.00_);[Red]\(0.00\)">
                  <c:v>-0.32513057173827065</c:v>
                </c:pt>
                <c:pt idx="722" formatCode="0.00_);[Red]\(0.00\)">
                  <c:v>-3.8891918439276196E-2</c:v>
                </c:pt>
                <c:pt idx="723" formatCode="0.00_);[Red]\(0.00\)">
                  <c:v>3.7453709976091432E-2</c:v>
                </c:pt>
                <c:pt idx="724" formatCode="0.00_);[Red]\(0.00\)">
                  <c:v>-0.53499847581628046</c:v>
                </c:pt>
                <c:pt idx="725" formatCode="0.00_);[Red]\(0.00\)">
                  <c:v>-0.45507361242835032</c:v>
                </c:pt>
                <c:pt idx="726" formatCode="0.00_);[Red]\(0.00\)">
                  <c:v>-0.42359137199122188</c:v>
                </c:pt>
                <c:pt idx="727" formatCode="0.00_);[Red]\(0.00\)">
                  <c:v>-0.14958180914959485</c:v>
                </c:pt>
                <c:pt idx="728" formatCode="0.00_);[Red]\(0.00\)">
                  <c:v>0.4237310323804877</c:v>
                </c:pt>
                <c:pt idx="729" formatCode="0.00_);[Red]\(0.00\)">
                  <c:v>9.4352617079948686E-2</c:v>
                </c:pt>
                <c:pt idx="730" formatCode="0.00_);[Red]\(0.00\)">
                  <c:v>0.5865179176263382</c:v>
                </c:pt>
                <c:pt idx="731" formatCode="0.00_);[Red]\(0.00\)">
                  <c:v>0.44417490854908692</c:v>
                </c:pt>
                <c:pt idx="732" formatCode="0.00_);[Red]\(0.00\)">
                  <c:v>-0.14146242604886083</c:v>
                </c:pt>
                <c:pt idx="733" formatCode="0.00_);[Red]\(0.00\)">
                  <c:v>-6.2213905071473619E-2</c:v>
                </c:pt>
                <c:pt idx="734" formatCode="0.00_);[Red]\(0.00\)">
                  <c:v>0.56277474822741169</c:v>
                </c:pt>
                <c:pt idx="735" formatCode="0.00_);[Red]\(0.00\)">
                  <c:v>0.21578704330937626</c:v>
                </c:pt>
                <c:pt idx="736" formatCode="0.00_);[Red]\(0.00\)">
                  <c:v>-0.47499847581627819</c:v>
                </c:pt>
                <c:pt idx="737" formatCode="0.00_);[Red]\(0.00\)">
                  <c:v>-0.31049027909500637</c:v>
                </c:pt>
                <c:pt idx="738" formatCode="0.00_);[Red]\(0.00\)">
                  <c:v>-0.25192470532442712</c:v>
                </c:pt>
                <c:pt idx="739" formatCode="0.00_);[Red]\(0.00\)">
                  <c:v>-0.46458180914959257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C-4801-BB4C-A898BD69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321055"/>
        <c:axId val="1503874991"/>
      </c:barChart>
      <c:dateAx>
        <c:axId val="1770321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3874991"/>
        <c:crosses val="autoZero"/>
        <c:auto val="1"/>
        <c:lblOffset val="100"/>
        <c:baseTimeUnit val="months"/>
      </c:dateAx>
      <c:valAx>
        <c:axId val="15038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032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co2偏相関!$Q$46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co2偏相関!$P$47:$P$59</c:f>
              <c:numCache>
                <c:formatCode>General</c:formatCode>
                <c:ptCount val="13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</c:numCache>
            </c:numRef>
          </c:cat>
          <c:val>
            <c:numRef>
              <c:f>co2偏相関!$Q$47:$Q$59</c:f>
              <c:numCache>
                <c:formatCode>General</c:formatCode>
                <c:ptCount val="13"/>
                <c:pt idx="0">
                  <c:v>1</c:v>
                </c:pt>
                <c:pt idx="1">
                  <c:v>0.65113449855788019</c:v>
                </c:pt>
                <c:pt idx="2">
                  <c:v>-0.16317758403293675</c:v>
                </c:pt>
                <c:pt idx="3">
                  <c:v>-5.8842824295925127E-2</c:v>
                </c:pt>
                <c:pt idx="4">
                  <c:v>-5.103223674157141E-2</c:v>
                </c:pt>
                <c:pt idx="5">
                  <c:v>4.580332927896253E-2</c:v>
                </c:pt>
                <c:pt idx="6">
                  <c:v>0.10316021362898634</c:v>
                </c:pt>
                <c:pt idx="7">
                  <c:v>-6.6665754066773802E-2</c:v>
                </c:pt>
                <c:pt idx="8">
                  <c:v>-9.4237233208200349E-2</c:v>
                </c:pt>
                <c:pt idx="9">
                  <c:v>6.5221802411514221E-2</c:v>
                </c:pt>
                <c:pt idx="10">
                  <c:v>3.4539767533506866E-3</c:v>
                </c:pt>
                <c:pt idx="11">
                  <c:v>0.30241023835144221</c:v>
                </c:pt>
                <c:pt idx="12">
                  <c:v>2.8822849044217783E-2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E-4F7D-869D-23AA26B10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133512"/>
        <c:axId val="705130560"/>
      </c:barChart>
      <c:catAx>
        <c:axId val="70513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0560"/>
        <c:crosses val="autoZero"/>
        <c:auto val="1"/>
        <c:lblAlgn val="ctr"/>
        <c:lblOffset val="100"/>
        <c:noMultiLvlLbl val="0"/>
      </c:catAx>
      <c:valAx>
        <c:axId val="7051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TCI偏相関!$Q$46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TCI偏相関!$P$47:$P$59</c:f>
              <c:numCache>
                <c:formatCode>General</c:formatCode>
                <c:ptCount val="13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</c:numCache>
            </c:numRef>
          </c:cat>
          <c:val>
            <c:numRef>
              <c:f>TCI偏相関!$Q$47:$Q$59</c:f>
              <c:numCache>
                <c:formatCode>General</c:formatCode>
                <c:ptCount val="13"/>
                <c:pt idx="0">
                  <c:v>1</c:v>
                </c:pt>
                <c:pt idx="1">
                  <c:v>0.57949287910686043</c:v>
                </c:pt>
                <c:pt idx="2">
                  <c:v>0.10117065852276898</c:v>
                </c:pt>
                <c:pt idx="3">
                  <c:v>-1.6388177479110134E-2</c:v>
                </c:pt>
                <c:pt idx="4">
                  <c:v>2.5105036530864166E-2</c:v>
                </c:pt>
                <c:pt idx="5">
                  <c:v>9.6802511976288794E-3</c:v>
                </c:pt>
                <c:pt idx="6">
                  <c:v>3.2350054957411899E-3</c:v>
                </c:pt>
                <c:pt idx="7">
                  <c:v>2.799517818642883E-2</c:v>
                </c:pt>
                <c:pt idx="8">
                  <c:v>-1.5994933833088847E-2</c:v>
                </c:pt>
                <c:pt idx="9">
                  <c:v>1.4369384196061053E-2</c:v>
                </c:pt>
                <c:pt idx="10">
                  <c:v>1.6778750271789655E-2</c:v>
                </c:pt>
                <c:pt idx="11">
                  <c:v>9.7841795620492542E-2</c:v>
                </c:pt>
                <c:pt idx="12">
                  <c:v>-2.8701545550092408E-2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1-4222-BA5A-4EB46190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133512"/>
        <c:axId val="705130560"/>
      </c:barChart>
      <c:catAx>
        <c:axId val="70513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0560"/>
        <c:crosses val="autoZero"/>
        <c:auto val="1"/>
        <c:lblAlgn val="ctr"/>
        <c:lblOffset val="100"/>
        <c:noMultiLvlLbl val="0"/>
      </c:catAx>
      <c:valAx>
        <c:axId val="7051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TC偏相関!$Q$46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TC偏相関!$P$47:$P$59</c:f>
              <c:numCache>
                <c:formatCode>General</c:formatCode>
                <c:ptCount val="13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</c:numCache>
            </c:numRef>
          </c:cat>
          <c:val>
            <c:numRef>
              <c:f>TC偏相関!$Q$47:$Q$59</c:f>
              <c:numCache>
                <c:formatCode>General</c:formatCode>
                <c:ptCount val="13"/>
                <c:pt idx="0">
                  <c:v>1</c:v>
                </c:pt>
                <c:pt idx="1">
                  <c:v>0.92568905720347494</c:v>
                </c:pt>
                <c:pt idx="2">
                  <c:v>-0.68728544449203766</c:v>
                </c:pt>
                <c:pt idx="3">
                  <c:v>0.48475201582787208</c:v>
                </c:pt>
                <c:pt idx="4">
                  <c:v>-0.37341347961958804</c:v>
                </c:pt>
                <c:pt idx="5">
                  <c:v>0.28835315865467853</c:v>
                </c:pt>
                <c:pt idx="6">
                  <c:v>-0.22273451051690199</c:v>
                </c:pt>
                <c:pt idx="7">
                  <c:v>0.16712833354410631</c:v>
                </c:pt>
                <c:pt idx="8">
                  <c:v>-0.11350958089318855</c:v>
                </c:pt>
                <c:pt idx="9">
                  <c:v>4.3379514200171804E-2</c:v>
                </c:pt>
                <c:pt idx="10">
                  <c:v>3.4765570047498043E-2</c:v>
                </c:pt>
                <c:pt idx="11">
                  <c:v>-0.14902589723975004</c:v>
                </c:pt>
                <c:pt idx="12">
                  <c:v>0.24488557973845693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0-4F9A-B45B-9296A96DF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133512"/>
        <c:axId val="705130560"/>
      </c:barChart>
      <c:catAx>
        <c:axId val="70513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0560"/>
        <c:crosses val="autoZero"/>
        <c:auto val="1"/>
        <c:lblAlgn val="ctr"/>
        <c:lblOffset val="100"/>
        <c:noMultiLvlLbl val="0"/>
      </c:catAx>
      <c:valAx>
        <c:axId val="7051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I偏相関!$Q$46</c:f>
              <c:strCache>
                <c:ptCount val="1"/>
                <c:pt idx="0">
                  <c:v>CO2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I偏相関!$P$47:$P$59</c:f>
              <c:numCache>
                <c:formatCode>General</c:formatCode>
                <c:ptCount val="13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</c:numCache>
            </c:numRef>
          </c:cat>
          <c:val>
            <c:numRef>
              <c:f>I偏相関!$Q$47:$Q$59</c:f>
              <c:numCache>
                <c:formatCode>General</c:formatCode>
                <c:ptCount val="13"/>
                <c:pt idx="0">
                  <c:v>1</c:v>
                </c:pt>
                <c:pt idx="1">
                  <c:v>0.21608596484665993</c:v>
                </c:pt>
                <c:pt idx="2">
                  <c:v>-9.695852926183339E-2</c:v>
                </c:pt>
                <c:pt idx="3">
                  <c:v>-0.2008051351107977</c:v>
                </c:pt>
                <c:pt idx="4">
                  <c:v>-0.18489770187475846</c:v>
                </c:pt>
                <c:pt idx="5">
                  <c:v>-0.20070724786943717</c:v>
                </c:pt>
                <c:pt idx="6">
                  <c:v>-0.13739654780834237</c:v>
                </c:pt>
                <c:pt idx="7">
                  <c:v>-6.3679445720866951E-2</c:v>
                </c:pt>
                <c:pt idx="8">
                  <c:v>-0.14767419795517306</c:v>
                </c:pt>
                <c:pt idx="9">
                  <c:v>-0.10080903578994506</c:v>
                </c:pt>
                <c:pt idx="10">
                  <c:v>-8.3379240304233493E-2</c:v>
                </c:pt>
                <c:pt idx="11">
                  <c:v>4.848814959627553E-2</c:v>
                </c:pt>
                <c:pt idx="12">
                  <c:v>4.9560886668025876E-2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9-4DD8-BADF-BAC69819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133512"/>
        <c:axId val="705130560"/>
      </c:barChart>
      <c:catAx>
        <c:axId val="70513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0560"/>
        <c:crosses val="autoZero"/>
        <c:auto val="1"/>
        <c:lblAlgn val="ctr"/>
        <c:lblOffset val="100"/>
        <c:noMultiLvlLbl val="0"/>
      </c:catAx>
      <c:valAx>
        <c:axId val="7051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51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C30FB2-EA44-472F-B753-F7ED40519879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2D9461-5A4A-45D5-A932-8E61E3491482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F84C9D-4FAD-429E-A45C-FC8F1492558B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35EA847-DF74-452D-8F37-8D0AF2AEF1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00621F-0AE7-41E6-8C85-C2A9C174F4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D29782B-1A3E-47BC-9B3F-2E6AA14595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45</xdr:row>
      <xdr:rowOff>185737</xdr:rowOff>
    </xdr:from>
    <xdr:to>
      <xdr:col>13</xdr:col>
      <xdr:colOff>304800</xdr:colOff>
      <xdr:row>57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CE2805-BAAB-1C5B-63A5-517F69532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45</xdr:row>
      <xdr:rowOff>185737</xdr:rowOff>
    </xdr:from>
    <xdr:to>
      <xdr:col>13</xdr:col>
      <xdr:colOff>304800</xdr:colOff>
      <xdr:row>57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F18D9A-BE8A-46AF-B5CF-BC0794D53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45</xdr:row>
      <xdr:rowOff>185737</xdr:rowOff>
    </xdr:from>
    <xdr:to>
      <xdr:col>13</xdr:col>
      <xdr:colOff>304800</xdr:colOff>
      <xdr:row>57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432A6A-9512-4096-BB89-A76865E06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45</xdr:row>
      <xdr:rowOff>185737</xdr:rowOff>
    </xdr:from>
    <xdr:to>
      <xdr:col>13</xdr:col>
      <xdr:colOff>304800</xdr:colOff>
      <xdr:row>57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F0C9A6-4DBD-4D0D-9B71-CF3586240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dimension ref="A1:B742"/>
  <sheetViews>
    <sheetView topLeftCell="A7" zoomScaleNormal="100" workbookViewId="0">
      <selection activeCell="D22" sqref="D22"/>
    </sheetView>
  </sheetViews>
  <sheetFormatPr defaultRowHeight="18.75" x14ac:dyDescent="0.4"/>
  <cols>
    <col min="1" max="1" width="10.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21245</v>
      </c>
      <c r="B2">
        <v>315.7</v>
      </c>
    </row>
    <row r="3" spans="1:2" x14ac:dyDescent="0.4">
      <c r="A3" s="1">
        <v>21276</v>
      </c>
      <c r="B3">
        <v>317.45999999999998</v>
      </c>
    </row>
    <row r="4" spans="1:2" x14ac:dyDescent="0.4">
      <c r="A4" s="1">
        <v>21306</v>
      </c>
      <c r="B4">
        <v>317.51</v>
      </c>
    </row>
    <row r="5" spans="1:2" x14ac:dyDescent="0.4">
      <c r="A5" s="1">
        <v>21367</v>
      </c>
      <c r="B5">
        <v>315.86</v>
      </c>
    </row>
    <row r="6" spans="1:2" x14ac:dyDescent="0.4">
      <c r="A6" s="1">
        <v>21398</v>
      </c>
      <c r="B6">
        <v>314.93</v>
      </c>
    </row>
    <row r="7" spans="1:2" x14ac:dyDescent="0.4">
      <c r="A7" s="1">
        <v>21429</v>
      </c>
      <c r="B7">
        <v>313.20999999999998</v>
      </c>
    </row>
    <row r="8" spans="1:2" x14ac:dyDescent="0.4">
      <c r="A8" s="1">
        <v>21490</v>
      </c>
      <c r="B8">
        <v>313.33</v>
      </c>
    </row>
    <row r="9" spans="1:2" x14ac:dyDescent="0.4">
      <c r="A9" s="1">
        <v>21520</v>
      </c>
      <c r="B9">
        <v>314.67</v>
      </c>
    </row>
    <row r="10" spans="1:2" x14ac:dyDescent="0.4">
      <c r="A10" s="1">
        <v>21551</v>
      </c>
      <c r="B10">
        <v>315.58</v>
      </c>
    </row>
    <row r="11" spans="1:2" x14ac:dyDescent="0.4">
      <c r="A11" s="1">
        <v>21582</v>
      </c>
      <c r="B11">
        <v>316.49</v>
      </c>
    </row>
    <row r="12" spans="1:2" x14ac:dyDescent="0.4">
      <c r="A12" s="1">
        <v>21610</v>
      </c>
      <c r="B12">
        <v>316.64999999999998</v>
      </c>
    </row>
    <row r="13" spans="1:2" x14ac:dyDescent="0.4">
      <c r="A13" s="1">
        <v>21641</v>
      </c>
      <c r="B13">
        <v>317.72000000000003</v>
      </c>
    </row>
    <row r="14" spans="1:2" x14ac:dyDescent="0.4">
      <c r="A14" s="1">
        <v>21671</v>
      </c>
      <c r="B14">
        <v>318.29000000000002</v>
      </c>
    </row>
    <row r="15" spans="1:2" x14ac:dyDescent="0.4">
      <c r="A15" s="1">
        <v>21702</v>
      </c>
      <c r="B15">
        <v>318.14999999999998</v>
      </c>
    </row>
    <row r="16" spans="1:2" x14ac:dyDescent="0.4">
      <c r="A16" s="1">
        <v>21732</v>
      </c>
      <c r="B16">
        <v>316.54000000000002</v>
      </c>
    </row>
    <row r="17" spans="1:2" x14ac:dyDescent="0.4">
      <c r="A17" s="1">
        <v>21763</v>
      </c>
      <c r="B17">
        <v>314.8</v>
      </c>
    </row>
    <row r="18" spans="1:2" x14ac:dyDescent="0.4">
      <c r="A18" s="1">
        <v>21794</v>
      </c>
      <c r="B18">
        <v>313.83999999999997</v>
      </c>
    </row>
    <row r="19" spans="1:2" x14ac:dyDescent="0.4">
      <c r="A19" s="1">
        <v>21824</v>
      </c>
      <c r="B19">
        <v>313.33</v>
      </c>
    </row>
    <row r="20" spans="1:2" x14ac:dyDescent="0.4">
      <c r="A20" s="1">
        <v>21855</v>
      </c>
      <c r="B20">
        <v>314.81</v>
      </c>
    </row>
    <row r="21" spans="1:2" x14ac:dyDescent="0.4">
      <c r="A21" s="1">
        <v>21885</v>
      </c>
      <c r="B21">
        <v>315.58</v>
      </c>
    </row>
    <row r="22" spans="1:2" x14ac:dyDescent="0.4">
      <c r="A22" s="1">
        <v>21916</v>
      </c>
      <c r="B22">
        <v>316.43</v>
      </c>
    </row>
    <row r="23" spans="1:2" x14ac:dyDescent="0.4">
      <c r="A23" s="1">
        <v>21947</v>
      </c>
      <c r="B23">
        <v>316.98</v>
      </c>
    </row>
    <row r="24" spans="1:2" x14ac:dyDescent="0.4">
      <c r="A24" s="1">
        <v>21976</v>
      </c>
      <c r="B24">
        <v>317.58</v>
      </c>
    </row>
    <row r="25" spans="1:2" x14ac:dyDescent="0.4">
      <c r="A25" s="1">
        <v>22007</v>
      </c>
      <c r="B25">
        <v>319.02999999999997</v>
      </c>
    </row>
    <row r="26" spans="1:2" x14ac:dyDescent="0.4">
      <c r="A26" s="1">
        <v>22037</v>
      </c>
      <c r="B26">
        <v>320.04000000000002</v>
      </c>
    </row>
    <row r="27" spans="1:2" x14ac:dyDescent="0.4">
      <c r="A27" s="1">
        <v>22068</v>
      </c>
      <c r="B27">
        <v>319.58</v>
      </c>
    </row>
    <row r="28" spans="1:2" x14ac:dyDescent="0.4">
      <c r="A28" s="1">
        <v>22098</v>
      </c>
      <c r="B28">
        <v>318.18</v>
      </c>
    </row>
    <row r="29" spans="1:2" x14ac:dyDescent="0.4">
      <c r="A29" s="1">
        <v>22129</v>
      </c>
      <c r="B29">
        <v>315.89999999999998</v>
      </c>
    </row>
    <row r="30" spans="1:2" x14ac:dyDescent="0.4">
      <c r="A30" s="1">
        <v>22160</v>
      </c>
      <c r="B30">
        <v>314.17</v>
      </c>
    </row>
    <row r="31" spans="1:2" x14ac:dyDescent="0.4">
      <c r="A31" s="1">
        <v>22190</v>
      </c>
      <c r="B31">
        <v>313.83</v>
      </c>
    </row>
    <row r="32" spans="1:2" x14ac:dyDescent="0.4">
      <c r="A32" s="1">
        <v>22221</v>
      </c>
      <c r="B32">
        <v>315</v>
      </c>
    </row>
    <row r="33" spans="1:2" x14ac:dyDescent="0.4">
      <c r="A33" s="1">
        <v>22251</v>
      </c>
      <c r="B33">
        <v>316.19</v>
      </c>
    </row>
    <row r="34" spans="1:2" x14ac:dyDescent="0.4">
      <c r="A34" s="1">
        <v>22282</v>
      </c>
      <c r="B34">
        <v>316.89999999999998</v>
      </c>
    </row>
    <row r="35" spans="1:2" x14ac:dyDescent="0.4">
      <c r="A35" s="1">
        <v>22313</v>
      </c>
      <c r="B35">
        <v>317.7</v>
      </c>
    </row>
    <row r="36" spans="1:2" x14ac:dyDescent="0.4">
      <c r="A36" s="1">
        <v>22341</v>
      </c>
      <c r="B36">
        <v>318.54000000000002</v>
      </c>
    </row>
    <row r="37" spans="1:2" x14ac:dyDescent="0.4">
      <c r="A37" s="1">
        <v>22372</v>
      </c>
      <c r="B37">
        <v>319.48</v>
      </c>
    </row>
    <row r="38" spans="1:2" x14ac:dyDescent="0.4">
      <c r="A38" s="1">
        <v>22402</v>
      </c>
      <c r="B38">
        <v>320.58</v>
      </c>
    </row>
    <row r="39" spans="1:2" x14ac:dyDescent="0.4">
      <c r="A39" s="1">
        <v>22433</v>
      </c>
      <c r="B39">
        <v>319.77</v>
      </c>
    </row>
    <row r="40" spans="1:2" x14ac:dyDescent="0.4">
      <c r="A40" s="1">
        <v>22463</v>
      </c>
      <c r="B40">
        <v>318.57</v>
      </c>
    </row>
    <row r="41" spans="1:2" x14ac:dyDescent="0.4">
      <c r="A41" s="1">
        <v>22494</v>
      </c>
      <c r="B41">
        <v>316.79000000000002</v>
      </c>
    </row>
    <row r="42" spans="1:2" x14ac:dyDescent="0.4">
      <c r="A42" s="1">
        <v>22525</v>
      </c>
      <c r="B42">
        <v>314.99</v>
      </c>
    </row>
    <row r="43" spans="1:2" x14ac:dyDescent="0.4">
      <c r="A43" s="1">
        <v>22555</v>
      </c>
      <c r="B43">
        <v>315.31</v>
      </c>
    </row>
    <row r="44" spans="1:2" x14ac:dyDescent="0.4">
      <c r="A44" s="1">
        <v>22586</v>
      </c>
      <c r="B44">
        <v>316.10000000000002</v>
      </c>
    </row>
    <row r="45" spans="1:2" x14ac:dyDescent="0.4">
      <c r="A45" s="1">
        <v>22616</v>
      </c>
      <c r="B45">
        <v>317.01</v>
      </c>
    </row>
    <row r="46" spans="1:2" x14ac:dyDescent="0.4">
      <c r="A46" s="1">
        <v>22647</v>
      </c>
      <c r="B46">
        <v>317.94</v>
      </c>
    </row>
    <row r="47" spans="1:2" x14ac:dyDescent="0.4">
      <c r="A47" s="1">
        <v>22678</v>
      </c>
      <c r="B47">
        <v>318.55</v>
      </c>
    </row>
    <row r="48" spans="1:2" x14ac:dyDescent="0.4">
      <c r="A48" s="1">
        <v>22706</v>
      </c>
      <c r="B48">
        <v>319.68</v>
      </c>
    </row>
    <row r="49" spans="1:2" x14ac:dyDescent="0.4">
      <c r="A49" s="1">
        <v>22737</v>
      </c>
      <c r="B49">
        <v>320.57</v>
      </c>
    </row>
    <row r="50" spans="1:2" x14ac:dyDescent="0.4">
      <c r="A50" s="1">
        <v>22767</v>
      </c>
      <c r="B50">
        <v>321.02</v>
      </c>
    </row>
    <row r="51" spans="1:2" x14ac:dyDescent="0.4">
      <c r="A51" s="1">
        <v>22798</v>
      </c>
      <c r="B51">
        <v>320.62</v>
      </c>
    </row>
    <row r="52" spans="1:2" x14ac:dyDescent="0.4">
      <c r="A52" s="1">
        <v>22828</v>
      </c>
      <c r="B52">
        <v>319.61</v>
      </c>
    </row>
    <row r="53" spans="1:2" x14ac:dyDescent="0.4">
      <c r="A53" s="1">
        <v>22859</v>
      </c>
      <c r="B53">
        <v>317.39999999999998</v>
      </c>
    </row>
    <row r="54" spans="1:2" x14ac:dyDescent="0.4">
      <c r="A54" s="1">
        <v>22890</v>
      </c>
      <c r="B54">
        <v>316.25</v>
      </c>
    </row>
    <row r="55" spans="1:2" x14ac:dyDescent="0.4">
      <c r="A55" s="1">
        <v>22920</v>
      </c>
      <c r="B55">
        <v>315.42</v>
      </c>
    </row>
    <row r="56" spans="1:2" x14ac:dyDescent="0.4">
      <c r="A56" s="1">
        <v>22951</v>
      </c>
      <c r="B56">
        <v>316.69</v>
      </c>
    </row>
    <row r="57" spans="1:2" x14ac:dyDescent="0.4">
      <c r="A57" s="1">
        <v>22981</v>
      </c>
      <c r="B57">
        <v>317.7</v>
      </c>
    </row>
    <row r="58" spans="1:2" x14ac:dyDescent="0.4">
      <c r="A58" s="1">
        <v>23012</v>
      </c>
      <c r="B58">
        <v>318.74</v>
      </c>
    </row>
    <row r="59" spans="1:2" x14ac:dyDescent="0.4">
      <c r="A59" s="1">
        <v>23043</v>
      </c>
      <c r="B59">
        <v>319.07</v>
      </c>
    </row>
    <row r="60" spans="1:2" x14ac:dyDescent="0.4">
      <c r="A60" s="1">
        <v>23071</v>
      </c>
      <c r="B60">
        <v>319.86</v>
      </c>
    </row>
    <row r="61" spans="1:2" x14ac:dyDescent="0.4">
      <c r="A61" s="1">
        <v>23102</v>
      </c>
      <c r="B61">
        <v>321.38</v>
      </c>
    </row>
    <row r="62" spans="1:2" x14ac:dyDescent="0.4">
      <c r="A62" s="1">
        <v>23132</v>
      </c>
      <c r="B62">
        <v>322.25</v>
      </c>
    </row>
    <row r="63" spans="1:2" x14ac:dyDescent="0.4">
      <c r="A63" s="1">
        <v>23163</v>
      </c>
      <c r="B63">
        <v>321.48</v>
      </c>
    </row>
    <row r="64" spans="1:2" x14ac:dyDescent="0.4">
      <c r="A64" s="1">
        <v>23193</v>
      </c>
      <c r="B64">
        <v>319.74</v>
      </c>
    </row>
    <row r="65" spans="1:2" x14ac:dyDescent="0.4">
      <c r="A65" s="1">
        <v>23224</v>
      </c>
      <c r="B65">
        <v>317.77</v>
      </c>
    </row>
    <row r="66" spans="1:2" x14ac:dyDescent="0.4">
      <c r="A66" s="1">
        <v>23255</v>
      </c>
      <c r="B66">
        <v>316.20999999999998</v>
      </c>
    </row>
    <row r="67" spans="1:2" x14ac:dyDescent="0.4">
      <c r="A67" s="1">
        <v>23285</v>
      </c>
      <c r="B67">
        <v>315.99</v>
      </c>
    </row>
    <row r="68" spans="1:2" x14ac:dyDescent="0.4">
      <c r="A68" s="1">
        <v>23316</v>
      </c>
      <c r="B68">
        <v>317.07</v>
      </c>
    </row>
    <row r="69" spans="1:2" x14ac:dyDescent="0.4">
      <c r="A69" s="1">
        <v>23346</v>
      </c>
      <c r="B69">
        <v>318.35000000000002</v>
      </c>
    </row>
    <row r="70" spans="1:2" x14ac:dyDescent="0.4">
      <c r="A70" s="1">
        <v>23377</v>
      </c>
      <c r="B70">
        <v>319.57</v>
      </c>
    </row>
    <row r="71" spans="1:2" x14ac:dyDescent="0.4">
      <c r="A71" s="1">
        <v>23498</v>
      </c>
      <c r="B71">
        <v>322.26</v>
      </c>
    </row>
    <row r="72" spans="1:2" x14ac:dyDescent="0.4">
      <c r="A72" s="1">
        <v>23529</v>
      </c>
      <c r="B72">
        <v>321.89</v>
      </c>
    </row>
    <row r="73" spans="1:2" x14ac:dyDescent="0.4">
      <c r="A73" s="1">
        <v>23559</v>
      </c>
      <c r="B73">
        <v>320.44</v>
      </c>
    </row>
    <row r="74" spans="1:2" x14ac:dyDescent="0.4">
      <c r="A74" s="1">
        <v>23590</v>
      </c>
      <c r="B74">
        <v>318.69</v>
      </c>
    </row>
    <row r="75" spans="1:2" x14ac:dyDescent="0.4">
      <c r="A75" s="1">
        <v>23621</v>
      </c>
      <c r="B75">
        <v>316.7</v>
      </c>
    </row>
    <row r="76" spans="1:2" x14ac:dyDescent="0.4">
      <c r="A76" s="1">
        <v>23651</v>
      </c>
      <c r="B76">
        <v>316.87</v>
      </c>
    </row>
    <row r="77" spans="1:2" x14ac:dyDescent="0.4">
      <c r="A77" s="1">
        <v>23682</v>
      </c>
      <c r="B77">
        <v>317.68</v>
      </c>
    </row>
    <row r="78" spans="1:2" x14ac:dyDescent="0.4">
      <c r="A78" s="1">
        <v>23712</v>
      </c>
      <c r="B78">
        <v>318.70999999999998</v>
      </c>
    </row>
    <row r="79" spans="1:2" x14ac:dyDescent="0.4">
      <c r="A79" s="1">
        <v>23743</v>
      </c>
      <c r="B79">
        <v>319.44</v>
      </c>
    </row>
    <row r="80" spans="1:2" x14ac:dyDescent="0.4">
      <c r="A80" s="1">
        <v>23774</v>
      </c>
      <c r="B80">
        <v>320.44</v>
      </c>
    </row>
    <row r="81" spans="1:2" x14ac:dyDescent="0.4">
      <c r="A81" s="1">
        <v>23802</v>
      </c>
      <c r="B81">
        <v>320.89</v>
      </c>
    </row>
    <row r="82" spans="1:2" x14ac:dyDescent="0.4">
      <c r="A82" s="1">
        <v>23833</v>
      </c>
      <c r="B82">
        <v>322.14</v>
      </c>
    </row>
    <row r="83" spans="1:2" x14ac:dyDescent="0.4">
      <c r="A83" s="1">
        <v>23863</v>
      </c>
      <c r="B83">
        <v>322.17</v>
      </c>
    </row>
    <row r="84" spans="1:2" x14ac:dyDescent="0.4">
      <c r="A84" s="1">
        <v>23894</v>
      </c>
      <c r="B84">
        <v>321.87</v>
      </c>
    </row>
    <row r="85" spans="1:2" x14ac:dyDescent="0.4">
      <c r="A85" s="1">
        <v>23924</v>
      </c>
      <c r="B85">
        <v>321.20999999999998</v>
      </c>
    </row>
    <row r="86" spans="1:2" x14ac:dyDescent="0.4">
      <c r="A86" s="1">
        <v>23955</v>
      </c>
      <c r="B86">
        <v>318.87</v>
      </c>
    </row>
    <row r="87" spans="1:2" x14ac:dyDescent="0.4">
      <c r="A87" s="1">
        <v>23986</v>
      </c>
      <c r="B87">
        <v>317.81</v>
      </c>
    </row>
    <row r="88" spans="1:2" x14ac:dyDescent="0.4">
      <c r="A88" s="1">
        <v>24016</v>
      </c>
      <c r="B88">
        <v>317.3</v>
      </c>
    </row>
    <row r="89" spans="1:2" x14ac:dyDescent="0.4">
      <c r="A89" s="1">
        <v>24047</v>
      </c>
      <c r="B89">
        <v>318.87</v>
      </c>
    </row>
    <row r="90" spans="1:2" x14ac:dyDescent="0.4">
      <c r="A90" s="1">
        <v>24077</v>
      </c>
      <c r="B90">
        <v>319.42</v>
      </c>
    </row>
    <row r="91" spans="1:2" x14ac:dyDescent="0.4">
      <c r="A91" s="1">
        <v>24108</v>
      </c>
      <c r="B91">
        <v>320.62</v>
      </c>
    </row>
    <row r="92" spans="1:2" x14ac:dyDescent="0.4">
      <c r="A92" s="1">
        <v>24139</v>
      </c>
      <c r="B92">
        <v>321.60000000000002</v>
      </c>
    </row>
    <row r="93" spans="1:2" x14ac:dyDescent="0.4">
      <c r="A93" s="1">
        <v>24167</v>
      </c>
      <c r="B93">
        <v>322.39</v>
      </c>
    </row>
    <row r="94" spans="1:2" x14ac:dyDescent="0.4">
      <c r="A94" s="1">
        <v>24198</v>
      </c>
      <c r="B94">
        <v>323.7</v>
      </c>
    </row>
    <row r="95" spans="1:2" x14ac:dyDescent="0.4">
      <c r="A95" s="1">
        <v>24228</v>
      </c>
      <c r="B95">
        <v>324.08</v>
      </c>
    </row>
    <row r="96" spans="1:2" x14ac:dyDescent="0.4">
      <c r="A96" s="1">
        <v>24259</v>
      </c>
      <c r="B96">
        <v>323.75</v>
      </c>
    </row>
    <row r="97" spans="1:2" x14ac:dyDescent="0.4">
      <c r="A97" s="1">
        <v>24289</v>
      </c>
      <c r="B97">
        <v>322.38</v>
      </c>
    </row>
    <row r="98" spans="1:2" x14ac:dyDescent="0.4">
      <c r="A98" s="1">
        <v>24320</v>
      </c>
      <c r="B98">
        <v>320.36</v>
      </c>
    </row>
    <row r="99" spans="1:2" x14ac:dyDescent="0.4">
      <c r="A99" s="1">
        <v>24351</v>
      </c>
      <c r="B99">
        <v>318.64</v>
      </c>
    </row>
    <row r="100" spans="1:2" x14ac:dyDescent="0.4">
      <c r="A100" s="1">
        <v>24381</v>
      </c>
      <c r="B100">
        <v>318.10000000000002</v>
      </c>
    </row>
    <row r="101" spans="1:2" x14ac:dyDescent="0.4">
      <c r="A101" s="1">
        <v>24412</v>
      </c>
      <c r="B101">
        <v>319.77999999999997</v>
      </c>
    </row>
    <row r="102" spans="1:2" x14ac:dyDescent="0.4">
      <c r="A102" s="1">
        <v>24442</v>
      </c>
      <c r="B102">
        <v>321.02999999999997</v>
      </c>
    </row>
    <row r="103" spans="1:2" x14ac:dyDescent="0.4">
      <c r="A103" s="1">
        <v>24473</v>
      </c>
      <c r="B103">
        <v>322.33</v>
      </c>
    </row>
    <row r="104" spans="1:2" x14ac:dyDescent="0.4">
      <c r="A104" s="1">
        <v>24504</v>
      </c>
      <c r="B104">
        <v>322.5</v>
      </c>
    </row>
    <row r="105" spans="1:2" x14ac:dyDescent="0.4">
      <c r="A105" s="1">
        <v>24532</v>
      </c>
      <c r="B105">
        <v>323.04000000000002</v>
      </c>
    </row>
    <row r="106" spans="1:2" x14ac:dyDescent="0.4">
      <c r="A106" s="1">
        <v>24563</v>
      </c>
      <c r="B106">
        <v>324.42</v>
      </c>
    </row>
    <row r="107" spans="1:2" x14ac:dyDescent="0.4">
      <c r="A107" s="1">
        <v>24593</v>
      </c>
      <c r="B107">
        <v>325</v>
      </c>
    </row>
    <row r="108" spans="1:2" x14ac:dyDescent="0.4">
      <c r="A108" s="1">
        <v>24624</v>
      </c>
      <c r="B108">
        <v>324.08999999999997</v>
      </c>
    </row>
    <row r="109" spans="1:2" x14ac:dyDescent="0.4">
      <c r="A109" s="1">
        <v>24654</v>
      </c>
      <c r="B109">
        <v>322.54000000000002</v>
      </c>
    </row>
    <row r="110" spans="1:2" x14ac:dyDescent="0.4">
      <c r="A110" s="1">
        <v>24685</v>
      </c>
      <c r="B110">
        <v>320.92</v>
      </c>
    </row>
    <row r="111" spans="1:2" x14ac:dyDescent="0.4">
      <c r="A111" s="1">
        <v>24716</v>
      </c>
      <c r="B111">
        <v>319.25</v>
      </c>
    </row>
    <row r="112" spans="1:2" x14ac:dyDescent="0.4">
      <c r="A112" s="1">
        <v>24746</v>
      </c>
      <c r="B112">
        <v>319.39</v>
      </c>
    </row>
    <row r="113" spans="1:2" x14ac:dyDescent="0.4">
      <c r="A113" s="1">
        <v>24777</v>
      </c>
      <c r="B113">
        <v>320.73</v>
      </c>
    </row>
    <row r="114" spans="1:2" x14ac:dyDescent="0.4">
      <c r="A114" s="1">
        <v>24807</v>
      </c>
      <c r="B114">
        <v>321.95999999999998</v>
      </c>
    </row>
    <row r="115" spans="1:2" x14ac:dyDescent="0.4">
      <c r="A115" s="1">
        <v>24838</v>
      </c>
      <c r="B115">
        <v>322.57</v>
      </c>
    </row>
    <row r="116" spans="1:2" x14ac:dyDescent="0.4">
      <c r="A116" s="1">
        <v>24869</v>
      </c>
      <c r="B116">
        <v>323.14999999999998</v>
      </c>
    </row>
    <row r="117" spans="1:2" x14ac:dyDescent="0.4">
      <c r="A117" s="1">
        <v>24898</v>
      </c>
      <c r="B117">
        <v>323.89</v>
      </c>
    </row>
    <row r="118" spans="1:2" x14ac:dyDescent="0.4">
      <c r="A118" s="1">
        <v>24929</v>
      </c>
      <c r="B118">
        <v>325.02</v>
      </c>
    </row>
    <row r="119" spans="1:2" x14ac:dyDescent="0.4">
      <c r="A119" s="1">
        <v>24959</v>
      </c>
      <c r="B119">
        <v>325.57</v>
      </c>
    </row>
    <row r="120" spans="1:2" x14ac:dyDescent="0.4">
      <c r="A120" s="1">
        <v>24990</v>
      </c>
      <c r="B120">
        <v>325.36</v>
      </c>
    </row>
    <row r="121" spans="1:2" x14ac:dyDescent="0.4">
      <c r="A121" s="1">
        <v>25020</v>
      </c>
      <c r="B121">
        <v>324.14</v>
      </c>
    </row>
    <row r="122" spans="1:2" x14ac:dyDescent="0.4">
      <c r="A122" s="1">
        <v>25051</v>
      </c>
      <c r="B122">
        <v>322.11</v>
      </c>
    </row>
    <row r="123" spans="1:2" x14ac:dyDescent="0.4">
      <c r="A123" s="1">
        <v>25082</v>
      </c>
      <c r="B123">
        <v>320.33</v>
      </c>
    </row>
    <row r="124" spans="1:2" x14ac:dyDescent="0.4">
      <c r="A124" s="1">
        <v>25112</v>
      </c>
      <c r="B124">
        <v>320.25</v>
      </c>
    </row>
    <row r="125" spans="1:2" x14ac:dyDescent="0.4">
      <c r="A125" s="1">
        <v>25143</v>
      </c>
      <c r="B125">
        <v>321.32</v>
      </c>
    </row>
    <row r="126" spans="1:2" x14ac:dyDescent="0.4">
      <c r="A126" s="1">
        <v>25173</v>
      </c>
      <c r="B126">
        <v>322.89</v>
      </c>
    </row>
    <row r="127" spans="1:2" x14ac:dyDescent="0.4">
      <c r="A127" s="1">
        <v>25204</v>
      </c>
      <c r="B127">
        <v>324</v>
      </c>
    </row>
    <row r="128" spans="1:2" x14ac:dyDescent="0.4">
      <c r="A128" s="1">
        <v>25235</v>
      </c>
      <c r="B128">
        <v>324.41000000000003</v>
      </c>
    </row>
    <row r="129" spans="1:2" x14ac:dyDescent="0.4">
      <c r="A129" s="1">
        <v>25263</v>
      </c>
      <c r="B129">
        <v>325.63</v>
      </c>
    </row>
    <row r="130" spans="1:2" x14ac:dyDescent="0.4">
      <c r="A130" s="1">
        <v>25294</v>
      </c>
      <c r="B130">
        <v>326.66000000000003</v>
      </c>
    </row>
    <row r="131" spans="1:2" x14ac:dyDescent="0.4">
      <c r="A131" s="1">
        <v>25324</v>
      </c>
      <c r="B131">
        <v>327.38</v>
      </c>
    </row>
    <row r="132" spans="1:2" x14ac:dyDescent="0.4">
      <c r="A132" s="1">
        <v>25355</v>
      </c>
      <c r="B132">
        <v>326.70999999999998</v>
      </c>
    </row>
    <row r="133" spans="1:2" x14ac:dyDescent="0.4">
      <c r="A133" s="1">
        <v>25385</v>
      </c>
      <c r="B133">
        <v>325.88</v>
      </c>
    </row>
    <row r="134" spans="1:2" x14ac:dyDescent="0.4">
      <c r="A134" s="1">
        <v>25416</v>
      </c>
      <c r="B134">
        <v>323.66000000000003</v>
      </c>
    </row>
    <row r="135" spans="1:2" x14ac:dyDescent="0.4">
      <c r="A135" s="1">
        <v>25447</v>
      </c>
      <c r="B135">
        <v>322.38</v>
      </c>
    </row>
    <row r="136" spans="1:2" x14ac:dyDescent="0.4">
      <c r="A136" s="1">
        <v>25477</v>
      </c>
      <c r="B136">
        <v>321.77999999999997</v>
      </c>
    </row>
    <row r="137" spans="1:2" x14ac:dyDescent="0.4">
      <c r="A137" s="1">
        <v>25508</v>
      </c>
      <c r="B137">
        <v>322.85000000000002</v>
      </c>
    </row>
    <row r="138" spans="1:2" x14ac:dyDescent="0.4">
      <c r="A138" s="1">
        <v>25538</v>
      </c>
      <c r="B138">
        <v>324.12</v>
      </c>
    </row>
    <row r="139" spans="1:2" x14ac:dyDescent="0.4">
      <c r="A139" s="1">
        <v>25569</v>
      </c>
      <c r="B139">
        <v>325.06</v>
      </c>
    </row>
    <row r="140" spans="1:2" x14ac:dyDescent="0.4">
      <c r="A140" s="1">
        <v>25600</v>
      </c>
      <c r="B140">
        <v>325.98</v>
      </c>
    </row>
    <row r="141" spans="1:2" x14ac:dyDescent="0.4">
      <c r="A141" s="1">
        <v>25628</v>
      </c>
      <c r="B141">
        <v>326.93</v>
      </c>
    </row>
    <row r="142" spans="1:2" x14ac:dyDescent="0.4">
      <c r="A142" s="1">
        <v>25659</v>
      </c>
      <c r="B142">
        <v>328.13</v>
      </c>
    </row>
    <row r="143" spans="1:2" x14ac:dyDescent="0.4">
      <c r="A143" s="1">
        <v>25689</v>
      </c>
      <c r="B143">
        <v>328.08</v>
      </c>
    </row>
    <row r="144" spans="1:2" x14ac:dyDescent="0.4">
      <c r="A144" s="1">
        <v>25720</v>
      </c>
      <c r="B144">
        <v>327.67</v>
      </c>
    </row>
    <row r="145" spans="1:2" x14ac:dyDescent="0.4">
      <c r="A145" s="1">
        <v>25750</v>
      </c>
      <c r="B145">
        <v>326.33999999999997</v>
      </c>
    </row>
    <row r="146" spans="1:2" x14ac:dyDescent="0.4">
      <c r="A146" s="1">
        <v>25781</v>
      </c>
      <c r="B146">
        <v>324.69</v>
      </c>
    </row>
    <row r="147" spans="1:2" x14ac:dyDescent="0.4">
      <c r="A147" s="1">
        <v>25812</v>
      </c>
      <c r="B147">
        <v>323.10000000000002</v>
      </c>
    </row>
    <row r="148" spans="1:2" x14ac:dyDescent="0.4">
      <c r="A148" s="1">
        <v>25842</v>
      </c>
      <c r="B148">
        <v>323.06</v>
      </c>
    </row>
    <row r="149" spans="1:2" x14ac:dyDescent="0.4">
      <c r="A149" s="1">
        <v>25873</v>
      </c>
      <c r="B149">
        <v>324.01</v>
      </c>
    </row>
    <row r="150" spans="1:2" x14ac:dyDescent="0.4">
      <c r="A150" s="1">
        <v>25903</v>
      </c>
      <c r="B150">
        <v>325.13</v>
      </c>
    </row>
    <row r="151" spans="1:2" x14ac:dyDescent="0.4">
      <c r="A151" s="1">
        <v>25934</v>
      </c>
      <c r="B151">
        <v>326.17</v>
      </c>
    </row>
    <row r="152" spans="1:2" x14ac:dyDescent="0.4">
      <c r="A152" s="1">
        <v>25965</v>
      </c>
      <c r="B152">
        <v>326.68</v>
      </c>
    </row>
    <row r="153" spans="1:2" x14ac:dyDescent="0.4">
      <c r="A153" s="1">
        <v>25993</v>
      </c>
      <c r="B153">
        <v>327.17</v>
      </c>
    </row>
    <row r="154" spans="1:2" x14ac:dyDescent="0.4">
      <c r="A154" s="1">
        <v>26024</v>
      </c>
      <c r="B154">
        <v>327.79</v>
      </c>
    </row>
    <row r="155" spans="1:2" x14ac:dyDescent="0.4">
      <c r="A155" s="1">
        <v>26054</v>
      </c>
      <c r="B155">
        <v>328.93</v>
      </c>
    </row>
    <row r="156" spans="1:2" x14ac:dyDescent="0.4">
      <c r="A156" s="1">
        <v>26085</v>
      </c>
      <c r="B156">
        <v>328.57</v>
      </c>
    </row>
    <row r="157" spans="1:2" x14ac:dyDescent="0.4">
      <c r="A157" s="1">
        <v>26115</v>
      </c>
      <c r="B157">
        <v>327.36</v>
      </c>
    </row>
    <row r="158" spans="1:2" x14ac:dyDescent="0.4">
      <c r="A158" s="1">
        <v>26146</v>
      </c>
      <c r="B158">
        <v>325.43</v>
      </c>
    </row>
    <row r="159" spans="1:2" x14ac:dyDescent="0.4">
      <c r="A159" s="1">
        <v>26177</v>
      </c>
      <c r="B159">
        <v>323.36</v>
      </c>
    </row>
    <row r="160" spans="1:2" x14ac:dyDescent="0.4">
      <c r="A160" s="1">
        <v>26207</v>
      </c>
      <c r="B160">
        <v>323.56</v>
      </c>
    </row>
    <row r="161" spans="1:2" x14ac:dyDescent="0.4">
      <c r="A161" s="1">
        <v>26238</v>
      </c>
      <c r="B161">
        <v>324.8</v>
      </c>
    </row>
    <row r="162" spans="1:2" x14ac:dyDescent="0.4">
      <c r="A162" s="1">
        <v>26268</v>
      </c>
      <c r="B162">
        <v>326.01</v>
      </c>
    </row>
    <row r="163" spans="1:2" x14ac:dyDescent="0.4">
      <c r="A163" s="1">
        <v>26299</v>
      </c>
      <c r="B163">
        <v>326.77</v>
      </c>
    </row>
    <row r="164" spans="1:2" x14ac:dyDescent="0.4">
      <c r="A164" s="1">
        <v>26330</v>
      </c>
      <c r="B164">
        <v>327.63</v>
      </c>
    </row>
    <row r="165" spans="1:2" x14ac:dyDescent="0.4">
      <c r="A165" s="1">
        <v>26359</v>
      </c>
      <c r="B165">
        <v>327.75</v>
      </c>
    </row>
    <row r="166" spans="1:2" x14ac:dyDescent="0.4">
      <c r="A166" s="1">
        <v>26390</v>
      </c>
      <c r="B166">
        <v>329.72</v>
      </c>
    </row>
    <row r="167" spans="1:2" x14ac:dyDescent="0.4">
      <c r="A167" s="1">
        <v>26420</v>
      </c>
      <c r="B167">
        <v>330.07</v>
      </c>
    </row>
    <row r="168" spans="1:2" x14ac:dyDescent="0.4">
      <c r="A168" s="1">
        <v>26451</v>
      </c>
      <c r="B168">
        <v>329.09</v>
      </c>
    </row>
    <row r="169" spans="1:2" x14ac:dyDescent="0.4">
      <c r="A169" s="1">
        <v>26481</v>
      </c>
      <c r="B169">
        <v>328.04</v>
      </c>
    </row>
    <row r="170" spans="1:2" x14ac:dyDescent="0.4">
      <c r="A170" s="1">
        <v>26512</v>
      </c>
      <c r="B170">
        <v>326.32</v>
      </c>
    </row>
    <row r="171" spans="1:2" x14ac:dyDescent="0.4">
      <c r="A171" s="1">
        <v>26543</v>
      </c>
      <c r="B171">
        <v>324.83999999999997</v>
      </c>
    </row>
    <row r="172" spans="1:2" x14ac:dyDescent="0.4">
      <c r="A172" s="1">
        <v>26573</v>
      </c>
      <c r="B172">
        <v>325.2</v>
      </c>
    </row>
    <row r="173" spans="1:2" x14ac:dyDescent="0.4">
      <c r="A173" s="1">
        <v>26604</v>
      </c>
      <c r="B173">
        <v>326.5</v>
      </c>
    </row>
    <row r="174" spans="1:2" x14ac:dyDescent="0.4">
      <c r="A174" s="1">
        <v>26634</v>
      </c>
      <c r="B174">
        <v>327.55</v>
      </c>
    </row>
    <row r="175" spans="1:2" x14ac:dyDescent="0.4">
      <c r="A175" s="1">
        <v>26665</v>
      </c>
      <c r="B175">
        <v>328.55</v>
      </c>
    </row>
    <row r="176" spans="1:2" x14ac:dyDescent="0.4">
      <c r="A176" s="1">
        <v>26696</v>
      </c>
      <c r="B176">
        <v>329.56</v>
      </c>
    </row>
    <row r="177" spans="1:2" x14ac:dyDescent="0.4">
      <c r="A177" s="1">
        <v>26724</v>
      </c>
      <c r="B177">
        <v>330.3</v>
      </c>
    </row>
    <row r="178" spans="1:2" x14ac:dyDescent="0.4">
      <c r="A178" s="1">
        <v>26755</v>
      </c>
      <c r="B178">
        <v>331.5</v>
      </c>
    </row>
    <row r="179" spans="1:2" x14ac:dyDescent="0.4">
      <c r="A179" s="1">
        <v>26785</v>
      </c>
      <c r="B179">
        <v>332.48</v>
      </c>
    </row>
    <row r="180" spans="1:2" x14ac:dyDescent="0.4">
      <c r="A180" s="1">
        <v>26816</v>
      </c>
      <c r="B180">
        <v>332.07</v>
      </c>
    </row>
    <row r="181" spans="1:2" x14ac:dyDescent="0.4">
      <c r="A181" s="1">
        <v>26846</v>
      </c>
      <c r="B181">
        <v>330.87</v>
      </c>
    </row>
    <row r="182" spans="1:2" x14ac:dyDescent="0.4">
      <c r="A182" s="1">
        <v>26877</v>
      </c>
      <c r="B182">
        <v>329.31</v>
      </c>
    </row>
    <row r="183" spans="1:2" x14ac:dyDescent="0.4">
      <c r="A183" s="1">
        <v>26908</v>
      </c>
      <c r="B183">
        <v>327.51</v>
      </c>
    </row>
    <row r="184" spans="1:2" x14ac:dyDescent="0.4">
      <c r="A184" s="1">
        <v>26938</v>
      </c>
      <c r="B184">
        <v>327.18</v>
      </c>
    </row>
    <row r="185" spans="1:2" x14ac:dyDescent="0.4">
      <c r="A185" s="1">
        <v>26969</v>
      </c>
      <c r="B185">
        <v>328.16</v>
      </c>
    </row>
    <row r="186" spans="1:2" x14ac:dyDescent="0.4">
      <c r="A186" s="1">
        <v>26999</v>
      </c>
      <c r="B186">
        <v>328.64</v>
      </c>
    </row>
    <row r="187" spans="1:2" x14ac:dyDescent="0.4">
      <c r="A187" s="1">
        <v>27030</v>
      </c>
      <c r="B187">
        <v>329.35</v>
      </c>
    </row>
    <row r="188" spans="1:2" x14ac:dyDescent="0.4">
      <c r="A188" s="1">
        <v>27061</v>
      </c>
      <c r="B188">
        <v>330.71</v>
      </c>
    </row>
    <row r="189" spans="1:2" x14ac:dyDescent="0.4">
      <c r="A189" s="1">
        <v>27089</v>
      </c>
      <c r="B189">
        <v>331.48</v>
      </c>
    </row>
    <row r="190" spans="1:2" x14ac:dyDescent="0.4">
      <c r="A190" s="1">
        <v>27120</v>
      </c>
      <c r="B190">
        <v>332.65</v>
      </c>
    </row>
    <row r="191" spans="1:2" x14ac:dyDescent="0.4">
      <c r="A191" s="1">
        <v>27150</v>
      </c>
      <c r="B191">
        <v>333.09</v>
      </c>
    </row>
    <row r="192" spans="1:2" x14ac:dyDescent="0.4">
      <c r="A192" s="1">
        <v>27181</v>
      </c>
      <c r="B192">
        <v>332.25</v>
      </c>
    </row>
    <row r="193" spans="1:2" x14ac:dyDescent="0.4">
      <c r="A193" s="1">
        <v>27211</v>
      </c>
      <c r="B193">
        <v>331.18</v>
      </c>
    </row>
    <row r="194" spans="1:2" x14ac:dyDescent="0.4">
      <c r="A194" s="1">
        <v>27242</v>
      </c>
      <c r="B194">
        <v>329.39</v>
      </c>
    </row>
    <row r="195" spans="1:2" x14ac:dyDescent="0.4">
      <c r="A195" s="1">
        <v>27273</v>
      </c>
      <c r="B195">
        <v>327.43</v>
      </c>
    </row>
    <row r="196" spans="1:2" x14ac:dyDescent="0.4">
      <c r="A196" s="1">
        <v>27303</v>
      </c>
      <c r="B196">
        <v>327.37</v>
      </c>
    </row>
    <row r="197" spans="1:2" x14ac:dyDescent="0.4">
      <c r="A197" s="1">
        <v>27334</v>
      </c>
      <c r="B197">
        <v>328.46</v>
      </c>
    </row>
    <row r="198" spans="1:2" x14ac:dyDescent="0.4">
      <c r="A198" s="1">
        <v>27364</v>
      </c>
      <c r="B198">
        <v>329.57</v>
      </c>
    </row>
    <row r="199" spans="1:2" x14ac:dyDescent="0.4">
      <c r="A199" s="1">
        <v>27395</v>
      </c>
      <c r="B199">
        <v>330.4</v>
      </c>
    </row>
    <row r="200" spans="1:2" x14ac:dyDescent="0.4">
      <c r="A200" s="1">
        <v>27426</v>
      </c>
      <c r="B200">
        <v>331.4</v>
      </c>
    </row>
    <row r="201" spans="1:2" x14ac:dyDescent="0.4">
      <c r="A201" s="1">
        <v>27454</v>
      </c>
      <c r="B201">
        <v>332.04</v>
      </c>
    </row>
    <row r="202" spans="1:2" x14ac:dyDescent="0.4">
      <c r="A202" s="1">
        <v>27485</v>
      </c>
      <c r="B202">
        <v>333.31</v>
      </c>
    </row>
    <row r="203" spans="1:2" x14ac:dyDescent="0.4">
      <c r="A203" s="1">
        <v>27515</v>
      </c>
      <c r="B203">
        <v>333.97</v>
      </c>
    </row>
    <row r="204" spans="1:2" x14ac:dyDescent="0.4">
      <c r="A204" s="1">
        <v>27546</v>
      </c>
      <c r="B204">
        <v>333.6</v>
      </c>
    </row>
    <row r="205" spans="1:2" x14ac:dyDescent="0.4">
      <c r="A205" s="1">
        <v>27576</v>
      </c>
      <c r="B205">
        <v>331.9</v>
      </c>
    </row>
    <row r="206" spans="1:2" x14ac:dyDescent="0.4">
      <c r="A206" s="1">
        <v>27607</v>
      </c>
      <c r="B206">
        <v>330.06</v>
      </c>
    </row>
    <row r="207" spans="1:2" x14ac:dyDescent="0.4">
      <c r="A207" s="1">
        <v>27638</v>
      </c>
      <c r="B207">
        <v>328.56</v>
      </c>
    </row>
    <row r="208" spans="1:2" x14ac:dyDescent="0.4">
      <c r="A208" s="1">
        <v>27668</v>
      </c>
      <c r="B208">
        <v>328.34</v>
      </c>
    </row>
    <row r="209" spans="1:2" x14ac:dyDescent="0.4">
      <c r="A209" s="1">
        <v>27699</v>
      </c>
      <c r="B209">
        <v>329.49</v>
      </c>
    </row>
    <row r="210" spans="1:2" x14ac:dyDescent="0.4">
      <c r="A210" s="1">
        <v>27729</v>
      </c>
      <c r="B210">
        <v>330.76</v>
      </c>
    </row>
    <row r="211" spans="1:2" x14ac:dyDescent="0.4">
      <c r="A211" s="1">
        <v>27760</v>
      </c>
      <c r="B211">
        <v>331.75</v>
      </c>
    </row>
    <row r="212" spans="1:2" x14ac:dyDescent="0.4">
      <c r="A212" s="1">
        <v>27791</v>
      </c>
      <c r="B212">
        <v>332.57</v>
      </c>
    </row>
    <row r="213" spans="1:2" x14ac:dyDescent="0.4">
      <c r="A213" s="1">
        <v>27820</v>
      </c>
      <c r="B213">
        <v>333.5</v>
      </c>
    </row>
    <row r="214" spans="1:2" x14ac:dyDescent="0.4">
      <c r="A214" s="1">
        <v>27851</v>
      </c>
      <c r="B214">
        <v>334.58</v>
      </c>
    </row>
    <row r="215" spans="1:2" x14ac:dyDescent="0.4">
      <c r="A215" s="1">
        <v>27881</v>
      </c>
      <c r="B215">
        <v>334.88</v>
      </c>
    </row>
    <row r="216" spans="1:2" x14ac:dyDescent="0.4">
      <c r="A216" s="1">
        <v>27912</v>
      </c>
      <c r="B216">
        <v>334.33</v>
      </c>
    </row>
    <row r="217" spans="1:2" x14ac:dyDescent="0.4">
      <c r="A217" s="1">
        <v>27942</v>
      </c>
      <c r="B217">
        <v>333.05</v>
      </c>
    </row>
    <row r="218" spans="1:2" x14ac:dyDescent="0.4">
      <c r="A218" s="1">
        <v>27973</v>
      </c>
      <c r="B218">
        <v>330.94</v>
      </c>
    </row>
    <row r="219" spans="1:2" x14ac:dyDescent="0.4">
      <c r="A219" s="1">
        <v>28004</v>
      </c>
      <c r="B219">
        <v>329.3</v>
      </c>
    </row>
    <row r="220" spans="1:2" x14ac:dyDescent="0.4">
      <c r="A220" s="1">
        <v>28034</v>
      </c>
      <c r="B220">
        <v>328.94</v>
      </c>
    </row>
    <row r="221" spans="1:2" x14ac:dyDescent="0.4">
      <c r="A221" s="1">
        <v>28065</v>
      </c>
      <c r="B221">
        <v>330.31</v>
      </c>
    </row>
    <row r="222" spans="1:2" x14ac:dyDescent="0.4">
      <c r="A222" s="1">
        <v>28095</v>
      </c>
      <c r="B222">
        <v>331.68</v>
      </c>
    </row>
    <row r="223" spans="1:2" x14ac:dyDescent="0.4">
      <c r="A223" s="1">
        <v>28126</v>
      </c>
      <c r="B223">
        <v>332.93</v>
      </c>
    </row>
    <row r="224" spans="1:2" x14ac:dyDescent="0.4">
      <c r="A224" s="1">
        <v>28157</v>
      </c>
      <c r="B224">
        <v>333.42</v>
      </c>
    </row>
    <row r="225" spans="1:2" x14ac:dyDescent="0.4">
      <c r="A225" s="1">
        <v>28185</v>
      </c>
      <c r="B225">
        <v>334.7</v>
      </c>
    </row>
    <row r="226" spans="1:2" x14ac:dyDescent="0.4">
      <c r="A226" s="1">
        <v>28216</v>
      </c>
      <c r="B226">
        <v>336.07</v>
      </c>
    </row>
    <row r="227" spans="1:2" x14ac:dyDescent="0.4">
      <c r="A227" s="1">
        <v>28246</v>
      </c>
      <c r="B227">
        <v>336.75</v>
      </c>
    </row>
    <row r="228" spans="1:2" x14ac:dyDescent="0.4">
      <c r="A228" s="1">
        <v>28277</v>
      </c>
      <c r="B228">
        <v>336.27</v>
      </c>
    </row>
    <row r="229" spans="1:2" x14ac:dyDescent="0.4">
      <c r="A229" s="1">
        <v>28307</v>
      </c>
      <c r="B229">
        <v>334.92</v>
      </c>
    </row>
    <row r="230" spans="1:2" x14ac:dyDescent="0.4">
      <c r="A230" s="1">
        <v>28338</v>
      </c>
      <c r="B230">
        <v>332.75</v>
      </c>
    </row>
    <row r="231" spans="1:2" x14ac:dyDescent="0.4">
      <c r="A231" s="1">
        <v>28369</v>
      </c>
      <c r="B231">
        <v>331.59</v>
      </c>
    </row>
    <row r="232" spans="1:2" x14ac:dyDescent="0.4">
      <c r="A232" s="1">
        <v>28399</v>
      </c>
      <c r="B232">
        <v>331.16</v>
      </c>
    </row>
    <row r="233" spans="1:2" x14ac:dyDescent="0.4">
      <c r="A233" s="1">
        <v>28430</v>
      </c>
      <c r="B233">
        <v>332.4</v>
      </c>
    </row>
    <row r="234" spans="1:2" x14ac:dyDescent="0.4">
      <c r="A234" s="1">
        <v>28460</v>
      </c>
      <c r="B234">
        <v>333.85</v>
      </c>
    </row>
    <row r="235" spans="1:2" x14ac:dyDescent="0.4">
      <c r="A235" s="1">
        <v>28491</v>
      </c>
      <c r="B235">
        <v>334.97</v>
      </c>
    </row>
    <row r="236" spans="1:2" x14ac:dyDescent="0.4">
      <c r="A236" s="1">
        <v>28522</v>
      </c>
      <c r="B236">
        <v>335.39</v>
      </c>
    </row>
    <row r="237" spans="1:2" x14ac:dyDescent="0.4">
      <c r="A237" s="1">
        <v>28550</v>
      </c>
      <c r="B237">
        <v>336.64</v>
      </c>
    </row>
    <row r="238" spans="1:2" x14ac:dyDescent="0.4">
      <c r="A238" s="1">
        <v>28581</v>
      </c>
      <c r="B238">
        <v>337.76</v>
      </c>
    </row>
    <row r="239" spans="1:2" x14ac:dyDescent="0.4">
      <c r="A239" s="1">
        <v>28611</v>
      </c>
      <c r="B239">
        <v>338.01</v>
      </c>
    </row>
    <row r="240" spans="1:2" x14ac:dyDescent="0.4">
      <c r="A240" s="1">
        <v>28642</v>
      </c>
      <c r="B240">
        <v>337.9</v>
      </c>
    </row>
    <row r="241" spans="1:2" x14ac:dyDescent="0.4">
      <c r="A241" s="1">
        <v>28672</v>
      </c>
      <c r="B241">
        <v>336.54</v>
      </c>
    </row>
    <row r="242" spans="1:2" x14ac:dyDescent="0.4">
      <c r="A242" s="1">
        <v>28703</v>
      </c>
      <c r="B242">
        <v>334.68</v>
      </c>
    </row>
    <row r="243" spans="1:2" x14ac:dyDescent="0.4">
      <c r="A243" s="1">
        <v>28734</v>
      </c>
      <c r="B243">
        <v>332.76</v>
      </c>
    </row>
    <row r="244" spans="1:2" x14ac:dyDescent="0.4">
      <c r="A244" s="1">
        <v>28764</v>
      </c>
      <c r="B244">
        <v>332.55</v>
      </c>
    </row>
    <row r="245" spans="1:2" x14ac:dyDescent="0.4">
      <c r="A245" s="1">
        <v>28795</v>
      </c>
      <c r="B245">
        <v>333.92</v>
      </c>
    </row>
    <row r="246" spans="1:2" x14ac:dyDescent="0.4">
      <c r="A246" s="1">
        <v>28825</v>
      </c>
      <c r="B246">
        <v>334.95</v>
      </c>
    </row>
    <row r="247" spans="1:2" x14ac:dyDescent="0.4">
      <c r="A247" s="1">
        <v>28856</v>
      </c>
      <c r="B247">
        <v>336.23</v>
      </c>
    </row>
    <row r="248" spans="1:2" x14ac:dyDescent="0.4">
      <c r="A248" s="1">
        <v>28887</v>
      </c>
      <c r="B248">
        <v>336.76</v>
      </c>
    </row>
    <row r="249" spans="1:2" x14ac:dyDescent="0.4">
      <c r="A249" s="1">
        <v>28915</v>
      </c>
      <c r="B249">
        <v>337.96</v>
      </c>
    </row>
    <row r="250" spans="1:2" x14ac:dyDescent="0.4">
      <c r="A250" s="1">
        <v>28946</v>
      </c>
      <c r="B250">
        <v>338.88</v>
      </c>
    </row>
    <row r="251" spans="1:2" x14ac:dyDescent="0.4">
      <c r="A251" s="1">
        <v>28976</v>
      </c>
      <c r="B251">
        <v>339.47</v>
      </c>
    </row>
    <row r="252" spans="1:2" x14ac:dyDescent="0.4">
      <c r="A252" s="1">
        <v>29007</v>
      </c>
      <c r="B252">
        <v>339.29</v>
      </c>
    </row>
    <row r="253" spans="1:2" x14ac:dyDescent="0.4">
      <c r="A253" s="1">
        <v>29037</v>
      </c>
      <c r="B253">
        <v>337.73</v>
      </c>
    </row>
    <row r="254" spans="1:2" x14ac:dyDescent="0.4">
      <c r="A254" s="1">
        <v>29068</v>
      </c>
      <c r="B254">
        <v>336.09</v>
      </c>
    </row>
    <row r="255" spans="1:2" x14ac:dyDescent="0.4">
      <c r="A255" s="1">
        <v>29099</v>
      </c>
      <c r="B255">
        <v>333.92</v>
      </c>
    </row>
    <row r="256" spans="1:2" x14ac:dyDescent="0.4">
      <c r="A256" s="1">
        <v>29129</v>
      </c>
      <c r="B256">
        <v>333.86</v>
      </c>
    </row>
    <row r="257" spans="1:2" x14ac:dyDescent="0.4">
      <c r="A257" s="1">
        <v>29160</v>
      </c>
      <c r="B257">
        <v>335.29</v>
      </c>
    </row>
    <row r="258" spans="1:2" x14ac:dyDescent="0.4">
      <c r="A258" s="1">
        <v>29190</v>
      </c>
      <c r="B258">
        <v>336.73</v>
      </c>
    </row>
    <row r="259" spans="1:2" x14ac:dyDescent="0.4">
      <c r="A259" s="1">
        <v>29221</v>
      </c>
      <c r="B259">
        <v>338.01</v>
      </c>
    </row>
    <row r="260" spans="1:2" x14ac:dyDescent="0.4">
      <c r="A260" s="1">
        <v>29252</v>
      </c>
      <c r="B260">
        <v>338.36</v>
      </c>
    </row>
    <row r="261" spans="1:2" x14ac:dyDescent="0.4">
      <c r="A261" s="1">
        <v>29281</v>
      </c>
      <c r="B261">
        <v>340.07</v>
      </c>
    </row>
    <row r="262" spans="1:2" x14ac:dyDescent="0.4">
      <c r="A262" s="1">
        <v>29312</v>
      </c>
      <c r="B262">
        <v>340.76</v>
      </c>
    </row>
    <row r="263" spans="1:2" x14ac:dyDescent="0.4">
      <c r="A263" s="1">
        <v>29342</v>
      </c>
      <c r="B263">
        <v>341.47</v>
      </c>
    </row>
    <row r="264" spans="1:2" x14ac:dyDescent="0.4">
      <c r="A264" s="1">
        <v>29373</v>
      </c>
      <c r="B264">
        <v>341.17</v>
      </c>
    </row>
    <row r="265" spans="1:2" x14ac:dyDescent="0.4">
      <c r="A265" s="1">
        <v>29403</v>
      </c>
      <c r="B265">
        <v>339.56</v>
      </c>
    </row>
    <row r="266" spans="1:2" x14ac:dyDescent="0.4">
      <c r="A266" s="1">
        <v>29434</v>
      </c>
      <c r="B266">
        <v>337.6</v>
      </c>
    </row>
    <row r="267" spans="1:2" x14ac:dyDescent="0.4">
      <c r="A267" s="1">
        <v>29465</v>
      </c>
      <c r="B267">
        <v>335.88</v>
      </c>
    </row>
    <row r="268" spans="1:2" x14ac:dyDescent="0.4">
      <c r="A268" s="1">
        <v>29495</v>
      </c>
      <c r="B268">
        <v>336.02</v>
      </c>
    </row>
    <row r="269" spans="1:2" x14ac:dyDescent="0.4">
      <c r="A269" s="1">
        <v>29526</v>
      </c>
      <c r="B269">
        <v>337.1</v>
      </c>
    </row>
    <row r="270" spans="1:2" x14ac:dyDescent="0.4">
      <c r="A270" s="1">
        <v>29556</v>
      </c>
      <c r="B270">
        <v>338.21</v>
      </c>
    </row>
    <row r="271" spans="1:2" x14ac:dyDescent="0.4">
      <c r="A271" s="1">
        <v>29587</v>
      </c>
      <c r="B271">
        <v>339.24</v>
      </c>
    </row>
    <row r="272" spans="1:2" x14ac:dyDescent="0.4">
      <c r="A272" s="1">
        <v>29618</v>
      </c>
      <c r="B272">
        <v>340.48</v>
      </c>
    </row>
    <row r="273" spans="1:2" x14ac:dyDescent="0.4">
      <c r="A273" s="1">
        <v>29646</v>
      </c>
      <c r="B273">
        <v>341.38</v>
      </c>
    </row>
    <row r="274" spans="1:2" x14ac:dyDescent="0.4">
      <c r="A274" s="1">
        <v>29677</v>
      </c>
      <c r="B274">
        <v>342.5</v>
      </c>
    </row>
    <row r="275" spans="1:2" x14ac:dyDescent="0.4">
      <c r="A275" s="1">
        <v>29707</v>
      </c>
      <c r="B275">
        <v>342.91</v>
      </c>
    </row>
    <row r="276" spans="1:2" x14ac:dyDescent="0.4">
      <c r="A276" s="1">
        <v>29738</v>
      </c>
      <c r="B276">
        <v>342.25</v>
      </c>
    </row>
    <row r="277" spans="1:2" x14ac:dyDescent="0.4">
      <c r="A277" s="1">
        <v>29768</v>
      </c>
      <c r="B277">
        <v>340.49</v>
      </c>
    </row>
    <row r="278" spans="1:2" x14ac:dyDescent="0.4">
      <c r="A278" s="1">
        <v>29799</v>
      </c>
      <c r="B278">
        <v>338.43</v>
      </c>
    </row>
    <row r="279" spans="1:2" x14ac:dyDescent="0.4">
      <c r="A279" s="1">
        <v>29830</v>
      </c>
      <c r="B279">
        <v>336.69</v>
      </c>
    </row>
    <row r="280" spans="1:2" x14ac:dyDescent="0.4">
      <c r="A280" s="1">
        <v>29860</v>
      </c>
      <c r="B280">
        <v>336.86</v>
      </c>
    </row>
    <row r="281" spans="1:2" x14ac:dyDescent="0.4">
      <c r="A281" s="1">
        <v>29891</v>
      </c>
      <c r="B281">
        <v>338.36</v>
      </c>
    </row>
    <row r="282" spans="1:2" x14ac:dyDescent="0.4">
      <c r="A282" s="1">
        <v>29921</v>
      </c>
      <c r="B282">
        <v>339.61</v>
      </c>
    </row>
    <row r="283" spans="1:2" x14ac:dyDescent="0.4">
      <c r="A283" s="1">
        <v>29952</v>
      </c>
      <c r="B283">
        <v>340.75</v>
      </c>
    </row>
    <row r="284" spans="1:2" x14ac:dyDescent="0.4">
      <c r="A284" s="1">
        <v>29983</v>
      </c>
      <c r="B284">
        <v>341.61</v>
      </c>
    </row>
    <row r="285" spans="1:2" x14ac:dyDescent="0.4">
      <c r="A285" s="1">
        <v>30011</v>
      </c>
      <c r="B285">
        <v>342.7</v>
      </c>
    </row>
    <row r="286" spans="1:2" x14ac:dyDescent="0.4">
      <c r="A286" s="1">
        <v>30042</v>
      </c>
      <c r="B286">
        <v>343.57</v>
      </c>
    </row>
    <row r="287" spans="1:2" x14ac:dyDescent="0.4">
      <c r="A287" s="1">
        <v>30072</v>
      </c>
      <c r="B287">
        <v>344.14</v>
      </c>
    </row>
    <row r="288" spans="1:2" x14ac:dyDescent="0.4">
      <c r="A288" s="1">
        <v>30103</v>
      </c>
      <c r="B288">
        <v>343.35</v>
      </c>
    </row>
    <row r="289" spans="1:2" x14ac:dyDescent="0.4">
      <c r="A289" s="1">
        <v>30133</v>
      </c>
      <c r="B289">
        <v>342.06</v>
      </c>
    </row>
    <row r="290" spans="1:2" x14ac:dyDescent="0.4">
      <c r="A290" s="1">
        <v>30164</v>
      </c>
      <c r="B290">
        <v>339.81</v>
      </c>
    </row>
    <row r="291" spans="1:2" x14ac:dyDescent="0.4">
      <c r="A291" s="1">
        <v>30195</v>
      </c>
      <c r="B291">
        <v>337.98</v>
      </c>
    </row>
    <row r="292" spans="1:2" x14ac:dyDescent="0.4">
      <c r="A292" s="1">
        <v>30225</v>
      </c>
      <c r="B292">
        <v>337.86</v>
      </c>
    </row>
    <row r="293" spans="1:2" x14ac:dyDescent="0.4">
      <c r="A293" s="1">
        <v>30256</v>
      </c>
      <c r="B293">
        <v>339.26</v>
      </c>
    </row>
    <row r="294" spans="1:2" x14ac:dyDescent="0.4">
      <c r="A294" s="1">
        <v>30286</v>
      </c>
      <c r="B294">
        <v>340.49</v>
      </c>
    </row>
    <row r="295" spans="1:2" x14ac:dyDescent="0.4">
      <c r="A295" s="1">
        <v>30317</v>
      </c>
      <c r="B295">
        <v>341.38</v>
      </c>
    </row>
    <row r="296" spans="1:2" x14ac:dyDescent="0.4">
      <c r="A296" s="1">
        <v>30348</v>
      </c>
      <c r="B296">
        <v>342.52</v>
      </c>
    </row>
    <row r="297" spans="1:2" x14ac:dyDescent="0.4">
      <c r="A297" s="1">
        <v>30376</v>
      </c>
      <c r="B297">
        <v>343.1</v>
      </c>
    </row>
    <row r="298" spans="1:2" x14ac:dyDescent="0.4">
      <c r="A298" s="1">
        <v>30407</v>
      </c>
      <c r="B298">
        <v>344.94</v>
      </c>
    </row>
    <row r="299" spans="1:2" x14ac:dyDescent="0.4">
      <c r="A299" s="1">
        <v>30437</v>
      </c>
      <c r="B299">
        <v>345.76</v>
      </c>
    </row>
    <row r="300" spans="1:2" x14ac:dyDescent="0.4">
      <c r="A300" s="1">
        <v>30468</v>
      </c>
      <c r="B300">
        <v>345.32</v>
      </c>
    </row>
    <row r="301" spans="1:2" x14ac:dyDescent="0.4">
      <c r="A301" s="1">
        <v>30498</v>
      </c>
      <c r="B301">
        <v>343.98</v>
      </c>
    </row>
    <row r="302" spans="1:2" x14ac:dyDescent="0.4">
      <c r="A302" s="1">
        <v>30529</v>
      </c>
      <c r="B302">
        <v>342.38</v>
      </c>
    </row>
    <row r="303" spans="1:2" x14ac:dyDescent="0.4">
      <c r="A303" s="1">
        <v>30560</v>
      </c>
      <c r="B303">
        <v>339.87</v>
      </c>
    </row>
    <row r="304" spans="1:2" x14ac:dyDescent="0.4">
      <c r="A304" s="1">
        <v>30590</v>
      </c>
      <c r="B304">
        <v>339.99</v>
      </c>
    </row>
    <row r="305" spans="1:2" x14ac:dyDescent="0.4">
      <c r="A305" s="1">
        <v>30621</v>
      </c>
      <c r="B305">
        <v>341.15</v>
      </c>
    </row>
    <row r="306" spans="1:2" x14ac:dyDescent="0.4">
      <c r="A306" s="1">
        <v>30651</v>
      </c>
      <c r="B306">
        <v>342.99</v>
      </c>
    </row>
    <row r="307" spans="1:2" x14ac:dyDescent="0.4">
      <c r="A307" s="1">
        <v>30682</v>
      </c>
      <c r="B307">
        <v>343.7</v>
      </c>
    </row>
    <row r="308" spans="1:2" x14ac:dyDescent="0.4">
      <c r="A308" s="1">
        <v>30713</v>
      </c>
      <c r="B308">
        <v>344.5</v>
      </c>
    </row>
    <row r="309" spans="1:2" x14ac:dyDescent="0.4">
      <c r="A309" s="1">
        <v>30742</v>
      </c>
      <c r="B309">
        <v>345.28</v>
      </c>
    </row>
    <row r="310" spans="1:2" x14ac:dyDescent="0.4">
      <c r="A310" s="1">
        <v>30773</v>
      </c>
      <c r="B310">
        <v>347.05</v>
      </c>
    </row>
    <row r="311" spans="1:2" x14ac:dyDescent="0.4">
      <c r="A311" s="1">
        <v>30803</v>
      </c>
      <c r="B311">
        <v>347.43</v>
      </c>
    </row>
    <row r="312" spans="1:2" x14ac:dyDescent="0.4">
      <c r="A312" s="1">
        <v>30834</v>
      </c>
      <c r="B312">
        <v>346.8</v>
      </c>
    </row>
    <row r="313" spans="1:2" x14ac:dyDescent="0.4">
      <c r="A313" s="1">
        <v>30864</v>
      </c>
      <c r="B313">
        <v>345.39</v>
      </c>
    </row>
    <row r="314" spans="1:2" x14ac:dyDescent="0.4">
      <c r="A314" s="1">
        <v>30895</v>
      </c>
      <c r="B314">
        <v>343.28</v>
      </c>
    </row>
    <row r="315" spans="1:2" x14ac:dyDescent="0.4">
      <c r="A315" s="1">
        <v>30926</v>
      </c>
      <c r="B315">
        <v>341.07</v>
      </c>
    </row>
    <row r="316" spans="1:2" x14ac:dyDescent="0.4">
      <c r="A316" s="1">
        <v>30956</v>
      </c>
      <c r="B316">
        <v>341.35</v>
      </c>
    </row>
    <row r="317" spans="1:2" x14ac:dyDescent="0.4">
      <c r="A317" s="1">
        <v>30987</v>
      </c>
      <c r="B317">
        <v>342.98</v>
      </c>
    </row>
    <row r="318" spans="1:2" x14ac:dyDescent="0.4">
      <c r="A318" s="1">
        <v>31017</v>
      </c>
      <c r="B318">
        <v>344.22</v>
      </c>
    </row>
    <row r="319" spans="1:2" x14ac:dyDescent="0.4">
      <c r="A319" s="1">
        <v>31048</v>
      </c>
      <c r="B319">
        <v>344.97</v>
      </c>
    </row>
    <row r="320" spans="1:2" x14ac:dyDescent="0.4">
      <c r="A320" s="1">
        <v>31079</v>
      </c>
      <c r="B320">
        <v>345.99</v>
      </c>
    </row>
    <row r="321" spans="1:2" x14ac:dyDescent="0.4">
      <c r="A321" s="1">
        <v>31107</v>
      </c>
      <c r="B321">
        <v>347.42</v>
      </c>
    </row>
    <row r="322" spans="1:2" x14ac:dyDescent="0.4">
      <c r="A322" s="1">
        <v>31138</v>
      </c>
      <c r="B322">
        <v>348.35</v>
      </c>
    </row>
    <row r="323" spans="1:2" x14ac:dyDescent="0.4">
      <c r="A323" s="1">
        <v>31168</v>
      </c>
      <c r="B323">
        <v>348.93</v>
      </c>
    </row>
    <row r="324" spans="1:2" x14ac:dyDescent="0.4">
      <c r="A324" s="1">
        <v>31199</v>
      </c>
      <c r="B324">
        <v>348.25</v>
      </c>
    </row>
    <row r="325" spans="1:2" x14ac:dyDescent="0.4">
      <c r="A325" s="1">
        <v>31229</v>
      </c>
      <c r="B325">
        <v>346.56</v>
      </c>
    </row>
    <row r="326" spans="1:2" x14ac:dyDescent="0.4">
      <c r="A326" s="1">
        <v>31260</v>
      </c>
      <c r="B326">
        <v>344.67</v>
      </c>
    </row>
    <row r="327" spans="1:2" x14ac:dyDescent="0.4">
      <c r="A327" s="1">
        <v>31291</v>
      </c>
      <c r="B327">
        <v>343.09</v>
      </c>
    </row>
    <row r="328" spans="1:2" x14ac:dyDescent="0.4">
      <c r="A328" s="1">
        <v>31321</v>
      </c>
      <c r="B328">
        <v>342.8</v>
      </c>
    </row>
    <row r="329" spans="1:2" x14ac:dyDescent="0.4">
      <c r="A329" s="1">
        <v>31352</v>
      </c>
      <c r="B329">
        <v>344.24</v>
      </c>
    </row>
    <row r="330" spans="1:2" x14ac:dyDescent="0.4">
      <c r="A330" s="1">
        <v>31382</v>
      </c>
      <c r="B330">
        <v>345.56</v>
      </c>
    </row>
    <row r="331" spans="1:2" x14ac:dyDescent="0.4">
      <c r="A331" s="1">
        <v>31413</v>
      </c>
      <c r="B331">
        <v>346.3</v>
      </c>
    </row>
    <row r="332" spans="1:2" x14ac:dyDescent="0.4">
      <c r="A332" s="1">
        <v>31444</v>
      </c>
      <c r="B332">
        <v>346.95</v>
      </c>
    </row>
    <row r="333" spans="1:2" x14ac:dyDescent="0.4">
      <c r="A333" s="1">
        <v>31472</v>
      </c>
      <c r="B333">
        <v>347.85</v>
      </c>
    </row>
    <row r="334" spans="1:2" x14ac:dyDescent="0.4">
      <c r="A334" s="1">
        <v>31503</v>
      </c>
      <c r="B334">
        <v>349.55</v>
      </c>
    </row>
    <row r="335" spans="1:2" x14ac:dyDescent="0.4">
      <c r="A335" s="1">
        <v>31533</v>
      </c>
      <c r="B335">
        <v>350.22</v>
      </c>
    </row>
    <row r="336" spans="1:2" x14ac:dyDescent="0.4">
      <c r="A336" s="1">
        <v>31564</v>
      </c>
      <c r="B336">
        <v>349.55</v>
      </c>
    </row>
    <row r="337" spans="1:2" x14ac:dyDescent="0.4">
      <c r="A337" s="1">
        <v>31594</v>
      </c>
      <c r="B337">
        <v>347.94</v>
      </c>
    </row>
    <row r="338" spans="1:2" x14ac:dyDescent="0.4">
      <c r="A338" s="1">
        <v>31625</v>
      </c>
      <c r="B338">
        <v>345.9</v>
      </c>
    </row>
    <row r="339" spans="1:2" x14ac:dyDescent="0.4">
      <c r="A339" s="1">
        <v>31656</v>
      </c>
      <c r="B339">
        <v>344.85</v>
      </c>
    </row>
    <row r="340" spans="1:2" x14ac:dyDescent="0.4">
      <c r="A340" s="1">
        <v>31686</v>
      </c>
      <c r="B340">
        <v>344.17</v>
      </c>
    </row>
    <row r="341" spans="1:2" x14ac:dyDescent="0.4">
      <c r="A341" s="1">
        <v>31717</v>
      </c>
      <c r="B341">
        <v>345.66</v>
      </c>
    </row>
    <row r="342" spans="1:2" x14ac:dyDescent="0.4">
      <c r="A342" s="1">
        <v>31747</v>
      </c>
      <c r="B342">
        <v>346.9</v>
      </c>
    </row>
    <row r="343" spans="1:2" x14ac:dyDescent="0.4">
      <c r="A343" s="1">
        <v>31778</v>
      </c>
      <c r="B343">
        <v>348.02</v>
      </c>
    </row>
    <row r="344" spans="1:2" x14ac:dyDescent="0.4">
      <c r="A344" s="1">
        <v>31809</v>
      </c>
      <c r="B344">
        <v>348.48</v>
      </c>
    </row>
    <row r="345" spans="1:2" x14ac:dyDescent="0.4">
      <c r="A345" s="1">
        <v>31837</v>
      </c>
      <c r="B345">
        <v>349.42</v>
      </c>
    </row>
    <row r="346" spans="1:2" x14ac:dyDescent="0.4">
      <c r="A346" s="1">
        <v>31868</v>
      </c>
      <c r="B346">
        <v>350.98</v>
      </c>
    </row>
    <row r="347" spans="1:2" x14ac:dyDescent="0.4">
      <c r="A347" s="1">
        <v>31898</v>
      </c>
      <c r="B347">
        <v>351.85</v>
      </c>
    </row>
    <row r="348" spans="1:2" x14ac:dyDescent="0.4">
      <c r="A348" s="1">
        <v>31929</v>
      </c>
      <c r="B348">
        <v>351.26</v>
      </c>
    </row>
    <row r="349" spans="1:2" x14ac:dyDescent="0.4">
      <c r="A349" s="1">
        <v>31959</v>
      </c>
      <c r="B349">
        <v>349.51</v>
      </c>
    </row>
    <row r="350" spans="1:2" x14ac:dyDescent="0.4">
      <c r="A350" s="1">
        <v>31990</v>
      </c>
      <c r="B350">
        <v>348.1</v>
      </c>
    </row>
    <row r="351" spans="1:2" x14ac:dyDescent="0.4">
      <c r="A351" s="1">
        <v>32021</v>
      </c>
      <c r="B351">
        <v>346.45</v>
      </c>
    </row>
    <row r="352" spans="1:2" x14ac:dyDescent="0.4">
      <c r="A352" s="1">
        <v>32051</v>
      </c>
      <c r="B352">
        <v>346.36</v>
      </c>
    </row>
    <row r="353" spans="1:2" x14ac:dyDescent="0.4">
      <c r="A353" s="1">
        <v>32082</v>
      </c>
      <c r="B353">
        <v>347.81</v>
      </c>
    </row>
    <row r="354" spans="1:2" x14ac:dyDescent="0.4">
      <c r="A354" s="1">
        <v>32112</v>
      </c>
      <c r="B354">
        <v>348.96</v>
      </c>
    </row>
    <row r="355" spans="1:2" x14ac:dyDescent="0.4">
      <c r="A355" s="1">
        <v>32143</v>
      </c>
      <c r="B355">
        <v>350.43</v>
      </c>
    </row>
    <row r="356" spans="1:2" x14ac:dyDescent="0.4">
      <c r="A356" s="1">
        <v>32174</v>
      </c>
      <c r="B356">
        <v>351.73</v>
      </c>
    </row>
    <row r="357" spans="1:2" x14ac:dyDescent="0.4">
      <c r="A357" s="1">
        <v>32203</v>
      </c>
      <c r="B357">
        <v>352.22</v>
      </c>
    </row>
    <row r="358" spans="1:2" x14ac:dyDescent="0.4">
      <c r="A358" s="1">
        <v>32234</v>
      </c>
      <c r="B358">
        <v>353.59</v>
      </c>
    </row>
    <row r="359" spans="1:2" x14ac:dyDescent="0.4">
      <c r="A359" s="1">
        <v>32264</v>
      </c>
      <c r="B359">
        <v>354.22</v>
      </c>
    </row>
    <row r="360" spans="1:2" x14ac:dyDescent="0.4">
      <c r="A360" s="1">
        <v>32295</v>
      </c>
      <c r="B360">
        <v>353.8</v>
      </c>
    </row>
    <row r="361" spans="1:2" x14ac:dyDescent="0.4">
      <c r="A361" s="1">
        <v>32325</v>
      </c>
      <c r="B361">
        <v>352.38</v>
      </c>
    </row>
    <row r="362" spans="1:2" x14ac:dyDescent="0.4">
      <c r="A362" s="1">
        <v>32356</v>
      </c>
      <c r="B362">
        <v>350.43</v>
      </c>
    </row>
    <row r="363" spans="1:2" x14ac:dyDescent="0.4">
      <c r="A363" s="1">
        <v>32387</v>
      </c>
      <c r="B363">
        <v>348.73</v>
      </c>
    </row>
    <row r="364" spans="1:2" x14ac:dyDescent="0.4">
      <c r="A364" s="1">
        <v>32417</v>
      </c>
      <c r="B364">
        <v>348.88</v>
      </c>
    </row>
    <row r="365" spans="1:2" x14ac:dyDescent="0.4">
      <c r="A365" s="1">
        <v>32448</v>
      </c>
      <c r="B365">
        <v>350.07</v>
      </c>
    </row>
    <row r="366" spans="1:2" x14ac:dyDescent="0.4">
      <c r="A366" s="1">
        <v>32478</v>
      </c>
      <c r="B366">
        <v>351.34</v>
      </c>
    </row>
    <row r="367" spans="1:2" x14ac:dyDescent="0.4">
      <c r="A367" s="1">
        <v>32509</v>
      </c>
      <c r="B367">
        <v>352.76</v>
      </c>
    </row>
    <row r="368" spans="1:2" x14ac:dyDescent="0.4">
      <c r="A368" s="1">
        <v>32540</v>
      </c>
      <c r="B368">
        <v>353.07</v>
      </c>
    </row>
    <row r="369" spans="1:2" x14ac:dyDescent="0.4">
      <c r="A369" s="1">
        <v>32568</v>
      </c>
      <c r="B369">
        <v>353.68</v>
      </c>
    </row>
    <row r="370" spans="1:2" x14ac:dyDescent="0.4">
      <c r="A370" s="1">
        <v>32599</v>
      </c>
      <c r="B370">
        <v>355.42</v>
      </c>
    </row>
    <row r="371" spans="1:2" x14ac:dyDescent="0.4">
      <c r="A371" s="1">
        <v>32629</v>
      </c>
      <c r="B371">
        <v>355.67</v>
      </c>
    </row>
    <row r="372" spans="1:2" x14ac:dyDescent="0.4">
      <c r="A372" s="1">
        <v>32660</v>
      </c>
      <c r="B372">
        <v>355.12</v>
      </c>
    </row>
    <row r="373" spans="1:2" x14ac:dyDescent="0.4">
      <c r="A373" s="1">
        <v>32690</v>
      </c>
      <c r="B373">
        <v>353.9</v>
      </c>
    </row>
    <row r="374" spans="1:2" x14ac:dyDescent="0.4">
      <c r="A374" s="1">
        <v>32721</v>
      </c>
      <c r="B374">
        <v>351.67</v>
      </c>
    </row>
    <row r="375" spans="1:2" x14ac:dyDescent="0.4">
      <c r="A375" s="1">
        <v>32752</v>
      </c>
      <c r="B375">
        <v>349.81</v>
      </c>
    </row>
    <row r="376" spans="1:2" x14ac:dyDescent="0.4">
      <c r="A376" s="1">
        <v>32782</v>
      </c>
      <c r="B376">
        <v>349.99</v>
      </c>
    </row>
    <row r="377" spans="1:2" x14ac:dyDescent="0.4">
      <c r="A377" s="1">
        <v>32813</v>
      </c>
      <c r="B377">
        <v>351.3</v>
      </c>
    </row>
    <row r="378" spans="1:2" x14ac:dyDescent="0.4">
      <c r="A378" s="1">
        <v>32843</v>
      </c>
      <c r="B378">
        <v>352.52</v>
      </c>
    </row>
    <row r="379" spans="1:2" x14ac:dyDescent="0.4">
      <c r="A379" s="1">
        <v>32874</v>
      </c>
      <c r="B379">
        <v>353.66</v>
      </c>
    </row>
    <row r="380" spans="1:2" x14ac:dyDescent="0.4">
      <c r="A380" s="1">
        <v>32905</v>
      </c>
      <c r="B380">
        <v>354.7</v>
      </c>
    </row>
    <row r="381" spans="1:2" x14ac:dyDescent="0.4">
      <c r="A381" s="1">
        <v>32933</v>
      </c>
      <c r="B381">
        <v>355.38</v>
      </c>
    </row>
    <row r="382" spans="1:2" x14ac:dyDescent="0.4">
      <c r="A382" s="1">
        <v>32964</v>
      </c>
      <c r="B382">
        <v>356.2</v>
      </c>
    </row>
    <row r="383" spans="1:2" x14ac:dyDescent="0.4">
      <c r="A383" s="1">
        <v>32994</v>
      </c>
      <c r="B383">
        <v>357.16</v>
      </c>
    </row>
    <row r="384" spans="1:2" x14ac:dyDescent="0.4">
      <c r="A384" s="1">
        <v>33025</v>
      </c>
      <c r="B384">
        <v>356.23</v>
      </c>
    </row>
    <row r="385" spans="1:2" x14ac:dyDescent="0.4">
      <c r="A385" s="1">
        <v>33055</v>
      </c>
      <c r="B385">
        <v>354.81</v>
      </c>
    </row>
    <row r="386" spans="1:2" x14ac:dyDescent="0.4">
      <c r="A386" s="1">
        <v>33086</v>
      </c>
      <c r="B386">
        <v>352.91</v>
      </c>
    </row>
    <row r="387" spans="1:2" x14ac:dyDescent="0.4">
      <c r="A387" s="1">
        <v>33117</v>
      </c>
      <c r="B387">
        <v>350.96</v>
      </c>
    </row>
    <row r="388" spans="1:2" x14ac:dyDescent="0.4">
      <c r="A388" s="1">
        <v>33147</v>
      </c>
      <c r="B388">
        <v>351.18</v>
      </c>
    </row>
    <row r="389" spans="1:2" x14ac:dyDescent="0.4">
      <c r="A389" s="1">
        <v>33178</v>
      </c>
      <c r="B389">
        <v>352.83</v>
      </c>
    </row>
    <row r="390" spans="1:2" x14ac:dyDescent="0.4">
      <c r="A390" s="1">
        <v>33208</v>
      </c>
      <c r="B390">
        <v>354.21</v>
      </c>
    </row>
    <row r="391" spans="1:2" x14ac:dyDescent="0.4">
      <c r="A391" s="1">
        <v>33239</v>
      </c>
      <c r="B391">
        <v>354.72</v>
      </c>
    </row>
    <row r="392" spans="1:2" x14ac:dyDescent="0.4">
      <c r="A392" s="1">
        <v>33270</v>
      </c>
      <c r="B392">
        <v>355.75</v>
      </c>
    </row>
    <row r="393" spans="1:2" x14ac:dyDescent="0.4">
      <c r="A393" s="1">
        <v>33298</v>
      </c>
      <c r="B393">
        <v>357.16</v>
      </c>
    </row>
    <row r="394" spans="1:2" x14ac:dyDescent="0.4">
      <c r="A394" s="1">
        <v>33329</v>
      </c>
      <c r="B394">
        <v>358.6</v>
      </c>
    </row>
    <row r="395" spans="1:2" x14ac:dyDescent="0.4">
      <c r="A395" s="1">
        <v>33359</v>
      </c>
      <c r="B395">
        <v>359.34</v>
      </c>
    </row>
    <row r="396" spans="1:2" x14ac:dyDescent="0.4">
      <c r="A396" s="1">
        <v>33390</v>
      </c>
      <c r="B396">
        <v>358.24</v>
      </c>
    </row>
    <row r="397" spans="1:2" x14ac:dyDescent="0.4">
      <c r="A397" s="1">
        <v>33420</v>
      </c>
      <c r="B397">
        <v>356.17</v>
      </c>
    </row>
    <row r="398" spans="1:2" x14ac:dyDescent="0.4">
      <c r="A398" s="1">
        <v>33451</v>
      </c>
      <c r="B398">
        <v>354.01</v>
      </c>
    </row>
    <row r="399" spans="1:2" x14ac:dyDescent="0.4">
      <c r="A399" s="1">
        <v>33482</v>
      </c>
      <c r="B399">
        <v>352.15</v>
      </c>
    </row>
    <row r="400" spans="1:2" x14ac:dyDescent="0.4">
      <c r="A400" s="1">
        <v>33512</v>
      </c>
      <c r="B400">
        <v>352.21</v>
      </c>
    </row>
    <row r="401" spans="1:2" x14ac:dyDescent="0.4">
      <c r="A401" s="1">
        <v>33543</v>
      </c>
      <c r="B401">
        <v>353.75</v>
      </c>
    </row>
    <row r="402" spans="1:2" x14ac:dyDescent="0.4">
      <c r="A402" s="1">
        <v>33573</v>
      </c>
      <c r="B402">
        <v>354.99</v>
      </c>
    </row>
    <row r="403" spans="1:2" x14ac:dyDescent="0.4">
      <c r="A403" s="1">
        <v>33604</v>
      </c>
      <c r="B403">
        <v>355.99</v>
      </c>
    </row>
    <row r="404" spans="1:2" x14ac:dyDescent="0.4">
      <c r="A404" s="1">
        <v>33635</v>
      </c>
      <c r="B404">
        <v>356.72</v>
      </c>
    </row>
    <row r="405" spans="1:2" x14ac:dyDescent="0.4">
      <c r="A405" s="1">
        <v>33664</v>
      </c>
      <c r="B405">
        <v>357.81</v>
      </c>
    </row>
    <row r="406" spans="1:2" x14ac:dyDescent="0.4">
      <c r="A406" s="1">
        <v>33695</v>
      </c>
      <c r="B406">
        <v>359.15</v>
      </c>
    </row>
    <row r="407" spans="1:2" x14ac:dyDescent="0.4">
      <c r="A407" s="1">
        <v>33725</v>
      </c>
      <c r="B407">
        <v>359.66</v>
      </c>
    </row>
    <row r="408" spans="1:2" x14ac:dyDescent="0.4">
      <c r="A408" s="1">
        <v>33756</v>
      </c>
      <c r="B408">
        <v>359.25</v>
      </c>
    </row>
    <row r="409" spans="1:2" x14ac:dyDescent="0.4">
      <c r="A409" s="1">
        <v>33786</v>
      </c>
      <c r="B409">
        <v>357.02</v>
      </c>
    </row>
    <row r="410" spans="1:2" x14ac:dyDescent="0.4">
      <c r="A410" s="1">
        <v>33817</v>
      </c>
      <c r="B410">
        <v>355</v>
      </c>
    </row>
    <row r="411" spans="1:2" x14ac:dyDescent="0.4">
      <c r="A411" s="1">
        <v>33848</v>
      </c>
      <c r="B411">
        <v>353.01</v>
      </c>
    </row>
    <row r="412" spans="1:2" x14ac:dyDescent="0.4">
      <c r="A412" s="1">
        <v>33878</v>
      </c>
      <c r="B412">
        <v>353.31</v>
      </c>
    </row>
    <row r="413" spans="1:2" x14ac:dyDescent="0.4">
      <c r="A413" s="1">
        <v>33909</v>
      </c>
      <c r="B413">
        <v>354.16</v>
      </c>
    </row>
    <row r="414" spans="1:2" x14ac:dyDescent="0.4">
      <c r="A414" s="1">
        <v>33939</v>
      </c>
      <c r="B414">
        <v>355.4</v>
      </c>
    </row>
    <row r="415" spans="1:2" x14ac:dyDescent="0.4">
      <c r="A415" s="1">
        <v>33970</v>
      </c>
      <c r="B415">
        <v>356.7</v>
      </c>
    </row>
    <row r="416" spans="1:2" x14ac:dyDescent="0.4">
      <c r="A416" s="1">
        <v>34001</v>
      </c>
      <c r="B416">
        <v>357.17</v>
      </c>
    </row>
    <row r="417" spans="1:2" x14ac:dyDescent="0.4">
      <c r="A417" s="1">
        <v>34029</v>
      </c>
      <c r="B417">
        <v>358.38</v>
      </c>
    </row>
    <row r="418" spans="1:2" x14ac:dyDescent="0.4">
      <c r="A418" s="1">
        <v>34060</v>
      </c>
      <c r="B418">
        <v>359.46</v>
      </c>
    </row>
    <row r="419" spans="1:2" x14ac:dyDescent="0.4">
      <c r="A419" s="1">
        <v>34090</v>
      </c>
      <c r="B419">
        <v>360.28</v>
      </c>
    </row>
    <row r="420" spans="1:2" x14ac:dyDescent="0.4">
      <c r="A420" s="1">
        <v>34121</v>
      </c>
      <c r="B420">
        <v>359.6</v>
      </c>
    </row>
    <row r="421" spans="1:2" x14ac:dyDescent="0.4">
      <c r="A421" s="1">
        <v>34151</v>
      </c>
      <c r="B421">
        <v>357.57</v>
      </c>
    </row>
    <row r="422" spans="1:2" x14ac:dyDescent="0.4">
      <c r="A422" s="1">
        <v>34182</v>
      </c>
      <c r="B422">
        <v>355.52</v>
      </c>
    </row>
    <row r="423" spans="1:2" x14ac:dyDescent="0.4">
      <c r="A423" s="1">
        <v>34213</v>
      </c>
      <c r="B423">
        <v>353.69</v>
      </c>
    </row>
    <row r="424" spans="1:2" x14ac:dyDescent="0.4">
      <c r="A424" s="1">
        <v>34243</v>
      </c>
      <c r="B424">
        <v>353.99</v>
      </c>
    </row>
    <row r="425" spans="1:2" x14ac:dyDescent="0.4">
      <c r="A425" s="1">
        <v>34274</v>
      </c>
      <c r="B425">
        <v>355.34</v>
      </c>
    </row>
    <row r="426" spans="1:2" x14ac:dyDescent="0.4">
      <c r="A426" s="1">
        <v>34304</v>
      </c>
      <c r="B426">
        <v>356.8</v>
      </c>
    </row>
    <row r="427" spans="1:2" x14ac:dyDescent="0.4">
      <c r="A427" s="1">
        <v>34335</v>
      </c>
      <c r="B427">
        <v>358.37</v>
      </c>
    </row>
    <row r="428" spans="1:2" x14ac:dyDescent="0.4">
      <c r="A428" s="1">
        <v>34366</v>
      </c>
      <c r="B428">
        <v>358.91</v>
      </c>
    </row>
    <row r="429" spans="1:2" x14ac:dyDescent="0.4">
      <c r="A429" s="1">
        <v>34394</v>
      </c>
      <c r="B429">
        <v>359.97</v>
      </c>
    </row>
    <row r="430" spans="1:2" x14ac:dyDescent="0.4">
      <c r="A430" s="1">
        <v>34425</v>
      </c>
      <c r="B430">
        <v>361.26</v>
      </c>
    </row>
    <row r="431" spans="1:2" x14ac:dyDescent="0.4">
      <c r="A431" s="1">
        <v>34455</v>
      </c>
      <c r="B431">
        <v>361.69</v>
      </c>
    </row>
    <row r="432" spans="1:2" x14ac:dyDescent="0.4">
      <c r="A432" s="1">
        <v>34486</v>
      </c>
      <c r="B432">
        <v>360.94</v>
      </c>
    </row>
    <row r="433" spans="1:2" x14ac:dyDescent="0.4">
      <c r="A433" s="1">
        <v>34516</v>
      </c>
      <c r="B433">
        <v>359.55</v>
      </c>
    </row>
    <row r="434" spans="1:2" x14ac:dyDescent="0.4">
      <c r="A434" s="1">
        <v>34547</v>
      </c>
      <c r="B434">
        <v>357.48</v>
      </c>
    </row>
    <row r="435" spans="1:2" x14ac:dyDescent="0.4">
      <c r="A435" s="1">
        <v>34578</v>
      </c>
      <c r="B435">
        <v>355.84</v>
      </c>
    </row>
    <row r="436" spans="1:2" x14ac:dyDescent="0.4">
      <c r="A436" s="1">
        <v>34608</v>
      </c>
      <c r="B436">
        <v>356</v>
      </c>
    </row>
    <row r="437" spans="1:2" x14ac:dyDescent="0.4">
      <c r="A437" s="1">
        <v>34639</v>
      </c>
      <c r="B437">
        <v>357.58</v>
      </c>
    </row>
    <row r="438" spans="1:2" x14ac:dyDescent="0.4">
      <c r="A438" s="1">
        <v>34669</v>
      </c>
      <c r="B438">
        <v>359.04</v>
      </c>
    </row>
    <row r="439" spans="1:2" x14ac:dyDescent="0.4">
      <c r="A439" s="1">
        <v>34700</v>
      </c>
      <c r="B439">
        <v>359.97</v>
      </c>
    </row>
    <row r="440" spans="1:2" x14ac:dyDescent="0.4">
      <c r="A440" s="1">
        <v>34731</v>
      </c>
      <c r="B440">
        <v>361</v>
      </c>
    </row>
    <row r="441" spans="1:2" x14ac:dyDescent="0.4">
      <c r="A441" s="1">
        <v>34759</v>
      </c>
      <c r="B441">
        <v>361.63</v>
      </c>
    </row>
    <row r="442" spans="1:2" x14ac:dyDescent="0.4">
      <c r="A442" s="1">
        <v>34790</v>
      </c>
      <c r="B442">
        <v>363.45</v>
      </c>
    </row>
    <row r="443" spans="1:2" x14ac:dyDescent="0.4">
      <c r="A443" s="1">
        <v>34820</v>
      </c>
      <c r="B443">
        <v>363.8</v>
      </c>
    </row>
    <row r="444" spans="1:2" x14ac:dyDescent="0.4">
      <c r="A444" s="1">
        <v>34851</v>
      </c>
      <c r="B444">
        <v>363.26</v>
      </c>
    </row>
    <row r="445" spans="1:2" x14ac:dyDescent="0.4">
      <c r="A445" s="1">
        <v>34881</v>
      </c>
      <c r="B445">
        <v>361.89</v>
      </c>
    </row>
    <row r="446" spans="1:2" x14ac:dyDescent="0.4">
      <c r="A446" s="1">
        <v>34912</v>
      </c>
      <c r="B446">
        <v>359.45</v>
      </c>
    </row>
    <row r="447" spans="1:2" x14ac:dyDescent="0.4">
      <c r="A447" s="1">
        <v>34943</v>
      </c>
      <c r="B447">
        <v>358.05</v>
      </c>
    </row>
    <row r="448" spans="1:2" x14ac:dyDescent="0.4">
      <c r="A448" s="1">
        <v>34973</v>
      </c>
      <c r="B448">
        <v>357.75</v>
      </c>
    </row>
    <row r="449" spans="1:2" x14ac:dyDescent="0.4">
      <c r="A449" s="1">
        <v>35004</v>
      </c>
      <c r="B449">
        <v>359.56</v>
      </c>
    </row>
    <row r="450" spans="1:2" x14ac:dyDescent="0.4">
      <c r="A450" s="1">
        <v>35034</v>
      </c>
      <c r="B450">
        <v>360.7</v>
      </c>
    </row>
    <row r="451" spans="1:2" x14ac:dyDescent="0.4">
      <c r="A451" s="1">
        <v>35065</v>
      </c>
      <c r="B451">
        <v>362.05</v>
      </c>
    </row>
    <row r="452" spans="1:2" x14ac:dyDescent="0.4">
      <c r="A452" s="1">
        <v>35096</v>
      </c>
      <c r="B452">
        <v>363.24</v>
      </c>
    </row>
    <row r="453" spans="1:2" x14ac:dyDescent="0.4">
      <c r="A453" s="1">
        <v>35125</v>
      </c>
      <c r="B453">
        <v>364.02</v>
      </c>
    </row>
    <row r="454" spans="1:2" x14ac:dyDescent="0.4">
      <c r="A454" s="1">
        <v>35156</v>
      </c>
      <c r="B454">
        <v>364.71</v>
      </c>
    </row>
    <row r="455" spans="1:2" x14ac:dyDescent="0.4">
      <c r="A455" s="1">
        <v>35186</v>
      </c>
      <c r="B455">
        <v>365.42</v>
      </c>
    </row>
    <row r="456" spans="1:2" x14ac:dyDescent="0.4">
      <c r="A456" s="1">
        <v>35217</v>
      </c>
      <c r="B456">
        <v>364.97</v>
      </c>
    </row>
    <row r="457" spans="1:2" x14ac:dyDescent="0.4">
      <c r="A457" s="1">
        <v>35247</v>
      </c>
      <c r="B457">
        <v>363.65</v>
      </c>
    </row>
    <row r="458" spans="1:2" x14ac:dyDescent="0.4">
      <c r="A458" s="1">
        <v>35278</v>
      </c>
      <c r="B458">
        <v>361.48</v>
      </c>
    </row>
    <row r="459" spans="1:2" x14ac:dyDescent="0.4">
      <c r="A459" s="1">
        <v>35309</v>
      </c>
      <c r="B459">
        <v>359.45</v>
      </c>
    </row>
    <row r="460" spans="1:2" x14ac:dyDescent="0.4">
      <c r="A460" s="1">
        <v>35339</v>
      </c>
      <c r="B460">
        <v>359.61</v>
      </c>
    </row>
    <row r="461" spans="1:2" x14ac:dyDescent="0.4">
      <c r="A461" s="1">
        <v>35370</v>
      </c>
      <c r="B461">
        <v>360.76</v>
      </c>
    </row>
    <row r="462" spans="1:2" x14ac:dyDescent="0.4">
      <c r="A462" s="1">
        <v>35400</v>
      </c>
      <c r="B462">
        <v>362.33</v>
      </c>
    </row>
    <row r="463" spans="1:2" x14ac:dyDescent="0.4">
      <c r="A463" s="1">
        <v>35431</v>
      </c>
      <c r="B463">
        <v>363.19</v>
      </c>
    </row>
    <row r="464" spans="1:2" x14ac:dyDescent="0.4">
      <c r="A464" s="1">
        <v>35462</v>
      </c>
      <c r="B464">
        <v>363.99</v>
      </c>
    </row>
    <row r="465" spans="1:2" x14ac:dyDescent="0.4">
      <c r="A465" s="1">
        <v>35490</v>
      </c>
      <c r="B465">
        <v>364.56</v>
      </c>
    </row>
    <row r="466" spans="1:2" x14ac:dyDescent="0.4">
      <c r="A466" s="1">
        <v>35521</v>
      </c>
      <c r="B466">
        <v>366.36</v>
      </c>
    </row>
    <row r="467" spans="1:2" x14ac:dyDescent="0.4">
      <c r="A467" s="1">
        <v>35551</v>
      </c>
      <c r="B467">
        <v>366.8</v>
      </c>
    </row>
    <row r="468" spans="1:2" x14ac:dyDescent="0.4">
      <c r="A468" s="1">
        <v>35582</v>
      </c>
      <c r="B468">
        <v>365.63</v>
      </c>
    </row>
    <row r="469" spans="1:2" x14ac:dyDescent="0.4">
      <c r="A469" s="1">
        <v>35612</v>
      </c>
      <c r="B469">
        <v>364.47</v>
      </c>
    </row>
    <row r="470" spans="1:2" x14ac:dyDescent="0.4">
      <c r="A470" s="1">
        <v>35643</v>
      </c>
      <c r="B470">
        <v>362.5</v>
      </c>
    </row>
    <row r="471" spans="1:2" x14ac:dyDescent="0.4">
      <c r="A471" s="1">
        <v>35674</v>
      </c>
      <c r="B471">
        <v>360.19</v>
      </c>
    </row>
    <row r="472" spans="1:2" x14ac:dyDescent="0.4">
      <c r="A472" s="1">
        <v>35704</v>
      </c>
      <c r="B472">
        <v>360.78</v>
      </c>
    </row>
    <row r="473" spans="1:2" x14ac:dyDescent="0.4">
      <c r="A473" s="1">
        <v>35735</v>
      </c>
      <c r="B473">
        <v>362.43</v>
      </c>
    </row>
    <row r="474" spans="1:2" x14ac:dyDescent="0.4">
      <c r="A474" s="1">
        <v>35765</v>
      </c>
      <c r="B474">
        <v>364.28</v>
      </c>
    </row>
    <row r="475" spans="1:2" x14ac:dyDescent="0.4">
      <c r="A475" s="1">
        <v>35796</v>
      </c>
      <c r="B475">
        <v>365.33</v>
      </c>
    </row>
    <row r="476" spans="1:2" x14ac:dyDescent="0.4">
      <c r="A476" s="1">
        <v>35827</v>
      </c>
      <c r="B476">
        <v>366.15</v>
      </c>
    </row>
    <row r="477" spans="1:2" x14ac:dyDescent="0.4">
      <c r="A477" s="1">
        <v>35855</v>
      </c>
      <c r="B477">
        <v>367.31</v>
      </c>
    </row>
    <row r="478" spans="1:2" x14ac:dyDescent="0.4">
      <c r="A478" s="1">
        <v>35886</v>
      </c>
      <c r="B478">
        <v>368.61</v>
      </c>
    </row>
    <row r="479" spans="1:2" x14ac:dyDescent="0.4">
      <c r="A479" s="1">
        <v>35916</v>
      </c>
      <c r="B479">
        <v>369.3</v>
      </c>
    </row>
    <row r="480" spans="1:2" x14ac:dyDescent="0.4">
      <c r="A480" s="1">
        <v>35947</v>
      </c>
      <c r="B480">
        <v>368.88</v>
      </c>
    </row>
    <row r="481" spans="1:2" x14ac:dyDescent="0.4">
      <c r="A481" s="1">
        <v>35977</v>
      </c>
      <c r="B481">
        <v>367.64</v>
      </c>
    </row>
    <row r="482" spans="1:2" x14ac:dyDescent="0.4">
      <c r="A482" s="1">
        <v>36008</v>
      </c>
      <c r="B482">
        <v>365.78</v>
      </c>
    </row>
    <row r="483" spans="1:2" x14ac:dyDescent="0.4">
      <c r="A483" s="1">
        <v>36039</v>
      </c>
      <c r="B483">
        <v>363.9</v>
      </c>
    </row>
    <row r="484" spans="1:2" x14ac:dyDescent="0.4">
      <c r="A484" s="1">
        <v>36069</v>
      </c>
      <c r="B484">
        <v>364.23</v>
      </c>
    </row>
    <row r="485" spans="1:2" x14ac:dyDescent="0.4">
      <c r="A485" s="1">
        <v>36100</v>
      </c>
      <c r="B485">
        <v>365.46</v>
      </c>
    </row>
    <row r="486" spans="1:2" x14ac:dyDescent="0.4">
      <c r="A486" s="1">
        <v>36130</v>
      </c>
      <c r="B486">
        <v>366.97</v>
      </c>
    </row>
    <row r="487" spans="1:2" x14ac:dyDescent="0.4">
      <c r="A487" s="1">
        <v>36161</v>
      </c>
      <c r="B487">
        <v>368.15</v>
      </c>
    </row>
    <row r="488" spans="1:2" x14ac:dyDescent="0.4">
      <c r="A488" s="1">
        <v>36192</v>
      </c>
      <c r="B488">
        <v>368.87</v>
      </c>
    </row>
    <row r="489" spans="1:2" x14ac:dyDescent="0.4">
      <c r="A489" s="1">
        <v>36220</v>
      </c>
      <c r="B489">
        <v>369.59</v>
      </c>
    </row>
    <row r="490" spans="1:2" x14ac:dyDescent="0.4">
      <c r="A490" s="1">
        <v>36251</v>
      </c>
      <c r="B490">
        <v>371.14</v>
      </c>
    </row>
    <row r="491" spans="1:2" x14ac:dyDescent="0.4">
      <c r="A491" s="1">
        <v>36281</v>
      </c>
      <c r="B491">
        <v>371</v>
      </c>
    </row>
    <row r="492" spans="1:2" x14ac:dyDescent="0.4">
      <c r="A492" s="1">
        <v>36312</v>
      </c>
      <c r="B492">
        <v>370.35</v>
      </c>
    </row>
    <row r="493" spans="1:2" x14ac:dyDescent="0.4">
      <c r="A493" s="1">
        <v>36342</v>
      </c>
      <c r="B493">
        <v>369.27</v>
      </c>
    </row>
    <row r="494" spans="1:2" x14ac:dyDescent="0.4">
      <c r="A494" s="1">
        <v>36373</v>
      </c>
      <c r="B494">
        <v>366.93</v>
      </c>
    </row>
    <row r="495" spans="1:2" x14ac:dyDescent="0.4">
      <c r="A495" s="1">
        <v>36404</v>
      </c>
      <c r="B495">
        <v>364.64</v>
      </c>
    </row>
    <row r="496" spans="1:2" x14ac:dyDescent="0.4">
      <c r="A496" s="1">
        <v>36434</v>
      </c>
      <c r="B496">
        <v>365.13</v>
      </c>
    </row>
    <row r="497" spans="1:2" x14ac:dyDescent="0.4">
      <c r="A497" s="1">
        <v>36465</v>
      </c>
      <c r="B497">
        <v>366.68</v>
      </c>
    </row>
    <row r="498" spans="1:2" x14ac:dyDescent="0.4">
      <c r="A498" s="1">
        <v>36495</v>
      </c>
      <c r="B498">
        <v>368</v>
      </c>
    </row>
    <row r="499" spans="1:2" x14ac:dyDescent="0.4">
      <c r="A499" s="1">
        <v>36526</v>
      </c>
      <c r="B499">
        <v>369.14</v>
      </c>
    </row>
    <row r="500" spans="1:2" x14ac:dyDescent="0.4">
      <c r="A500" s="1">
        <v>36557</v>
      </c>
      <c r="B500">
        <v>369.46</v>
      </c>
    </row>
    <row r="501" spans="1:2" x14ac:dyDescent="0.4">
      <c r="A501" s="1">
        <v>36586</v>
      </c>
      <c r="B501">
        <v>370.51</v>
      </c>
    </row>
    <row r="502" spans="1:2" x14ac:dyDescent="0.4">
      <c r="A502" s="1">
        <v>36617</v>
      </c>
      <c r="B502">
        <v>371.66</v>
      </c>
    </row>
    <row r="503" spans="1:2" x14ac:dyDescent="0.4">
      <c r="A503" s="1">
        <v>36647</v>
      </c>
      <c r="B503">
        <v>371.83</v>
      </c>
    </row>
    <row r="504" spans="1:2" x14ac:dyDescent="0.4">
      <c r="A504" s="1">
        <v>36678</v>
      </c>
      <c r="B504">
        <v>371.69</v>
      </c>
    </row>
    <row r="505" spans="1:2" x14ac:dyDescent="0.4">
      <c r="A505" s="1">
        <v>36708</v>
      </c>
      <c r="B505">
        <v>370.12</v>
      </c>
    </row>
    <row r="506" spans="1:2" x14ac:dyDescent="0.4">
      <c r="A506" s="1">
        <v>36739</v>
      </c>
      <c r="B506">
        <v>368.12</v>
      </c>
    </row>
    <row r="507" spans="1:2" x14ac:dyDescent="0.4">
      <c r="A507" s="1">
        <v>36770</v>
      </c>
      <c r="B507">
        <v>366.62</v>
      </c>
    </row>
    <row r="508" spans="1:2" x14ac:dyDescent="0.4">
      <c r="A508" s="1">
        <v>36800</v>
      </c>
      <c r="B508">
        <v>366.73</v>
      </c>
    </row>
    <row r="509" spans="1:2" x14ac:dyDescent="0.4">
      <c r="A509" s="1">
        <v>36831</v>
      </c>
      <c r="B509">
        <v>368.29</v>
      </c>
    </row>
    <row r="510" spans="1:2" x14ac:dyDescent="0.4">
      <c r="A510" s="1">
        <v>36861</v>
      </c>
      <c r="B510">
        <v>369.52</v>
      </c>
    </row>
    <row r="511" spans="1:2" x14ac:dyDescent="0.4">
      <c r="A511" s="1">
        <v>36892</v>
      </c>
      <c r="B511">
        <v>370.28</v>
      </c>
    </row>
    <row r="512" spans="1:2" x14ac:dyDescent="0.4">
      <c r="A512" s="1">
        <v>36923</v>
      </c>
      <c r="B512">
        <v>371.5</v>
      </c>
    </row>
    <row r="513" spans="1:2" x14ac:dyDescent="0.4">
      <c r="A513" s="1">
        <v>36951</v>
      </c>
      <c r="B513">
        <v>372.12</v>
      </c>
    </row>
    <row r="514" spans="1:2" x14ac:dyDescent="0.4">
      <c r="A514" s="1">
        <v>36982</v>
      </c>
      <c r="B514">
        <v>372.86</v>
      </c>
    </row>
    <row r="515" spans="1:2" x14ac:dyDescent="0.4">
      <c r="A515" s="1">
        <v>37012</v>
      </c>
      <c r="B515">
        <v>374.02</v>
      </c>
    </row>
    <row r="516" spans="1:2" x14ac:dyDescent="0.4">
      <c r="A516" s="1">
        <v>37043</v>
      </c>
      <c r="B516">
        <v>373.31</v>
      </c>
    </row>
    <row r="517" spans="1:2" x14ac:dyDescent="0.4">
      <c r="A517" s="1">
        <v>37073</v>
      </c>
      <c r="B517">
        <v>371.62</v>
      </c>
    </row>
    <row r="518" spans="1:2" x14ac:dyDescent="0.4">
      <c r="A518" s="1">
        <v>37104</v>
      </c>
      <c r="B518">
        <v>369.55</v>
      </c>
    </row>
    <row r="519" spans="1:2" x14ac:dyDescent="0.4">
      <c r="A519" s="1">
        <v>37135</v>
      </c>
      <c r="B519">
        <v>367.96</v>
      </c>
    </row>
    <row r="520" spans="1:2" x14ac:dyDescent="0.4">
      <c r="A520" s="1">
        <v>37165</v>
      </c>
      <c r="B520">
        <v>368.09</v>
      </c>
    </row>
    <row r="521" spans="1:2" x14ac:dyDescent="0.4">
      <c r="A521" s="1">
        <v>37196</v>
      </c>
      <c r="B521">
        <v>369.68</v>
      </c>
    </row>
    <row r="522" spans="1:2" x14ac:dyDescent="0.4">
      <c r="A522" s="1">
        <v>37226</v>
      </c>
      <c r="B522">
        <v>371.24</v>
      </c>
    </row>
    <row r="523" spans="1:2" x14ac:dyDescent="0.4">
      <c r="A523" s="1">
        <v>37257</v>
      </c>
      <c r="B523">
        <v>372.44</v>
      </c>
    </row>
    <row r="524" spans="1:2" x14ac:dyDescent="0.4">
      <c r="A524" s="1">
        <v>37288</v>
      </c>
      <c r="B524">
        <v>373.08</v>
      </c>
    </row>
    <row r="525" spans="1:2" x14ac:dyDescent="0.4">
      <c r="A525" s="1">
        <v>37316</v>
      </c>
      <c r="B525">
        <v>373.52</v>
      </c>
    </row>
    <row r="526" spans="1:2" x14ac:dyDescent="0.4">
      <c r="A526" s="1">
        <v>37347</v>
      </c>
      <c r="B526">
        <v>374.85</v>
      </c>
    </row>
    <row r="527" spans="1:2" x14ac:dyDescent="0.4">
      <c r="A527" s="1">
        <v>37377</v>
      </c>
      <c r="B527">
        <v>375.55</v>
      </c>
    </row>
    <row r="528" spans="1:2" x14ac:dyDescent="0.4">
      <c r="A528" s="1">
        <v>37408</v>
      </c>
      <c r="B528">
        <v>375.4</v>
      </c>
    </row>
    <row r="529" spans="1:2" x14ac:dyDescent="0.4">
      <c r="A529" s="1">
        <v>37438</v>
      </c>
      <c r="B529">
        <v>374.02</v>
      </c>
    </row>
    <row r="530" spans="1:2" x14ac:dyDescent="0.4">
      <c r="A530" s="1">
        <v>37469</v>
      </c>
      <c r="B530">
        <v>371.48</v>
      </c>
    </row>
    <row r="531" spans="1:2" x14ac:dyDescent="0.4">
      <c r="A531" s="1">
        <v>37500</v>
      </c>
      <c r="B531">
        <v>370.7</v>
      </c>
    </row>
    <row r="532" spans="1:2" x14ac:dyDescent="0.4">
      <c r="A532" s="1">
        <v>37530</v>
      </c>
      <c r="B532">
        <v>370.25</v>
      </c>
    </row>
    <row r="533" spans="1:2" x14ac:dyDescent="0.4">
      <c r="A533" s="1">
        <v>37561</v>
      </c>
      <c r="B533">
        <v>372.08</v>
      </c>
    </row>
    <row r="534" spans="1:2" x14ac:dyDescent="0.4">
      <c r="A534" s="1">
        <v>37591</v>
      </c>
      <c r="B534">
        <v>373.78</v>
      </c>
    </row>
    <row r="535" spans="1:2" x14ac:dyDescent="0.4">
      <c r="A535" s="1">
        <v>37622</v>
      </c>
      <c r="B535">
        <v>374.68</v>
      </c>
    </row>
    <row r="536" spans="1:2" x14ac:dyDescent="0.4">
      <c r="A536" s="1">
        <v>37653</v>
      </c>
      <c r="B536">
        <v>375.62</v>
      </c>
    </row>
    <row r="537" spans="1:2" x14ac:dyDescent="0.4">
      <c r="A537" s="1">
        <v>37681</v>
      </c>
      <c r="B537">
        <v>376.11</v>
      </c>
    </row>
    <row r="538" spans="1:2" x14ac:dyDescent="0.4">
      <c r="A538" s="1">
        <v>37712</v>
      </c>
      <c r="B538">
        <v>377.65</v>
      </c>
    </row>
    <row r="539" spans="1:2" x14ac:dyDescent="0.4">
      <c r="A539" s="1">
        <v>37742</v>
      </c>
      <c r="B539">
        <v>378.35</v>
      </c>
    </row>
    <row r="540" spans="1:2" x14ac:dyDescent="0.4">
      <c r="A540" s="1">
        <v>37773</v>
      </c>
      <c r="B540">
        <v>378.13</v>
      </c>
    </row>
    <row r="541" spans="1:2" x14ac:dyDescent="0.4">
      <c r="A541" s="1">
        <v>37803</v>
      </c>
      <c r="B541">
        <v>376.6</v>
      </c>
    </row>
    <row r="542" spans="1:2" x14ac:dyDescent="0.4">
      <c r="A542" s="1">
        <v>37834</v>
      </c>
      <c r="B542">
        <v>374.48</v>
      </c>
    </row>
    <row r="543" spans="1:2" x14ac:dyDescent="0.4">
      <c r="A543" s="1">
        <v>37865</v>
      </c>
      <c r="B543">
        <v>372.98</v>
      </c>
    </row>
    <row r="544" spans="1:2" x14ac:dyDescent="0.4">
      <c r="A544" s="1">
        <v>37895</v>
      </c>
      <c r="B544">
        <v>373</v>
      </c>
    </row>
    <row r="545" spans="1:2" x14ac:dyDescent="0.4">
      <c r="A545" s="1">
        <v>37926</v>
      </c>
      <c r="B545">
        <v>374.35</v>
      </c>
    </row>
    <row r="546" spans="1:2" x14ac:dyDescent="0.4">
      <c r="A546" s="1">
        <v>37956</v>
      </c>
      <c r="B546">
        <v>375.69</v>
      </c>
    </row>
    <row r="547" spans="1:2" x14ac:dyDescent="0.4">
      <c r="A547" s="1">
        <v>37987</v>
      </c>
      <c r="B547">
        <v>376.79</v>
      </c>
    </row>
    <row r="548" spans="1:2" x14ac:dyDescent="0.4">
      <c r="A548" s="1">
        <v>38018</v>
      </c>
      <c r="B548">
        <v>377.37</v>
      </c>
    </row>
    <row r="549" spans="1:2" x14ac:dyDescent="0.4">
      <c r="A549" s="1">
        <v>38047</v>
      </c>
      <c r="B549">
        <v>378.39</v>
      </c>
    </row>
    <row r="550" spans="1:2" x14ac:dyDescent="0.4">
      <c r="A550" s="1">
        <v>38078</v>
      </c>
      <c r="B550">
        <v>380.5</v>
      </c>
    </row>
    <row r="551" spans="1:2" x14ac:dyDescent="0.4">
      <c r="A551" s="1">
        <v>38108</v>
      </c>
      <c r="B551">
        <v>380.62</v>
      </c>
    </row>
    <row r="552" spans="1:2" x14ac:dyDescent="0.4">
      <c r="A552" s="1">
        <v>38139</v>
      </c>
      <c r="B552">
        <v>379.55</v>
      </c>
    </row>
    <row r="553" spans="1:2" x14ac:dyDescent="0.4">
      <c r="A553" s="1">
        <v>38169</v>
      </c>
      <c r="B553">
        <v>377.76</v>
      </c>
    </row>
    <row r="554" spans="1:2" x14ac:dyDescent="0.4">
      <c r="A554" s="1">
        <v>38200</v>
      </c>
      <c r="B554">
        <v>375.83</v>
      </c>
    </row>
    <row r="555" spans="1:2" x14ac:dyDescent="0.4">
      <c r="A555" s="1">
        <v>38231</v>
      </c>
      <c r="B555">
        <v>374.05</v>
      </c>
    </row>
    <row r="556" spans="1:2" x14ac:dyDescent="0.4">
      <c r="A556" s="1">
        <v>38261</v>
      </c>
      <c r="B556">
        <v>374.22</v>
      </c>
    </row>
    <row r="557" spans="1:2" x14ac:dyDescent="0.4">
      <c r="A557" s="1">
        <v>38292</v>
      </c>
      <c r="B557">
        <v>375.84</v>
      </c>
    </row>
    <row r="558" spans="1:2" x14ac:dyDescent="0.4">
      <c r="A558" s="1">
        <v>38322</v>
      </c>
      <c r="B558">
        <v>377.44</v>
      </c>
    </row>
    <row r="559" spans="1:2" x14ac:dyDescent="0.4">
      <c r="A559" s="1">
        <v>38353</v>
      </c>
      <c r="B559">
        <v>378.34</v>
      </c>
    </row>
    <row r="560" spans="1:2" x14ac:dyDescent="0.4">
      <c r="A560" s="1">
        <v>38384</v>
      </c>
      <c r="B560">
        <v>379.61</v>
      </c>
    </row>
    <row r="561" spans="1:2" x14ac:dyDescent="0.4">
      <c r="A561" s="1">
        <v>38412</v>
      </c>
      <c r="B561">
        <v>380.08</v>
      </c>
    </row>
    <row r="562" spans="1:2" x14ac:dyDescent="0.4">
      <c r="A562" s="1">
        <v>38443</v>
      </c>
      <c r="B562">
        <v>382.05</v>
      </c>
    </row>
    <row r="563" spans="1:2" x14ac:dyDescent="0.4">
      <c r="A563" s="1">
        <v>38473</v>
      </c>
      <c r="B563">
        <v>382.24</v>
      </c>
    </row>
    <row r="564" spans="1:2" x14ac:dyDescent="0.4">
      <c r="A564" s="1">
        <v>38504</v>
      </c>
      <c r="B564">
        <v>382.08</v>
      </c>
    </row>
    <row r="565" spans="1:2" x14ac:dyDescent="0.4">
      <c r="A565" s="1">
        <v>38534</v>
      </c>
      <c r="B565">
        <v>380.66</v>
      </c>
    </row>
    <row r="566" spans="1:2" x14ac:dyDescent="0.4">
      <c r="A566" s="1">
        <v>38565</v>
      </c>
      <c r="B566">
        <v>378.67</v>
      </c>
    </row>
    <row r="567" spans="1:2" x14ac:dyDescent="0.4">
      <c r="A567" s="1">
        <v>38596</v>
      </c>
      <c r="B567">
        <v>376.42</v>
      </c>
    </row>
    <row r="568" spans="1:2" x14ac:dyDescent="0.4">
      <c r="A568" s="1">
        <v>38626</v>
      </c>
      <c r="B568">
        <v>376.8</v>
      </c>
    </row>
    <row r="569" spans="1:2" x14ac:dyDescent="0.4">
      <c r="A569" s="1">
        <v>38657</v>
      </c>
      <c r="B569">
        <v>378.31</v>
      </c>
    </row>
    <row r="570" spans="1:2" x14ac:dyDescent="0.4">
      <c r="A570" s="1">
        <v>38687</v>
      </c>
      <c r="B570">
        <v>379.96</v>
      </c>
    </row>
    <row r="571" spans="1:2" x14ac:dyDescent="0.4">
      <c r="A571" s="1">
        <v>38718</v>
      </c>
      <c r="B571">
        <v>381.37</v>
      </c>
    </row>
    <row r="572" spans="1:2" x14ac:dyDescent="0.4">
      <c r="A572" s="1">
        <v>38749</v>
      </c>
      <c r="B572">
        <v>382.02</v>
      </c>
    </row>
    <row r="573" spans="1:2" x14ac:dyDescent="0.4">
      <c r="A573" s="1">
        <v>38777</v>
      </c>
      <c r="B573">
        <v>382.56</v>
      </c>
    </row>
    <row r="574" spans="1:2" x14ac:dyDescent="0.4">
      <c r="A574" s="1">
        <v>38808</v>
      </c>
      <c r="B574">
        <v>384.36</v>
      </c>
    </row>
    <row r="575" spans="1:2" x14ac:dyDescent="0.4">
      <c r="A575" s="1">
        <v>38838</v>
      </c>
      <c r="B575">
        <v>384.92</v>
      </c>
    </row>
    <row r="576" spans="1:2" x14ac:dyDescent="0.4">
      <c r="A576" s="1">
        <v>38869</v>
      </c>
      <c r="B576">
        <v>384.03</v>
      </c>
    </row>
    <row r="577" spans="1:2" x14ac:dyDescent="0.4">
      <c r="A577" s="1">
        <v>38899</v>
      </c>
      <c r="B577">
        <v>382.28</v>
      </c>
    </row>
    <row r="578" spans="1:2" x14ac:dyDescent="0.4">
      <c r="A578" s="1">
        <v>38930</v>
      </c>
      <c r="B578">
        <v>380.48</v>
      </c>
    </row>
    <row r="579" spans="1:2" x14ac:dyDescent="0.4">
      <c r="A579" s="1">
        <v>38961</v>
      </c>
      <c r="B579">
        <v>378.81</v>
      </c>
    </row>
    <row r="580" spans="1:2" x14ac:dyDescent="0.4">
      <c r="A580" s="1">
        <v>38991</v>
      </c>
      <c r="B580">
        <v>379.06</v>
      </c>
    </row>
    <row r="581" spans="1:2" x14ac:dyDescent="0.4">
      <c r="A581" s="1">
        <v>39022</v>
      </c>
      <c r="B581">
        <v>380.14</v>
      </c>
    </row>
    <row r="582" spans="1:2" x14ac:dyDescent="0.4">
      <c r="A582" s="1">
        <v>39052</v>
      </c>
      <c r="B582">
        <v>381.66</v>
      </c>
    </row>
    <row r="583" spans="1:2" x14ac:dyDescent="0.4">
      <c r="A583" s="1">
        <v>39083</v>
      </c>
      <c r="B583">
        <v>382.58</v>
      </c>
    </row>
    <row r="584" spans="1:2" x14ac:dyDescent="0.4">
      <c r="A584" s="1">
        <v>39114</v>
      </c>
      <c r="B584">
        <v>383.71</v>
      </c>
    </row>
    <row r="585" spans="1:2" x14ac:dyDescent="0.4">
      <c r="A585" s="1">
        <v>39142</v>
      </c>
      <c r="B585">
        <v>384.34</v>
      </c>
    </row>
    <row r="586" spans="1:2" x14ac:dyDescent="0.4">
      <c r="A586" s="1">
        <v>39173</v>
      </c>
      <c r="B586">
        <v>386.23</v>
      </c>
    </row>
    <row r="587" spans="1:2" x14ac:dyDescent="0.4">
      <c r="A587" s="1">
        <v>39203</v>
      </c>
      <c r="B587">
        <v>386.41</v>
      </c>
    </row>
    <row r="588" spans="1:2" x14ac:dyDescent="0.4">
      <c r="A588" s="1">
        <v>39234</v>
      </c>
      <c r="B588">
        <v>385.87</v>
      </c>
    </row>
    <row r="589" spans="1:2" x14ac:dyDescent="0.4">
      <c r="A589" s="1">
        <v>39264</v>
      </c>
      <c r="B589">
        <v>384.44</v>
      </c>
    </row>
    <row r="590" spans="1:2" x14ac:dyDescent="0.4">
      <c r="A590" s="1">
        <v>39295</v>
      </c>
      <c r="B590">
        <v>381.84</v>
      </c>
    </row>
    <row r="591" spans="1:2" x14ac:dyDescent="0.4">
      <c r="A591" s="1">
        <v>39326</v>
      </c>
      <c r="B591">
        <v>380.86</v>
      </c>
    </row>
    <row r="592" spans="1:2" x14ac:dyDescent="0.4">
      <c r="A592" s="1">
        <v>39356</v>
      </c>
      <c r="B592">
        <v>380.86</v>
      </c>
    </row>
    <row r="593" spans="1:2" x14ac:dyDescent="0.4">
      <c r="A593" s="1">
        <v>39387</v>
      </c>
      <c r="B593">
        <v>382.36</v>
      </c>
    </row>
    <row r="594" spans="1:2" x14ac:dyDescent="0.4">
      <c r="A594" s="1">
        <v>39417</v>
      </c>
      <c r="B594">
        <v>383.61</v>
      </c>
    </row>
    <row r="595" spans="1:2" x14ac:dyDescent="0.4">
      <c r="A595" s="1">
        <v>39448</v>
      </c>
      <c r="B595">
        <v>385.07</v>
      </c>
    </row>
    <row r="596" spans="1:2" x14ac:dyDescent="0.4">
      <c r="A596" s="1">
        <v>39479</v>
      </c>
      <c r="B596">
        <v>385.84</v>
      </c>
    </row>
    <row r="597" spans="1:2" x14ac:dyDescent="0.4">
      <c r="A597" s="1">
        <v>39508</v>
      </c>
      <c r="B597">
        <v>385.83</v>
      </c>
    </row>
    <row r="598" spans="1:2" x14ac:dyDescent="0.4">
      <c r="A598" s="1">
        <v>39539</v>
      </c>
      <c r="B598">
        <v>386.77</v>
      </c>
    </row>
    <row r="599" spans="1:2" x14ac:dyDescent="0.4">
      <c r="A599" s="1">
        <v>39569</v>
      </c>
      <c r="B599">
        <v>388.51</v>
      </c>
    </row>
    <row r="600" spans="1:2" x14ac:dyDescent="0.4">
      <c r="A600" s="1">
        <v>39600</v>
      </c>
      <c r="B600">
        <v>388.05</v>
      </c>
    </row>
    <row r="601" spans="1:2" x14ac:dyDescent="0.4">
      <c r="A601" s="1">
        <v>39630</v>
      </c>
      <c r="B601">
        <v>386.25</v>
      </c>
    </row>
    <row r="602" spans="1:2" x14ac:dyDescent="0.4">
      <c r="A602" s="1">
        <v>39661</v>
      </c>
      <c r="B602">
        <v>384.08</v>
      </c>
    </row>
    <row r="603" spans="1:2" x14ac:dyDescent="0.4">
      <c r="A603" s="1">
        <v>39692</v>
      </c>
      <c r="B603">
        <v>383.09</v>
      </c>
    </row>
    <row r="604" spans="1:2" x14ac:dyDescent="0.4">
      <c r="A604" s="1">
        <v>39722</v>
      </c>
      <c r="B604">
        <v>382.78</v>
      </c>
    </row>
    <row r="605" spans="1:2" x14ac:dyDescent="0.4">
      <c r="A605" s="1">
        <v>39753</v>
      </c>
      <c r="B605">
        <v>384.01</v>
      </c>
    </row>
    <row r="606" spans="1:2" x14ac:dyDescent="0.4">
      <c r="A606" s="1">
        <v>39783</v>
      </c>
      <c r="B606">
        <v>385.11</v>
      </c>
    </row>
    <row r="607" spans="1:2" x14ac:dyDescent="0.4">
      <c r="A607" s="1">
        <v>39814</v>
      </c>
      <c r="B607">
        <v>386.65</v>
      </c>
    </row>
    <row r="608" spans="1:2" x14ac:dyDescent="0.4">
      <c r="A608" s="1">
        <v>39845</v>
      </c>
      <c r="B608">
        <v>387.12</v>
      </c>
    </row>
    <row r="609" spans="1:2" x14ac:dyDescent="0.4">
      <c r="A609" s="1">
        <v>39873</v>
      </c>
      <c r="B609">
        <v>388.52</v>
      </c>
    </row>
    <row r="610" spans="1:2" x14ac:dyDescent="0.4">
      <c r="A610" s="1">
        <v>39904</v>
      </c>
      <c r="B610">
        <v>389.57</v>
      </c>
    </row>
    <row r="611" spans="1:2" x14ac:dyDescent="0.4">
      <c r="A611" s="1">
        <v>39934</v>
      </c>
      <c r="B611">
        <v>390.17</v>
      </c>
    </row>
    <row r="612" spans="1:2" x14ac:dyDescent="0.4">
      <c r="A612" s="1">
        <v>39965</v>
      </c>
      <c r="B612">
        <v>389.62</v>
      </c>
    </row>
    <row r="613" spans="1:2" x14ac:dyDescent="0.4">
      <c r="A613" s="1">
        <v>39995</v>
      </c>
      <c r="B613">
        <v>388.07</v>
      </c>
    </row>
    <row r="614" spans="1:2" x14ac:dyDescent="0.4">
      <c r="A614" s="1">
        <v>40026</v>
      </c>
      <c r="B614">
        <v>386.08</v>
      </c>
    </row>
    <row r="615" spans="1:2" x14ac:dyDescent="0.4">
      <c r="A615" s="1">
        <v>40057</v>
      </c>
      <c r="B615">
        <v>384.65</v>
      </c>
    </row>
    <row r="616" spans="1:2" x14ac:dyDescent="0.4">
      <c r="A616" s="1">
        <v>40087</v>
      </c>
      <c r="B616">
        <v>384.33</v>
      </c>
    </row>
    <row r="617" spans="1:2" x14ac:dyDescent="0.4">
      <c r="A617" s="1">
        <v>40118</v>
      </c>
      <c r="B617">
        <v>386.05</v>
      </c>
    </row>
    <row r="618" spans="1:2" x14ac:dyDescent="0.4">
      <c r="A618" s="1">
        <v>40148</v>
      </c>
      <c r="B618">
        <v>387.49</v>
      </c>
    </row>
    <row r="619" spans="1:2" x14ac:dyDescent="0.4">
      <c r="A619" s="1">
        <v>40179</v>
      </c>
      <c r="B619">
        <v>388.55</v>
      </c>
    </row>
    <row r="620" spans="1:2" x14ac:dyDescent="0.4">
      <c r="A620" s="1">
        <v>40210</v>
      </c>
      <c r="B620">
        <v>390.08</v>
      </c>
    </row>
    <row r="621" spans="1:2" x14ac:dyDescent="0.4">
      <c r="A621" s="1">
        <v>40238</v>
      </c>
      <c r="B621">
        <v>391.01</v>
      </c>
    </row>
    <row r="622" spans="1:2" x14ac:dyDescent="0.4">
      <c r="A622" s="1">
        <v>40269</v>
      </c>
      <c r="B622">
        <v>392.38</v>
      </c>
    </row>
    <row r="623" spans="1:2" x14ac:dyDescent="0.4">
      <c r="A623" s="1">
        <v>40299</v>
      </c>
      <c r="B623">
        <v>393.22</v>
      </c>
    </row>
    <row r="624" spans="1:2" x14ac:dyDescent="0.4">
      <c r="A624" s="1">
        <v>40330</v>
      </c>
      <c r="B624">
        <v>392.24</v>
      </c>
    </row>
    <row r="625" spans="1:2" x14ac:dyDescent="0.4">
      <c r="A625" s="1">
        <v>40360</v>
      </c>
      <c r="B625">
        <v>390.33</v>
      </c>
    </row>
    <row r="626" spans="1:2" x14ac:dyDescent="0.4">
      <c r="A626" s="1">
        <v>40391</v>
      </c>
      <c r="B626">
        <v>388.52</v>
      </c>
    </row>
    <row r="627" spans="1:2" x14ac:dyDescent="0.4">
      <c r="A627" s="1">
        <v>40422</v>
      </c>
      <c r="B627">
        <v>386.84</v>
      </c>
    </row>
    <row r="628" spans="1:2" x14ac:dyDescent="0.4">
      <c r="A628" s="1">
        <v>40452</v>
      </c>
      <c r="B628">
        <v>387.16</v>
      </c>
    </row>
    <row r="629" spans="1:2" x14ac:dyDescent="0.4">
      <c r="A629" s="1">
        <v>40483</v>
      </c>
      <c r="B629">
        <v>388.67</v>
      </c>
    </row>
    <row r="630" spans="1:2" x14ac:dyDescent="0.4">
      <c r="A630" s="1">
        <v>40513</v>
      </c>
      <c r="B630">
        <v>389.81</v>
      </c>
    </row>
    <row r="631" spans="1:2" x14ac:dyDescent="0.4">
      <c r="A631" s="1">
        <v>40544</v>
      </c>
      <c r="B631">
        <v>391.3</v>
      </c>
    </row>
    <row r="632" spans="1:2" x14ac:dyDescent="0.4">
      <c r="A632" s="1">
        <v>40575</v>
      </c>
      <c r="B632">
        <v>391.92</v>
      </c>
    </row>
    <row r="633" spans="1:2" x14ac:dyDescent="0.4">
      <c r="A633" s="1">
        <v>40603</v>
      </c>
      <c r="B633">
        <v>392.45</v>
      </c>
    </row>
    <row r="634" spans="1:2" x14ac:dyDescent="0.4">
      <c r="A634" s="1">
        <v>40634</v>
      </c>
      <c r="B634">
        <v>393.37</v>
      </c>
    </row>
    <row r="635" spans="1:2" x14ac:dyDescent="0.4">
      <c r="A635" s="1">
        <v>40664</v>
      </c>
      <c r="B635">
        <v>394.28</v>
      </c>
    </row>
    <row r="636" spans="1:2" x14ac:dyDescent="0.4">
      <c r="A636" s="1">
        <v>40695</v>
      </c>
      <c r="B636">
        <v>393.69</v>
      </c>
    </row>
    <row r="637" spans="1:2" x14ac:dyDescent="0.4">
      <c r="A637" s="1">
        <v>40725</v>
      </c>
      <c r="B637">
        <v>392.59</v>
      </c>
    </row>
    <row r="638" spans="1:2" x14ac:dyDescent="0.4">
      <c r="A638" s="1">
        <v>40756</v>
      </c>
      <c r="B638">
        <v>390.21</v>
      </c>
    </row>
    <row r="639" spans="1:2" x14ac:dyDescent="0.4">
      <c r="A639" s="1">
        <v>40787</v>
      </c>
      <c r="B639">
        <v>389</v>
      </c>
    </row>
    <row r="640" spans="1:2" x14ac:dyDescent="0.4">
      <c r="A640" s="1">
        <v>40817</v>
      </c>
      <c r="B640">
        <v>388.93</v>
      </c>
    </row>
    <row r="641" spans="1:2" x14ac:dyDescent="0.4">
      <c r="A641" s="1">
        <v>40848</v>
      </c>
      <c r="B641">
        <v>390.24</v>
      </c>
    </row>
    <row r="642" spans="1:2" x14ac:dyDescent="0.4">
      <c r="A642" s="1">
        <v>40878</v>
      </c>
      <c r="B642">
        <v>391.8</v>
      </c>
    </row>
    <row r="643" spans="1:2" x14ac:dyDescent="0.4">
      <c r="A643" s="1">
        <v>40909</v>
      </c>
      <c r="B643">
        <v>393.07</v>
      </c>
    </row>
    <row r="644" spans="1:2" x14ac:dyDescent="0.4">
      <c r="A644" s="1">
        <v>40940</v>
      </c>
      <c r="B644">
        <v>393.35</v>
      </c>
    </row>
    <row r="645" spans="1:2" x14ac:dyDescent="0.4">
      <c r="A645" s="1">
        <v>40969</v>
      </c>
      <c r="B645">
        <v>394.36</v>
      </c>
    </row>
    <row r="646" spans="1:2" x14ac:dyDescent="0.4">
      <c r="A646" s="1">
        <v>41000</v>
      </c>
      <c r="B646">
        <v>396.43</v>
      </c>
    </row>
    <row r="647" spans="1:2" x14ac:dyDescent="0.4">
      <c r="A647" s="1">
        <v>41030</v>
      </c>
      <c r="B647">
        <v>396.87</v>
      </c>
    </row>
    <row r="648" spans="1:2" x14ac:dyDescent="0.4">
      <c r="A648" s="1">
        <v>41061</v>
      </c>
      <c r="B648">
        <v>395.88</v>
      </c>
    </row>
    <row r="649" spans="1:2" x14ac:dyDescent="0.4">
      <c r="A649" s="1">
        <v>41091</v>
      </c>
      <c r="B649">
        <v>394.52</v>
      </c>
    </row>
    <row r="650" spans="1:2" x14ac:dyDescent="0.4">
      <c r="A650" s="1">
        <v>41122</v>
      </c>
      <c r="B650">
        <v>392.54</v>
      </c>
    </row>
    <row r="651" spans="1:2" x14ac:dyDescent="0.4">
      <c r="A651" s="1">
        <v>41153</v>
      </c>
      <c r="B651">
        <v>391.13</v>
      </c>
    </row>
    <row r="652" spans="1:2" x14ac:dyDescent="0.4">
      <c r="A652" s="1">
        <v>41183</v>
      </c>
      <c r="B652">
        <v>391.01</v>
      </c>
    </row>
    <row r="653" spans="1:2" x14ac:dyDescent="0.4">
      <c r="A653" s="1">
        <v>41214</v>
      </c>
      <c r="B653">
        <v>392.95</v>
      </c>
    </row>
    <row r="654" spans="1:2" x14ac:dyDescent="0.4">
      <c r="A654" s="1">
        <v>41244</v>
      </c>
      <c r="B654">
        <v>394.33</v>
      </c>
    </row>
    <row r="655" spans="1:2" x14ac:dyDescent="0.4">
      <c r="A655" s="1">
        <v>41275</v>
      </c>
      <c r="B655">
        <v>395.61</v>
      </c>
    </row>
    <row r="656" spans="1:2" x14ac:dyDescent="0.4">
      <c r="A656" s="1">
        <v>41306</v>
      </c>
      <c r="B656">
        <v>396.85</v>
      </c>
    </row>
    <row r="657" spans="1:2" x14ac:dyDescent="0.4">
      <c r="A657" s="1">
        <v>41334</v>
      </c>
      <c r="B657">
        <v>397.26</v>
      </c>
    </row>
    <row r="658" spans="1:2" x14ac:dyDescent="0.4">
      <c r="A658" s="1">
        <v>41365</v>
      </c>
      <c r="B658">
        <v>398.35</v>
      </c>
    </row>
    <row r="659" spans="1:2" x14ac:dyDescent="0.4">
      <c r="A659" s="1">
        <v>41395</v>
      </c>
      <c r="B659">
        <v>399.98</v>
      </c>
    </row>
    <row r="660" spans="1:2" x14ac:dyDescent="0.4">
      <c r="A660" s="1">
        <v>41426</v>
      </c>
      <c r="B660">
        <v>398.87</v>
      </c>
    </row>
    <row r="661" spans="1:2" x14ac:dyDescent="0.4">
      <c r="A661" s="1">
        <v>41456</v>
      </c>
      <c r="B661">
        <v>397.37</v>
      </c>
    </row>
    <row r="662" spans="1:2" x14ac:dyDescent="0.4">
      <c r="A662" s="1">
        <v>41487</v>
      </c>
      <c r="B662">
        <v>395.41</v>
      </c>
    </row>
    <row r="663" spans="1:2" x14ac:dyDescent="0.4">
      <c r="A663" s="1">
        <v>41518</v>
      </c>
      <c r="B663">
        <v>393.39</v>
      </c>
    </row>
    <row r="664" spans="1:2" x14ac:dyDescent="0.4">
      <c r="A664" s="1">
        <v>41548</v>
      </c>
      <c r="B664">
        <v>393.7</v>
      </c>
    </row>
    <row r="665" spans="1:2" x14ac:dyDescent="0.4">
      <c r="A665" s="1">
        <v>41579</v>
      </c>
      <c r="B665">
        <v>395.19</v>
      </c>
    </row>
    <row r="666" spans="1:2" x14ac:dyDescent="0.4">
      <c r="A666" s="1">
        <v>41609</v>
      </c>
      <c r="B666">
        <v>396.82</v>
      </c>
    </row>
    <row r="667" spans="1:2" x14ac:dyDescent="0.4">
      <c r="A667" s="1">
        <v>41640</v>
      </c>
      <c r="B667">
        <v>397.93</v>
      </c>
    </row>
    <row r="668" spans="1:2" x14ac:dyDescent="0.4">
      <c r="A668" s="1">
        <v>41671</v>
      </c>
      <c r="B668">
        <v>398.1</v>
      </c>
    </row>
    <row r="669" spans="1:2" x14ac:dyDescent="0.4">
      <c r="A669" s="1">
        <v>41699</v>
      </c>
      <c r="B669">
        <v>399.47</v>
      </c>
    </row>
    <row r="670" spans="1:2" x14ac:dyDescent="0.4">
      <c r="A670" s="1">
        <v>41730</v>
      </c>
      <c r="B670">
        <v>401.33</v>
      </c>
    </row>
    <row r="671" spans="1:2" x14ac:dyDescent="0.4">
      <c r="A671" s="1">
        <v>41760</v>
      </c>
      <c r="B671">
        <v>401.88</v>
      </c>
    </row>
    <row r="672" spans="1:2" x14ac:dyDescent="0.4">
      <c r="A672" s="1">
        <v>41791</v>
      </c>
      <c r="B672">
        <v>401.31</v>
      </c>
    </row>
    <row r="673" spans="1:2" x14ac:dyDescent="0.4">
      <c r="A673" s="1">
        <v>41821</v>
      </c>
      <c r="B673">
        <v>399.07</v>
      </c>
    </row>
    <row r="674" spans="1:2" x14ac:dyDescent="0.4">
      <c r="A674" s="1">
        <v>41852</v>
      </c>
      <c r="B674">
        <v>397.21</v>
      </c>
    </row>
    <row r="675" spans="1:2" x14ac:dyDescent="0.4">
      <c r="A675" s="1">
        <v>41883</v>
      </c>
      <c r="B675">
        <v>395.4</v>
      </c>
    </row>
    <row r="676" spans="1:2" x14ac:dyDescent="0.4">
      <c r="A676" s="1">
        <v>41913</v>
      </c>
      <c r="B676">
        <v>395.65</v>
      </c>
    </row>
    <row r="677" spans="1:2" x14ac:dyDescent="0.4">
      <c r="A677" s="1">
        <v>41944</v>
      </c>
      <c r="B677">
        <v>397.23</v>
      </c>
    </row>
    <row r="678" spans="1:2" x14ac:dyDescent="0.4">
      <c r="A678" s="1">
        <v>41974</v>
      </c>
      <c r="B678">
        <v>398.79</v>
      </c>
    </row>
    <row r="679" spans="1:2" x14ac:dyDescent="0.4">
      <c r="A679" s="1">
        <v>42005</v>
      </c>
      <c r="B679">
        <v>399.85</v>
      </c>
    </row>
    <row r="680" spans="1:2" x14ac:dyDescent="0.4">
      <c r="A680" s="1">
        <v>42036</v>
      </c>
      <c r="B680">
        <v>400.31</v>
      </c>
    </row>
    <row r="681" spans="1:2" x14ac:dyDescent="0.4">
      <c r="A681" s="1">
        <v>42064</v>
      </c>
      <c r="B681">
        <v>401.51</v>
      </c>
    </row>
    <row r="682" spans="1:2" x14ac:dyDescent="0.4">
      <c r="A682" s="1">
        <v>42095</v>
      </c>
      <c r="B682">
        <v>403.45</v>
      </c>
    </row>
    <row r="683" spans="1:2" x14ac:dyDescent="0.4">
      <c r="A683" s="1">
        <v>42125</v>
      </c>
      <c r="B683">
        <v>404.1</v>
      </c>
    </row>
    <row r="684" spans="1:2" x14ac:dyDescent="0.4">
      <c r="A684" s="1">
        <v>42156</v>
      </c>
      <c r="B684">
        <v>402.88</v>
      </c>
    </row>
    <row r="685" spans="1:2" x14ac:dyDescent="0.4">
      <c r="A685" s="1">
        <v>42186</v>
      </c>
      <c r="B685">
        <v>401.61</v>
      </c>
    </row>
    <row r="686" spans="1:2" x14ac:dyDescent="0.4">
      <c r="A686" s="1">
        <v>42217</v>
      </c>
      <c r="B686">
        <v>399</v>
      </c>
    </row>
    <row r="687" spans="1:2" x14ac:dyDescent="0.4">
      <c r="A687" s="1">
        <v>42248</v>
      </c>
      <c r="B687">
        <v>397.5</v>
      </c>
    </row>
    <row r="688" spans="1:2" x14ac:dyDescent="0.4">
      <c r="A688" s="1">
        <v>42278</v>
      </c>
      <c r="B688">
        <v>398.28</v>
      </c>
    </row>
    <row r="689" spans="1:2" x14ac:dyDescent="0.4">
      <c r="A689" s="1">
        <v>42309</v>
      </c>
      <c r="B689">
        <v>400.24</v>
      </c>
    </row>
    <row r="690" spans="1:2" x14ac:dyDescent="0.4">
      <c r="A690" s="1">
        <v>42339</v>
      </c>
      <c r="B690">
        <v>401.89</v>
      </c>
    </row>
    <row r="691" spans="1:2" x14ac:dyDescent="0.4">
      <c r="A691" s="1">
        <v>42370</v>
      </c>
      <c r="B691">
        <v>402.65</v>
      </c>
    </row>
    <row r="692" spans="1:2" x14ac:dyDescent="0.4">
      <c r="A692" s="1">
        <v>42401</v>
      </c>
      <c r="B692">
        <v>404.16</v>
      </c>
    </row>
    <row r="693" spans="1:2" x14ac:dyDescent="0.4">
      <c r="A693" s="1">
        <v>42430</v>
      </c>
      <c r="B693">
        <v>404.85</v>
      </c>
    </row>
    <row r="694" spans="1:2" x14ac:dyDescent="0.4">
      <c r="A694" s="1">
        <v>42461</v>
      </c>
      <c r="B694">
        <v>407.57</v>
      </c>
    </row>
    <row r="695" spans="1:2" x14ac:dyDescent="0.4">
      <c r="A695" s="1">
        <v>42491</v>
      </c>
      <c r="B695">
        <v>407.66</v>
      </c>
    </row>
    <row r="696" spans="1:2" x14ac:dyDescent="0.4">
      <c r="A696" s="1">
        <v>42522</v>
      </c>
      <c r="B696">
        <v>407</v>
      </c>
    </row>
    <row r="697" spans="1:2" x14ac:dyDescent="0.4">
      <c r="A697" s="1">
        <v>42552</v>
      </c>
      <c r="B697">
        <v>404.5</v>
      </c>
    </row>
    <row r="698" spans="1:2" x14ac:dyDescent="0.4">
      <c r="A698" s="1">
        <v>42583</v>
      </c>
      <c r="B698">
        <v>402.24</v>
      </c>
    </row>
    <row r="699" spans="1:2" x14ac:dyDescent="0.4">
      <c r="A699" s="1">
        <v>42614</v>
      </c>
      <c r="B699">
        <v>401.01</v>
      </c>
    </row>
    <row r="700" spans="1:2" x14ac:dyDescent="0.4">
      <c r="A700" s="1">
        <v>42644</v>
      </c>
      <c r="B700">
        <v>401.5</v>
      </c>
    </row>
    <row r="701" spans="1:2" x14ac:dyDescent="0.4">
      <c r="A701" s="1">
        <v>42675</v>
      </c>
      <c r="B701">
        <v>403.64</v>
      </c>
    </row>
    <row r="702" spans="1:2" x14ac:dyDescent="0.4">
      <c r="A702" s="1">
        <v>42705</v>
      </c>
      <c r="B702">
        <v>404.55</v>
      </c>
    </row>
    <row r="703" spans="1:2" x14ac:dyDescent="0.4">
      <c r="A703" s="1">
        <v>42736</v>
      </c>
      <c r="B703">
        <v>406.07</v>
      </c>
    </row>
    <row r="704" spans="1:2" x14ac:dyDescent="0.4">
      <c r="A704" s="1">
        <v>42767</v>
      </c>
      <c r="B704">
        <v>406.64</v>
      </c>
    </row>
    <row r="705" spans="1:2" x14ac:dyDescent="0.4">
      <c r="A705" s="1">
        <v>42795</v>
      </c>
      <c r="B705">
        <v>407.05</v>
      </c>
    </row>
    <row r="706" spans="1:2" x14ac:dyDescent="0.4">
      <c r="A706" s="1">
        <v>42826</v>
      </c>
      <c r="B706">
        <v>408.95</v>
      </c>
    </row>
    <row r="707" spans="1:2" x14ac:dyDescent="0.4">
      <c r="A707" s="1">
        <v>42856</v>
      </c>
      <c r="B707">
        <v>409.91</v>
      </c>
    </row>
    <row r="708" spans="1:2" x14ac:dyDescent="0.4">
      <c r="A708" s="1">
        <v>42887</v>
      </c>
      <c r="B708">
        <v>409.12</v>
      </c>
    </row>
    <row r="709" spans="1:2" x14ac:dyDescent="0.4">
      <c r="A709" s="1">
        <v>42917</v>
      </c>
      <c r="B709">
        <v>407.2</v>
      </c>
    </row>
    <row r="710" spans="1:2" x14ac:dyDescent="0.4">
      <c r="A710" s="1">
        <v>42948</v>
      </c>
      <c r="B710">
        <v>405.24</v>
      </c>
    </row>
    <row r="711" spans="1:2" x14ac:dyDescent="0.4">
      <c r="A711" s="1">
        <v>42979</v>
      </c>
      <c r="B711">
        <v>403.27</v>
      </c>
    </row>
    <row r="712" spans="1:2" x14ac:dyDescent="0.4">
      <c r="A712" s="1">
        <v>43009</v>
      </c>
      <c r="B712">
        <v>403.64</v>
      </c>
    </row>
    <row r="713" spans="1:2" x14ac:dyDescent="0.4">
      <c r="A713" s="1">
        <v>43040</v>
      </c>
      <c r="B713">
        <v>405.17</v>
      </c>
    </row>
    <row r="714" spans="1:2" x14ac:dyDescent="0.4">
      <c r="A714" s="1">
        <v>43070</v>
      </c>
      <c r="B714">
        <v>406.75</v>
      </c>
    </row>
    <row r="715" spans="1:2" x14ac:dyDescent="0.4">
      <c r="A715" s="1">
        <v>43101</v>
      </c>
      <c r="B715">
        <v>408.05</v>
      </c>
    </row>
    <row r="716" spans="1:2" x14ac:dyDescent="0.4">
      <c r="A716" s="1">
        <v>43132</v>
      </c>
      <c r="B716">
        <v>408.34</v>
      </c>
    </row>
    <row r="717" spans="1:2" x14ac:dyDescent="0.4">
      <c r="A717" s="1">
        <v>43160</v>
      </c>
      <c r="B717">
        <v>409.25</v>
      </c>
    </row>
    <row r="718" spans="1:2" x14ac:dyDescent="0.4">
      <c r="A718" s="1">
        <v>43191</v>
      </c>
      <c r="B718">
        <v>410.3</v>
      </c>
    </row>
    <row r="719" spans="1:2" x14ac:dyDescent="0.4">
      <c r="A719" s="1">
        <v>43221</v>
      </c>
      <c r="B719">
        <v>411.3</v>
      </c>
    </row>
    <row r="720" spans="1:2" x14ac:dyDescent="0.4">
      <c r="A720" s="1">
        <v>43252</v>
      </c>
      <c r="B720">
        <v>410.88</v>
      </c>
    </row>
    <row r="721" spans="1:2" x14ac:dyDescent="0.4">
      <c r="A721" s="1">
        <v>43282</v>
      </c>
      <c r="B721">
        <v>408.9</v>
      </c>
    </row>
    <row r="722" spans="1:2" x14ac:dyDescent="0.4">
      <c r="A722" s="1">
        <v>43313</v>
      </c>
      <c r="B722">
        <v>407.1</v>
      </c>
    </row>
    <row r="723" spans="1:2" x14ac:dyDescent="0.4">
      <c r="A723" s="1">
        <v>43344</v>
      </c>
      <c r="B723">
        <v>405.59</v>
      </c>
    </row>
    <row r="724" spans="1:2" x14ac:dyDescent="0.4">
      <c r="A724" s="1">
        <v>43374</v>
      </c>
      <c r="B724">
        <v>405.99</v>
      </c>
    </row>
    <row r="725" spans="1:2" x14ac:dyDescent="0.4">
      <c r="A725" s="1">
        <v>43405</v>
      </c>
      <c r="B725">
        <v>408.12</v>
      </c>
    </row>
    <row r="726" spans="1:2" x14ac:dyDescent="0.4">
      <c r="A726" s="1">
        <v>43435</v>
      </c>
      <c r="B726">
        <v>409.23</v>
      </c>
    </row>
    <row r="727" spans="1:2" x14ac:dyDescent="0.4">
      <c r="A727" s="1">
        <v>43466</v>
      </c>
      <c r="B727">
        <v>410.92</v>
      </c>
    </row>
    <row r="728" spans="1:2" x14ac:dyDescent="0.4">
      <c r="A728" s="1">
        <v>43497</v>
      </c>
      <c r="B728">
        <v>411.66</v>
      </c>
    </row>
    <row r="729" spans="1:2" x14ac:dyDescent="0.4">
      <c r="A729" s="1">
        <v>43525</v>
      </c>
      <c r="B729">
        <v>412</v>
      </c>
    </row>
    <row r="730" spans="1:2" x14ac:dyDescent="0.4">
      <c r="A730" s="1">
        <v>43556</v>
      </c>
      <c r="B730">
        <v>413.52</v>
      </c>
    </row>
    <row r="731" spans="1:2" x14ac:dyDescent="0.4">
      <c r="A731" s="1">
        <v>43586</v>
      </c>
      <c r="B731">
        <v>414.83</v>
      </c>
    </row>
    <row r="732" spans="1:2" x14ac:dyDescent="0.4">
      <c r="A732" s="1">
        <v>43617</v>
      </c>
      <c r="B732">
        <v>413.96</v>
      </c>
    </row>
    <row r="733" spans="1:2" x14ac:dyDescent="0.4">
      <c r="A733" s="1">
        <v>43647</v>
      </c>
      <c r="B733">
        <v>411.85</v>
      </c>
    </row>
    <row r="734" spans="1:2" x14ac:dyDescent="0.4">
      <c r="A734" s="1">
        <v>43678</v>
      </c>
      <c r="B734">
        <v>410.08</v>
      </c>
    </row>
    <row r="735" spans="1:2" x14ac:dyDescent="0.4">
      <c r="A735" s="1">
        <v>43709</v>
      </c>
      <c r="B735">
        <v>408.55</v>
      </c>
    </row>
    <row r="736" spans="1:2" x14ac:dyDescent="0.4">
      <c r="A736" s="1">
        <v>43739</v>
      </c>
      <c r="B736">
        <v>408.43</v>
      </c>
    </row>
    <row r="737" spans="1:2" x14ac:dyDescent="0.4">
      <c r="A737" s="1">
        <v>43770</v>
      </c>
      <c r="B737">
        <v>410.29</v>
      </c>
    </row>
    <row r="738" spans="1:2" x14ac:dyDescent="0.4">
      <c r="A738" s="1">
        <v>43800</v>
      </c>
      <c r="B738">
        <v>411.85</v>
      </c>
    </row>
    <row r="739" spans="1:2" x14ac:dyDescent="0.4">
      <c r="A739" s="1">
        <v>43831</v>
      </c>
      <c r="B739">
        <v>413.37</v>
      </c>
    </row>
    <row r="740" spans="1:2" x14ac:dyDescent="0.4">
      <c r="A740" s="1">
        <v>43862</v>
      </c>
      <c r="B740">
        <v>414.09</v>
      </c>
    </row>
    <row r="741" spans="1:2" x14ac:dyDescent="0.4">
      <c r="A741" s="1">
        <v>43891</v>
      </c>
      <c r="B741">
        <v>414.51</v>
      </c>
    </row>
    <row r="742" spans="1:2" x14ac:dyDescent="0.4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dimension ref="A1:P942"/>
  <sheetViews>
    <sheetView topLeftCell="F1" workbookViewId="0">
      <selection activeCell="J2" sqref="J2"/>
    </sheetView>
  </sheetViews>
  <sheetFormatPr defaultRowHeight="18.75" customHeight="1" x14ac:dyDescent="0.4"/>
  <cols>
    <col min="1" max="1" width="19" style="2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2" bestFit="1" customWidth="1"/>
    <col min="9" max="9" width="9.75" bestFit="1" customWidth="1"/>
    <col min="10" max="10" width="5.75" bestFit="1" customWidth="1"/>
    <col min="11" max="11" width="8.375" style="12" bestFit="1" customWidth="1"/>
    <col min="12" max="12" width="7.5" style="12" customWidth="1"/>
    <col min="13" max="13" width="7.25" style="12" bestFit="1" customWidth="1"/>
  </cols>
  <sheetData>
    <row r="1" spans="1:16" ht="18.75" customHeight="1" x14ac:dyDescent="0.4">
      <c r="A1" s="2" t="s">
        <v>20</v>
      </c>
      <c r="B1" s="14" t="s">
        <v>27</v>
      </c>
      <c r="D1" t="s">
        <v>26</v>
      </c>
      <c r="F1" s="3" t="s">
        <v>41</v>
      </c>
      <c r="G1" s="11" t="s">
        <v>1</v>
      </c>
      <c r="H1" s="11" t="s">
        <v>17</v>
      </c>
      <c r="I1" s="3" t="s">
        <v>42</v>
      </c>
      <c r="J1" s="3" t="s">
        <v>9</v>
      </c>
      <c r="K1" s="11" t="s">
        <v>13</v>
      </c>
      <c r="L1" s="11" t="s">
        <v>24</v>
      </c>
      <c r="M1" s="11" t="s">
        <v>15</v>
      </c>
      <c r="O1" s="18" t="s">
        <v>32</v>
      </c>
    </row>
    <row r="2" spans="1:16" ht="18.75" customHeight="1" x14ac:dyDescent="0.4">
      <c r="A2" s="2" t="s">
        <v>2</v>
      </c>
      <c r="B2" s="14" t="s">
        <v>13</v>
      </c>
      <c r="D2" t="s">
        <v>22</v>
      </c>
      <c r="F2" s="1">
        <v>21245</v>
      </c>
      <c r="G2" s="12">
        <v>315.7</v>
      </c>
      <c r="H2" s="12">
        <f t="shared" ref="H2" si="0">_A*F2*F2+_B*F2+_C</f>
        <v>314.61155003735519</v>
      </c>
      <c r="I2" s="12">
        <f>G2-H2</f>
        <v>1.0884499626448019</v>
      </c>
      <c r="J2">
        <f>MONTH(F2)</f>
        <v>3</v>
      </c>
      <c r="K2" s="12" cm="1">
        <f t="array" ref="K2">INDEX(Sm,J2)</f>
        <v>0</v>
      </c>
      <c r="L2" s="12">
        <f>H2+K2</f>
        <v>314.61155003735519</v>
      </c>
      <c r="M2" s="12">
        <f>G2-L2</f>
        <v>1.0884499626448019</v>
      </c>
      <c r="O2" s="19">
        <v>1</v>
      </c>
      <c r="P2" t="s">
        <v>37</v>
      </c>
    </row>
    <row r="3" spans="1:16" ht="18.75" customHeight="1" x14ac:dyDescent="0.4">
      <c r="A3" s="2" t="s">
        <v>39</v>
      </c>
      <c r="B3" s="14" t="s">
        <v>19</v>
      </c>
      <c r="D3" t="s">
        <v>23</v>
      </c>
      <c r="F3" s="1">
        <v>21276</v>
      </c>
      <c r="G3" s="12">
        <v>317.45999999999998</v>
      </c>
      <c r="I3" s="12"/>
      <c r="O3" s="19">
        <v>2</v>
      </c>
      <c r="P3" t="s">
        <v>45</v>
      </c>
    </row>
    <row r="4" spans="1:16" ht="18.75" customHeight="1" x14ac:dyDescent="0.4">
      <c r="F4" s="1">
        <v>21306</v>
      </c>
      <c r="G4" s="12">
        <v>317.51</v>
      </c>
      <c r="I4" s="12"/>
      <c r="O4" s="19"/>
      <c r="P4" t="s">
        <v>46</v>
      </c>
    </row>
    <row r="5" spans="1:16" ht="18.75" customHeight="1" x14ac:dyDescent="0.4">
      <c r="A5" t="s">
        <v>31</v>
      </c>
      <c r="F5" s="1">
        <v>21367</v>
      </c>
      <c r="G5" s="12">
        <v>315.86</v>
      </c>
      <c r="I5" s="12"/>
      <c r="O5" s="19">
        <v>3</v>
      </c>
      <c r="P5" t="s">
        <v>53</v>
      </c>
    </row>
    <row r="6" spans="1:16" ht="18.75" customHeight="1" x14ac:dyDescent="0.4">
      <c r="A6" s="2" t="s">
        <v>4</v>
      </c>
      <c r="B6" s="15">
        <f>INDEX(LINEST($G$2:$G$742,$F$2:$F$742^{2,1}),1,2)</f>
        <v>9.8047310770192954E-8</v>
      </c>
      <c r="F6" s="1">
        <v>21398</v>
      </c>
      <c r="G6" s="12">
        <v>314.93</v>
      </c>
      <c r="I6" s="12"/>
      <c r="O6" s="19">
        <v>4</v>
      </c>
      <c r="P6" t="s">
        <v>47</v>
      </c>
    </row>
    <row r="7" spans="1:16" ht="18.75" customHeight="1" x14ac:dyDescent="0.4">
      <c r="A7" s="2" t="s">
        <v>5</v>
      </c>
      <c r="B7" s="16">
        <f>INDEX(LINEST($G$2:$G$742,$F$2:$F$742^{2,1}),1,1)</f>
        <v>-2.0821734412079227E-3</v>
      </c>
      <c r="F7" s="1">
        <v>21429</v>
      </c>
      <c r="G7" s="12">
        <v>313.20999999999998</v>
      </c>
      <c r="I7" s="12"/>
      <c r="O7" s="19">
        <v>5</v>
      </c>
      <c r="P7" t="s">
        <v>57</v>
      </c>
    </row>
    <row r="8" spans="1:16" ht="18.75" customHeight="1" x14ac:dyDescent="0.4">
      <c r="A8" s="2" t="s">
        <v>6</v>
      </c>
      <c r="B8" s="17">
        <f>INDEX(LINEST($G$2:$G$742,$F$2:$F$742^{2,1}),1,3)</f>
        <v>314.59366862850817</v>
      </c>
      <c r="F8" s="1">
        <v>21490</v>
      </c>
      <c r="G8" s="12">
        <v>313.33</v>
      </c>
      <c r="I8" s="12"/>
      <c r="O8" s="19"/>
      <c r="P8" t="s">
        <v>56</v>
      </c>
    </row>
    <row r="9" spans="1:16" ht="18.75" customHeight="1" x14ac:dyDescent="0.4">
      <c r="F9" s="1">
        <v>21520</v>
      </c>
      <c r="G9" s="12">
        <v>314.67</v>
      </c>
      <c r="I9" s="12"/>
      <c r="O9" s="19">
        <v>6</v>
      </c>
      <c r="P9" t="s">
        <v>52</v>
      </c>
    </row>
    <row r="10" spans="1:16" ht="18.75" customHeight="1" x14ac:dyDescent="0.4">
      <c r="F10" s="1">
        <v>21551</v>
      </c>
      <c r="G10" s="12">
        <v>315.58</v>
      </c>
      <c r="I10" s="12"/>
      <c r="O10" s="19">
        <v>7</v>
      </c>
      <c r="P10" t="s">
        <v>54</v>
      </c>
    </row>
    <row r="11" spans="1:16" ht="18.75" customHeight="1" x14ac:dyDescent="0.4">
      <c r="F11" s="1">
        <v>21582</v>
      </c>
      <c r="G11" s="12">
        <v>316.49</v>
      </c>
      <c r="I11" s="12"/>
      <c r="O11" s="19">
        <v>8</v>
      </c>
      <c r="P11" t="s">
        <v>55</v>
      </c>
    </row>
    <row r="12" spans="1:16" ht="18.75" customHeight="1" x14ac:dyDescent="0.4">
      <c r="A12" t="s">
        <v>43</v>
      </c>
      <c r="F12" s="1">
        <v>21610</v>
      </c>
      <c r="G12" s="12">
        <v>316.64999999999998</v>
      </c>
      <c r="I12" s="12"/>
      <c r="O12" s="19">
        <v>9</v>
      </c>
      <c r="P12" t="s">
        <v>48</v>
      </c>
    </row>
    <row r="13" spans="1:16" ht="18.75" customHeight="1" x14ac:dyDescent="0.4">
      <c r="A13" s="2" t="s">
        <v>7</v>
      </c>
      <c r="B13" s="20" t="s">
        <v>14</v>
      </c>
      <c r="F13" s="1">
        <v>21641</v>
      </c>
      <c r="G13" s="12">
        <v>317.72000000000003</v>
      </c>
      <c r="I13" s="12"/>
      <c r="O13" s="19"/>
      <c r="P13" t="s">
        <v>49</v>
      </c>
    </row>
    <row r="14" spans="1:16" ht="18.75" customHeight="1" x14ac:dyDescent="0.4">
      <c r="A14" s="21">
        <v>1</v>
      </c>
      <c r="B14" s="25" t="e">
        <f>AVERAGEIF(J:J,A14,I:I)</f>
        <v>#DIV/0!</v>
      </c>
      <c r="C14" s="22"/>
      <c r="F14" s="1">
        <v>21671</v>
      </c>
      <c r="G14" s="12">
        <v>318.29000000000002</v>
      </c>
      <c r="I14" s="12"/>
      <c r="O14" s="19">
        <v>10</v>
      </c>
      <c r="P14" t="s">
        <v>38</v>
      </c>
    </row>
    <row r="15" spans="1:16" ht="18.75" customHeight="1" x14ac:dyDescent="0.4">
      <c r="A15" s="21">
        <v>2</v>
      </c>
      <c r="B15" s="25"/>
      <c r="C15" s="22"/>
      <c r="F15" s="1">
        <v>21702</v>
      </c>
      <c r="G15" s="12">
        <v>318.14999999999998</v>
      </c>
      <c r="I15" s="12"/>
    </row>
    <row r="16" spans="1:16" ht="18.75" customHeight="1" x14ac:dyDescent="0.4">
      <c r="A16" s="21">
        <v>3</v>
      </c>
      <c r="B16" s="25"/>
      <c r="C16" s="22"/>
      <c r="F16" s="1">
        <v>21732</v>
      </c>
      <c r="G16" s="12">
        <v>316.54000000000002</v>
      </c>
      <c r="I16" s="12"/>
      <c r="O16" t="s">
        <v>50</v>
      </c>
    </row>
    <row r="17" spans="1:9" ht="18.75" customHeight="1" x14ac:dyDescent="0.4">
      <c r="A17" s="21">
        <v>4</v>
      </c>
      <c r="B17" s="25"/>
      <c r="C17" s="22"/>
      <c r="F17" s="1">
        <v>21763</v>
      </c>
      <c r="G17" s="12">
        <v>314.8</v>
      </c>
      <c r="I17" s="12"/>
    </row>
    <row r="18" spans="1:9" ht="18.75" customHeight="1" x14ac:dyDescent="0.4">
      <c r="A18" s="21">
        <v>5</v>
      </c>
      <c r="B18" s="25"/>
      <c r="C18" s="22"/>
      <c r="F18" s="1">
        <v>21794</v>
      </c>
      <c r="G18" s="12">
        <v>313.83999999999997</v>
      </c>
      <c r="I18" s="12"/>
    </row>
    <row r="19" spans="1:9" ht="18.75" customHeight="1" x14ac:dyDescent="0.4">
      <c r="A19" s="21">
        <v>6</v>
      </c>
      <c r="B19" s="25"/>
      <c r="C19" s="22"/>
      <c r="F19" s="1">
        <v>21824</v>
      </c>
      <c r="G19" s="12">
        <v>313.33</v>
      </c>
      <c r="I19" s="12"/>
    </row>
    <row r="20" spans="1:9" ht="18.75" customHeight="1" x14ac:dyDescent="0.4">
      <c r="A20" s="21">
        <v>7</v>
      </c>
      <c r="B20" s="25"/>
      <c r="C20" s="22"/>
      <c r="F20" s="1">
        <v>21855</v>
      </c>
      <c r="G20" s="12">
        <v>314.81</v>
      </c>
      <c r="I20" s="12"/>
    </row>
    <row r="21" spans="1:9" ht="18.75" customHeight="1" x14ac:dyDescent="0.4">
      <c r="A21" s="21">
        <v>8</v>
      </c>
      <c r="B21" s="25"/>
      <c r="C21" s="22"/>
      <c r="F21" s="1">
        <v>21885</v>
      </c>
      <c r="G21" s="12">
        <v>315.58</v>
      </c>
      <c r="I21" s="12"/>
    </row>
    <row r="22" spans="1:9" ht="18.75" customHeight="1" x14ac:dyDescent="0.4">
      <c r="A22" s="21">
        <v>9</v>
      </c>
      <c r="B22" s="25"/>
      <c r="C22" s="22"/>
      <c r="F22" s="1">
        <v>21916</v>
      </c>
      <c r="G22" s="12">
        <v>316.43</v>
      </c>
      <c r="I22" s="12"/>
    </row>
    <row r="23" spans="1:9" ht="18.75" customHeight="1" x14ac:dyDescent="0.4">
      <c r="A23" s="21">
        <v>10</v>
      </c>
      <c r="B23" s="25"/>
      <c r="C23" s="22"/>
      <c r="F23" s="1">
        <v>21947</v>
      </c>
      <c r="G23" s="12">
        <v>316.98</v>
      </c>
      <c r="I23" s="12"/>
    </row>
    <row r="24" spans="1:9" ht="18.75" customHeight="1" x14ac:dyDescent="0.4">
      <c r="A24" s="21">
        <v>11</v>
      </c>
      <c r="B24" s="25"/>
      <c r="C24" s="24"/>
      <c r="D24" s="10"/>
      <c r="F24" s="1">
        <v>21976</v>
      </c>
      <c r="G24" s="12">
        <v>317.58</v>
      </c>
      <c r="I24" s="12"/>
    </row>
    <row r="25" spans="1:9" ht="18.75" customHeight="1" x14ac:dyDescent="0.4">
      <c r="A25" s="21">
        <v>12</v>
      </c>
      <c r="B25" s="25"/>
      <c r="C25" s="22"/>
      <c r="F25" s="1">
        <v>22007</v>
      </c>
      <c r="G25" s="12">
        <v>319.02999999999997</v>
      </c>
      <c r="I25" s="12"/>
    </row>
    <row r="26" spans="1:9" ht="18.75" customHeight="1" x14ac:dyDescent="0.4">
      <c r="A26" s="9">
        <v>13</v>
      </c>
      <c r="B26" s="23" t="e">
        <f>B14</f>
        <v>#DIV/0!</v>
      </c>
      <c r="C26" s="10" t="s">
        <v>51</v>
      </c>
      <c r="F26" s="1">
        <v>22037</v>
      </c>
      <c r="G26" s="12">
        <v>320.04000000000002</v>
      </c>
      <c r="I26" s="12"/>
    </row>
    <row r="27" spans="1:9" ht="18.75" customHeight="1" x14ac:dyDescent="0.4">
      <c r="A27" s="2" t="s">
        <v>8</v>
      </c>
      <c r="B27" s="26" t="e">
        <f>SUM(B14:B25)</f>
        <v>#DIV/0!</v>
      </c>
      <c r="F27" s="1">
        <v>22068</v>
      </c>
      <c r="G27" s="12">
        <v>319.58</v>
      </c>
      <c r="I27" s="12"/>
    </row>
    <row r="28" spans="1:9" ht="18.75" customHeight="1" x14ac:dyDescent="0.4">
      <c r="F28" s="1">
        <v>22098</v>
      </c>
      <c r="G28" s="12">
        <v>318.18</v>
      </c>
      <c r="I28" s="12"/>
    </row>
    <row r="29" spans="1:9" ht="18.75" customHeight="1" x14ac:dyDescent="0.4">
      <c r="A29" s="2" t="s">
        <v>25</v>
      </c>
      <c r="B29" s="26">
        <f>SUMSQ(M:M)/COUNT(M:M)</f>
        <v>1.1847233211814705</v>
      </c>
      <c r="F29" s="1">
        <v>22129</v>
      </c>
      <c r="G29" s="12">
        <v>315.89999999999998</v>
      </c>
      <c r="I29" s="12"/>
    </row>
    <row r="30" spans="1:9" ht="18.75" customHeight="1" x14ac:dyDescent="0.4">
      <c r="F30" s="1">
        <v>22160</v>
      </c>
      <c r="G30" s="12">
        <v>314.17</v>
      </c>
      <c r="I30" s="12"/>
    </row>
    <row r="31" spans="1:9" ht="18.75" customHeight="1" x14ac:dyDescent="0.4">
      <c r="F31" s="1">
        <v>22190</v>
      </c>
      <c r="G31" s="12">
        <v>313.83</v>
      </c>
      <c r="I31" s="12"/>
    </row>
    <row r="32" spans="1:9" ht="18.75" customHeight="1" x14ac:dyDescent="0.4">
      <c r="F32" s="1">
        <v>22221</v>
      </c>
      <c r="G32" s="12">
        <v>315</v>
      </c>
      <c r="I32" s="12"/>
    </row>
    <row r="33" spans="6:9" ht="18.75" customHeight="1" x14ac:dyDescent="0.4">
      <c r="F33" s="1">
        <v>22251</v>
      </c>
      <c r="G33" s="12">
        <v>316.19</v>
      </c>
      <c r="I33" s="12"/>
    </row>
    <row r="34" spans="6:9" ht="18.75" customHeight="1" x14ac:dyDescent="0.4">
      <c r="F34" s="1">
        <v>22282</v>
      </c>
      <c r="G34" s="12">
        <v>316.89999999999998</v>
      </c>
      <c r="I34" s="12"/>
    </row>
    <row r="35" spans="6:9" ht="18.75" customHeight="1" x14ac:dyDescent="0.4">
      <c r="F35" s="1">
        <v>22313</v>
      </c>
      <c r="G35" s="12">
        <v>317.7</v>
      </c>
      <c r="I35" s="12"/>
    </row>
    <row r="36" spans="6:9" ht="18.75" customHeight="1" x14ac:dyDescent="0.4">
      <c r="F36" s="1">
        <v>22341</v>
      </c>
      <c r="G36" s="12">
        <v>318.54000000000002</v>
      </c>
      <c r="I36" s="12"/>
    </row>
    <row r="37" spans="6:9" ht="18.75" customHeight="1" x14ac:dyDescent="0.4">
      <c r="F37" s="1">
        <v>22372</v>
      </c>
      <c r="G37" s="12">
        <v>319.48</v>
      </c>
      <c r="I37" s="12"/>
    </row>
    <row r="38" spans="6:9" ht="18.75" customHeight="1" x14ac:dyDescent="0.4">
      <c r="F38" s="1">
        <v>22402</v>
      </c>
      <c r="G38" s="12">
        <v>320.58</v>
      </c>
      <c r="I38" s="12"/>
    </row>
    <row r="39" spans="6:9" ht="18.75" customHeight="1" x14ac:dyDescent="0.4">
      <c r="F39" s="1">
        <v>22433</v>
      </c>
      <c r="G39" s="12">
        <v>319.77</v>
      </c>
      <c r="I39" s="12"/>
    </row>
    <row r="40" spans="6:9" ht="18.75" customHeight="1" x14ac:dyDescent="0.4">
      <c r="F40" s="1">
        <v>22463</v>
      </c>
      <c r="G40" s="12">
        <v>318.57</v>
      </c>
      <c r="I40" s="12"/>
    </row>
    <row r="41" spans="6:9" ht="18.75" customHeight="1" x14ac:dyDescent="0.4">
      <c r="F41" s="1">
        <v>22494</v>
      </c>
      <c r="G41" s="12">
        <v>316.79000000000002</v>
      </c>
      <c r="I41" s="12"/>
    </row>
    <row r="42" spans="6:9" ht="18.75" customHeight="1" x14ac:dyDescent="0.4">
      <c r="F42" s="1">
        <v>22525</v>
      </c>
      <c r="G42" s="12">
        <v>314.99</v>
      </c>
      <c r="I42" s="12"/>
    </row>
    <row r="43" spans="6:9" ht="18.75" customHeight="1" x14ac:dyDescent="0.4">
      <c r="F43" s="1">
        <v>22555</v>
      </c>
      <c r="G43" s="12">
        <v>315.31</v>
      </c>
      <c r="I43" s="12"/>
    </row>
    <row r="44" spans="6:9" ht="18.75" customHeight="1" x14ac:dyDescent="0.4">
      <c r="F44" s="1">
        <v>22586</v>
      </c>
      <c r="G44" s="12">
        <v>316.10000000000002</v>
      </c>
      <c r="I44" s="12"/>
    </row>
    <row r="45" spans="6:9" ht="18.75" customHeight="1" x14ac:dyDescent="0.4">
      <c r="F45" s="1">
        <v>22616</v>
      </c>
      <c r="G45" s="12">
        <v>317.01</v>
      </c>
      <c r="I45" s="12"/>
    </row>
    <row r="46" spans="6:9" ht="18.75" customHeight="1" x14ac:dyDescent="0.4">
      <c r="F46" s="1">
        <v>22647</v>
      </c>
      <c r="G46" s="12">
        <v>317.94</v>
      </c>
      <c r="I46" s="12"/>
    </row>
    <row r="47" spans="6:9" ht="18.75" customHeight="1" x14ac:dyDescent="0.4">
      <c r="F47" s="1">
        <v>22678</v>
      </c>
      <c r="G47" s="12">
        <v>318.55</v>
      </c>
      <c r="I47" s="12"/>
    </row>
    <row r="48" spans="6:9" ht="18.75" customHeight="1" x14ac:dyDescent="0.4">
      <c r="F48" s="1">
        <v>22706</v>
      </c>
      <c r="G48" s="12">
        <v>319.68</v>
      </c>
      <c r="I48" s="12"/>
    </row>
    <row r="49" spans="6:9" ht="18.75" customHeight="1" x14ac:dyDescent="0.4">
      <c r="F49" s="1">
        <v>22737</v>
      </c>
      <c r="G49" s="12">
        <v>320.57</v>
      </c>
      <c r="I49" s="12"/>
    </row>
    <row r="50" spans="6:9" ht="18.75" customHeight="1" x14ac:dyDescent="0.4">
      <c r="F50" s="1">
        <v>22767</v>
      </c>
      <c r="G50" s="12">
        <v>321.02</v>
      </c>
      <c r="I50" s="12"/>
    </row>
    <row r="51" spans="6:9" ht="18.75" customHeight="1" x14ac:dyDescent="0.4">
      <c r="F51" s="1">
        <v>22798</v>
      </c>
      <c r="G51" s="12">
        <v>320.62</v>
      </c>
      <c r="I51" s="12"/>
    </row>
    <row r="52" spans="6:9" ht="18.75" customHeight="1" x14ac:dyDescent="0.4">
      <c r="F52" s="1">
        <v>22828</v>
      </c>
      <c r="G52" s="12">
        <v>319.61</v>
      </c>
      <c r="I52" s="12"/>
    </row>
    <row r="53" spans="6:9" ht="18.75" customHeight="1" x14ac:dyDescent="0.4">
      <c r="F53" s="1">
        <v>22859</v>
      </c>
      <c r="G53" s="12">
        <v>317.39999999999998</v>
      </c>
      <c r="I53" s="12"/>
    </row>
    <row r="54" spans="6:9" ht="18.75" customHeight="1" x14ac:dyDescent="0.4">
      <c r="F54" s="1">
        <v>22890</v>
      </c>
      <c r="G54" s="12">
        <v>316.25</v>
      </c>
      <c r="I54" s="12"/>
    </row>
    <row r="55" spans="6:9" ht="18.75" customHeight="1" x14ac:dyDescent="0.4">
      <c r="F55" s="1">
        <v>22920</v>
      </c>
      <c r="G55" s="12">
        <v>315.42</v>
      </c>
      <c r="I55" s="12"/>
    </row>
    <row r="56" spans="6:9" ht="18.75" customHeight="1" x14ac:dyDescent="0.4">
      <c r="F56" s="1">
        <v>22951</v>
      </c>
      <c r="G56" s="12">
        <v>316.69</v>
      </c>
      <c r="I56" s="12"/>
    </row>
    <row r="57" spans="6:9" ht="18.75" customHeight="1" x14ac:dyDescent="0.4">
      <c r="F57" s="1">
        <v>22981</v>
      </c>
      <c r="G57" s="12">
        <v>317.7</v>
      </c>
      <c r="I57" s="12"/>
    </row>
    <row r="58" spans="6:9" ht="18.75" customHeight="1" x14ac:dyDescent="0.4">
      <c r="F58" s="1">
        <v>23012</v>
      </c>
      <c r="G58" s="12">
        <v>318.74</v>
      </c>
      <c r="I58" s="12"/>
    </row>
    <row r="59" spans="6:9" ht="18.75" customHeight="1" x14ac:dyDescent="0.4">
      <c r="F59" s="1">
        <v>23043</v>
      </c>
      <c r="G59" s="12">
        <v>319.07</v>
      </c>
      <c r="I59" s="12"/>
    </row>
    <row r="60" spans="6:9" ht="18.75" customHeight="1" x14ac:dyDescent="0.4">
      <c r="F60" s="1">
        <v>23071</v>
      </c>
      <c r="G60" s="12">
        <v>319.86</v>
      </c>
      <c r="I60" s="12"/>
    </row>
    <row r="61" spans="6:9" ht="18.75" customHeight="1" x14ac:dyDescent="0.4">
      <c r="F61" s="1">
        <v>23102</v>
      </c>
      <c r="G61" s="12">
        <v>321.38</v>
      </c>
      <c r="I61" s="12"/>
    </row>
    <row r="62" spans="6:9" ht="18.75" customHeight="1" x14ac:dyDescent="0.4">
      <c r="F62" s="1">
        <v>23132</v>
      </c>
      <c r="G62" s="12">
        <v>322.25</v>
      </c>
      <c r="I62" s="12"/>
    </row>
    <row r="63" spans="6:9" ht="18.75" customHeight="1" x14ac:dyDescent="0.4">
      <c r="F63" s="1">
        <v>23163</v>
      </c>
      <c r="G63" s="12">
        <v>321.48</v>
      </c>
      <c r="I63" s="12"/>
    </row>
    <row r="64" spans="6:9" ht="18.75" customHeight="1" x14ac:dyDescent="0.4">
      <c r="F64" s="1">
        <v>23193</v>
      </c>
      <c r="G64" s="12">
        <v>319.74</v>
      </c>
      <c r="I64" s="12"/>
    </row>
    <row r="65" spans="6:9" ht="18.75" customHeight="1" x14ac:dyDescent="0.4">
      <c r="F65" s="1">
        <v>23224</v>
      </c>
      <c r="G65" s="12">
        <v>317.77</v>
      </c>
      <c r="I65" s="12"/>
    </row>
    <row r="66" spans="6:9" ht="18.75" customHeight="1" x14ac:dyDescent="0.4">
      <c r="F66" s="1">
        <v>23255</v>
      </c>
      <c r="G66" s="12">
        <v>316.20999999999998</v>
      </c>
      <c r="I66" s="12"/>
    </row>
    <row r="67" spans="6:9" ht="18.75" customHeight="1" x14ac:dyDescent="0.4">
      <c r="F67" s="1">
        <v>23285</v>
      </c>
      <c r="G67" s="12">
        <v>315.99</v>
      </c>
      <c r="I67" s="12"/>
    </row>
    <row r="68" spans="6:9" ht="18.75" customHeight="1" x14ac:dyDescent="0.4">
      <c r="F68" s="1">
        <v>23316</v>
      </c>
      <c r="G68" s="12">
        <v>317.07</v>
      </c>
      <c r="I68" s="12"/>
    </row>
    <row r="69" spans="6:9" ht="18.75" customHeight="1" x14ac:dyDescent="0.4">
      <c r="F69" s="1">
        <v>23346</v>
      </c>
      <c r="G69" s="12">
        <v>318.35000000000002</v>
      </c>
      <c r="I69" s="12"/>
    </row>
    <row r="70" spans="6:9" ht="18.75" customHeight="1" x14ac:dyDescent="0.4">
      <c r="F70" s="1">
        <v>23377</v>
      </c>
      <c r="G70" s="12">
        <v>319.57</v>
      </c>
      <c r="I70" s="12"/>
    </row>
    <row r="71" spans="6:9" ht="18.75" customHeight="1" x14ac:dyDescent="0.4">
      <c r="F71" s="1">
        <v>23498</v>
      </c>
      <c r="G71" s="12">
        <v>322.26</v>
      </c>
      <c r="I71" s="12"/>
    </row>
    <row r="72" spans="6:9" ht="18.75" customHeight="1" x14ac:dyDescent="0.4">
      <c r="F72" s="1">
        <v>23529</v>
      </c>
      <c r="G72" s="12">
        <v>321.89</v>
      </c>
      <c r="I72" s="12"/>
    </row>
    <row r="73" spans="6:9" ht="18.75" customHeight="1" x14ac:dyDescent="0.4">
      <c r="F73" s="1">
        <v>23559</v>
      </c>
      <c r="G73" s="12">
        <v>320.44</v>
      </c>
      <c r="I73" s="12"/>
    </row>
    <row r="74" spans="6:9" ht="18.75" customHeight="1" x14ac:dyDescent="0.4">
      <c r="F74" s="1">
        <v>23590</v>
      </c>
      <c r="G74" s="12">
        <v>318.69</v>
      </c>
      <c r="I74" s="12"/>
    </row>
    <row r="75" spans="6:9" ht="18.75" customHeight="1" x14ac:dyDescent="0.4">
      <c r="F75" s="1">
        <v>23621</v>
      </c>
      <c r="G75" s="12">
        <v>316.7</v>
      </c>
      <c r="I75" s="12"/>
    </row>
    <row r="76" spans="6:9" ht="18.75" customHeight="1" x14ac:dyDescent="0.4">
      <c r="F76" s="1">
        <v>23651</v>
      </c>
      <c r="G76" s="12">
        <v>316.87</v>
      </c>
      <c r="I76" s="12"/>
    </row>
    <row r="77" spans="6:9" ht="18.75" customHeight="1" x14ac:dyDescent="0.4">
      <c r="F77" s="1">
        <v>23682</v>
      </c>
      <c r="G77" s="12">
        <v>317.68</v>
      </c>
      <c r="I77" s="12"/>
    </row>
    <row r="78" spans="6:9" ht="18.75" customHeight="1" x14ac:dyDescent="0.4">
      <c r="F78" s="1">
        <v>23712</v>
      </c>
      <c r="G78" s="12">
        <v>318.70999999999998</v>
      </c>
      <c r="I78" s="12"/>
    </row>
    <row r="79" spans="6:9" ht="18.75" customHeight="1" x14ac:dyDescent="0.4">
      <c r="F79" s="1">
        <v>23743</v>
      </c>
      <c r="G79" s="12">
        <v>319.44</v>
      </c>
      <c r="I79" s="12"/>
    </row>
    <row r="80" spans="6:9" ht="18.75" customHeight="1" x14ac:dyDescent="0.4">
      <c r="F80" s="1">
        <v>23774</v>
      </c>
      <c r="G80" s="12">
        <v>320.44</v>
      </c>
      <c r="I80" s="12"/>
    </row>
    <row r="81" spans="6:9" ht="18.75" customHeight="1" x14ac:dyDescent="0.4">
      <c r="F81" s="1">
        <v>23802</v>
      </c>
      <c r="G81" s="12">
        <v>320.89</v>
      </c>
      <c r="I81" s="12"/>
    </row>
    <row r="82" spans="6:9" ht="18.75" customHeight="1" x14ac:dyDescent="0.4">
      <c r="F82" s="1">
        <v>23833</v>
      </c>
      <c r="G82" s="12">
        <v>322.14</v>
      </c>
      <c r="I82" s="12"/>
    </row>
    <row r="83" spans="6:9" ht="18.75" customHeight="1" x14ac:dyDescent="0.4">
      <c r="F83" s="1">
        <v>23863</v>
      </c>
      <c r="G83" s="12">
        <v>322.17</v>
      </c>
      <c r="I83" s="12"/>
    </row>
    <row r="84" spans="6:9" ht="18.75" customHeight="1" x14ac:dyDescent="0.4">
      <c r="F84" s="1">
        <v>23894</v>
      </c>
      <c r="G84" s="12">
        <v>321.87</v>
      </c>
      <c r="I84" s="12"/>
    </row>
    <row r="85" spans="6:9" ht="18.75" customHeight="1" x14ac:dyDescent="0.4">
      <c r="F85" s="1">
        <v>23924</v>
      </c>
      <c r="G85" s="12">
        <v>321.20999999999998</v>
      </c>
      <c r="I85" s="12"/>
    </row>
    <row r="86" spans="6:9" ht="18.75" customHeight="1" x14ac:dyDescent="0.4">
      <c r="F86" s="1">
        <v>23955</v>
      </c>
      <c r="G86" s="12">
        <v>318.87</v>
      </c>
      <c r="I86" s="12"/>
    </row>
    <row r="87" spans="6:9" ht="18.75" customHeight="1" x14ac:dyDescent="0.4">
      <c r="F87" s="1">
        <v>23986</v>
      </c>
      <c r="G87" s="12">
        <v>317.81</v>
      </c>
      <c r="I87" s="12"/>
    </row>
    <row r="88" spans="6:9" ht="18.75" customHeight="1" x14ac:dyDescent="0.4">
      <c r="F88" s="1">
        <v>24016</v>
      </c>
      <c r="G88" s="12">
        <v>317.3</v>
      </c>
      <c r="I88" s="12"/>
    </row>
    <row r="89" spans="6:9" ht="18.75" customHeight="1" x14ac:dyDescent="0.4">
      <c r="F89" s="1">
        <v>24047</v>
      </c>
      <c r="G89" s="12">
        <v>318.87</v>
      </c>
      <c r="I89" s="12"/>
    </row>
    <row r="90" spans="6:9" ht="18.75" customHeight="1" x14ac:dyDescent="0.4">
      <c r="F90" s="1">
        <v>24077</v>
      </c>
      <c r="G90" s="12">
        <v>319.42</v>
      </c>
      <c r="I90" s="12"/>
    </row>
    <row r="91" spans="6:9" ht="18.75" customHeight="1" x14ac:dyDescent="0.4">
      <c r="F91" s="1">
        <v>24108</v>
      </c>
      <c r="G91" s="12">
        <v>320.62</v>
      </c>
      <c r="I91" s="12"/>
    </row>
    <row r="92" spans="6:9" ht="18.75" customHeight="1" x14ac:dyDescent="0.4">
      <c r="F92" s="1">
        <v>24139</v>
      </c>
      <c r="G92" s="12">
        <v>321.60000000000002</v>
      </c>
      <c r="I92" s="12"/>
    </row>
    <row r="93" spans="6:9" ht="18.75" customHeight="1" x14ac:dyDescent="0.4">
      <c r="F93" s="1">
        <v>24167</v>
      </c>
      <c r="G93" s="12">
        <v>322.39</v>
      </c>
      <c r="I93" s="12"/>
    </row>
    <row r="94" spans="6:9" ht="18.75" customHeight="1" x14ac:dyDescent="0.4">
      <c r="F94" s="1">
        <v>24198</v>
      </c>
      <c r="G94" s="12">
        <v>323.7</v>
      </c>
      <c r="I94" s="12"/>
    </row>
    <row r="95" spans="6:9" ht="18.75" customHeight="1" x14ac:dyDescent="0.4">
      <c r="F95" s="1">
        <v>24228</v>
      </c>
      <c r="G95" s="12">
        <v>324.08</v>
      </c>
      <c r="I95" s="12"/>
    </row>
    <row r="96" spans="6:9" ht="18.75" customHeight="1" x14ac:dyDescent="0.4">
      <c r="F96" s="1">
        <v>24259</v>
      </c>
      <c r="G96" s="12">
        <v>323.75</v>
      </c>
      <c r="I96" s="12"/>
    </row>
    <row r="97" spans="6:9" ht="18.75" customHeight="1" x14ac:dyDescent="0.4">
      <c r="F97" s="1">
        <v>24289</v>
      </c>
      <c r="G97" s="12">
        <v>322.38</v>
      </c>
      <c r="I97" s="12"/>
    </row>
    <row r="98" spans="6:9" ht="18.75" customHeight="1" x14ac:dyDescent="0.4">
      <c r="F98" s="1">
        <v>24320</v>
      </c>
      <c r="G98" s="12">
        <v>320.36</v>
      </c>
      <c r="I98" s="12"/>
    </row>
    <row r="99" spans="6:9" ht="18.75" customHeight="1" x14ac:dyDescent="0.4">
      <c r="F99" s="1">
        <v>24351</v>
      </c>
      <c r="G99" s="12">
        <v>318.64</v>
      </c>
      <c r="I99" s="12"/>
    </row>
    <row r="100" spans="6:9" ht="18.75" customHeight="1" x14ac:dyDescent="0.4">
      <c r="F100" s="1">
        <v>24381</v>
      </c>
      <c r="G100" s="12">
        <v>318.10000000000002</v>
      </c>
      <c r="I100" s="12"/>
    </row>
    <row r="101" spans="6:9" ht="18.75" customHeight="1" x14ac:dyDescent="0.4">
      <c r="F101" s="1">
        <v>24412</v>
      </c>
      <c r="G101" s="12">
        <v>319.77999999999997</v>
      </c>
      <c r="I101" s="12"/>
    </row>
    <row r="102" spans="6:9" ht="18.75" customHeight="1" x14ac:dyDescent="0.4">
      <c r="F102" s="1">
        <v>24442</v>
      </c>
      <c r="G102" s="12">
        <v>321.02999999999997</v>
      </c>
      <c r="I102" s="12"/>
    </row>
    <row r="103" spans="6:9" ht="18.75" customHeight="1" x14ac:dyDescent="0.4">
      <c r="F103" s="1">
        <v>24473</v>
      </c>
      <c r="G103" s="12">
        <v>322.33</v>
      </c>
      <c r="I103" s="12"/>
    </row>
    <row r="104" spans="6:9" ht="18.75" customHeight="1" x14ac:dyDescent="0.4">
      <c r="F104" s="1">
        <v>24504</v>
      </c>
      <c r="G104" s="12">
        <v>322.5</v>
      </c>
      <c r="I104" s="12"/>
    </row>
    <row r="105" spans="6:9" ht="18.75" customHeight="1" x14ac:dyDescent="0.4">
      <c r="F105" s="1">
        <v>24532</v>
      </c>
      <c r="G105" s="12">
        <v>323.04000000000002</v>
      </c>
      <c r="I105" s="12"/>
    </row>
    <row r="106" spans="6:9" ht="18.75" customHeight="1" x14ac:dyDescent="0.4">
      <c r="F106" s="1">
        <v>24563</v>
      </c>
      <c r="G106" s="12">
        <v>324.42</v>
      </c>
      <c r="I106" s="12"/>
    </row>
    <row r="107" spans="6:9" ht="18.75" customHeight="1" x14ac:dyDescent="0.4">
      <c r="F107" s="1">
        <v>24593</v>
      </c>
      <c r="G107" s="12">
        <v>325</v>
      </c>
      <c r="I107" s="12"/>
    </row>
    <row r="108" spans="6:9" ht="18.75" customHeight="1" x14ac:dyDescent="0.4">
      <c r="F108" s="1">
        <v>24624</v>
      </c>
      <c r="G108" s="12">
        <v>324.08999999999997</v>
      </c>
      <c r="I108" s="12"/>
    </row>
    <row r="109" spans="6:9" ht="18.75" customHeight="1" x14ac:dyDescent="0.4">
      <c r="F109" s="1">
        <v>24654</v>
      </c>
      <c r="G109" s="12">
        <v>322.54000000000002</v>
      </c>
      <c r="I109" s="12"/>
    </row>
    <row r="110" spans="6:9" ht="18.75" customHeight="1" x14ac:dyDescent="0.4">
      <c r="F110" s="1">
        <v>24685</v>
      </c>
      <c r="G110" s="12">
        <v>320.92</v>
      </c>
      <c r="I110" s="12"/>
    </row>
    <row r="111" spans="6:9" ht="18.75" customHeight="1" x14ac:dyDescent="0.4">
      <c r="F111" s="1">
        <v>24716</v>
      </c>
      <c r="G111" s="12">
        <v>319.25</v>
      </c>
      <c r="I111" s="12"/>
    </row>
    <row r="112" spans="6:9" ht="18.75" customHeight="1" x14ac:dyDescent="0.4">
      <c r="F112" s="1">
        <v>24746</v>
      </c>
      <c r="G112" s="12">
        <v>319.39</v>
      </c>
      <c r="I112" s="12"/>
    </row>
    <row r="113" spans="6:9" ht="18.75" customHeight="1" x14ac:dyDescent="0.4">
      <c r="F113" s="1">
        <v>24777</v>
      </c>
      <c r="G113" s="12">
        <v>320.73</v>
      </c>
      <c r="I113" s="12"/>
    </row>
    <row r="114" spans="6:9" ht="18.75" customHeight="1" x14ac:dyDescent="0.4">
      <c r="F114" s="1">
        <v>24807</v>
      </c>
      <c r="G114" s="12">
        <v>321.95999999999998</v>
      </c>
      <c r="I114" s="12"/>
    </row>
    <row r="115" spans="6:9" ht="18.75" customHeight="1" x14ac:dyDescent="0.4">
      <c r="F115" s="1">
        <v>24838</v>
      </c>
      <c r="G115" s="12">
        <v>322.57</v>
      </c>
      <c r="I115" s="12"/>
    </row>
    <row r="116" spans="6:9" ht="18.75" customHeight="1" x14ac:dyDescent="0.4">
      <c r="F116" s="1">
        <v>24869</v>
      </c>
      <c r="G116" s="12">
        <v>323.14999999999998</v>
      </c>
      <c r="I116" s="12"/>
    </row>
    <row r="117" spans="6:9" ht="18.75" customHeight="1" x14ac:dyDescent="0.4">
      <c r="F117" s="1">
        <v>24898</v>
      </c>
      <c r="G117" s="12">
        <v>323.89</v>
      </c>
      <c r="I117" s="12"/>
    </row>
    <row r="118" spans="6:9" ht="18.75" customHeight="1" x14ac:dyDescent="0.4">
      <c r="F118" s="1">
        <v>24929</v>
      </c>
      <c r="G118" s="12">
        <v>325.02</v>
      </c>
      <c r="I118" s="12"/>
    </row>
    <row r="119" spans="6:9" ht="18.75" customHeight="1" x14ac:dyDescent="0.4">
      <c r="F119" s="1">
        <v>24959</v>
      </c>
      <c r="G119" s="12">
        <v>325.57</v>
      </c>
      <c r="I119" s="12"/>
    </row>
    <row r="120" spans="6:9" ht="18.75" customHeight="1" x14ac:dyDescent="0.4">
      <c r="F120" s="1">
        <v>24990</v>
      </c>
      <c r="G120" s="12">
        <v>325.36</v>
      </c>
      <c r="I120" s="12"/>
    </row>
    <row r="121" spans="6:9" ht="18.75" customHeight="1" x14ac:dyDescent="0.4">
      <c r="F121" s="1">
        <v>25020</v>
      </c>
      <c r="G121" s="12">
        <v>324.14</v>
      </c>
      <c r="I121" s="12"/>
    </row>
    <row r="122" spans="6:9" ht="18.75" customHeight="1" x14ac:dyDescent="0.4">
      <c r="F122" s="1">
        <v>25051</v>
      </c>
      <c r="G122" s="12">
        <v>322.11</v>
      </c>
      <c r="I122" s="12"/>
    </row>
    <row r="123" spans="6:9" ht="18.75" customHeight="1" x14ac:dyDescent="0.4">
      <c r="F123" s="1">
        <v>25082</v>
      </c>
      <c r="G123" s="12">
        <v>320.33</v>
      </c>
      <c r="I123" s="12"/>
    </row>
    <row r="124" spans="6:9" ht="18.75" customHeight="1" x14ac:dyDescent="0.4">
      <c r="F124" s="1">
        <v>25112</v>
      </c>
      <c r="G124" s="12">
        <v>320.25</v>
      </c>
      <c r="I124" s="12"/>
    </row>
    <row r="125" spans="6:9" ht="18.75" customHeight="1" x14ac:dyDescent="0.4">
      <c r="F125" s="1">
        <v>25143</v>
      </c>
      <c r="G125" s="12">
        <v>321.32</v>
      </c>
      <c r="I125" s="12"/>
    </row>
    <row r="126" spans="6:9" ht="18.75" customHeight="1" x14ac:dyDescent="0.4">
      <c r="F126" s="1">
        <v>25173</v>
      </c>
      <c r="G126" s="12">
        <v>322.89</v>
      </c>
      <c r="I126" s="12"/>
    </row>
    <row r="127" spans="6:9" ht="18.75" customHeight="1" x14ac:dyDescent="0.4">
      <c r="F127" s="1">
        <v>25204</v>
      </c>
      <c r="G127" s="12">
        <v>324</v>
      </c>
      <c r="I127" s="12"/>
    </row>
    <row r="128" spans="6:9" ht="18.75" customHeight="1" x14ac:dyDescent="0.4">
      <c r="F128" s="1">
        <v>25235</v>
      </c>
      <c r="G128" s="12">
        <v>324.41000000000003</v>
      </c>
      <c r="I128" s="12"/>
    </row>
    <row r="129" spans="6:9" ht="18.75" customHeight="1" x14ac:dyDescent="0.4">
      <c r="F129" s="1">
        <v>25263</v>
      </c>
      <c r="G129" s="12">
        <v>325.63</v>
      </c>
      <c r="I129" s="12"/>
    </row>
    <row r="130" spans="6:9" ht="18.75" customHeight="1" x14ac:dyDescent="0.4">
      <c r="F130" s="1">
        <v>25294</v>
      </c>
      <c r="G130" s="12">
        <v>326.66000000000003</v>
      </c>
      <c r="I130" s="12"/>
    </row>
    <row r="131" spans="6:9" ht="18.75" customHeight="1" x14ac:dyDescent="0.4">
      <c r="F131" s="1">
        <v>25324</v>
      </c>
      <c r="G131" s="12">
        <v>327.38</v>
      </c>
      <c r="I131" s="12"/>
    </row>
    <row r="132" spans="6:9" ht="18.75" customHeight="1" x14ac:dyDescent="0.4">
      <c r="F132" s="1">
        <v>25355</v>
      </c>
      <c r="G132" s="12">
        <v>326.70999999999998</v>
      </c>
      <c r="I132" s="12"/>
    </row>
    <row r="133" spans="6:9" ht="18.75" customHeight="1" x14ac:dyDescent="0.4">
      <c r="F133" s="1">
        <v>25385</v>
      </c>
      <c r="G133" s="12">
        <v>325.88</v>
      </c>
      <c r="I133" s="12"/>
    </row>
    <row r="134" spans="6:9" ht="18.75" customHeight="1" x14ac:dyDescent="0.4">
      <c r="F134" s="1">
        <v>25416</v>
      </c>
      <c r="G134" s="12">
        <v>323.66000000000003</v>
      </c>
      <c r="I134" s="12"/>
    </row>
    <row r="135" spans="6:9" ht="18.75" customHeight="1" x14ac:dyDescent="0.4">
      <c r="F135" s="1">
        <v>25447</v>
      </c>
      <c r="G135" s="12">
        <v>322.38</v>
      </c>
      <c r="I135" s="12"/>
    </row>
    <row r="136" spans="6:9" ht="18.75" customHeight="1" x14ac:dyDescent="0.4">
      <c r="F136" s="1">
        <v>25477</v>
      </c>
      <c r="G136" s="12">
        <v>321.77999999999997</v>
      </c>
      <c r="I136" s="12"/>
    </row>
    <row r="137" spans="6:9" ht="18.75" customHeight="1" x14ac:dyDescent="0.4">
      <c r="F137" s="1">
        <v>25508</v>
      </c>
      <c r="G137" s="12">
        <v>322.85000000000002</v>
      </c>
      <c r="I137" s="12"/>
    </row>
    <row r="138" spans="6:9" ht="18.75" customHeight="1" x14ac:dyDescent="0.4">
      <c r="F138" s="1">
        <v>25538</v>
      </c>
      <c r="G138" s="12">
        <v>324.12</v>
      </c>
      <c r="I138" s="12"/>
    </row>
    <row r="139" spans="6:9" ht="18.75" customHeight="1" x14ac:dyDescent="0.4">
      <c r="F139" s="1">
        <v>25569</v>
      </c>
      <c r="G139" s="12">
        <v>325.06</v>
      </c>
      <c r="I139" s="12"/>
    </row>
    <row r="140" spans="6:9" ht="18.75" customHeight="1" x14ac:dyDescent="0.4">
      <c r="F140" s="1">
        <v>25600</v>
      </c>
      <c r="G140" s="12">
        <v>325.98</v>
      </c>
      <c r="I140" s="12"/>
    </row>
    <row r="141" spans="6:9" ht="18.75" customHeight="1" x14ac:dyDescent="0.4">
      <c r="F141" s="1">
        <v>25628</v>
      </c>
      <c r="G141" s="12">
        <v>326.93</v>
      </c>
      <c r="I141" s="12"/>
    </row>
    <row r="142" spans="6:9" ht="18.75" customHeight="1" x14ac:dyDescent="0.4">
      <c r="F142" s="1">
        <v>25659</v>
      </c>
      <c r="G142" s="12">
        <v>328.13</v>
      </c>
      <c r="I142" s="12"/>
    </row>
    <row r="143" spans="6:9" ht="18.75" customHeight="1" x14ac:dyDescent="0.4">
      <c r="F143" s="1">
        <v>25689</v>
      </c>
      <c r="G143" s="12">
        <v>328.08</v>
      </c>
      <c r="I143" s="12"/>
    </row>
    <row r="144" spans="6:9" ht="18.75" customHeight="1" x14ac:dyDescent="0.4">
      <c r="F144" s="1">
        <v>25720</v>
      </c>
      <c r="G144" s="12">
        <v>327.67</v>
      </c>
      <c r="I144" s="12"/>
    </row>
    <row r="145" spans="6:9" ht="18.75" customHeight="1" x14ac:dyDescent="0.4">
      <c r="F145" s="1">
        <v>25750</v>
      </c>
      <c r="G145" s="12">
        <v>326.33999999999997</v>
      </c>
      <c r="I145" s="12"/>
    </row>
    <row r="146" spans="6:9" ht="18.75" customHeight="1" x14ac:dyDescent="0.4">
      <c r="F146" s="1">
        <v>25781</v>
      </c>
      <c r="G146" s="12">
        <v>324.69</v>
      </c>
      <c r="I146" s="12"/>
    </row>
    <row r="147" spans="6:9" ht="18.75" customHeight="1" x14ac:dyDescent="0.4">
      <c r="F147" s="1">
        <v>25812</v>
      </c>
      <c r="G147" s="12">
        <v>323.10000000000002</v>
      </c>
      <c r="I147" s="12"/>
    </row>
    <row r="148" spans="6:9" ht="18.75" customHeight="1" x14ac:dyDescent="0.4">
      <c r="F148" s="1">
        <v>25842</v>
      </c>
      <c r="G148" s="12">
        <v>323.06</v>
      </c>
      <c r="I148" s="12"/>
    </row>
    <row r="149" spans="6:9" ht="18.75" customHeight="1" x14ac:dyDescent="0.4">
      <c r="F149" s="1">
        <v>25873</v>
      </c>
      <c r="G149" s="12">
        <v>324.01</v>
      </c>
      <c r="I149" s="12"/>
    </row>
    <row r="150" spans="6:9" ht="18.75" customHeight="1" x14ac:dyDescent="0.4">
      <c r="F150" s="1">
        <v>25903</v>
      </c>
      <c r="G150" s="12">
        <v>325.13</v>
      </c>
      <c r="I150" s="12"/>
    </row>
    <row r="151" spans="6:9" ht="18.75" customHeight="1" x14ac:dyDescent="0.4">
      <c r="F151" s="1">
        <v>25934</v>
      </c>
      <c r="G151" s="12">
        <v>326.17</v>
      </c>
      <c r="I151" s="12"/>
    </row>
    <row r="152" spans="6:9" ht="18.75" customHeight="1" x14ac:dyDescent="0.4">
      <c r="F152" s="1">
        <v>25965</v>
      </c>
      <c r="G152" s="12">
        <v>326.68</v>
      </c>
      <c r="I152" s="12"/>
    </row>
    <row r="153" spans="6:9" ht="18.75" customHeight="1" x14ac:dyDescent="0.4">
      <c r="F153" s="1">
        <v>25993</v>
      </c>
      <c r="G153" s="12">
        <v>327.17</v>
      </c>
      <c r="I153" s="12"/>
    </row>
    <row r="154" spans="6:9" ht="18.75" customHeight="1" x14ac:dyDescent="0.4">
      <c r="F154" s="1">
        <v>26024</v>
      </c>
      <c r="G154" s="12">
        <v>327.79</v>
      </c>
      <c r="I154" s="12"/>
    </row>
    <row r="155" spans="6:9" ht="18.75" customHeight="1" x14ac:dyDescent="0.4">
      <c r="F155" s="1">
        <v>26054</v>
      </c>
      <c r="G155" s="12">
        <v>328.93</v>
      </c>
      <c r="I155" s="12"/>
    </row>
    <row r="156" spans="6:9" ht="18.75" customHeight="1" x14ac:dyDescent="0.4">
      <c r="F156" s="1">
        <v>26085</v>
      </c>
      <c r="G156" s="12">
        <v>328.57</v>
      </c>
      <c r="I156" s="12"/>
    </row>
    <row r="157" spans="6:9" ht="18.75" customHeight="1" x14ac:dyDescent="0.4">
      <c r="F157" s="1">
        <v>26115</v>
      </c>
      <c r="G157" s="12">
        <v>327.36</v>
      </c>
      <c r="I157" s="12"/>
    </row>
    <row r="158" spans="6:9" ht="18.75" customHeight="1" x14ac:dyDescent="0.4">
      <c r="F158" s="1">
        <v>26146</v>
      </c>
      <c r="G158" s="12">
        <v>325.43</v>
      </c>
      <c r="I158" s="12"/>
    </row>
    <row r="159" spans="6:9" ht="18.75" customHeight="1" x14ac:dyDescent="0.4">
      <c r="F159" s="1">
        <v>26177</v>
      </c>
      <c r="G159" s="12">
        <v>323.36</v>
      </c>
      <c r="I159" s="12"/>
    </row>
    <row r="160" spans="6:9" ht="18.75" customHeight="1" x14ac:dyDescent="0.4">
      <c r="F160" s="1">
        <v>26207</v>
      </c>
      <c r="G160" s="12">
        <v>323.56</v>
      </c>
      <c r="I160" s="12"/>
    </row>
    <row r="161" spans="6:9" ht="18.75" customHeight="1" x14ac:dyDescent="0.4">
      <c r="F161" s="1">
        <v>26238</v>
      </c>
      <c r="G161" s="12">
        <v>324.8</v>
      </c>
      <c r="I161" s="12"/>
    </row>
    <row r="162" spans="6:9" ht="18.75" customHeight="1" x14ac:dyDescent="0.4">
      <c r="F162" s="1">
        <v>26268</v>
      </c>
      <c r="G162" s="12">
        <v>326.01</v>
      </c>
      <c r="I162" s="12"/>
    </row>
    <row r="163" spans="6:9" ht="18.75" customHeight="1" x14ac:dyDescent="0.4">
      <c r="F163" s="1">
        <v>26299</v>
      </c>
      <c r="G163" s="12">
        <v>326.77</v>
      </c>
      <c r="I163" s="12"/>
    </row>
    <row r="164" spans="6:9" ht="18.75" customHeight="1" x14ac:dyDescent="0.4">
      <c r="F164" s="1">
        <v>26330</v>
      </c>
      <c r="G164" s="12">
        <v>327.63</v>
      </c>
      <c r="I164" s="12"/>
    </row>
    <row r="165" spans="6:9" ht="18.75" customHeight="1" x14ac:dyDescent="0.4">
      <c r="F165" s="1">
        <v>26359</v>
      </c>
      <c r="G165" s="12">
        <v>327.75</v>
      </c>
      <c r="I165" s="12"/>
    </row>
    <row r="166" spans="6:9" ht="18.75" customHeight="1" x14ac:dyDescent="0.4">
      <c r="F166" s="1">
        <v>26390</v>
      </c>
      <c r="G166" s="12">
        <v>329.72</v>
      </c>
      <c r="I166" s="12"/>
    </row>
    <row r="167" spans="6:9" ht="18.75" customHeight="1" x14ac:dyDescent="0.4">
      <c r="F167" s="1">
        <v>26420</v>
      </c>
      <c r="G167" s="12">
        <v>330.07</v>
      </c>
      <c r="I167" s="12"/>
    </row>
    <row r="168" spans="6:9" ht="18.75" customHeight="1" x14ac:dyDescent="0.4">
      <c r="F168" s="1">
        <v>26451</v>
      </c>
      <c r="G168" s="12">
        <v>329.09</v>
      </c>
      <c r="I168" s="12"/>
    </row>
    <row r="169" spans="6:9" ht="18.75" customHeight="1" x14ac:dyDescent="0.4">
      <c r="F169" s="1">
        <v>26481</v>
      </c>
      <c r="G169" s="12">
        <v>328.04</v>
      </c>
      <c r="I169" s="12"/>
    </row>
    <row r="170" spans="6:9" ht="18.75" customHeight="1" x14ac:dyDescent="0.4">
      <c r="F170" s="1">
        <v>26512</v>
      </c>
      <c r="G170" s="12">
        <v>326.32</v>
      </c>
      <c r="I170" s="12"/>
    </row>
    <row r="171" spans="6:9" ht="18.75" customHeight="1" x14ac:dyDescent="0.4">
      <c r="F171" s="1">
        <v>26543</v>
      </c>
      <c r="G171" s="12">
        <v>324.83999999999997</v>
      </c>
      <c r="I171" s="12"/>
    </row>
    <row r="172" spans="6:9" ht="18.75" customHeight="1" x14ac:dyDescent="0.4">
      <c r="F172" s="1">
        <v>26573</v>
      </c>
      <c r="G172" s="12">
        <v>325.2</v>
      </c>
      <c r="I172" s="12"/>
    </row>
    <row r="173" spans="6:9" ht="18.75" customHeight="1" x14ac:dyDescent="0.4">
      <c r="F173" s="1">
        <v>26604</v>
      </c>
      <c r="G173" s="12">
        <v>326.5</v>
      </c>
      <c r="I173" s="12"/>
    </row>
    <row r="174" spans="6:9" ht="18.75" customHeight="1" x14ac:dyDescent="0.4">
      <c r="F174" s="1">
        <v>26634</v>
      </c>
      <c r="G174" s="12">
        <v>327.55</v>
      </c>
      <c r="I174" s="12"/>
    </row>
    <row r="175" spans="6:9" ht="18.75" customHeight="1" x14ac:dyDescent="0.4">
      <c r="F175" s="1">
        <v>26665</v>
      </c>
      <c r="G175" s="12">
        <v>328.55</v>
      </c>
      <c r="I175" s="12"/>
    </row>
    <row r="176" spans="6:9" ht="18.75" customHeight="1" x14ac:dyDescent="0.4">
      <c r="F176" s="1">
        <v>26696</v>
      </c>
      <c r="G176" s="12">
        <v>329.56</v>
      </c>
      <c r="I176" s="12"/>
    </row>
    <row r="177" spans="6:9" ht="18.75" customHeight="1" x14ac:dyDescent="0.4">
      <c r="F177" s="1">
        <v>26724</v>
      </c>
      <c r="G177" s="12">
        <v>330.3</v>
      </c>
      <c r="I177" s="12"/>
    </row>
    <row r="178" spans="6:9" ht="18.75" customHeight="1" x14ac:dyDescent="0.4">
      <c r="F178" s="1">
        <v>26755</v>
      </c>
      <c r="G178" s="12">
        <v>331.5</v>
      </c>
      <c r="I178" s="12"/>
    </row>
    <row r="179" spans="6:9" ht="18.75" customHeight="1" x14ac:dyDescent="0.4">
      <c r="F179" s="1">
        <v>26785</v>
      </c>
      <c r="G179" s="12">
        <v>332.48</v>
      </c>
      <c r="I179" s="12"/>
    </row>
    <row r="180" spans="6:9" ht="18.75" customHeight="1" x14ac:dyDescent="0.4">
      <c r="F180" s="1">
        <v>26816</v>
      </c>
      <c r="G180" s="12">
        <v>332.07</v>
      </c>
      <c r="I180" s="12"/>
    </row>
    <row r="181" spans="6:9" ht="18.75" customHeight="1" x14ac:dyDescent="0.4">
      <c r="F181" s="1">
        <v>26846</v>
      </c>
      <c r="G181" s="12">
        <v>330.87</v>
      </c>
      <c r="I181" s="12"/>
    </row>
    <row r="182" spans="6:9" ht="18.75" customHeight="1" x14ac:dyDescent="0.4">
      <c r="F182" s="1">
        <v>26877</v>
      </c>
      <c r="G182" s="12">
        <v>329.31</v>
      </c>
      <c r="I182" s="12"/>
    </row>
    <row r="183" spans="6:9" ht="18.75" customHeight="1" x14ac:dyDescent="0.4">
      <c r="F183" s="1">
        <v>26908</v>
      </c>
      <c r="G183" s="12">
        <v>327.51</v>
      </c>
      <c r="I183" s="12"/>
    </row>
    <row r="184" spans="6:9" ht="18.75" customHeight="1" x14ac:dyDescent="0.4">
      <c r="F184" s="1">
        <v>26938</v>
      </c>
      <c r="G184" s="12">
        <v>327.18</v>
      </c>
      <c r="I184" s="12"/>
    </row>
    <row r="185" spans="6:9" ht="18.75" customHeight="1" x14ac:dyDescent="0.4">
      <c r="F185" s="1">
        <v>26969</v>
      </c>
      <c r="G185" s="12">
        <v>328.16</v>
      </c>
      <c r="I185" s="12"/>
    </row>
    <row r="186" spans="6:9" ht="18.75" customHeight="1" x14ac:dyDescent="0.4">
      <c r="F186" s="1">
        <v>26999</v>
      </c>
      <c r="G186" s="12">
        <v>328.64</v>
      </c>
      <c r="I186" s="12"/>
    </row>
    <row r="187" spans="6:9" ht="18.75" customHeight="1" x14ac:dyDescent="0.4">
      <c r="F187" s="1">
        <v>27030</v>
      </c>
      <c r="G187" s="12">
        <v>329.35</v>
      </c>
      <c r="I187" s="12"/>
    </row>
    <row r="188" spans="6:9" ht="18.75" customHeight="1" x14ac:dyDescent="0.4">
      <c r="F188" s="1">
        <v>27061</v>
      </c>
      <c r="G188" s="12">
        <v>330.71</v>
      </c>
      <c r="I188" s="12"/>
    </row>
    <row r="189" spans="6:9" ht="18.75" customHeight="1" x14ac:dyDescent="0.4">
      <c r="F189" s="1">
        <v>27089</v>
      </c>
      <c r="G189" s="12">
        <v>331.48</v>
      </c>
      <c r="I189" s="12"/>
    </row>
    <row r="190" spans="6:9" ht="18.75" customHeight="1" x14ac:dyDescent="0.4">
      <c r="F190" s="1">
        <v>27120</v>
      </c>
      <c r="G190" s="12">
        <v>332.65</v>
      </c>
      <c r="I190" s="12"/>
    </row>
    <row r="191" spans="6:9" ht="18.75" customHeight="1" x14ac:dyDescent="0.4">
      <c r="F191" s="1">
        <v>27150</v>
      </c>
      <c r="G191" s="12">
        <v>333.09</v>
      </c>
      <c r="I191" s="12"/>
    </row>
    <row r="192" spans="6:9" ht="18.75" customHeight="1" x14ac:dyDescent="0.4">
      <c r="F192" s="1">
        <v>27181</v>
      </c>
      <c r="G192" s="12">
        <v>332.25</v>
      </c>
      <c r="I192" s="12"/>
    </row>
    <row r="193" spans="6:9" ht="18.75" customHeight="1" x14ac:dyDescent="0.4">
      <c r="F193" s="1">
        <v>27211</v>
      </c>
      <c r="G193" s="12">
        <v>331.18</v>
      </c>
      <c r="I193" s="12"/>
    </row>
    <row r="194" spans="6:9" ht="18.75" customHeight="1" x14ac:dyDescent="0.4">
      <c r="F194" s="1">
        <v>27242</v>
      </c>
      <c r="G194" s="12">
        <v>329.39</v>
      </c>
      <c r="I194" s="12"/>
    </row>
    <row r="195" spans="6:9" ht="18.75" customHeight="1" x14ac:dyDescent="0.4">
      <c r="F195" s="1">
        <v>27273</v>
      </c>
      <c r="G195" s="12">
        <v>327.43</v>
      </c>
      <c r="I195" s="12"/>
    </row>
    <row r="196" spans="6:9" ht="18.75" customHeight="1" x14ac:dyDescent="0.4">
      <c r="F196" s="1">
        <v>27303</v>
      </c>
      <c r="G196" s="12">
        <v>327.37</v>
      </c>
      <c r="I196" s="12"/>
    </row>
    <row r="197" spans="6:9" ht="18.75" customHeight="1" x14ac:dyDescent="0.4">
      <c r="F197" s="1">
        <v>27334</v>
      </c>
      <c r="G197" s="12">
        <v>328.46</v>
      </c>
      <c r="I197" s="12"/>
    </row>
    <row r="198" spans="6:9" ht="18.75" customHeight="1" x14ac:dyDescent="0.4">
      <c r="F198" s="1">
        <v>27364</v>
      </c>
      <c r="G198" s="12">
        <v>329.57</v>
      </c>
      <c r="I198" s="12"/>
    </row>
    <row r="199" spans="6:9" ht="18.75" customHeight="1" x14ac:dyDescent="0.4">
      <c r="F199" s="1">
        <v>27395</v>
      </c>
      <c r="G199" s="12">
        <v>330.4</v>
      </c>
      <c r="I199" s="12"/>
    </row>
    <row r="200" spans="6:9" ht="18.75" customHeight="1" x14ac:dyDescent="0.4">
      <c r="F200" s="1">
        <v>27426</v>
      </c>
      <c r="G200" s="12">
        <v>331.4</v>
      </c>
      <c r="I200" s="12"/>
    </row>
    <row r="201" spans="6:9" ht="18.75" customHeight="1" x14ac:dyDescent="0.4">
      <c r="F201" s="1">
        <v>27454</v>
      </c>
      <c r="G201" s="12">
        <v>332.04</v>
      </c>
      <c r="I201" s="12"/>
    </row>
    <row r="202" spans="6:9" ht="18.75" customHeight="1" x14ac:dyDescent="0.4">
      <c r="F202" s="1">
        <v>27485</v>
      </c>
      <c r="G202" s="12">
        <v>333.31</v>
      </c>
      <c r="I202" s="12"/>
    </row>
    <row r="203" spans="6:9" ht="18.75" customHeight="1" x14ac:dyDescent="0.4">
      <c r="F203" s="1">
        <v>27515</v>
      </c>
      <c r="G203" s="12">
        <v>333.97</v>
      </c>
      <c r="I203" s="12"/>
    </row>
    <row r="204" spans="6:9" ht="18.75" customHeight="1" x14ac:dyDescent="0.4">
      <c r="F204" s="1">
        <v>27546</v>
      </c>
      <c r="G204" s="12">
        <v>333.6</v>
      </c>
      <c r="I204" s="12"/>
    </row>
    <row r="205" spans="6:9" ht="18.75" customHeight="1" x14ac:dyDescent="0.4">
      <c r="F205" s="1">
        <v>27576</v>
      </c>
      <c r="G205" s="12">
        <v>331.9</v>
      </c>
      <c r="I205" s="12"/>
    </row>
    <row r="206" spans="6:9" ht="18.75" customHeight="1" x14ac:dyDescent="0.4">
      <c r="F206" s="1">
        <v>27607</v>
      </c>
      <c r="G206" s="12">
        <v>330.06</v>
      </c>
      <c r="I206" s="12"/>
    </row>
    <row r="207" spans="6:9" ht="18.75" customHeight="1" x14ac:dyDescent="0.4">
      <c r="F207" s="1">
        <v>27638</v>
      </c>
      <c r="G207" s="12">
        <v>328.56</v>
      </c>
      <c r="I207" s="12"/>
    </row>
    <row r="208" spans="6:9" ht="18.75" customHeight="1" x14ac:dyDescent="0.4">
      <c r="F208" s="1">
        <v>27668</v>
      </c>
      <c r="G208" s="12">
        <v>328.34</v>
      </c>
      <c r="I208" s="12"/>
    </row>
    <row r="209" spans="6:9" ht="18.75" customHeight="1" x14ac:dyDescent="0.4">
      <c r="F209" s="1">
        <v>27699</v>
      </c>
      <c r="G209" s="12">
        <v>329.49</v>
      </c>
      <c r="I209" s="12"/>
    </row>
    <row r="210" spans="6:9" ht="18.75" customHeight="1" x14ac:dyDescent="0.4">
      <c r="F210" s="1">
        <v>27729</v>
      </c>
      <c r="G210" s="12">
        <v>330.76</v>
      </c>
      <c r="I210" s="12"/>
    </row>
    <row r="211" spans="6:9" ht="18.75" customHeight="1" x14ac:dyDescent="0.4">
      <c r="F211" s="1">
        <v>27760</v>
      </c>
      <c r="G211" s="12">
        <v>331.75</v>
      </c>
      <c r="I211" s="12"/>
    </row>
    <row r="212" spans="6:9" ht="18.75" customHeight="1" x14ac:dyDescent="0.4">
      <c r="F212" s="1">
        <v>27791</v>
      </c>
      <c r="G212" s="12">
        <v>332.57</v>
      </c>
      <c r="I212" s="12"/>
    </row>
    <row r="213" spans="6:9" ht="18.75" customHeight="1" x14ac:dyDescent="0.4">
      <c r="F213" s="1">
        <v>27820</v>
      </c>
      <c r="G213" s="12">
        <v>333.5</v>
      </c>
      <c r="I213" s="12"/>
    </row>
    <row r="214" spans="6:9" ht="18.75" customHeight="1" x14ac:dyDescent="0.4">
      <c r="F214" s="1">
        <v>27851</v>
      </c>
      <c r="G214" s="12">
        <v>334.58</v>
      </c>
      <c r="I214" s="12"/>
    </row>
    <row r="215" spans="6:9" ht="18.75" customHeight="1" x14ac:dyDescent="0.4">
      <c r="F215" s="1">
        <v>27881</v>
      </c>
      <c r="G215" s="12">
        <v>334.88</v>
      </c>
      <c r="I215" s="12"/>
    </row>
    <row r="216" spans="6:9" ht="18.75" customHeight="1" x14ac:dyDescent="0.4">
      <c r="F216" s="1">
        <v>27912</v>
      </c>
      <c r="G216" s="12">
        <v>334.33</v>
      </c>
      <c r="I216" s="12"/>
    </row>
    <row r="217" spans="6:9" ht="18.75" customHeight="1" x14ac:dyDescent="0.4">
      <c r="F217" s="1">
        <v>27942</v>
      </c>
      <c r="G217" s="12">
        <v>333.05</v>
      </c>
      <c r="I217" s="12"/>
    </row>
    <row r="218" spans="6:9" ht="18.75" customHeight="1" x14ac:dyDescent="0.4">
      <c r="F218" s="1">
        <v>27973</v>
      </c>
      <c r="G218" s="12">
        <v>330.94</v>
      </c>
      <c r="I218" s="12"/>
    </row>
    <row r="219" spans="6:9" ht="18.75" customHeight="1" x14ac:dyDescent="0.4">
      <c r="F219" s="1">
        <v>28004</v>
      </c>
      <c r="G219" s="12">
        <v>329.3</v>
      </c>
      <c r="I219" s="12"/>
    </row>
    <row r="220" spans="6:9" ht="18.75" customHeight="1" x14ac:dyDescent="0.4">
      <c r="F220" s="1">
        <v>28034</v>
      </c>
      <c r="G220" s="12">
        <v>328.94</v>
      </c>
      <c r="I220" s="12"/>
    </row>
    <row r="221" spans="6:9" ht="18.75" customHeight="1" x14ac:dyDescent="0.4">
      <c r="F221" s="1">
        <v>28065</v>
      </c>
      <c r="G221" s="12">
        <v>330.31</v>
      </c>
      <c r="I221" s="12"/>
    </row>
    <row r="222" spans="6:9" ht="18.75" customHeight="1" x14ac:dyDescent="0.4">
      <c r="F222" s="1">
        <v>28095</v>
      </c>
      <c r="G222" s="12">
        <v>331.68</v>
      </c>
      <c r="I222" s="12"/>
    </row>
    <row r="223" spans="6:9" ht="18.75" customHeight="1" x14ac:dyDescent="0.4">
      <c r="F223" s="1">
        <v>28126</v>
      </c>
      <c r="G223" s="12">
        <v>332.93</v>
      </c>
      <c r="I223" s="12"/>
    </row>
    <row r="224" spans="6:9" ht="18.75" customHeight="1" x14ac:dyDescent="0.4">
      <c r="F224" s="1">
        <v>28157</v>
      </c>
      <c r="G224" s="12">
        <v>333.42</v>
      </c>
      <c r="I224" s="12"/>
    </row>
    <row r="225" spans="6:9" ht="18.75" customHeight="1" x14ac:dyDescent="0.4">
      <c r="F225" s="1">
        <v>28185</v>
      </c>
      <c r="G225" s="12">
        <v>334.7</v>
      </c>
      <c r="I225" s="12"/>
    </row>
    <row r="226" spans="6:9" ht="18.75" customHeight="1" x14ac:dyDescent="0.4">
      <c r="F226" s="1">
        <v>28216</v>
      </c>
      <c r="G226" s="12">
        <v>336.07</v>
      </c>
      <c r="I226" s="12"/>
    </row>
    <row r="227" spans="6:9" ht="18.75" customHeight="1" x14ac:dyDescent="0.4">
      <c r="F227" s="1">
        <v>28246</v>
      </c>
      <c r="G227" s="12">
        <v>336.75</v>
      </c>
      <c r="I227" s="12"/>
    </row>
    <row r="228" spans="6:9" ht="18.75" customHeight="1" x14ac:dyDescent="0.4">
      <c r="F228" s="1">
        <v>28277</v>
      </c>
      <c r="G228" s="12">
        <v>336.27</v>
      </c>
      <c r="I228" s="12"/>
    </row>
    <row r="229" spans="6:9" ht="18.75" customHeight="1" x14ac:dyDescent="0.4">
      <c r="F229" s="1">
        <v>28307</v>
      </c>
      <c r="G229" s="12">
        <v>334.92</v>
      </c>
      <c r="I229" s="12"/>
    </row>
    <row r="230" spans="6:9" ht="18.75" customHeight="1" x14ac:dyDescent="0.4">
      <c r="F230" s="1">
        <v>28338</v>
      </c>
      <c r="G230" s="12">
        <v>332.75</v>
      </c>
      <c r="I230" s="12"/>
    </row>
    <row r="231" spans="6:9" ht="18.75" customHeight="1" x14ac:dyDescent="0.4">
      <c r="F231" s="1">
        <v>28369</v>
      </c>
      <c r="G231" s="12">
        <v>331.59</v>
      </c>
      <c r="I231" s="12"/>
    </row>
    <row r="232" spans="6:9" ht="18.75" customHeight="1" x14ac:dyDescent="0.4">
      <c r="F232" s="1">
        <v>28399</v>
      </c>
      <c r="G232" s="12">
        <v>331.16</v>
      </c>
      <c r="I232" s="12"/>
    </row>
    <row r="233" spans="6:9" ht="18.75" customHeight="1" x14ac:dyDescent="0.4">
      <c r="F233" s="1">
        <v>28430</v>
      </c>
      <c r="G233" s="12">
        <v>332.4</v>
      </c>
      <c r="I233" s="12"/>
    </row>
    <row r="234" spans="6:9" ht="18.75" customHeight="1" x14ac:dyDescent="0.4">
      <c r="F234" s="1">
        <v>28460</v>
      </c>
      <c r="G234" s="12">
        <v>333.85</v>
      </c>
      <c r="I234" s="12"/>
    </row>
    <row r="235" spans="6:9" ht="18.75" customHeight="1" x14ac:dyDescent="0.4">
      <c r="F235" s="1">
        <v>28491</v>
      </c>
      <c r="G235" s="12">
        <v>334.97</v>
      </c>
      <c r="I235" s="12"/>
    </row>
    <row r="236" spans="6:9" ht="18.75" customHeight="1" x14ac:dyDescent="0.4">
      <c r="F236" s="1">
        <v>28522</v>
      </c>
      <c r="G236" s="12">
        <v>335.39</v>
      </c>
      <c r="I236" s="12"/>
    </row>
    <row r="237" spans="6:9" ht="18.75" customHeight="1" x14ac:dyDescent="0.4">
      <c r="F237" s="1">
        <v>28550</v>
      </c>
      <c r="G237" s="12">
        <v>336.64</v>
      </c>
      <c r="I237" s="12"/>
    </row>
    <row r="238" spans="6:9" ht="18.75" customHeight="1" x14ac:dyDescent="0.4">
      <c r="F238" s="1">
        <v>28581</v>
      </c>
      <c r="G238" s="12">
        <v>337.76</v>
      </c>
      <c r="I238" s="12"/>
    </row>
    <row r="239" spans="6:9" ht="18.75" customHeight="1" x14ac:dyDescent="0.4">
      <c r="F239" s="1">
        <v>28611</v>
      </c>
      <c r="G239" s="12">
        <v>338.01</v>
      </c>
      <c r="I239" s="12"/>
    </row>
    <row r="240" spans="6:9" ht="18.75" customHeight="1" x14ac:dyDescent="0.4">
      <c r="F240" s="1">
        <v>28642</v>
      </c>
      <c r="G240" s="12">
        <v>337.9</v>
      </c>
      <c r="I240" s="12"/>
    </row>
    <row r="241" spans="6:9" ht="18.75" customHeight="1" x14ac:dyDescent="0.4">
      <c r="F241" s="1">
        <v>28672</v>
      </c>
      <c r="G241" s="12">
        <v>336.54</v>
      </c>
      <c r="I241" s="12"/>
    </row>
    <row r="242" spans="6:9" ht="18.75" customHeight="1" x14ac:dyDescent="0.4">
      <c r="F242" s="1">
        <v>28703</v>
      </c>
      <c r="G242" s="12">
        <v>334.68</v>
      </c>
      <c r="I242" s="12"/>
    </row>
    <row r="243" spans="6:9" ht="18.75" customHeight="1" x14ac:dyDescent="0.4">
      <c r="F243" s="1">
        <v>28734</v>
      </c>
      <c r="G243" s="12">
        <v>332.76</v>
      </c>
      <c r="I243" s="12"/>
    </row>
    <row r="244" spans="6:9" ht="18.75" customHeight="1" x14ac:dyDescent="0.4">
      <c r="F244" s="1">
        <v>28764</v>
      </c>
      <c r="G244" s="12">
        <v>332.55</v>
      </c>
      <c r="I244" s="12"/>
    </row>
    <row r="245" spans="6:9" ht="18.75" customHeight="1" x14ac:dyDescent="0.4">
      <c r="F245" s="1">
        <v>28795</v>
      </c>
      <c r="G245" s="12">
        <v>333.92</v>
      </c>
      <c r="I245" s="12"/>
    </row>
    <row r="246" spans="6:9" ht="18.75" customHeight="1" x14ac:dyDescent="0.4">
      <c r="F246" s="1">
        <v>28825</v>
      </c>
      <c r="G246" s="12">
        <v>334.95</v>
      </c>
      <c r="I246" s="12"/>
    </row>
    <row r="247" spans="6:9" ht="18.75" customHeight="1" x14ac:dyDescent="0.4">
      <c r="F247" s="1">
        <v>28856</v>
      </c>
      <c r="G247" s="12">
        <v>336.23</v>
      </c>
      <c r="I247" s="12"/>
    </row>
    <row r="248" spans="6:9" ht="18.75" customHeight="1" x14ac:dyDescent="0.4">
      <c r="F248" s="1">
        <v>28887</v>
      </c>
      <c r="G248" s="12">
        <v>336.76</v>
      </c>
      <c r="I248" s="12"/>
    </row>
    <row r="249" spans="6:9" ht="18.75" customHeight="1" x14ac:dyDescent="0.4">
      <c r="F249" s="1">
        <v>28915</v>
      </c>
      <c r="G249" s="12">
        <v>337.96</v>
      </c>
      <c r="I249" s="12"/>
    </row>
    <row r="250" spans="6:9" ht="18.75" customHeight="1" x14ac:dyDescent="0.4">
      <c r="F250" s="1">
        <v>28946</v>
      </c>
      <c r="G250" s="12">
        <v>338.88</v>
      </c>
      <c r="I250" s="12"/>
    </row>
    <row r="251" spans="6:9" ht="18.75" customHeight="1" x14ac:dyDescent="0.4">
      <c r="F251" s="1">
        <v>28976</v>
      </c>
      <c r="G251" s="12">
        <v>339.47</v>
      </c>
      <c r="I251" s="12"/>
    </row>
    <row r="252" spans="6:9" ht="18.75" customHeight="1" x14ac:dyDescent="0.4">
      <c r="F252" s="1">
        <v>29007</v>
      </c>
      <c r="G252" s="12">
        <v>339.29</v>
      </c>
      <c r="I252" s="12"/>
    </row>
    <row r="253" spans="6:9" ht="18.75" customHeight="1" x14ac:dyDescent="0.4">
      <c r="F253" s="1">
        <v>29037</v>
      </c>
      <c r="G253" s="12">
        <v>337.73</v>
      </c>
      <c r="I253" s="12"/>
    </row>
    <row r="254" spans="6:9" ht="18.75" customHeight="1" x14ac:dyDescent="0.4">
      <c r="F254" s="1">
        <v>29068</v>
      </c>
      <c r="G254" s="12">
        <v>336.09</v>
      </c>
      <c r="I254" s="12"/>
    </row>
    <row r="255" spans="6:9" ht="18.75" customHeight="1" x14ac:dyDescent="0.4">
      <c r="F255" s="1">
        <v>29099</v>
      </c>
      <c r="G255" s="12">
        <v>333.92</v>
      </c>
      <c r="I255" s="12"/>
    </row>
    <row r="256" spans="6:9" ht="18.75" customHeight="1" x14ac:dyDescent="0.4">
      <c r="F256" s="1">
        <v>29129</v>
      </c>
      <c r="G256" s="12">
        <v>333.86</v>
      </c>
      <c r="I256" s="12"/>
    </row>
    <row r="257" spans="6:9" ht="18.75" customHeight="1" x14ac:dyDescent="0.4">
      <c r="F257" s="1">
        <v>29160</v>
      </c>
      <c r="G257" s="12">
        <v>335.29</v>
      </c>
      <c r="I257" s="12"/>
    </row>
    <row r="258" spans="6:9" ht="18.75" customHeight="1" x14ac:dyDescent="0.4">
      <c r="F258" s="1">
        <v>29190</v>
      </c>
      <c r="G258" s="12">
        <v>336.73</v>
      </c>
      <c r="I258" s="12"/>
    </row>
    <row r="259" spans="6:9" ht="18.75" customHeight="1" x14ac:dyDescent="0.4">
      <c r="F259" s="1">
        <v>29221</v>
      </c>
      <c r="G259" s="12">
        <v>338.01</v>
      </c>
      <c r="I259" s="12"/>
    </row>
    <row r="260" spans="6:9" ht="18.75" customHeight="1" x14ac:dyDescent="0.4">
      <c r="F260" s="1">
        <v>29252</v>
      </c>
      <c r="G260" s="12">
        <v>338.36</v>
      </c>
      <c r="I260" s="12"/>
    </row>
    <row r="261" spans="6:9" ht="18.75" customHeight="1" x14ac:dyDescent="0.4">
      <c r="F261" s="1">
        <v>29281</v>
      </c>
      <c r="G261" s="12">
        <v>340.07</v>
      </c>
      <c r="I261" s="12"/>
    </row>
    <row r="262" spans="6:9" ht="18.75" customHeight="1" x14ac:dyDescent="0.4">
      <c r="F262" s="1">
        <v>29312</v>
      </c>
      <c r="G262" s="12">
        <v>340.76</v>
      </c>
      <c r="I262" s="12"/>
    </row>
    <row r="263" spans="6:9" ht="18.75" customHeight="1" x14ac:dyDescent="0.4">
      <c r="F263" s="1">
        <v>29342</v>
      </c>
      <c r="G263" s="12">
        <v>341.47</v>
      </c>
      <c r="I263" s="12"/>
    </row>
    <row r="264" spans="6:9" ht="18.75" customHeight="1" x14ac:dyDescent="0.4">
      <c r="F264" s="1">
        <v>29373</v>
      </c>
      <c r="G264" s="12">
        <v>341.17</v>
      </c>
      <c r="I264" s="12"/>
    </row>
    <row r="265" spans="6:9" ht="18.75" customHeight="1" x14ac:dyDescent="0.4">
      <c r="F265" s="1">
        <v>29403</v>
      </c>
      <c r="G265" s="12">
        <v>339.56</v>
      </c>
      <c r="I265" s="12"/>
    </row>
    <row r="266" spans="6:9" ht="18.75" customHeight="1" x14ac:dyDescent="0.4">
      <c r="F266" s="1">
        <v>29434</v>
      </c>
      <c r="G266" s="12">
        <v>337.6</v>
      </c>
      <c r="I266" s="12"/>
    </row>
    <row r="267" spans="6:9" ht="18.75" customHeight="1" x14ac:dyDescent="0.4">
      <c r="F267" s="1">
        <v>29465</v>
      </c>
      <c r="G267" s="12">
        <v>335.88</v>
      </c>
      <c r="I267" s="12"/>
    </row>
    <row r="268" spans="6:9" ht="18.75" customHeight="1" x14ac:dyDescent="0.4">
      <c r="F268" s="1">
        <v>29495</v>
      </c>
      <c r="G268" s="12">
        <v>336.02</v>
      </c>
      <c r="I268" s="12"/>
    </row>
    <row r="269" spans="6:9" ht="18.75" customHeight="1" x14ac:dyDescent="0.4">
      <c r="F269" s="1">
        <v>29526</v>
      </c>
      <c r="G269" s="12">
        <v>337.1</v>
      </c>
      <c r="I269" s="12"/>
    </row>
    <row r="270" spans="6:9" ht="18.75" customHeight="1" x14ac:dyDescent="0.4">
      <c r="F270" s="1">
        <v>29556</v>
      </c>
      <c r="G270" s="12">
        <v>338.21</v>
      </c>
      <c r="I270" s="12"/>
    </row>
    <row r="271" spans="6:9" ht="18.75" customHeight="1" x14ac:dyDescent="0.4">
      <c r="F271" s="1">
        <v>29587</v>
      </c>
      <c r="G271" s="12">
        <v>339.24</v>
      </c>
      <c r="I271" s="12"/>
    </row>
    <row r="272" spans="6:9" ht="18.75" customHeight="1" x14ac:dyDescent="0.4">
      <c r="F272" s="1">
        <v>29618</v>
      </c>
      <c r="G272" s="12">
        <v>340.48</v>
      </c>
      <c r="I272" s="12"/>
    </row>
    <row r="273" spans="6:9" ht="18.75" customHeight="1" x14ac:dyDescent="0.4">
      <c r="F273" s="1">
        <v>29646</v>
      </c>
      <c r="G273" s="12">
        <v>341.38</v>
      </c>
      <c r="I273" s="12"/>
    </row>
    <row r="274" spans="6:9" ht="18.75" customHeight="1" x14ac:dyDescent="0.4">
      <c r="F274" s="1">
        <v>29677</v>
      </c>
      <c r="G274" s="12">
        <v>342.5</v>
      </c>
      <c r="I274" s="12"/>
    </row>
    <row r="275" spans="6:9" ht="18.75" customHeight="1" x14ac:dyDescent="0.4">
      <c r="F275" s="1">
        <v>29707</v>
      </c>
      <c r="G275" s="12">
        <v>342.91</v>
      </c>
      <c r="I275" s="12"/>
    </row>
    <row r="276" spans="6:9" ht="18.75" customHeight="1" x14ac:dyDescent="0.4">
      <c r="F276" s="1">
        <v>29738</v>
      </c>
      <c r="G276" s="12">
        <v>342.25</v>
      </c>
      <c r="I276" s="12"/>
    </row>
    <row r="277" spans="6:9" ht="18.75" customHeight="1" x14ac:dyDescent="0.4">
      <c r="F277" s="1">
        <v>29768</v>
      </c>
      <c r="G277" s="12">
        <v>340.49</v>
      </c>
      <c r="I277" s="12"/>
    </row>
    <row r="278" spans="6:9" ht="18.75" customHeight="1" x14ac:dyDescent="0.4">
      <c r="F278" s="1">
        <v>29799</v>
      </c>
      <c r="G278" s="12">
        <v>338.43</v>
      </c>
      <c r="I278" s="12"/>
    </row>
    <row r="279" spans="6:9" ht="18.75" customHeight="1" x14ac:dyDescent="0.4">
      <c r="F279" s="1">
        <v>29830</v>
      </c>
      <c r="G279" s="12">
        <v>336.69</v>
      </c>
      <c r="I279" s="12"/>
    </row>
    <row r="280" spans="6:9" ht="18.75" customHeight="1" x14ac:dyDescent="0.4">
      <c r="F280" s="1">
        <v>29860</v>
      </c>
      <c r="G280" s="12">
        <v>336.86</v>
      </c>
      <c r="I280" s="12"/>
    </row>
    <row r="281" spans="6:9" ht="18.75" customHeight="1" x14ac:dyDescent="0.4">
      <c r="F281" s="1">
        <v>29891</v>
      </c>
      <c r="G281" s="12">
        <v>338.36</v>
      </c>
      <c r="I281" s="12"/>
    </row>
    <row r="282" spans="6:9" ht="18.75" customHeight="1" x14ac:dyDescent="0.4">
      <c r="F282" s="1">
        <v>29921</v>
      </c>
      <c r="G282" s="12">
        <v>339.61</v>
      </c>
      <c r="I282" s="12"/>
    </row>
    <row r="283" spans="6:9" ht="18.75" customHeight="1" x14ac:dyDescent="0.4">
      <c r="F283" s="1">
        <v>29952</v>
      </c>
      <c r="G283" s="12">
        <v>340.75</v>
      </c>
      <c r="I283" s="12"/>
    </row>
    <row r="284" spans="6:9" ht="18.75" customHeight="1" x14ac:dyDescent="0.4">
      <c r="F284" s="1">
        <v>29983</v>
      </c>
      <c r="G284" s="12">
        <v>341.61</v>
      </c>
      <c r="I284" s="12"/>
    </row>
    <row r="285" spans="6:9" ht="18.75" customHeight="1" x14ac:dyDescent="0.4">
      <c r="F285" s="1">
        <v>30011</v>
      </c>
      <c r="G285" s="12">
        <v>342.7</v>
      </c>
      <c r="I285" s="12"/>
    </row>
    <row r="286" spans="6:9" ht="18.75" customHeight="1" x14ac:dyDescent="0.4">
      <c r="F286" s="1">
        <v>30042</v>
      </c>
      <c r="G286" s="12">
        <v>343.57</v>
      </c>
      <c r="I286" s="12"/>
    </row>
    <row r="287" spans="6:9" ht="18.75" customHeight="1" x14ac:dyDescent="0.4">
      <c r="F287" s="1">
        <v>30072</v>
      </c>
      <c r="G287" s="12">
        <v>344.14</v>
      </c>
      <c r="I287" s="12"/>
    </row>
    <row r="288" spans="6:9" ht="18.75" customHeight="1" x14ac:dyDescent="0.4">
      <c r="F288" s="1">
        <v>30103</v>
      </c>
      <c r="G288" s="12">
        <v>343.35</v>
      </c>
      <c r="I288" s="12"/>
    </row>
    <row r="289" spans="6:9" ht="18.75" customHeight="1" x14ac:dyDescent="0.4">
      <c r="F289" s="1">
        <v>30133</v>
      </c>
      <c r="G289" s="12">
        <v>342.06</v>
      </c>
      <c r="I289" s="12"/>
    </row>
    <row r="290" spans="6:9" ht="18.75" customHeight="1" x14ac:dyDescent="0.4">
      <c r="F290" s="1">
        <v>30164</v>
      </c>
      <c r="G290" s="12">
        <v>339.81</v>
      </c>
      <c r="I290" s="12"/>
    </row>
    <row r="291" spans="6:9" ht="18.75" customHeight="1" x14ac:dyDescent="0.4">
      <c r="F291" s="1">
        <v>30195</v>
      </c>
      <c r="G291" s="12">
        <v>337.98</v>
      </c>
      <c r="I291" s="12"/>
    </row>
    <row r="292" spans="6:9" ht="18.75" customHeight="1" x14ac:dyDescent="0.4">
      <c r="F292" s="1">
        <v>30225</v>
      </c>
      <c r="G292" s="12">
        <v>337.86</v>
      </c>
      <c r="I292" s="12"/>
    </row>
    <row r="293" spans="6:9" ht="18.75" customHeight="1" x14ac:dyDescent="0.4">
      <c r="F293" s="1">
        <v>30256</v>
      </c>
      <c r="G293" s="12">
        <v>339.26</v>
      </c>
      <c r="I293" s="12"/>
    </row>
    <row r="294" spans="6:9" ht="18.75" customHeight="1" x14ac:dyDescent="0.4">
      <c r="F294" s="1">
        <v>30286</v>
      </c>
      <c r="G294" s="12">
        <v>340.49</v>
      </c>
      <c r="I294" s="12"/>
    </row>
    <row r="295" spans="6:9" ht="18.75" customHeight="1" x14ac:dyDescent="0.4">
      <c r="F295" s="1">
        <v>30317</v>
      </c>
      <c r="G295" s="12">
        <v>341.38</v>
      </c>
      <c r="I295" s="12"/>
    </row>
    <row r="296" spans="6:9" ht="18.75" customHeight="1" x14ac:dyDescent="0.4">
      <c r="F296" s="1">
        <v>30348</v>
      </c>
      <c r="G296" s="12">
        <v>342.52</v>
      </c>
      <c r="I296" s="12"/>
    </row>
    <row r="297" spans="6:9" ht="18.75" customHeight="1" x14ac:dyDescent="0.4">
      <c r="F297" s="1">
        <v>30376</v>
      </c>
      <c r="G297" s="12">
        <v>343.1</v>
      </c>
      <c r="I297" s="12"/>
    </row>
    <row r="298" spans="6:9" ht="18.75" customHeight="1" x14ac:dyDescent="0.4">
      <c r="F298" s="1">
        <v>30407</v>
      </c>
      <c r="G298" s="12">
        <v>344.94</v>
      </c>
      <c r="I298" s="12"/>
    </row>
    <row r="299" spans="6:9" ht="18.75" customHeight="1" x14ac:dyDescent="0.4">
      <c r="F299" s="1">
        <v>30437</v>
      </c>
      <c r="G299" s="12">
        <v>345.76</v>
      </c>
      <c r="I299" s="12"/>
    </row>
    <row r="300" spans="6:9" ht="18.75" customHeight="1" x14ac:dyDescent="0.4">
      <c r="F300" s="1">
        <v>30468</v>
      </c>
      <c r="G300" s="12">
        <v>345.32</v>
      </c>
      <c r="I300" s="12"/>
    </row>
    <row r="301" spans="6:9" ht="18.75" customHeight="1" x14ac:dyDescent="0.4">
      <c r="F301" s="1">
        <v>30498</v>
      </c>
      <c r="G301" s="12">
        <v>343.98</v>
      </c>
      <c r="I301" s="12"/>
    </row>
    <row r="302" spans="6:9" ht="18.75" customHeight="1" x14ac:dyDescent="0.4">
      <c r="F302" s="1">
        <v>30529</v>
      </c>
      <c r="G302" s="12">
        <v>342.38</v>
      </c>
      <c r="I302" s="12"/>
    </row>
    <row r="303" spans="6:9" ht="18.75" customHeight="1" x14ac:dyDescent="0.4">
      <c r="F303" s="1">
        <v>30560</v>
      </c>
      <c r="G303" s="12">
        <v>339.87</v>
      </c>
      <c r="I303" s="12"/>
    </row>
    <row r="304" spans="6:9" ht="18.75" customHeight="1" x14ac:dyDescent="0.4">
      <c r="F304" s="1">
        <v>30590</v>
      </c>
      <c r="G304" s="12">
        <v>339.99</v>
      </c>
      <c r="I304" s="12"/>
    </row>
    <row r="305" spans="6:9" ht="18.75" customHeight="1" x14ac:dyDescent="0.4">
      <c r="F305" s="1">
        <v>30621</v>
      </c>
      <c r="G305" s="12">
        <v>341.15</v>
      </c>
      <c r="I305" s="12"/>
    </row>
    <row r="306" spans="6:9" ht="18.75" customHeight="1" x14ac:dyDescent="0.4">
      <c r="F306" s="1">
        <v>30651</v>
      </c>
      <c r="G306" s="12">
        <v>342.99</v>
      </c>
      <c r="I306" s="12"/>
    </row>
    <row r="307" spans="6:9" ht="18.75" customHeight="1" x14ac:dyDescent="0.4">
      <c r="F307" s="1">
        <v>30682</v>
      </c>
      <c r="G307" s="12">
        <v>343.7</v>
      </c>
      <c r="I307" s="12"/>
    </row>
    <row r="308" spans="6:9" ht="18.75" customHeight="1" x14ac:dyDescent="0.4">
      <c r="F308" s="1">
        <v>30713</v>
      </c>
      <c r="G308" s="12">
        <v>344.5</v>
      </c>
      <c r="I308" s="12"/>
    </row>
    <row r="309" spans="6:9" ht="18.75" customHeight="1" x14ac:dyDescent="0.4">
      <c r="F309" s="1">
        <v>30742</v>
      </c>
      <c r="G309" s="12">
        <v>345.28</v>
      </c>
      <c r="I309" s="12"/>
    </row>
    <row r="310" spans="6:9" ht="18.75" customHeight="1" x14ac:dyDescent="0.4">
      <c r="F310" s="1">
        <v>30773</v>
      </c>
      <c r="G310" s="12">
        <v>347.05</v>
      </c>
      <c r="I310" s="12"/>
    </row>
    <row r="311" spans="6:9" ht="18.75" customHeight="1" x14ac:dyDescent="0.4">
      <c r="F311" s="1">
        <v>30803</v>
      </c>
      <c r="G311" s="12">
        <v>347.43</v>
      </c>
      <c r="I311" s="12"/>
    </row>
    <row r="312" spans="6:9" ht="18.75" customHeight="1" x14ac:dyDescent="0.4">
      <c r="F312" s="1">
        <v>30834</v>
      </c>
      <c r="G312" s="12">
        <v>346.8</v>
      </c>
      <c r="I312" s="12"/>
    </row>
    <row r="313" spans="6:9" ht="18.75" customHeight="1" x14ac:dyDescent="0.4">
      <c r="F313" s="1">
        <v>30864</v>
      </c>
      <c r="G313" s="12">
        <v>345.39</v>
      </c>
      <c r="I313" s="12"/>
    </row>
    <row r="314" spans="6:9" ht="18.75" customHeight="1" x14ac:dyDescent="0.4">
      <c r="F314" s="1">
        <v>30895</v>
      </c>
      <c r="G314" s="12">
        <v>343.28</v>
      </c>
      <c r="I314" s="12"/>
    </row>
    <row r="315" spans="6:9" ht="18.75" customHeight="1" x14ac:dyDescent="0.4">
      <c r="F315" s="1">
        <v>30926</v>
      </c>
      <c r="G315" s="12">
        <v>341.07</v>
      </c>
      <c r="I315" s="12"/>
    </row>
    <row r="316" spans="6:9" ht="18.75" customHeight="1" x14ac:dyDescent="0.4">
      <c r="F316" s="1">
        <v>30956</v>
      </c>
      <c r="G316" s="12">
        <v>341.35</v>
      </c>
      <c r="I316" s="12"/>
    </row>
    <row r="317" spans="6:9" ht="18.75" customHeight="1" x14ac:dyDescent="0.4">
      <c r="F317" s="1">
        <v>30987</v>
      </c>
      <c r="G317" s="12">
        <v>342.98</v>
      </c>
      <c r="I317" s="12"/>
    </row>
    <row r="318" spans="6:9" ht="18.75" customHeight="1" x14ac:dyDescent="0.4">
      <c r="F318" s="1">
        <v>31017</v>
      </c>
      <c r="G318" s="12">
        <v>344.22</v>
      </c>
      <c r="I318" s="12"/>
    </row>
    <row r="319" spans="6:9" ht="18.75" customHeight="1" x14ac:dyDescent="0.4">
      <c r="F319" s="1">
        <v>31048</v>
      </c>
      <c r="G319" s="12">
        <v>344.97</v>
      </c>
      <c r="I319" s="12"/>
    </row>
    <row r="320" spans="6:9" ht="18.75" customHeight="1" x14ac:dyDescent="0.4">
      <c r="F320" s="1">
        <v>31079</v>
      </c>
      <c r="G320" s="12">
        <v>345.99</v>
      </c>
      <c r="I320" s="12"/>
    </row>
    <row r="321" spans="6:9" ht="18.75" customHeight="1" x14ac:dyDescent="0.4">
      <c r="F321" s="1">
        <v>31107</v>
      </c>
      <c r="G321" s="12">
        <v>347.42</v>
      </c>
      <c r="I321" s="12"/>
    </row>
    <row r="322" spans="6:9" ht="18.75" customHeight="1" x14ac:dyDescent="0.4">
      <c r="F322" s="1">
        <v>31138</v>
      </c>
      <c r="G322" s="12">
        <v>348.35</v>
      </c>
      <c r="I322" s="12"/>
    </row>
    <row r="323" spans="6:9" ht="18.75" customHeight="1" x14ac:dyDescent="0.4">
      <c r="F323" s="1">
        <v>31168</v>
      </c>
      <c r="G323" s="12">
        <v>348.93</v>
      </c>
      <c r="I323" s="12"/>
    </row>
    <row r="324" spans="6:9" ht="18.75" customHeight="1" x14ac:dyDescent="0.4">
      <c r="F324" s="1">
        <v>31199</v>
      </c>
      <c r="G324" s="12">
        <v>348.25</v>
      </c>
      <c r="I324" s="12"/>
    </row>
    <row r="325" spans="6:9" ht="18.75" customHeight="1" x14ac:dyDescent="0.4">
      <c r="F325" s="1">
        <v>31229</v>
      </c>
      <c r="G325" s="12">
        <v>346.56</v>
      </c>
      <c r="I325" s="12"/>
    </row>
    <row r="326" spans="6:9" ht="18.75" customHeight="1" x14ac:dyDescent="0.4">
      <c r="F326" s="1">
        <v>31260</v>
      </c>
      <c r="G326" s="12">
        <v>344.67</v>
      </c>
      <c r="I326" s="12"/>
    </row>
    <row r="327" spans="6:9" ht="18.75" customHeight="1" x14ac:dyDescent="0.4">
      <c r="F327" s="1">
        <v>31291</v>
      </c>
      <c r="G327" s="12">
        <v>343.09</v>
      </c>
      <c r="I327" s="12"/>
    </row>
    <row r="328" spans="6:9" ht="18.75" customHeight="1" x14ac:dyDescent="0.4">
      <c r="F328" s="1">
        <v>31321</v>
      </c>
      <c r="G328" s="12">
        <v>342.8</v>
      </c>
      <c r="I328" s="12"/>
    </row>
    <row r="329" spans="6:9" ht="18.75" customHeight="1" x14ac:dyDescent="0.4">
      <c r="F329" s="1">
        <v>31352</v>
      </c>
      <c r="G329" s="12">
        <v>344.24</v>
      </c>
      <c r="I329" s="12"/>
    </row>
    <row r="330" spans="6:9" ht="18.75" customHeight="1" x14ac:dyDescent="0.4">
      <c r="F330" s="1">
        <v>31382</v>
      </c>
      <c r="G330" s="12">
        <v>345.56</v>
      </c>
      <c r="I330" s="12"/>
    </row>
    <row r="331" spans="6:9" ht="18.75" customHeight="1" x14ac:dyDescent="0.4">
      <c r="F331" s="1">
        <v>31413</v>
      </c>
      <c r="G331" s="12">
        <v>346.3</v>
      </c>
      <c r="I331" s="12"/>
    </row>
    <row r="332" spans="6:9" ht="18.75" customHeight="1" x14ac:dyDescent="0.4">
      <c r="F332" s="1">
        <v>31444</v>
      </c>
      <c r="G332" s="12">
        <v>346.95</v>
      </c>
      <c r="I332" s="12"/>
    </row>
    <row r="333" spans="6:9" ht="18.75" customHeight="1" x14ac:dyDescent="0.4">
      <c r="F333" s="1">
        <v>31472</v>
      </c>
      <c r="G333" s="12">
        <v>347.85</v>
      </c>
      <c r="I333" s="12"/>
    </row>
    <row r="334" spans="6:9" ht="18.75" customHeight="1" x14ac:dyDescent="0.4">
      <c r="F334" s="1">
        <v>31503</v>
      </c>
      <c r="G334" s="12">
        <v>349.55</v>
      </c>
      <c r="I334" s="12"/>
    </row>
    <row r="335" spans="6:9" ht="18.75" customHeight="1" x14ac:dyDescent="0.4">
      <c r="F335" s="1">
        <v>31533</v>
      </c>
      <c r="G335" s="12">
        <v>350.22</v>
      </c>
      <c r="I335" s="12"/>
    </row>
    <row r="336" spans="6:9" ht="18.75" customHeight="1" x14ac:dyDescent="0.4">
      <c r="F336" s="1">
        <v>31564</v>
      </c>
      <c r="G336" s="12">
        <v>349.55</v>
      </c>
      <c r="I336" s="12"/>
    </row>
    <row r="337" spans="6:9" ht="18.75" customHeight="1" x14ac:dyDescent="0.4">
      <c r="F337" s="1">
        <v>31594</v>
      </c>
      <c r="G337" s="12">
        <v>347.94</v>
      </c>
      <c r="I337" s="12"/>
    </row>
    <row r="338" spans="6:9" ht="18.75" customHeight="1" x14ac:dyDescent="0.4">
      <c r="F338" s="1">
        <v>31625</v>
      </c>
      <c r="G338" s="12">
        <v>345.9</v>
      </c>
      <c r="I338" s="12"/>
    </row>
    <row r="339" spans="6:9" ht="18.75" customHeight="1" x14ac:dyDescent="0.4">
      <c r="F339" s="1">
        <v>31656</v>
      </c>
      <c r="G339" s="12">
        <v>344.85</v>
      </c>
      <c r="I339" s="12"/>
    </row>
    <row r="340" spans="6:9" ht="18.75" customHeight="1" x14ac:dyDescent="0.4">
      <c r="F340" s="1">
        <v>31686</v>
      </c>
      <c r="G340" s="12">
        <v>344.17</v>
      </c>
      <c r="I340" s="12"/>
    </row>
    <row r="341" spans="6:9" ht="18.75" customHeight="1" x14ac:dyDescent="0.4">
      <c r="F341" s="1">
        <v>31717</v>
      </c>
      <c r="G341" s="12">
        <v>345.66</v>
      </c>
      <c r="I341" s="12"/>
    </row>
    <row r="342" spans="6:9" ht="18.75" customHeight="1" x14ac:dyDescent="0.4">
      <c r="F342" s="1">
        <v>31747</v>
      </c>
      <c r="G342" s="12">
        <v>346.9</v>
      </c>
      <c r="I342" s="12"/>
    </row>
    <row r="343" spans="6:9" ht="18.75" customHeight="1" x14ac:dyDescent="0.4">
      <c r="F343" s="1">
        <v>31778</v>
      </c>
      <c r="G343" s="12">
        <v>348.02</v>
      </c>
      <c r="I343" s="12"/>
    </row>
    <row r="344" spans="6:9" ht="18.75" customHeight="1" x14ac:dyDescent="0.4">
      <c r="F344" s="1">
        <v>31809</v>
      </c>
      <c r="G344" s="12">
        <v>348.48</v>
      </c>
      <c r="I344" s="12"/>
    </row>
    <row r="345" spans="6:9" ht="18.75" customHeight="1" x14ac:dyDescent="0.4">
      <c r="F345" s="1">
        <v>31837</v>
      </c>
      <c r="G345" s="12">
        <v>349.42</v>
      </c>
      <c r="I345" s="12"/>
    </row>
    <row r="346" spans="6:9" ht="18.75" customHeight="1" x14ac:dyDescent="0.4">
      <c r="F346" s="1">
        <v>31868</v>
      </c>
      <c r="G346" s="12">
        <v>350.98</v>
      </c>
      <c r="I346" s="12"/>
    </row>
    <row r="347" spans="6:9" ht="18.75" customHeight="1" x14ac:dyDescent="0.4">
      <c r="F347" s="1">
        <v>31898</v>
      </c>
      <c r="G347" s="12">
        <v>351.85</v>
      </c>
      <c r="I347" s="12"/>
    </row>
    <row r="348" spans="6:9" ht="18.75" customHeight="1" x14ac:dyDescent="0.4">
      <c r="F348" s="1">
        <v>31929</v>
      </c>
      <c r="G348" s="12">
        <v>351.26</v>
      </c>
      <c r="I348" s="12"/>
    </row>
    <row r="349" spans="6:9" ht="18.75" customHeight="1" x14ac:dyDescent="0.4">
      <c r="F349" s="1">
        <v>31959</v>
      </c>
      <c r="G349" s="12">
        <v>349.51</v>
      </c>
      <c r="I349" s="12"/>
    </row>
    <row r="350" spans="6:9" ht="18.75" customHeight="1" x14ac:dyDescent="0.4">
      <c r="F350" s="1">
        <v>31990</v>
      </c>
      <c r="G350" s="12">
        <v>348.1</v>
      </c>
      <c r="I350" s="12"/>
    </row>
    <row r="351" spans="6:9" ht="18.75" customHeight="1" x14ac:dyDescent="0.4">
      <c r="F351" s="1">
        <v>32021</v>
      </c>
      <c r="G351" s="12">
        <v>346.45</v>
      </c>
      <c r="I351" s="12"/>
    </row>
    <row r="352" spans="6:9" ht="18.75" customHeight="1" x14ac:dyDescent="0.4">
      <c r="F352" s="1">
        <v>32051</v>
      </c>
      <c r="G352" s="12">
        <v>346.36</v>
      </c>
      <c r="I352" s="12"/>
    </row>
    <row r="353" spans="6:9" ht="18.75" customHeight="1" x14ac:dyDescent="0.4">
      <c r="F353" s="1">
        <v>32082</v>
      </c>
      <c r="G353" s="12">
        <v>347.81</v>
      </c>
      <c r="I353" s="12"/>
    </row>
    <row r="354" spans="6:9" ht="18.75" customHeight="1" x14ac:dyDescent="0.4">
      <c r="F354" s="1">
        <v>32112</v>
      </c>
      <c r="G354" s="12">
        <v>348.96</v>
      </c>
      <c r="I354" s="12"/>
    </row>
    <row r="355" spans="6:9" ht="18.75" customHeight="1" x14ac:dyDescent="0.4">
      <c r="F355" s="1">
        <v>32143</v>
      </c>
      <c r="G355" s="12">
        <v>350.43</v>
      </c>
      <c r="I355" s="12"/>
    </row>
    <row r="356" spans="6:9" ht="18.75" customHeight="1" x14ac:dyDescent="0.4">
      <c r="F356" s="1">
        <v>32174</v>
      </c>
      <c r="G356" s="12">
        <v>351.73</v>
      </c>
      <c r="I356" s="12"/>
    </row>
    <row r="357" spans="6:9" ht="18.75" customHeight="1" x14ac:dyDescent="0.4">
      <c r="F357" s="1">
        <v>32203</v>
      </c>
      <c r="G357" s="12">
        <v>352.22</v>
      </c>
      <c r="I357" s="12"/>
    </row>
    <row r="358" spans="6:9" ht="18.75" customHeight="1" x14ac:dyDescent="0.4">
      <c r="F358" s="1">
        <v>32234</v>
      </c>
      <c r="G358" s="12">
        <v>353.59</v>
      </c>
      <c r="I358" s="12"/>
    </row>
    <row r="359" spans="6:9" ht="18.75" customHeight="1" x14ac:dyDescent="0.4">
      <c r="F359" s="1">
        <v>32264</v>
      </c>
      <c r="G359" s="12">
        <v>354.22</v>
      </c>
      <c r="I359" s="12"/>
    </row>
    <row r="360" spans="6:9" ht="18.75" customHeight="1" x14ac:dyDescent="0.4">
      <c r="F360" s="1">
        <v>32295</v>
      </c>
      <c r="G360" s="12">
        <v>353.8</v>
      </c>
      <c r="I360" s="12"/>
    </row>
    <row r="361" spans="6:9" ht="18.75" customHeight="1" x14ac:dyDescent="0.4">
      <c r="F361" s="1">
        <v>32325</v>
      </c>
      <c r="G361" s="12">
        <v>352.38</v>
      </c>
      <c r="I361" s="12"/>
    </row>
    <row r="362" spans="6:9" ht="18.75" customHeight="1" x14ac:dyDescent="0.4">
      <c r="F362" s="1">
        <v>32356</v>
      </c>
      <c r="G362" s="12">
        <v>350.43</v>
      </c>
      <c r="I362" s="12"/>
    </row>
    <row r="363" spans="6:9" ht="18.75" customHeight="1" x14ac:dyDescent="0.4">
      <c r="F363" s="1">
        <v>32387</v>
      </c>
      <c r="G363" s="12">
        <v>348.73</v>
      </c>
      <c r="I363" s="12"/>
    </row>
    <row r="364" spans="6:9" ht="18.75" customHeight="1" x14ac:dyDescent="0.4">
      <c r="F364" s="1">
        <v>32417</v>
      </c>
      <c r="G364" s="12">
        <v>348.88</v>
      </c>
      <c r="I364" s="12"/>
    </row>
    <row r="365" spans="6:9" ht="18.75" customHeight="1" x14ac:dyDescent="0.4">
      <c r="F365" s="1">
        <v>32448</v>
      </c>
      <c r="G365" s="12">
        <v>350.07</v>
      </c>
      <c r="I365" s="12"/>
    </row>
    <row r="366" spans="6:9" ht="18.75" customHeight="1" x14ac:dyDescent="0.4">
      <c r="F366" s="1">
        <v>32478</v>
      </c>
      <c r="G366" s="12">
        <v>351.34</v>
      </c>
      <c r="I366" s="12"/>
    </row>
    <row r="367" spans="6:9" ht="18.75" customHeight="1" x14ac:dyDescent="0.4">
      <c r="F367" s="1">
        <v>32509</v>
      </c>
      <c r="G367" s="12">
        <v>352.76</v>
      </c>
      <c r="I367" s="12"/>
    </row>
    <row r="368" spans="6:9" ht="18.75" customHeight="1" x14ac:dyDescent="0.4">
      <c r="F368" s="1">
        <v>32540</v>
      </c>
      <c r="G368" s="12">
        <v>353.07</v>
      </c>
      <c r="I368" s="12"/>
    </row>
    <row r="369" spans="6:9" ht="18.75" customHeight="1" x14ac:dyDescent="0.4">
      <c r="F369" s="1">
        <v>32568</v>
      </c>
      <c r="G369" s="12">
        <v>353.68</v>
      </c>
      <c r="I369" s="12"/>
    </row>
    <row r="370" spans="6:9" ht="18.75" customHeight="1" x14ac:dyDescent="0.4">
      <c r="F370" s="1">
        <v>32599</v>
      </c>
      <c r="G370" s="12">
        <v>355.42</v>
      </c>
      <c r="I370" s="12"/>
    </row>
    <row r="371" spans="6:9" ht="18.75" customHeight="1" x14ac:dyDescent="0.4">
      <c r="F371" s="1">
        <v>32629</v>
      </c>
      <c r="G371" s="12">
        <v>355.67</v>
      </c>
      <c r="I371" s="12"/>
    </row>
    <row r="372" spans="6:9" ht="18.75" customHeight="1" x14ac:dyDescent="0.4">
      <c r="F372" s="1">
        <v>32660</v>
      </c>
      <c r="G372" s="12">
        <v>355.12</v>
      </c>
      <c r="I372" s="12"/>
    </row>
    <row r="373" spans="6:9" ht="18.75" customHeight="1" x14ac:dyDescent="0.4">
      <c r="F373" s="1">
        <v>32690</v>
      </c>
      <c r="G373" s="12">
        <v>353.9</v>
      </c>
      <c r="I373" s="12"/>
    </row>
    <row r="374" spans="6:9" ht="18.75" customHeight="1" x14ac:dyDescent="0.4">
      <c r="F374" s="1">
        <v>32721</v>
      </c>
      <c r="G374" s="12">
        <v>351.67</v>
      </c>
      <c r="I374" s="12"/>
    </row>
    <row r="375" spans="6:9" ht="18.75" customHeight="1" x14ac:dyDescent="0.4">
      <c r="F375" s="1">
        <v>32752</v>
      </c>
      <c r="G375" s="12">
        <v>349.81</v>
      </c>
      <c r="I375" s="12"/>
    </row>
    <row r="376" spans="6:9" ht="18.75" customHeight="1" x14ac:dyDescent="0.4">
      <c r="F376" s="1">
        <v>32782</v>
      </c>
      <c r="G376" s="12">
        <v>349.99</v>
      </c>
      <c r="I376" s="12"/>
    </row>
    <row r="377" spans="6:9" ht="18.75" customHeight="1" x14ac:dyDescent="0.4">
      <c r="F377" s="1">
        <v>32813</v>
      </c>
      <c r="G377" s="12">
        <v>351.3</v>
      </c>
      <c r="I377" s="12"/>
    </row>
    <row r="378" spans="6:9" ht="18.75" customHeight="1" x14ac:dyDescent="0.4">
      <c r="F378" s="1">
        <v>32843</v>
      </c>
      <c r="G378" s="12">
        <v>352.52</v>
      </c>
      <c r="I378" s="12"/>
    </row>
    <row r="379" spans="6:9" ht="18.75" customHeight="1" x14ac:dyDescent="0.4">
      <c r="F379" s="1">
        <v>32874</v>
      </c>
      <c r="G379" s="12">
        <v>353.66</v>
      </c>
      <c r="I379" s="12"/>
    </row>
    <row r="380" spans="6:9" ht="18.75" customHeight="1" x14ac:dyDescent="0.4">
      <c r="F380" s="1">
        <v>32905</v>
      </c>
      <c r="G380" s="12">
        <v>354.7</v>
      </c>
      <c r="I380" s="12"/>
    </row>
    <row r="381" spans="6:9" ht="18.75" customHeight="1" x14ac:dyDescent="0.4">
      <c r="F381" s="1">
        <v>32933</v>
      </c>
      <c r="G381" s="12">
        <v>355.38</v>
      </c>
      <c r="I381" s="12"/>
    </row>
    <row r="382" spans="6:9" ht="18.75" customHeight="1" x14ac:dyDescent="0.4">
      <c r="F382" s="1">
        <v>32964</v>
      </c>
      <c r="G382" s="12">
        <v>356.2</v>
      </c>
      <c r="I382" s="12"/>
    </row>
    <row r="383" spans="6:9" ht="18.75" customHeight="1" x14ac:dyDescent="0.4">
      <c r="F383" s="1">
        <v>32994</v>
      </c>
      <c r="G383" s="12">
        <v>357.16</v>
      </c>
      <c r="I383" s="12"/>
    </row>
    <row r="384" spans="6:9" ht="18.75" customHeight="1" x14ac:dyDescent="0.4">
      <c r="F384" s="1">
        <v>33025</v>
      </c>
      <c r="G384" s="12">
        <v>356.23</v>
      </c>
      <c r="I384" s="12"/>
    </row>
    <row r="385" spans="6:9" ht="18.75" customHeight="1" x14ac:dyDescent="0.4">
      <c r="F385" s="1">
        <v>33055</v>
      </c>
      <c r="G385" s="12">
        <v>354.81</v>
      </c>
      <c r="I385" s="12"/>
    </row>
    <row r="386" spans="6:9" ht="18.75" customHeight="1" x14ac:dyDescent="0.4">
      <c r="F386" s="1">
        <v>33086</v>
      </c>
      <c r="G386" s="12">
        <v>352.91</v>
      </c>
      <c r="I386" s="12"/>
    </row>
    <row r="387" spans="6:9" ht="18.75" customHeight="1" x14ac:dyDescent="0.4">
      <c r="F387" s="1">
        <v>33117</v>
      </c>
      <c r="G387" s="12">
        <v>350.96</v>
      </c>
      <c r="I387" s="12"/>
    </row>
    <row r="388" spans="6:9" ht="18.75" customHeight="1" x14ac:dyDescent="0.4">
      <c r="F388" s="1">
        <v>33147</v>
      </c>
      <c r="G388" s="12">
        <v>351.18</v>
      </c>
      <c r="I388" s="12"/>
    </row>
    <row r="389" spans="6:9" ht="18.75" customHeight="1" x14ac:dyDescent="0.4">
      <c r="F389" s="1">
        <v>33178</v>
      </c>
      <c r="G389" s="12">
        <v>352.83</v>
      </c>
      <c r="I389" s="12"/>
    </row>
    <row r="390" spans="6:9" ht="18.75" customHeight="1" x14ac:dyDescent="0.4">
      <c r="F390" s="1">
        <v>33208</v>
      </c>
      <c r="G390" s="12">
        <v>354.21</v>
      </c>
      <c r="I390" s="12"/>
    </row>
    <row r="391" spans="6:9" ht="18.75" customHeight="1" x14ac:dyDescent="0.4">
      <c r="F391" s="1">
        <v>33239</v>
      </c>
      <c r="G391" s="12">
        <v>354.72</v>
      </c>
      <c r="I391" s="12"/>
    </row>
    <row r="392" spans="6:9" ht="18.75" customHeight="1" x14ac:dyDescent="0.4">
      <c r="F392" s="1">
        <v>33270</v>
      </c>
      <c r="G392" s="12">
        <v>355.75</v>
      </c>
      <c r="I392" s="12"/>
    </row>
    <row r="393" spans="6:9" ht="18.75" customHeight="1" x14ac:dyDescent="0.4">
      <c r="F393" s="1">
        <v>33298</v>
      </c>
      <c r="G393" s="12">
        <v>357.16</v>
      </c>
      <c r="I393" s="12"/>
    </row>
    <row r="394" spans="6:9" ht="18.75" customHeight="1" x14ac:dyDescent="0.4">
      <c r="F394" s="1">
        <v>33329</v>
      </c>
      <c r="G394" s="12">
        <v>358.6</v>
      </c>
      <c r="I394" s="12"/>
    </row>
    <row r="395" spans="6:9" ht="18.75" customHeight="1" x14ac:dyDescent="0.4">
      <c r="F395" s="1">
        <v>33359</v>
      </c>
      <c r="G395" s="12">
        <v>359.34</v>
      </c>
      <c r="I395" s="12"/>
    </row>
    <row r="396" spans="6:9" ht="18.75" customHeight="1" x14ac:dyDescent="0.4">
      <c r="F396" s="1">
        <v>33390</v>
      </c>
      <c r="G396" s="12">
        <v>358.24</v>
      </c>
      <c r="I396" s="12"/>
    </row>
    <row r="397" spans="6:9" ht="18.75" customHeight="1" x14ac:dyDescent="0.4">
      <c r="F397" s="1">
        <v>33420</v>
      </c>
      <c r="G397" s="12">
        <v>356.17</v>
      </c>
      <c r="I397" s="12"/>
    </row>
    <row r="398" spans="6:9" ht="18.75" customHeight="1" x14ac:dyDescent="0.4">
      <c r="F398" s="1">
        <v>33451</v>
      </c>
      <c r="G398" s="12">
        <v>354.01</v>
      </c>
      <c r="I398" s="12"/>
    </row>
    <row r="399" spans="6:9" ht="18.75" customHeight="1" x14ac:dyDescent="0.4">
      <c r="F399" s="1">
        <v>33482</v>
      </c>
      <c r="G399" s="12">
        <v>352.15</v>
      </c>
      <c r="I399" s="12"/>
    </row>
    <row r="400" spans="6:9" ht="18.75" customHeight="1" x14ac:dyDescent="0.4">
      <c r="F400" s="1">
        <v>33512</v>
      </c>
      <c r="G400" s="12">
        <v>352.21</v>
      </c>
      <c r="I400" s="12"/>
    </row>
    <row r="401" spans="6:9" ht="18.75" customHeight="1" x14ac:dyDescent="0.4">
      <c r="F401" s="1">
        <v>33543</v>
      </c>
      <c r="G401" s="12">
        <v>353.75</v>
      </c>
      <c r="I401" s="12"/>
    </row>
    <row r="402" spans="6:9" ht="18.75" customHeight="1" x14ac:dyDescent="0.4">
      <c r="F402" s="1">
        <v>33573</v>
      </c>
      <c r="G402" s="12">
        <v>354.99</v>
      </c>
      <c r="I402" s="12"/>
    </row>
    <row r="403" spans="6:9" ht="18.75" customHeight="1" x14ac:dyDescent="0.4">
      <c r="F403" s="1">
        <v>33604</v>
      </c>
      <c r="G403" s="12">
        <v>355.99</v>
      </c>
      <c r="I403" s="12"/>
    </row>
    <row r="404" spans="6:9" ht="18.75" customHeight="1" x14ac:dyDescent="0.4">
      <c r="F404" s="1">
        <v>33635</v>
      </c>
      <c r="G404" s="12">
        <v>356.72</v>
      </c>
      <c r="I404" s="12"/>
    </row>
    <row r="405" spans="6:9" ht="18.75" customHeight="1" x14ac:dyDescent="0.4">
      <c r="F405" s="1">
        <v>33664</v>
      </c>
      <c r="G405" s="12">
        <v>357.81</v>
      </c>
      <c r="I405" s="12"/>
    </row>
    <row r="406" spans="6:9" ht="18.75" customHeight="1" x14ac:dyDescent="0.4">
      <c r="F406" s="1">
        <v>33695</v>
      </c>
      <c r="G406" s="12">
        <v>359.15</v>
      </c>
      <c r="I406" s="12"/>
    </row>
    <row r="407" spans="6:9" ht="18.75" customHeight="1" x14ac:dyDescent="0.4">
      <c r="F407" s="1">
        <v>33725</v>
      </c>
      <c r="G407" s="12">
        <v>359.66</v>
      </c>
      <c r="I407" s="12"/>
    </row>
    <row r="408" spans="6:9" ht="18.75" customHeight="1" x14ac:dyDescent="0.4">
      <c r="F408" s="1">
        <v>33756</v>
      </c>
      <c r="G408" s="12">
        <v>359.25</v>
      </c>
      <c r="I408" s="12"/>
    </row>
    <row r="409" spans="6:9" ht="18.75" customHeight="1" x14ac:dyDescent="0.4">
      <c r="F409" s="1">
        <v>33786</v>
      </c>
      <c r="G409" s="12">
        <v>357.02</v>
      </c>
      <c r="I409" s="12"/>
    </row>
    <row r="410" spans="6:9" ht="18.75" customHeight="1" x14ac:dyDescent="0.4">
      <c r="F410" s="1">
        <v>33817</v>
      </c>
      <c r="G410" s="12">
        <v>355</v>
      </c>
      <c r="I410" s="12"/>
    </row>
    <row r="411" spans="6:9" ht="18.75" customHeight="1" x14ac:dyDescent="0.4">
      <c r="F411" s="1">
        <v>33848</v>
      </c>
      <c r="G411" s="12">
        <v>353.01</v>
      </c>
      <c r="I411" s="12"/>
    </row>
    <row r="412" spans="6:9" ht="18.75" customHeight="1" x14ac:dyDescent="0.4">
      <c r="F412" s="1">
        <v>33878</v>
      </c>
      <c r="G412" s="12">
        <v>353.31</v>
      </c>
      <c r="I412" s="12"/>
    </row>
    <row r="413" spans="6:9" ht="18.75" customHeight="1" x14ac:dyDescent="0.4">
      <c r="F413" s="1">
        <v>33909</v>
      </c>
      <c r="G413" s="12">
        <v>354.16</v>
      </c>
      <c r="I413" s="12"/>
    </row>
    <row r="414" spans="6:9" ht="18.75" customHeight="1" x14ac:dyDescent="0.4">
      <c r="F414" s="1">
        <v>33939</v>
      </c>
      <c r="G414" s="12">
        <v>355.4</v>
      </c>
      <c r="I414" s="12"/>
    </row>
    <row r="415" spans="6:9" ht="18.75" customHeight="1" x14ac:dyDescent="0.4">
      <c r="F415" s="1">
        <v>33970</v>
      </c>
      <c r="G415" s="12">
        <v>356.7</v>
      </c>
      <c r="I415" s="12"/>
    </row>
    <row r="416" spans="6:9" ht="18.75" customHeight="1" x14ac:dyDescent="0.4">
      <c r="F416" s="1">
        <v>34001</v>
      </c>
      <c r="G416" s="12">
        <v>357.17</v>
      </c>
      <c r="I416" s="12"/>
    </row>
    <row r="417" spans="6:9" ht="18.75" customHeight="1" x14ac:dyDescent="0.4">
      <c r="F417" s="1">
        <v>34029</v>
      </c>
      <c r="G417" s="12">
        <v>358.38</v>
      </c>
      <c r="I417" s="12"/>
    </row>
    <row r="418" spans="6:9" ht="18.75" customHeight="1" x14ac:dyDescent="0.4">
      <c r="F418" s="1">
        <v>34060</v>
      </c>
      <c r="G418" s="12">
        <v>359.46</v>
      </c>
      <c r="I418" s="12"/>
    </row>
    <row r="419" spans="6:9" ht="18.75" customHeight="1" x14ac:dyDescent="0.4">
      <c r="F419" s="1">
        <v>34090</v>
      </c>
      <c r="G419" s="12">
        <v>360.28</v>
      </c>
      <c r="I419" s="12"/>
    </row>
    <row r="420" spans="6:9" ht="18.75" customHeight="1" x14ac:dyDescent="0.4">
      <c r="F420" s="1">
        <v>34121</v>
      </c>
      <c r="G420" s="12">
        <v>359.6</v>
      </c>
      <c r="I420" s="12"/>
    </row>
    <row r="421" spans="6:9" ht="18.75" customHeight="1" x14ac:dyDescent="0.4">
      <c r="F421" s="1">
        <v>34151</v>
      </c>
      <c r="G421" s="12">
        <v>357.57</v>
      </c>
      <c r="I421" s="12"/>
    </row>
    <row r="422" spans="6:9" ht="18.75" customHeight="1" x14ac:dyDescent="0.4">
      <c r="F422" s="1">
        <v>34182</v>
      </c>
      <c r="G422" s="12">
        <v>355.52</v>
      </c>
      <c r="I422" s="12"/>
    </row>
    <row r="423" spans="6:9" ht="18.75" customHeight="1" x14ac:dyDescent="0.4">
      <c r="F423" s="1">
        <v>34213</v>
      </c>
      <c r="G423" s="12">
        <v>353.69</v>
      </c>
      <c r="I423" s="12"/>
    </row>
    <row r="424" spans="6:9" ht="18.75" customHeight="1" x14ac:dyDescent="0.4">
      <c r="F424" s="1">
        <v>34243</v>
      </c>
      <c r="G424" s="12">
        <v>353.99</v>
      </c>
      <c r="I424" s="12"/>
    </row>
    <row r="425" spans="6:9" ht="18.75" customHeight="1" x14ac:dyDescent="0.4">
      <c r="F425" s="1">
        <v>34274</v>
      </c>
      <c r="G425" s="12">
        <v>355.34</v>
      </c>
      <c r="I425" s="12"/>
    </row>
    <row r="426" spans="6:9" ht="18.75" customHeight="1" x14ac:dyDescent="0.4">
      <c r="F426" s="1">
        <v>34304</v>
      </c>
      <c r="G426" s="12">
        <v>356.8</v>
      </c>
      <c r="I426" s="12"/>
    </row>
    <row r="427" spans="6:9" ht="18.75" customHeight="1" x14ac:dyDescent="0.4">
      <c r="F427" s="1">
        <v>34335</v>
      </c>
      <c r="G427" s="12">
        <v>358.37</v>
      </c>
      <c r="I427" s="12"/>
    </row>
    <row r="428" spans="6:9" ht="18.75" customHeight="1" x14ac:dyDescent="0.4">
      <c r="F428" s="1">
        <v>34366</v>
      </c>
      <c r="G428" s="12">
        <v>358.91</v>
      </c>
      <c r="I428" s="12"/>
    </row>
    <row r="429" spans="6:9" ht="18.75" customHeight="1" x14ac:dyDescent="0.4">
      <c r="F429" s="1">
        <v>34394</v>
      </c>
      <c r="G429" s="12">
        <v>359.97</v>
      </c>
      <c r="I429" s="12"/>
    </row>
    <row r="430" spans="6:9" ht="18.75" customHeight="1" x14ac:dyDescent="0.4">
      <c r="F430" s="1">
        <v>34425</v>
      </c>
      <c r="G430" s="12">
        <v>361.26</v>
      </c>
      <c r="I430" s="12"/>
    </row>
    <row r="431" spans="6:9" ht="18.75" customHeight="1" x14ac:dyDescent="0.4">
      <c r="F431" s="1">
        <v>34455</v>
      </c>
      <c r="G431" s="12">
        <v>361.69</v>
      </c>
      <c r="I431" s="12"/>
    </row>
    <row r="432" spans="6:9" ht="18.75" customHeight="1" x14ac:dyDescent="0.4">
      <c r="F432" s="1">
        <v>34486</v>
      </c>
      <c r="G432" s="12">
        <v>360.94</v>
      </c>
      <c r="I432" s="12"/>
    </row>
    <row r="433" spans="6:9" ht="18.75" customHeight="1" x14ac:dyDescent="0.4">
      <c r="F433" s="1">
        <v>34516</v>
      </c>
      <c r="G433" s="12">
        <v>359.55</v>
      </c>
      <c r="I433" s="12"/>
    </row>
    <row r="434" spans="6:9" ht="18.75" customHeight="1" x14ac:dyDescent="0.4">
      <c r="F434" s="1">
        <v>34547</v>
      </c>
      <c r="G434" s="12">
        <v>357.48</v>
      </c>
      <c r="I434" s="12"/>
    </row>
    <row r="435" spans="6:9" ht="18.75" customHeight="1" x14ac:dyDescent="0.4">
      <c r="F435" s="1">
        <v>34578</v>
      </c>
      <c r="G435" s="12">
        <v>355.84</v>
      </c>
      <c r="I435" s="12"/>
    </row>
    <row r="436" spans="6:9" ht="18.75" customHeight="1" x14ac:dyDescent="0.4">
      <c r="F436" s="1">
        <v>34608</v>
      </c>
      <c r="G436" s="12">
        <v>356</v>
      </c>
      <c r="I436" s="12"/>
    </row>
    <row r="437" spans="6:9" ht="18.75" customHeight="1" x14ac:dyDescent="0.4">
      <c r="F437" s="1">
        <v>34639</v>
      </c>
      <c r="G437" s="12">
        <v>357.58</v>
      </c>
      <c r="I437" s="12"/>
    </row>
    <row r="438" spans="6:9" ht="18.75" customHeight="1" x14ac:dyDescent="0.4">
      <c r="F438" s="1">
        <v>34669</v>
      </c>
      <c r="G438" s="12">
        <v>359.04</v>
      </c>
      <c r="I438" s="12"/>
    </row>
    <row r="439" spans="6:9" ht="18.75" customHeight="1" x14ac:dyDescent="0.4">
      <c r="F439" s="1">
        <v>34700</v>
      </c>
      <c r="G439" s="12">
        <v>359.97</v>
      </c>
      <c r="I439" s="12"/>
    </row>
    <row r="440" spans="6:9" ht="18.75" customHeight="1" x14ac:dyDescent="0.4">
      <c r="F440" s="1">
        <v>34731</v>
      </c>
      <c r="G440" s="12">
        <v>361</v>
      </c>
      <c r="I440" s="12"/>
    </row>
    <row r="441" spans="6:9" ht="18.75" customHeight="1" x14ac:dyDescent="0.4">
      <c r="F441" s="1">
        <v>34759</v>
      </c>
      <c r="G441" s="12">
        <v>361.63</v>
      </c>
      <c r="I441" s="12"/>
    </row>
    <row r="442" spans="6:9" ht="18.75" customHeight="1" x14ac:dyDescent="0.4">
      <c r="F442" s="1">
        <v>34790</v>
      </c>
      <c r="G442" s="12">
        <v>363.45</v>
      </c>
      <c r="I442" s="12"/>
    </row>
    <row r="443" spans="6:9" ht="18.75" customHeight="1" x14ac:dyDescent="0.4">
      <c r="F443" s="1">
        <v>34820</v>
      </c>
      <c r="G443" s="12">
        <v>363.8</v>
      </c>
      <c r="I443" s="12"/>
    </row>
    <row r="444" spans="6:9" ht="18.75" customHeight="1" x14ac:dyDescent="0.4">
      <c r="F444" s="1">
        <v>34851</v>
      </c>
      <c r="G444" s="12">
        <v>363.26</v>
      </c>
      <c r="I444" s="12"/>
    </row>
    <row r="445" spans="6:9" ht="18.75" customHeight="1" x14ac:dyDescent="0.4">
      <c r="F445" s="1">
        <v>34881</v>
      </c>
      <c r="G445" s="12">
        <v>361.89</v>
      </c>
      <c r="I445" s="12"/>
    </row>
    <row r="446" spans="6:9" ht="18.75" customHeight="1" x14ac:dyDescent="0.4">
      <c r="F446" s="1">
        <v>34912</v>
      </c>
      <c r="G446" s="12">
        <v>359.45</v>
      </c>
      <c r="I446" s="12"/>
    </row>
    <row r="447" spans="6:9" ht="18.75" customHeight="1" x14ac:dyDescent="0.4">
      <c r="F447" s="1">
        <v>34943</v>
      </c>
      <c r="G447" s="12">
        <v>358.05</v>
      </c>
      <c r="I447" s="12"/>
    </row>
    <row r="448" spans="6:9" ht="18.75" customHeight="1" x14ac:dyDescent="0.4">
      <c r="F448" s="1">
        <v>34973</v>
      </c>
      <c r="G448" s="12">
        <v>357.75</v>
      </c>
      <c r="I448" s="12"/>
    </row>
    <row r="449" spans="6:9" ht="18.75" customHeight="1" x14ac:dyDescent="0.4">
      <c r="F449" s="1">
        <v>35004</v>
      </c>
      <c r="G449" s="12">
        <v>359.56</v>
      </c>
      <c r="I449" s="12"/>
    </row>
    <row r="450" spans="6:9" ht="18.75" customHeight="1" x14ac:dyDescent="0.4">
      <c r="F450" s="1">
        <v>35034</v>
      </c>
      <c r="G450" s="12">
        <v>360.7</v>
      </c>
      <c r="I450" s="12"/>
    </row>
    <row r="451" spans="6:9" ht="18.75" customHeight="1" x14ac:dyDescent="0.4">
      <c r="F451" s="1">
        <v>35065</v>
      </c>
      <c r="G451" s="12">
        <v>362.05</v>
      </c>
      <c r="I451" s="12"/>
    </row>
    <row r="452" spans="6:9" ht="18.75" customHeight="1" x14ac:dyDescent="0.4">
      <c r="F452" s="1">
        <v>35096</v>
      </c>
      <c r="G452" s="12">
        <v>363.24</v>
      </c>
      <c r="I452" s="12"/>
    </row>
    <row r="453" spans="6:9" ht="18.75" customHeight="1" x14ac:dyDescent="0.4">
      <c r="F453" s="1">
        <v>35125</v>
      </c>
      <c r="G453" s="12">
        <v>364.02</v>
      </c>
      <c r="I453" s="12"/>
    </row>
    <row r="454" spans="6:9" ht="18.75" customHeight="1" x14ac:dyDescent="0.4">
      <c r="F454" s="1">
        <v>35156</v>
      </c>
      <c r="G454" s="12">
        <v>364.71</v>
      </c>
      <c r="I454" s="12"/>
    </row>
    <row r="455" spans="6:9" ht="18.75" customHeight="1" x14ac:dyDescent="0.4">
      <c r="F455" s="1">
        <v>35186</v>
      </c>
      <c r="G455" s="12">
        <v>365.42</v>
      </c>
      <c r="I455" s="12"/>
    </row>
    <row r="456" spans="6:9" ht="18.75" customHeight="1" x14ac:dyDescent="0.4">
      <c r="F456" s="1">
        <v>35217</v>
      </c>
      <c r="G456" s="12">
        <v>364.97</v>
      </c>
      <c r="I456" s="12"/>
    </row>
    <row r="457" spans="6:9" ht="18.75" customHeight="1" x14ac:dyDescent="0.4">
      <c r="F457" s="1">
        <v>35247</v>
      </c>
      <c r="G457" s="12">
        <v>363.65</v>
      </c>
      <c r="I457" s="12"/>
    </row>
    <row r="458" spans="6:9" ht="18.75" customHeight="1" x14ac:dyDescent="0.4">
      <c r="F458" s="1">
        <v>35278</v>
      </c>
      <c r="G458" s="12">
        <v>361.48</v>
      </c>
      <c r="I458" s="12"/>
    </row>
    <row r="459" spans="6:9" ht="18.75" customHeight="1" x14ac:dyDescent="0.4">
      <c r="F459" s="1">
        <v>35309</v>
      </c>
      <c r="G459" s="12">
        <v>359.45</v>
      </c>
      <c r="I459" s="12"/>
    </row>
    <row r="460" spans="6:9" ht="18.75" customHeight="1" x14ac:dyDescent="0.4">
      <c r="F460" s="1">
        <v>35339</v>
      </c>
      <c r="G460" s="12">
        <v>359.61</v>
      </c>
      <c r="I460" s="12"/>
    </row>
    <row r="461" spans="6:9" ht="18.75" customHeight="1" x14ac:dyDescent="0.4">
      <c r="F461" s="1">
        <v>35370</v>
      </c>
      <c r="G461" s="12">
        <v>360.76</v>
      </c>
      <c r="I461" s="12"/>
    </row>
    <row r="462" spans="6:9" ht="18.75" customHeight="1" x14ac:dyDescent="0.4">
      <c r="F462" s="1">
        <v>35400</v>
      </c>
      <c r="G462" s="12">
        <v>362.33</v>
      </c>
      <c r="I462" s="12"/>
    </row>
    <row r="463" spans="6:9" ht="18.75" customHeight="1" x14ac:dyDescent="0.4">
      <c r="F463" s="1">
        <v>35431</v>
      </c>
      <c r="G463" s="12">
        <v>363.19</v>
      </c>
      <c r="I463" s="12"/>
    </row>
    <row r="464" spans="6:9" ht="18.75" customHeight="1" x14ac:dyDescent="0.4">
      <c r="F464" s="1">
        <v>35462</v>
      </c>
      <c r="G464" s="12">
        <v>363.99</v>
      </c>
      <c r="I464" s="12"/>
    </row>
    <row r="465" spans="6:9" ht="18.75" customHeight="1" x14ac:dyDescent="0.4">
      <c r="F465" s="1">
        <v>35490</v>
      </c>
      <c r="G465" s="12">
        <v>364.56</v>
      </c>
      <c r="I465" s="12"/>
    </row>
    <row r="466" spans="6:9" ht="18.75" customHeight="1" x14ac:dyDescent="0.4">
      <c r="F466" s="1">
        <v>35521</v>
      </c>
      <c r="G466" s="12">
        <v>366.36</v>
      </c>
      <c r="I466" s="12"/>
    </row>
    <row r="467" spans="6:9" ht="18.75" customHeight="1" x14ac:dyDescent="0.4">
      <c r="F467" s="1">
        <v>35551</v>
      </c>
      <c r="G467" s="12">
        <v>366.8</v>
      </c>
      <c r="I467" s="12"/>
    </row>
    <row r="468" spans="6:9" ht="18.75" customHeight="1" x14ac:dyDescent="0.4">
      <c r="F468" s="1">
        <v>35582</v>
      </c>
      <c r="G468" s="12">
        <v>365.63</v>
      </c>
      <c r="I468" s="12"/>
    </row>
    <row r="469" spans="6:9" ht="18.75" customHeight="1" x14ac:dyDescent="0.4">
      <c r="F469" s="1">
        <v>35612</v>
      </c>
      <c r="G469" s="12">
        <v>364.47</v>
      </c>
      <c r="I469" s="12"/>
    </row>
    <row r="470" spans="6:9" ht="18.75" customHeight="1" x14ac:dyDescent="0.4">
      <c r="F470" s="1">
        <v>35643</v>
      </c>
      <c r="G470" s="12">
        <v>362.5</v>
      </c>
      <c r="I470" s="12"/>
    </row>
    <row r="471" spans="6:9" ht="18.75" customHeight="1" x14ac:dyDescent="0.4">
      <c r="F471" s="1">
        <v>35674</v>
      </c>
      <c r="G471" s="12">
        <v>360.19</v>
      </c>
      <c r="I471" s="12"/>
    </row>
    <row r="472" spans="6:9" ht="18.75" customHeight="1" x14ac:dyDescent="0.4">
      <c r="F472" s="1">
        <v>35704</v>
      </c>
      <c r="G472" s="12">
        <v>360.78</v>
      </c>
      <c r="I472" s="12"/>
    </row>
    <row r="473" spans="6:9" ht="18.75" customHeight="1" x14ac:dyDescent="0.4">
      <c r="F473" s="1">
        <v>35735</v>
      </c>
      <c r="G473" s="12">
        <v>362.43</v>
      </c>
      <c r="I473" s="12"/>
    </row>
    <row r="474" spans="6:9" ht="18.75" customHeight="1" x14ac:dyDescent="0.4">
      <c r="F474" s="1">
        <v>35765</v>
      </c>
      <c r="G474" s="12">
        <v>364.28</v>
      </c>
      <c r="I474" s="12"/>
    </row>
    <row r="475" spans="6:9" ht="18.75" customHeight="1" x14ac:dyDescent="0.4">
      <c r="F475" s="1">
        <v>35796</v>
      </c>
      <c r="G475" s="12">
        <v>365.33</v>
      </c>
      <c r="I475" s="12"/>
    </row>
    <row r="476" spans="6:9" ht="18.75" customHeight="1" x14ac:dyDescent="0.4">
      <c r="F476" s="1">
        <v>35827</v>
      </c>
      <c r="G476" s="12">
        <v>366.15</v>
      </c>
      <c r="I476" s="12"/>
    </row>
    <row r="477" spans="6:9" ht="18.75" customHeight="1" x14ac:dyDescent="0.4">
      <c r="F477" s="1">
        <v>35855</v>
      </c>
      <c r="G477" s="12">
        <v>367.31</v>
      </c>
      <c r="I477" s="12"/>
    </row>
    <row r="478" spans="6:9" ht="18.75" customHeight="1" x14ac:dyDescent="0.4">
      <c r="F478" s="1">
        <v>35886</v>
      </c>
      <c r="G478" s="12">
        <v>368.61</v>
      </c>
      <c r="I478" s="12"/>
    </row>
    <row r="479" spans="6:9" ht="18.75" customHeight="1" x14ac:dyDescent="0.4">
      <c r="F479" s="1">
        <v>35916</v>
      </c>
      <c r="G479" s="12">
        <v>369.3</v>
      </c>
      <c r="I479" s="12"/>
    </row>
    <row r="480" spans="6:9" ht="18.75" customHeight="1" x14ac:dyDescent="0.4">
      <c r="F480" s="1">
        <v>35947</v>
      </c>
      <c r="G480" s="12">
        <v>368.88</v>
      </c>
      <c r="I480" s="12"/>
    </row>
    <row r="481" spans="6:9" ht="18.75" customHeight="1" x14ac:dyDescent="0.4">
      <c r="F481" s="1">
        <v>35977</v>
      </c>
      <c r="G481" s="12">
        <v>367.64</v>
      </c>
      <c r="I481" s="12"/>
    </row>
    <row r="482" spans="6:9" ht="18.75" customHeight="1" x14ac:dyDescent="0.4">
      <c r="F482" s="1">
        <v>36008</v>
      </c>
      <c r="G482" s="12">
        <v>365.78</v>
      </c>
      <c r="I482" s="12"/>
    </row>
    <row r="483" spans="6:9" ht="18.75" customHeight="1" x14ac:dyDescent="0.4">
      <c r="F483" s="1">
        <v>36039</v>
      </c>
      <c r="G483" s="12">
        <v>363.9</v>
      </c>
      <c r="I483" s="12"/>
    </row>
    <row r="484" spans="6:9" ht="18.75" customHeight="1" x14ac:dyDescent="0.4">
      <c r="F484" s="1">
        <v>36069</v>
      </c>
      <c r="G484" s="12">
        <v>364.23</v>
      </c>
      <c r="I484" s="12"/>
    </row>
    <row r="485" spans="6:9" ht="18.75" customHeight="1" x14ac:dyDescent="0.4">
      <c r="F485" s="1">
        <v>36100</v>
      </c>
      <c r="G485" s="12">
        <v>365.46</v>
      </c>
      <c r="I485" s="12"/>
    </row>
    <row r="486" spans="6:9" ht="18.75" customHeight="1" x14ac:dyDescent="0.4">
      <c r="F486" s="1">
        <v>36130</v>
      </c>
      <c r="G486" s="12">
        <v>366.97</v>
      </c>
      <c r="I486" s="12"/>
    </row>
    <row r="487" spans="6:9" ht="18.75" customHeight="1" x14ac:dyDescent="0.4">
      <c r="F487" s="1">
        <v>36161</v>
      </c>
      <c r="G487" s="12">
        <v>368.15</v>
      </c>
      <c r="I487" s="12"/>
    </row>
    <row r="488" spans="6:9" ht="18.75" customHeight="1" x14ac:dyDescent="0.4">
      <c r="F488" s="1">
        <v>36192</v>
      </c>
      <c r="G488" s="12">
        <v>368.87</v>
      </c>
      <c r="I488" s="12"/>
    </row>
    <row r="489" spans="6:9" ht="18.75" customHeight="1" x14ac:dyDescent="0.4">
      <c r="F489" s="1">
        <v>36220</v>
      </c>
      <c r="G489" s="12">
        <v>369.59</v>
      </c>
      <c r="I489" s="12"/>
    </row>
    <row r="490" spans="6:9" ht="18.75" customHeight="1" x14ac:dyDescent="0.4">
      <c r="F490" s="1">
        <v>36251</v>
      </c>
      <c r="G490" s="12">
        <v>371.14</v>
      </c>
      <c r="I490" s="12"/>
    </row>
    <row r="491" spans="6:9" ht="18.75" customHeight="1" x14ac:dyDescent="0.4">
      <c r="F491" s="1">
        <v>36281</v>
      </c>
      <c r="G491" s="12">
        <v>371</v>
      </c>
      <c r="I491" s="12"/>
    </row>
    <row r="492" spans="6:9" ht="18.75" customHeight="1" x14ac:dyDescent="0.4">
      <c r="F492" s="1">
        <v>36312</v>
      </c>
      <c r="G492" s="12">
        <v>370.35</v>
      </c>
      <c r="I492" s="12"/>
    </row>
    <row r="493" spans="6:9" ht="18.75" customHeight="1" x14ac:dyDescent="0.4">
      <c r="F493" s="1">
        <v>36342</v>
      </c>
      <c r="G493" s="12">
        <v>369.27</v>
      </c>
      <c r="I493" s="12"/>
    </row>
    <row r="494" spans="6:9" ht="18.75" customHeight="1" x14ac:dyDescent="0.4">
      <c r="F494" s="1">
        <v>36373</v>
      </c>
      <c r="G494" s="12">
        <v>366.93</v>
      </c>
      <c r="I494" s="12"/>
    </row>
    <row r="495" spans="6:9" ht="18.75" customHeight="1" x14ac:dyDescent="0.4">
      <c r="F495" s="1">
        <v>36404</v>
      </c>
      <c r="G495" s="12">
        <v>364.64</v>
      </c>
      <c r="I495" s="12"/>
    </row>
    <row r="496" spans="6:9" ht="18.75" customHeight="1" x14ac:dyDescent="0.4">
      <c r="F496" s="1">
        <v>36434</v>
      </c>
      <c r="G496" s="12">
        <v>365.13</v>
      </c>
      <c r="I496" s="12"/>
    </row>
    <row r="497" spans="6:9" ht="18.75" customHeight="1" x14ac:dyDescent="0.4">
      <c r="F497" s="1">
        <v>36465</v>
      </c>
      <c r="G497" s="12">
        <v>366.68</v>
      </c>
      <c r="I497" s="12"/>
    </row>
    <row r="498" spans="6:9" ht="18.75" customHeight="1" x14ac:dyDescent="0.4">
      <c r="F498" s="1">
        <v>36495</v>
      </c>
      <c r="G498" s="12">
        <v>368</v>
      </c>
      <c r="I498" s="12"/>
    </row>
    <row r="499" spans="6:9" ht="18.75" customHeight="1" x14ac:dyDescent="0.4">
      <c r="F499" s="1">
        <v>36526</v>
      </c>
      <c r="G499" s="12">
        <v>369.14</v>
      </c>
      <c r="I499" s="12"/>
    </row>
    <row r="500" spans="6:9" ht="18.75" customHeight="1" x14ac:dyDescent="0.4">
      <c r="F500" s="1">
        <v>36557</v>
      </c>
      <c r="G500" s="12">
        <v>369.46</v>
      </c>
      <c r="I500" s="12"/>
    </row>
    <row r="501" spans="6:9" ht="18.75" customHeight="1" x14ac:dyDescent="0.4">
      <c r="F501" s="1">
        <v>36586</v>
      </c>
      <c r="G501" s="12">
        <v>370.51</v>
      </c>
      <c r="I501" s="12"/>
    </row>
    <row r="502" spans="6:9" ht="18.75" customHeight="1" x14ac:dyDescent="0.4">
      <c r="F502" s="1">
        <v>36617</v>
      </c>
      <c r="G502" s="12">
        <v>371.66</v>
      </c>
      <c r="I502" s="12"/>
    </row>
    <row r="503" spans="6:9" ht="18.75" customHeight="1" x14ac:dyDescent="0.4">
      <c r="F503" s="1">
        <v>36647</v>
      </c>
      <c r="G503" s="12">
        <v>371.83</v>
      </c>
      <c r="I503" s="12"/>
    </row>
    <row r="504" spans="6:9" ht="18.75" customHeight="1" x14ac:dyDescent="0.4">
      <c r="F504" s="1">
        <v>36678</v>
      </c>
      <c r="G504" s="12">
        <v>371.69</v>
      </c>
      <c r="I504" s="12"/>
    </row>
    <row r="505" spans="6:9" ht="18.75" customHeight="1" x14ac:dyDescent="0.4">
      <c r="F505" s="1">
        <v>36708</v>
      </c>
      <c r="G505" s="12">
        <v>370.12</v>
      </c>
      <c r="I505" s="12"/>
    </row>
    <row r="506" spans="6:9" ht="18.75" customHeight="1" x14ac:dyDescent="0.4">
      <c r="F506" s="1">
        <v>36739</v>
      </c>
      <c r="G506" s="12">
        <v>368.12</v>
      </c>
      <c r="I506" s="12"/>
    </row>
    <row r="507" spans="6:9" ht="18.75" customHeight="1" x14ac:dyDescent="0.4">
      <c r="F507" s="1">
        <v>36770</v>
      </c>
      <c r="G507" s="12">
        <v>366.62</v>
      </c>
      <c r="I507" s="12"/>
    </row>
    <row r="508" spans="6:9" ht="18.75" customHeight="1" x14ac:dyDescent="0.4">
      <c r="F508" s="1">
        <v>36800</v>
      </c>
      <c r="G508" s="12">
        <v>366.73</v>
      </c>
      <c r="I508" s="12"/>
    </row>
    <row r="509" spans="6:9" ht="18.75" customHeight="1" x14ac:dyDescent="0.4">
      <c r="F509" s="1">
        <v>36831</v>
      </c>
      <c r="G509" s="12">
        <v>368.29</v>
      </c>
      <c r="I509" s="12"/>
    </row>
    <row r="510" spans="6:9" ht="18.75" customHeight="1" x14ac:dyDescent="0.4">
      <c r="F510" s="1">
        <v>36861</v>
      </c>
      <c r="G510" s="12">
        <v>369.52</v>
      </c>
      <c r="I510" s="12"/>
    </row>
    <row r="511" spans="6:9" ht="18.75" customHeight="1" x14ac:dyDescent="0.4">
      <c r="F511" s="1">
        <v>36892</v>
      </c>
      <c r="G511" s="12">
        <v>370.28</v>
      </c>
      <c r="I511" s="12"/>
    </row>
    <row r="512" spans="6:9" ht="18.75" customHeight="1" x14ac:dyDescent="0.4">
      <c r="F512" s="1">
        <v>36923</v>
      </c>
      <c r="G512" s="12">
        <v>371.5</v>
      </c>
      <c r="I512" s="12"/>
    </row>
    <row r="513" spans="6:9" ht="18.75" customHeight="1" x14ac:dyDescent="0.4">
      <c r="F513" s="1">
        <v>36951</v>
      </c>
      <c r="G513" s="12">
        <v>372.12</v>
      </c>
      <c r="I513" s="12"/>
    </row>
    <row r="514" spans="6:9" ht="18.75" customHeight="1" x14ac:dyDescent="0.4">
      <c r="F514" s="1">
        <v>36982</v>
      </c>
      <c r="G514" s="12">
        <v>372.86</v>
      </c>
      <c r="I514" s="12"/>
    </row>
    <row r="515" spans="6:9" ht="18.75" customHeight="1" x14ac:dyDescent="0.4">
      <c r="F515" s="1">
        <v>37012</v>
      </c>
      <c r="G515" s="12">
        <v>374.02</v>
      </c>
      <c r="I515" s="12"/>
    </row>
    <row r="516" spans="6:9" ht="18.75" customHeight="1" x14ac:dyDescent="0.4">
      <c r="F516" s="1">
        <v>37043</v>
      </c>
      <c r="G516" s="12">
        <v>373.31</v>
      </c>
      <c r="I516" s="12"/>
    </row>
    <row r="517" spans="6:9" ht="18.75" customHeight="1" x14ac:dyDescent="0.4">
      <c r="F517" s="1">
        <v>37073</v>
      </c>
      <c r="G517" s="12">
        <v>371.62</v>
      </c>
      <c r="I517" s="12"/>
    </row>
    <row r="518" spans="6:9" ht="18.75" customHeight="1" x14ac:dyDescent="0.4">
      <c r="F518" s="1">
        <v>37104</v>
      </c>
      <c r="G518" s="12">
        <v>369.55</v>
      </c>
      <c r="I518" s="12"/>
    </row>
    <row r="519" spans="6:9" ht="18.75" customHeight="1" x14ac:dyDescent="0.4">
      <c r="F519" s="1">
        <v>37135</v>
      </c>
      <c r="G519" s="12">
        <v>367.96</v>
      </c>
      <c r="I519" s="12"/>
    </row>
    <row r="520" spans="6:9" ht="18.75" customHeight="1" x14ac:dyDescent="0.4">
      <c r="F520" s="1">
        <v>37165</v>
      </c>
      <c r="G520" s="12">
        <v>368.09</v>
      </c>
      <c r="I520" s="12"/>
    </row>
    <row r="521" spans="6:9" ht="18.75" customHeight="1" x14ac:dyDescent="0.4">
      <c r="F521" s="1">
        <v>37196</v>
      </c>
      <c r="G521" s="12">
        <v>369.68</v>
      </c>
      <c r="I521" s="12"/>
    </row>
    <row r="522" spans="6:9" ht="18.75" customHeight="1" x14ac:dyDescent="0.4">
      <c r="F522" s="1">
        <v>37226</v>
      </c>
      <c r="G522" s="12">
        <v>371.24</v>
      </c>
      <c r="I522" s="12"/>
    </row>
    <row r="523" spans="6:9" ht="18.75" customHeight="1" x14ac:dyDescent="0.4">
      <c r="F523" s="1">
        <v>37257</v>
      </c>
      <c r="G523" s="12">
        <v>372.44</v>
      </c>
      <c r="I523" s="12"/>
    </row>
    <row r="524" spans="6:9" ht="18.75" customHeight="1" x14ac:dyDescent="0.4">
      <c r="F524" s="1">
        <v>37288</v>
      </c>
      <c r="G524" s="12">
        <v>373.08</v>
      </c>
      <c r="I524" s="12"/>
    </row>
    <row r="525" spans="6:9" ht="18.75" customHeight="1" x14ac:dyDescent="0.4">
      <c r="F525" s="1">
        <v>37316</v>
      </c>
      <c r="G525" s="12">
        <v>373.52</v>
      </c>
      <c r="I525" s="12"/>
    </row>
    <row r="526" spans="6:9" ht="18.75" customHeight="1" x14ac:dyDescent="0.4">
      <c r="F526" s="1">
        <v>37347</v>
      </c>
      <c r="G526" s="12">
        <v>374.85</v>
      </c>
      <c r="I526" s="12"/>
    </row>
    <row r="527" spans="6:9" ht="18.75" customHeight="1" x14ac:dyDescent="0.4">
      <c r="F527" s="1">
        <v>37377</v>
      </c>
      <c r="G527" s="12">
        <v>375.55</v>
      </c>
      <c r="I527" s="12"/>
    </row>
    <row r="528" spans="6:9" ht="18.75" customHeight="1" x14ac:dyDescent="0.4">
      <c r="F528" s="1">
        <v>37408</v>
      </c>
      <c r="G528" s="12">
        <v>375.4</v>
      </c>
      <c r="I528" s="12"/>
    </row>
    <row r="529" spans="6:9" ht="18.75" customHeight="1" x14ac:dyDescent="0.4">
      <c r="F529" s="1">
        <v>37438</v>
      </c>
      <c r="G529" s="12">
        <v>374.02</v>
      </c>
      <c r="I529" s="12"/>
    </row>
    <row r="530" spans="6:9" ht="18.75" customHeight="1" x14ac:dyDescent="0.4">
      <c r="F530" s="1">
        <v>37469</v>
      </c>
      <c r="G530" s="12">
        <v>371.48</v>
      </c>
      <c r="I530" s="12"/>
    </row>
    <row r="531" spans="6:9" ht="18.75" customHeight="1" x14ac:dyDescent="0.4">
      <c r="F531" s="1">
        <v>37500</v>
      </c>
      <c r="G531" s="12">
        <v>370.7</v>
      </c>
      <c r="I531" s="12"/>
    </row>
    <row r="532" spans="6:9" ht="18.75" customHeight="1" x14ac:dyDescent="0.4">
      <c r="F532" s="1">
        <v>37530</v>
      </c>
      <c r="G532" s="12">
        <v>370.25</v>
      </c>
      <c r="I532" s="12"/>
    </row>
    <row r="533" spans="6:9" ht="18.75" customHeight="1" x14ac:dyDescent="0.4">
      <c r="F533" s="1">
        <v>37561</v>
      </c>
      <c r="G533" s="12">
        <v>372.08</v>
      </c>
      <c r="I533" s="12"/>
    </row>
    <row r="534" spans="6:9" ht="18.75" customHeight="1" x14ac:dyDescent="0.4">
      <c r="F534" s="1">
        <v>37591</v>
      </c>
      <c r="G534" s="12">
        <v>373.78</v>
      </c>
      <c r="I534" s="12"/>
    </row>
    <row r="535" spans="6:9" ht="18.75" customHeight="1" x14ac:dyDescent="0.4">
      <c r="F535" s="1">
        <v>37622</v>
      </c>
      <c r="G535" s="12">
        <v>374.68</v>
      </c>
      <c r="I535" s="12"/>
    </row>
    <row r="536" spans="6:9" ht="18.75" customHeight="1" x14ac:dyDescent="0.4">
      <c r="F536" s="1">
        <v>37653</v>
      </c>
      <c r="G536" s="12">
        <v>375.62</v>
      </c>
      <c r="I536" s="12"/>
    </row>
    <row r="537" spans="6:9" ht="18.75" customHeight="1" x14ac:dyDescent="0.4">
      <c r="F537" s="1">
        <v>37681</v>
      </c>
      <c r="G537" s="12">
        <v>376.11</v>
      </c>
      <c r="I537" s="12"/>
    </row>
    <row r="538" spans="6:9" ht="18.75" customHeight="1" x14ac:dyDescent="0.4">
      <c r="F538" s="1">
        <v>37712</v>
      </c>
      <c r="G538" s="12">
        <v>377.65</v>
      </c>
      <c r="I538" s="12"/>
    </row>
    <row r="539" spans="6:9" ht="18.75" customHeight="1" x14ac:dyDescent="0.4">
      <c r="F539" s="1">
        <v>37742</v>
      </c>
      <c r="G539" s="12">
        <v>378.35</v>
      </c>
      <c r="I539" s="12"/>
    </row>
    <row r="540" spans="6:9" ht="18.75" customHeight="1" x14ac:dyDescent="0.4">
      <c r="F540" s="1">
        <v>37773</v>
      </c>
      <c r="G540" s="12">
        <v>378.13</v>
      </c>
      <c r="I540" s="12"/>
    </row>
    <row r="541" spans="6:9" ht="18.75" customHeight="1" x14ac:dyDescent="0.4">
      <c r="F541" s="1">
        <v>37803</v>
      </c>
      <c r="G541" s="12">
        <v>376.6</v>
      </c>
      <c r="I541" s="12"/>
    </row>
    <row r="542" spans="6:9" ht="18.75" customHeight="1" x14ac:dyDescent="0.4">
      <c r="F542" s="1">
        <v>37834</v>
      </c>
      <c r="G542" s="12">
        <v>374.48</v>
      </c>
      <c r="I542" s="12"/>
    </row>
    <row r="543" spans="6:9" ht="18.75" customHeight="1" x14ac:dyDescent="0.4">
      <c r="F543" s="1">
        <v>37865</v>
      </c>
      <c r="G543" s="12">
        <v>372.98</v>
      </c>
      <c r="I543" s="12"/>
    </row>
    <row r="544" spans="6:9" ht="18.75" customHeight="1" x14ac:dyDescent="0.4">
      <c r="F544" s="1">
        <v>37895</v>
      </c>
      <c r="G544" s="12">
        <v>373</v>
      </c>
      <c r="I544" s="12"/>
    </row>
    <row r="545" spans="6:9" ht="18.75" customHeight="1" x14ac:dyDescent="0.4">
      <c r="F545" s="1">
        <v>37926</v>
      </c>
      <c r="G545" s="12">
        <v>374.35</v>
      </c>
      <c r="I545" s="12"/>
    </row>
    <row r="546" spans="6:9" ht="18.75" customHeight="1" x14ac:dyDescent="0.4">
      <c r="F546" s="1">
        <v>37956</v>
      </c>
      <c r="G546" s="12">
        <v>375.69</v>
      </c>
      <c r="I546" s="12"/>
    </row>
    <row r="547" spans="6:9" ht="18.75" customHeight="1" x14ac:dyDescent="0.4">
      <c r="F547" s="1">
        <v>37987</v>
      </c>
      <c r="G547" s="12">
        <v>376.79</v>
      </c>
      <c r="I547" s="12"/>
    </row>
    <row r="548" spans="6:9" ht="18.75" customHeight="1" x14ac:dyDescent="0.4">
      <c r="F548" s="1">
        <v>38018</v>
      </c>
      <c r="G548" s="12">
        <v>377.37</v>
      </c>
      <c r="I548" s="12"/>
    </row>
    <row r="549" spans="6:9" ht="18.75" customHeight="1" x14ac:dyDescent="0.4">
      <c r="F549" s="1">
        <v>38047</v>
      </c>
      <c r="G549" s="12">
        <v>378.39</v>
      </c>
      <c r="I549" s="12"/>
    </row>
    <row r="550" spans="6:9" ht="18.75" customHeight="1" x14ac:dyDescent="0.4">
      <c r="F550" s="1">
        <v>38078</v>
      </c>
      <c r="G550" s="12">
        <v>380.5</v>
      </c>
      <c r="I550" s="12"/>
    </row>
    <row r="551" spans="6:9" ht="18.75" customHeight="1" x14ac:dyDescent="0.4">
      <c r="F551" s="1">
        <v>38108</v>
      </c>
      <c r="G551" s="12">
        <v>380.62</v>
      </c>
      <c r="I551" s="12"/>
    </row>
    <row r="552" spans="6:9" ht="18.75" customHeight="1" x14ac:dyDescent="0.4">
      <c r="F552" s="1">
        <v>38139</v>
      </c>
      <c r="G552" s="12">
        <v>379.55</v>
      </c>
      <c r="I552" s="12"/>
    </row>
    <row r="553" spans="6:9" ht="18.75" customHeight="1" x14ac:dyDescent="0.4">
      <c r="F553" s="1">
        <v>38169</v>
      </c>
      <c r="G553" s="12">
        <v>377.76</v>
      </c>
      <c r="I553" s="12"/>
    </row>
    <row r="554" spans="6:9" ht="18.75" customHeight="1" x14ac:dyDescent="0.4">
      <c r="F554" s="1">
        <v>38200</v>
      </c>
      <c r="G554" s="12">
        <v>375.83</v>
      </c>
      <c r="I554" s="12"/>
    </row>
    <row r="555" spans="6:9" ht="18.75" customHeight="1" x14ac:dyDescent="0.4">
      <c r="F555" s="1">
        <v>38231</v>
      </c>
      <c r="G555" s="12">
        <v>374.05</v>
      </c>
      <c r="I555" s="12"/>
    </row>
    <row r="556" spans="6:9" ht="18.75" customHeight="1" x14ac:dyDescent="0.4">
      <c r="F556" s="1">
        <v>38261</v>
      </c>
      <c r="G556" s="12">
        <v>374.22</v>
      </c>
      <c r="I556" s="12"/>
    </row>
    <row r="557" spans="6:9" ht="18.75" customHeight="1" x14ac:dyDescent="0.4">
      <c r="F557" s="1">
        <v>38292</v>
      </c>
      <c r="G557" s="12">
        <v>375.84</v>
      </c>
      <c r="I557" s="12"/>
    </row>
    <row r="558" spans="6:9" ht="18.75" customHeight="1" x14ac:dyDescent="0.4">
      <c r="F558" s="1">
        <v>38322</v>
      </c>
      <c r="G558" s="12">
        <v>377.44</v>
      </c>
      <c r="I558" s="12"/>
    </row>
    <row r="559" spans="6:9" ht="18.75" customHeight="1" x14ac:dyDescent="0.4">
      <c r="F559" s="1">
        <v>38353</v>
      </c>
      <c r="G559" s="12">
        <v>378.34</v>
      </c>
      <c r="I559" s="12"/>
    </row>
    <row r="560" spans="6:9" ht="18.75" customHeight="1" x14ac:dyDescent="0.4">
      <c r="F560" s="1">
        <v>38384</v>
      </c>
      <c r="G560" s="12">
        <v>379.61</v>
      </c>
      <c r="I560" s="12"/>
    </row>
    <row r="561" spans="6:9" ht="18.75" customHeight="1" x14ac:dyDescent="0.4">
      <c r="F561" s="1">
        <v>38412</v>
      </c>
      <c r="G561" s="12">
        <v>380.08</v>
      </c>
      <c r="I561" s="12"/>
    </row>
    <row r="562" spans="6:9" ht="18.75" customHeight="1" x14ac:dyDescent="0.4">
      <c r="F562" s="1">
        <v>38443</v>
      </c>
      <c r="G562" s="12">
        <v>382.05</v>
      </c>
      <c r="I562" s="12"/>
    </row>
    <row r="563" spans="6:9" ht="18.75" customHeight="1" x14ac:dyDescent="0.4">
      <c r="F563" s="1">
        <v>38473</v>
      </c>
      <c r="G563" s="12">
        <v>382.24</v>
      </c>
      <c r="I563" s="12"/>
    </row>
    <row r="564" spans="6:9" ht="18.75" customHeight="1" x14ac:dyDescent="0.4">
      <c r="F564" s="1">
        <v>38504</v>
      </c>
      <c r="G564" s="12">
        <v>382.08</v>
      </c>
      <c r="I564" s="12"/>
    </row>
    <row r="565" spans="6:9" ht="18.75" customHeight="1" x14ac:dyDescent="0.4">
      <c r="F565" s="1">
        <v>38534</v>
      </c>
      <c r="G565" s="12">
        <v>380.66</v>
      </c>
      <c r="I565" s="12"/>
    </row>
    <row r="566" spans="6:9" ht="18.75" customHeight="1" x14ac:dyDescent="0.4">
      <c r="F566" s="1">
        <v>38565</v>
      </c>
      <c r="G566" s="12">
        <v>378.67</v>
      </c>
      <c r="I566" s="12"/>
    </row>
    <row r="567" spans="6:9" ht="18.75" customHeight="1" x14ac:dyDescent="0.4">
      <c r="F567" s="1">
        <v>38596</v>
      </c>
      <c r="G567" s="12">
        <v>376.42</v>
      </c>
      <c r="I567" s="12"/>
    </row>
    <row r="568" spans="6:9" ht="18.75" customHeight="1" x14ac:dyDescent="0.4">
      <c r="F568" s="1">
        <v>38626</v>
      </c>
      <c r="G568" s="12">
        <v>376.8</v>
      </c>
      <c r="I568" s="12"/>
    </row>
    <row r="569" spans="6:9" ht="18.75" customHeight="1" x14ac:dyDescent="0.4">
      <c r="F569" s="1">
        <v>38657</v>
      </c>
      <c r="G569" s="12">
        <v>378.31</v>
      </c>
      <c r="I569" s="12"/>
    </row>
    <row r="570" spans="6:9" ht="18.75" customHeight="1" x14ac:dyDescent="0.4">
      <c r="F570" s="1">
        <v>38687</v>
      </c>
      <c r="G570" s="12">
        <v>379.96</v>
      </c>
      <c r="I570" s="12"/>
    </row>
    <row r="571" spans="6:9" ht="18.75" customHeight="1" x14ac:dyDescent="0.4">
      <c r="F571" s="1">
        <v>38718</v>
      </c>
      <c r="G571" s="12">
        <v>381.37</v>
      </c>
      <c r="I571" s="12"/>
    </row>
    <row r="572" spans="6:9" ht="18.75" customHeight="1" x14ac:dyDescent="0.4">
      <c r="F572" s="1">
        <v>38749</v>
      </c>
      <c r="G572" s="12">
        <v>382.02</v>
      </c>
      <c r="I572" s="12"/>
    </row>
    <row r="573" spans="6:9" ht="18.75" customHeight="1" x14ac:dyDescent="0.4">
      <c r="F573" s="1">
        <v>38777</v>
      </c>
      <c r="G573" s="12">
        <v>382.56</v>
      </c>
      <c r="I573" s="12"/>
    </row>
    <row r="574" spans="6:9" ht="18.75" customHeight="1" x14ac:dyDescent="0.4">
      <c r="F574" s="1">
        <v>38808</v>
      </c>
      <c r="G574" s="12">
        <v>384.36</v>
      </c>
      <c r="I574" s="12"/>
    </row>
    <row r="575" spans="6:9" ht="18.75" customHeight="1" x14ac:dyDescent="0.4">
      <c r="F575" s="1">
        <v>38838</v>
      </c>
      <c r="G575" s="12">
        <v>384.92</v>
      </c>
      <c r="I575" s="12"/>
    </row>
    <row r="576" spans="6:9" ht="18.75" customHeight="1" x14ac:dyDescent="0.4">
      <c r="F576" s="1">
        <v>38869</v>
      </c>
      <c r="G576" s="12">
        <v>384.03</v>
      </c>
      <c r="I576" s="12"/>
    </row>
    <row r="577" spans="6:9" ht="18.75" customHeight="1" x14ac:dyDescent="0.4">
      <c r="F577" s="1">
        <v>38899</v>
      </c>
      <c r="G577" s="12">
        <v>382.28</v>
      </c>
      <c r="I577" s="12"/>
    </row>
    <row r="578" spans="6:9" ht="18.75" customHeight="1" x14ac:dyDescent="0.4">
      <c r="F578" s="1">
        <v>38930</v>
      </c>
      <c r="G578" s="12">
        <v>380.48</v>
      </c>
      <c r="I578" s="12"/>
    </row>
    <row r="579" spans="6:9" ht="18.75" customHeight="1" x14ac:dyDescent="0.4">
      <c r="F579" s="1">
        <v>38961</v>
      </c>
      <c r="G579" s="12">
        <v>378.81</v>
      </c>
      <c r="I579" s="12"/>
    </row>
    <row r="580" spans="6:9" ht="18.75" customHeight="1" x14ac:dyDescent="0.4">
      <c r="F580" s="1">
        <v>38991</v>
      </c>
      <c r="G580" s="12">
        <v>379.06</v>
      </c>
      <c r="I580" s="12"/>
    </row>
    <row r="581" spans="6:9" ht="18.75" customHeight="1" x14ac:dyDescent="0.4">
      <c r="F581" s="1">
        <v>39022</v>
      </c>
      <c r="G581" s="12">
        <v>380.14</v>
      </c>
      <c r="I581" s="12"/>
    </row>
    <row r="582" spans="6:9" ht="18.75" customHeight="1" x14ac:dyDescent="0.4">
      <c r="F582" s="1">
        <v>39052</v>
      </c>
      <c r="G582" s="12">
        <v>381.66</v>
      </c>
      <c r="I582" s="12"/>
    </row>
    <row r="583" spans="6:9" ht="18.75" customHeight="1" x14ac:dyDescent="0.4">
      <c r="F583" s="1">
        <v>39083</v>
      </c>
      <c r="G583" s="12">
        <v>382.58</v>
      </c>
      <c r="I583" s="12"/>
    </row>
    <row r="584" spans="6:9" ht="18.75" customHeight="1" x14ac:dyDescent="0.4">
      <c r="F584" s="1">
        <v>39114</v>
      </c>
      <c r="G584" s="12">
        <v>383.71</v>
      </c>
      <c r="I584" s="12"/>
    </row>
    <row r="585" spans="6:9" ht="18.75" customHeight="1" x14ac:dyDescent="0.4">
      <c r="F585" s="1">
        <v>39142</v>
      </c>
      <c r="G585" s="12">
        <v>384.34</v>
      </c>
      <c r="I585" s="12"/>
    </row>
    <row r="586" spans="6:9" ht="18.75" customHeight="1" x14ac:dyDescent="0.4">
      <c r="F586" s="1">
        <v>39173</v>
      </c>
      <c r="G586" s="12">
        <v>386.23</v>
      </c>
      <c r="I586" s="12"/>
    </row>
    <row r="587" spans="6:9" ht="18.75" customHeight="1" x14ac:dyDescent="0.4">
      <c r="F587" s="1">
        <v>39203</v>
      </c>
      <c r="G587" s="12">
        <v>386.41</v>
      </c>
      <c r="I587" s="12"/>
    </row>
    <row r="588" spans="6:9" ht="18.75" customHeight="1" x14ac:dyDescent="0.4">
      <c r="F588" s="1">
        <v>39234</v>
      </c>
      <c r="G588" s="12">
        <v>385.87</v>
      </c>
      <c r="I588" s="12"/>
    </row>
    <row r="589" spans="6:9" ht="18.75" customHeight="1" x14ac:dyDescent="0.4">
      <c r="F589" s="1">
        <v>39264</v>
      </c>
      <c r="G589" s="12">
        <v>384.44</v>
      </c>
      <c r="I589" s="12"/>
    </row>
    <row r="590" spans="6:9" ht="18.75" customHeight="1" x14ac:dyDescent="0.4">
      <c r="F590" s="1">
        <v>39295</v>
      </c>
      <c r="G590" s="12">
        <v>381.84</v>
      </c>
      <c r="I590" s="12"/>
    </row>
    <row r="591" spans="6:9" ht="18.75" customHeight="1" x14ac:dyDescent="0.4">
      <c r="F591" s="1">
        <v>39326</v>
      </c>
      <c r="G591" s="12">
        <v>380.86</v>
      </c>
      <c r="I591" s="12"/>
    </row>
    <row r="592" spans="6:9" ht="18.75" customHeight="1" x14ac:dyDescent="0.4">
      <c r="F592" s="1">
        <v>39356</v>
      </c>
      <c r="G592" s="12">
        <v>380.86</v>
      </c>
      <c r="I592" s="12"/>
    </row>
    <row r="593" spans="6:9" ht="18.75" customHeight="1" x14ac:dyDescent="0.4">
      <c r="F593" s="1">
        <v>39387</v>
      </c>
      <c r="G593" s="12">
        <v>382.36</v>
      </c>
      <c r="I593" s="12"/>
    </row>
    <row r="594" spans="6:9" ht="18.75" customHeight="1" x14ac:dyDescent="0.4">
      <c r="F594" s="1">
        <v>39417</v>
      </c>
      <c r="G594" s="12">
        <v>383.61</v>
      </c>
      <c r="I594" s="12"/>
    </row>
    <row r="595" spans="6:9" ht="18.75" customHeight="1" x14ac:dyDescent="0.4">
      <c r="F595" s="1">
        <v>39448</v>
      </c>
      <c r="G595" s="12">
        <v>385.07</v>
      </c>
      <c r="I595" s="12"/>
    </row>
    <row r="596" spans="6:9" ht="18.75" customHeight="1" x14ac:dyDescent="0.4">
      <c r="F596" s="1">
        <v>39479</v>
      </c>
      <c r="G596" s="12">
        <v>385.84</v>
      </c>
      <c r="I596" s="12"/>
    </row>
    <row r="597" spans="6:9" ht="18.75" customHeight="1" x14ac:dyDescent="0.4">
      <c r="F597" s="1">
        <v>39508</v>
      </c>
      <c r="G597" s="12">
        <v>385.83</v>
      </c>
      <c r="I597" s="12"/>
    </row>
    <row r="598" spans="6:9" ht="18.75" customHeight="1" x14ac:dyDescent="0.4">
      <c r="F598" s="1">
        <v>39539</v>
      </c>
      <c r="G598" s="12">
        <v>386.77</v>
      </c>
      <c r="I598" s="12"/>
    </row>
    <row r="599" spans="6:9" ht="18.75" customHeight="1" x14ac:dyDescent="0.4">
      <c r="F599" s="1">
        <v>39569</v>
      </c>
      <c r="G599" s="12">
        <v>388.51</v>
      </c>
      <c r="I599" s="12"/>
    </row>
    <row r="600" spans="6:9" ht="18.75" customHeight="1" x14ac:dyDescent="0.4">
      <c r="F600" s="1">
        <v>39600</v>
      </c>
      <c r="G600" s="12">
        <v>388.05</v>
      </c>
      <c r="I600" s="12"/>
    </row>
    <row r="601" spans="6:9" ht="18.75" customHeight="1" x14ac:dyDescent="0.4">
      <c r="F601" s="1">
        <v>39630</v>
      </c>
      <c r="G601" s="12">
        <v>386.25</v>
      </c>
      <c r="I601" s="12"/>
    </row>
    <row r="602" spans="6:9" ht="18.75" customHeight="1" x14ac:dyDescent="0.4">
      <c r="F602" s="1">
        <v>39661</v>
      </c>
      <c r="G602" s="12">
        <v>384.08</v>
      </c>
      <c r="I602" s="12"/>
    </row>
    <row r="603" spans="6:9" ht="18.75" customHeight="1" x14ac:dyDescent="0.4">
      <c r="F603" s="1">
        <v>39692</v>
      </c>
      <c r="G603" s="12">
        <v>383.09</v>
      </c>
      <c r="I603" s="12"/>
    </row>
    <row r="604" spans="6:9" ht="18.75" customHeight="1" x14ac:dyDescent="0.4">
      <c r="F604" s="1">
        <v>39722</v>
      </c>
      <c r="G604" s="12">
        <v>382.78</v>
      </c>
      <c r="I604" s="12"/>
    </row>
    <row r="605" spans="6:9" ht="18.75" customHeight="1" x14ac:dyDescent="0.4">
      <c r="F605" s="1">
        <v>39753</v>
      </c>
      <c r="G605" s="12">
        <v>384.01</v>
      </c>
      <c r="I605" s="12"/>
    </row>
    <row r="606" spans="6:9" ht="18.75" customHeight="1" x14ac:dyDescent="0.4">
      <c r="F606" s="1">
        <v>39783</v>
      </c>
      <c r="G606" s="12">
        <v>385.11</v>
      </c>
      <c r="I606" s="12"/>
    </row>
    <row r="607" spans="6:9" ht="18.75" customHeight="1" x14ac:dyDescent="0.4">
      <c r="F607" s="1">
        <v>39814</v>
      </c>
      <c r="G607" s="12">
        <v>386.65</v>
      </c>
      <c r="I607" s="12"/>
    </row>
    <row r="608" spans="6:9" ht="18.75" customHeight="1" x14ac:dyDescent="0.4">
      <c r="F608" s="1">
        <v>39845</v>
      </c>
      <c r="G608" s="12">
        <v>387.12</v>
      </c>
      <c r="I608" s="12"/>
    </row>
    <row r="609" spans="6:9" ht="18.75" customHeight="1" x14ac:dyDescent="0.4">
      <c r="F609" s="1">
        <v>39873</v>
      </c>
      <c r="G609" s="12">
        <v>388.52</v>
      </c>
      <c r="I609" s="12"/>
    </row>
    <row r="610" spans="6:9" ht="18.75" customHeight="1" x14ac:dyDescent="0.4">
      <c r="F610" s="1">
        <v>39904</v>
      </c>
      <c r="G610" s="12">
        <v>389.57</v>
      </c>
      <c r="I610" s="12"/>
    </row>
    <row r="611" spans="6:9" ht="18.75" customHeight="1" x14ac:dyDescent="0.4">
      <c r="F611" s="1">
        <v>39934</v>
      </c>
      <c r="G611" s="12">
        <v>390.17</v>
      </c>
      <c r="I611" s="12"/>
    </row>
    <row r="612" spans="6:9" ht="18.75" customHeight="1" x14ac:dyDescent="0.4">
      <c r="F612" s="1">
        <v>39965</v>
      </c>
      <c r="G612" s="12">
        <v>389.62</v>
      </c>
      <c r="I612" s="12"/>
    </row>
    <row r="613" spans="6:9" ht="18.75" customHeight="1" x14ac:dyDescent="0.4">
      <c r="F613" s="1">
        <v>39995</v>
      </c>
      <c r="G613" s="12">
        <v>388.07</v>
      </c>
      <c r="I613" s="12"/>
    </row>
    <row r="614" spans="6:9" ht="18.75" customHeight="1" x14ac:dyDescent="0.4">
      <c r="F614" s="1">
        <v>40026</v>
      </c>
      <c r="G614" s="12">
        <v>386.08</v>
      </c>
      <c r="I614" s="12"/>
    </row>
    <row r="615" spans="6:9" ht="18.75" customHeight="1" x14ac:dyDescent="0.4">
      <c r="F615" s="1">
        <v>40057</v>
      </c>
      <c r="G615" s="12">
        <v>384.65</v>
      </c>
      <c r="I615" s="12"/>
    </row>
    <row r="616" spans="6:9" ht="18.75" customHeight="1" x14ac:dyDescent="0.4">
      <c r="F616" s="1">
        <v>40087</v>
      </c>
      <c r="G616" s="12">
        <v>384.33</v>
      </c>
      <c r="I616" s="12"/>
    </row>
    <row r="617" spans="6:9" ht="18.75" customHeight="1" x14ac:dyDescent="0.4">
      <c r="F617" s="1">
        <v>40118</v>
      </c>
      <c r="G617" s="12">
        <v>386.05</v>
      </c>
      <c r="I617" s="12"/>
    </row>
    <row r="618" spans="6:9" ht="18.75" customHeight="1" x14ac:dyDescent="0.4">
      <c r="F618" s="1">
        <v>40148</v>
      </c>
      <c r="G618" s="12">
        <v>387.49</v>
      </c>
      <c r="I618" s="12"/>
    </row>
    <row r="619" spans="6:9" ht="18.75" customHeight="1" x14ac:dyDescent="0.4">
      <c r="F619" s="1">
        <v>40179</v>
      </c>
      <c r="G619" s="12">
        <v>388.55</v>
      </c>
      <c r="I619" s="12"/>
    </row>
    <row r="620" spans="6:9" ht="18.75" customHeight="1" x14ac:dyDescent="0.4">
      <c r="F620" s="1">
        <v>40210</v>
      </c>
      <c r="G620" s="12">
        <v>390.08</v>
      </c>
      <c r="I620" s="12"/>
    </row>
    <row r="621" spans="6:9" ht="18.75" customHeight="1" x14ac:dyDescent="0.4">
      <c r="F621" s="1">
        <v>40238</v>
      </c>
      <c r="G621" s="12">
        <v>391.01</v>
      </c>
      <c r="I621" s="12"/>
    </row>
    <row r="622" spans="6:9" ht="18.75" customHeight="1" x14ac:dyDescent="0.4">
      <c r="F622" s="1">
        <v>40269</v>
      </c>
      <c r="G622" s="12">
        <v>392.38</v>
      </c>
      <c r="I622" s="12"/>
    </row>
    <row r="623" spans="6:9" ht="18.75" customHeight="1" x14ac:dyDescent="0.4">
      <c r="F623" s="1">
        <v>40299</v>
      </c>
      <c r="G623" s="12">
        <v>393.22</v>
      </c>
      <c r="I623" s="12"/>
    </row>
    <row r="624" spans="6:9" ht="18.75" customHeight="1" x14ac:dyDescent="0.4">
      <c r="F624" s="1">
        <v>40330</v>
      </c>
      <c r="G624" s="12">
        <v>392.24</v>
      </c>
      <c r="I624" s="12"/>
    </row>
    <row r="625" spans="6:9" ht="18.75" customHeight="1" x14ac:dyDescent="0.4">
      <c r="F625" s="1">
        <v>40360</v>
      </c>
      <c r="G625" s="12">
        <v>390.33</v>
      </c>
      <c r="I625" s="12"/>
    </row>
    <row r="626" spans="6:9" ht="18.75" customHeight="1" x14ac:dyDescent="0.4">
      <c r="F626" s="1">
        <v>40391</v>
      </c>
      <c r="G626" s="12">
        <v>388.52</v>
      </c>
      <c r="I626" s="12"/>
    </row>
    <row r="627" spans="6:9" ht="18.75" customHeight="1" x14ac:dyDescent="0.4">
      <c r="F627" s="1">
        <v>40422</v>
      </c>
      <c r="G627" s="12">
        <v>386.84</v>
      </c>
      <c r="I627" s="12"/>
    </row>
    <row r="628" spans="6:9" ht="18.75" customHeight="1" x14ac:dyDescent="0.4">
      <c r="F628" s="1">
        <v>40452</v>
      </c>
      <c r="G628" s="12">
        <v>387.16</v>
      </c>
      <c r="I628" s="12"/>
    </row>
    <row r="629" spans="6:9" ht="18.75" customHeight="1" x14ac:dyDescent="0.4">
      <c r="F629" s="1">
        <v>40483</v>
      </c>
      <c r="G629" s="12">
        <v>388.67</v>
      </c>
      <c r="I629" s="12"/>
    </row>
    <row r="630" spans="6:9" ht="18.75" customHeight="1" x14ac:dyDescent="0.4">
      <c r="F630" s="1">
        <v>40513</v>
      </c>
      <c r="G630" s="12">
        <v>389.81</v>
      </c>
      <c r="I630" s="12"/>
    </row>
    <row r="631" spans="6:9" ht="18.75" customHeight="1" x14ac:dyDescent="0.4">
      <c r="F631" s="1">
        <v>40544</v>
      </c>
      <c r="G631" s="12">
        <v>391.3</v>
      </c>
      <c r="I631" s="12"/>
    </row>
    <row r="632" spans="6:9" ht="18.75" customHeight="1" x14ac:dyDescent="0.4">
      <c r="F632" s="1">
        <v>40575</v>
      </c>
      <c r="G632" s="12">
        <v>391.92</v>
      </c>
      <c r="I632" s="12"/>
    </row>
    <row r="633" spans="6:9" ht="18.75" customHeight="1" x14ac:dyDescent="0.4">
      <c r="F633" s="1">
        <v>40603</v>
      </c>
      <c r="G633" s="12">
        <v>392.45</v>
      </c>
      <c r="I633" s="12"/>
    </row>
    <row r="634" spans="6:9" ht="18.75" customHeight="1" x14ac:dyDescent="0.4">
      <c r="F634" s="1">
        <v>40634</v>
      </c>
      <c r="G634" s="12">
        <v>393.37</v>
      </c>
      <c r="I634" s="12"/>
    </row>
    <row r="635" spans="6:9" ht="18.75" customHeight="1" x14ac:dyDescent="0.4">
      <c r="F635" s="1">
        <v>40664</v>
      </c>
      <c r="G635" s="12">
        <v>394.28</v>
      </c>
      <c r="I635" s="12"/>
    </row>
    <row r="636" spans="6:9" ht="18.75" customHeight="1" x14ac:dyDescent="0.4">
      <c r="F636" s="1">
        <v>40695</v>
      </c>
      <c r="G636" s="12">
        <v>393.69</v>
      </c>
      <c r="I636" s="12"/>
    </row>
    <row r="637" spans="6:9" ht="18.75" customHeight="1" x14ac:dyDescent="0.4">
      <c r="F637" s="1">
        <v>40725</v>
      </c>
      <c r="G637" s="12">
        <v>392.59</v>
      </c>
      <c r="I637" s="12"/>
    </row>
    <row r="638" spans="6:9" ht="18.75" customHeight="1" x14ac:dyDescent="0.4">
      <c r="F638" s="1">
        <v>40756</v>
      </c>
      <c r="G638" s="12">
        <v>390.21</v>
      </c>
      <c r="I638" s="12"/>
    </row>
    <row r="639" spans="6:9" ht="18.75" customHeight="1" x14ac:dyDescent="0.4">
      <c r="F639" s="1">
        <v>40787</v>
      </c>
      <c r="G639" s="12">
        <v>389</v>
      </c>
      <c r="I639" s="12"/>
    </row>
    <row r="640" spans="6:9" ht="18.75" customHeight="1" x14ac:dyDescent="0.4">
      <c r="F640" s="1">
        <v>40817</v>
      </c>
      <c r="G640" s="12">
        <v>388.93</v>
      </c>
      <c r="I640" s="12"/>
    </row>
    <row r="641" spans="6:9" ht="18.75" customHeight="1" x14ac:dyDescent="0.4">
      <c r="F641" s="1">
        <v>40848</v>
      </c>
      <c r="G641" s="12">
        <v>390.24</v>
      </c>
      <c r="I641" s="12"/>
    </row>
    <row r="642" spans="6:9" ht="18.75" customHeight="1" x14ac:dyDescent="0.4">
      <c r="F642" s="1">
        <v>40878</v>
      </c>
      <c r="G642" s="12">
        <v>391.8</v>
      </c>
      <c r="I642" s="12"/>
    </row>
    <row r="643" spans="6:9" ht="18.75" customHeight="1" x14ac:dyDescent="0.4">
      <c r="F643" s="1">
        <v>40909</v>
      </c>
      <c r="G643" s="12">
        <v>393.07</v>
      </c>
      <c r="I643" s="12"/>
    </row>
    <row r="644" spans="6:9" ht="18.75" customHeight="1" x14ac:dyDescent="0.4">
      <c r="F644" s="1">
        <v>40940</v>
      </c>
      <c r="G644" s="12">
        <v>393.35</v>
      </c>
      <c r="I644" s="12"/>
    </row>
    <row r="645" spans="6:9" ht="18.75" customHeight="1" x14ac:dyDescent="0.4">
      <c r="F645" s="1">
        <v>40969</v>
      </c>
      <c r="G645" s="12">
        <v>394.36</v>
      </c>
      <c r="I645" s="12"/>
    </row>
    <row r="646" spans="6:9" ht="18.75" customHeight="1" x14ac:dyDescent="0.4">
      <c r="F646" s="1">
        <v>41000</v>
      </c>
      <c r="G646" s="12">
        <v>396.43</v>
      </c>
      <c r="I646" s="12"/>
    </row>
    <row r="647" spans="6:9" ht="18.75" customHeight="1" x14ac:dyDescent="0.4">
      <c r="F647" s="1">
        <v>41030</v>
      </c>
      <c r="G647" s="12">
        <v>396.87</v>
      </c>
      <c r="I647" s="12"/>
    </row>
    <row r="648" spans="6:9" ht="18.75" customHeight="1" x14ac:dyDescent="0.4">
      <c r="F648" s="1">
        <v>41061</v>
      </c>
      <c r="G648" s="12">
        <v>395.88</v>
      </c>
      <c r="I648" s="12"/>
    </row>
    <row r="649" spans="6:9" ht="18.75" customHeight="1" x14ac:dyDescent="0.4">
      <c r="F649" s="1">
        <v>41091</v>
      </c>
      <c r="G649" s="12">
        <v>394.52</v>
      </c>
      <c r="I649" s="12"/>
    </row>
    <row r="650" spans="6:9" ht="18.75" customHeight="1" x14ac:dyDescent="0.4">
      <c r="F650" s="1">
        <v>41122</v>
      </c>
      <c r="G650" s="12">
        <v>392.54</v>
      </c>
      <c r="I650" s="12"/>
    </row>
    <row r="651" spans="6:9" ht="18.75" customHeight="1" x14ac:dyDescent="0.4">
      <c r="F651" s="1">
        <v>41153</v>
      </c>
      <c r="G651" s="12">
        <v>391.13</v>
      </c>
      <c r="I651" s="12"/>
    </row>
    <row r="652" spans="6:9" ht="18.75" customHeight="1" x14ac:dyDescent="0.4">
      <c r="F652" s="1">
        <v>41183</v>
      </c>
      <c r="G652" s="12">
        <v>391.01</v>
      </c>
      <c r="I652" s="12"/>
    </row>
    <row r="653" spans="6:9" ht="18.75" customHeight="1" x14ac:dyDescent="0.4">
      <c r="F653" s="1">
        <v>41214</v>
      </c>
      <c r="G653" s="12">
        <v>392.95</v>
      </c>
      <c r="I653" s="12"/>
    </row>
    <row r="654" spans="6:9" ht="18.75" customHeight="1" x14ac:dyDescent="0.4">
      <c r="F654" s="1">
        <v>41244</v>
      </c>
      <c r="G654" s="12">
        <v>394.33</v>
      </c>
      <c r="I654" s="12"/>
    </row>
    <row r="655" spans="6:9" ht="18.75" customHeight="1" x14ac:dyDescent="0.4">
      <c r="F655" s="1">
        <v>41275</v>
      </c>
      <c r="G655" s="12">
        <v>395.61</v>
      </c>
      <c r="I655" s="12"/>
    </row>
    <row r="656" spans="6:9" ht="18.75" customHeight="1" x14ac:dyDescent="0.4">
      <c r="F656" s="1">
        <v>41306</v>
      </c>
      <c r="G656" s="12">
        <v>396.85</v>
      </c>
      <c r="I656" s="12"/>
    </row>
    <row r="657" spans="6:9" ht="18.75" customHeight="1" x14ac:dyDescent="0.4">
      <c r="F657" s="1">
        <v>41334</v>
      </c>
      <c r="G657" s="12">
        <v>397.26</v>
      </c>
      <c r="I657" s="12"/>
    </row>
    <row r="658" spans="6:9" ht="18.75" customHeight="1" x14ac:dyDescent="0.4">
      <c r="F658" s="1">
        <v>41365</v>
      </c>
      <c r="G658" s="12">
        <v>398.35</v>
      </c>
      <c r="I658" s="12"/>
    </row>
    <row r="659" spans="6:9" ht="18.75" customHeight="1" x14ac:dyDescent="0.4">
      <c r="F659" s="1">
        <v>41395</v>
      </c>
      <c r="G659" s="12">
        <v>399.98</v>
      </c>
      <c r="I659" s="12"/>
    </row>
    <row r="660" spans="6:9" ht="18.75" customHeight="1" x14ac:dyDescent="0.4">
      <c r="F660" s="1">
        <v>41426</v>
      </c>
      <c r="G660" s="12">
        <v>398.87</v>
      </c>
      <c r="I660" s="12"/>
    </row>
    <row r="661" spans="6:9" ht="18.75" customHeight="1" x14ac:dyDescent="0.4">
      <c r="F661" s="1">
        <v>41456</v>
      </c>
      <c r="G661" s="12">
        <v>397.37</v>
      </c>
      <c r="I661" s="12"/>
    </row>
    <row r="662" spans="6:9" ht="18.75" customHeight="1" x14ac:dyDescent="0.4">
      <c r="F662" s="1">
        <v>41487</v>
      </c>
      <c r="G662" s="12">
        <v>395.41</v>
      </c>
      <c r="I662" s="12"/>
    </row>
    <row r="663" spans="6:9" ht="18.75" customHeight="1" x14ac:dyDescent="0.4">
      <c r="F663" s="1">
        <v>41518</v>
      </c>
      <c r="G663" s="12">
        <v>393.39</v>
      </c>
      <c r="I663" s="12"/>
    </row>
    <row r="664" spans="6:9" ht="18.75" customHeight="1" x14ac:dyDescent="0.4">
      <c r="F664" s="1">
        <v>41548</v>
      </c>
      <c r="G664" s="12">
        <v>393.7</v>
      </c>
      <c r="I664" s="12"/>
    </row>
    <row r="665" spans="6:9" ht="18.75" customHeight="1" x14ac:dyDescent="0.4">
      <c r="F665" s="1">
        <v>41579</v>
      </c>
      <c r="G665" s="12">
        <v>395.19</v>
      </c>
      <c r="I665" s="12"/>
    </row>
    <row r="666" spans="6:9" ht="18.75" customHeight="1" x14ac:dyDescent="0.4">
      <c r="F666" s="1">
        <v>41609</v>
      </c>
      <c r="G666" s="12">
        <v>396.82</v>
      </c>
      <c r="I666" s="12"/>
    </row>
    <row r="667" spans="6:9" ht="18.75" customHeight="1" x14ac:dyDescent="0.4">
      <c r="F667" s="1">
        <v>41640</v>
      </c>
      <c r="G667" s="12">
        <v>397.93</v>
      </c>
      <c r="I667" s="12"/>
    </row>
    <row r="668" spans="6:9" ht="18.75" customHeight="1" x14ac:dyDescent="0.4">
      <c r="F668" s="1">
        <v>41671</v>
      </c>
      <c r="G668" s="12">
        <v>398.1</v>
      </c>
      <c r="I668" s="12"/>
    </row>
    <row r="669" spans="6:9" ht="18.75" customHeight="1" x14ac:dyDescent="0.4">
      <c r="F669" s="1">
        <v>41699</v>
      </c>
      <c r="G669" s="12">
        <v>399.47</v>
      </c>
      <c r="I669" s="12"/>
    </row>
    <row r="670" spans="6:9" ht="18.75" customHeight="1" x14ac:dyDescent="0.4">
      <c r="F670" s="1">
        <v>41730</v>
      </c>
      <c r="G670" s="12">
        <v>401.33</v>
      </c>
      <c r="I670" s="12"/>
    </row>
    <row r="671" spans="6:9" ht="18.75" customHeight="1" x14ac:dyDescent="0.4">
      <c r="F671" s="1">
        <v>41760</v>
      </c>
      <c r="G671" s="12">
        <v>401.88</v>
      </c>
      <c r="I671" s="12"/>
    </row>
    <row r="672" spans="6:9" ht="18.75" customHeight="1" x14ac:dyDescent="0.4">
      <c r="F672" s="1">
        <v>41791</v>
      </c>
      <c r="G672" s="12">
        <v>401.31</v>
      </c>
      <c r="I672" s="12"/>
    </row>
    <row r="673" spans="6:9" ht="18.75" customHeight="1" x14ac:dyDescent="0.4">
      <c r="F673" s="1">
        <v>41821</v>
      </c>
      <c r="G673" s="12">
        <v>399.07</v>
      </c>
      <c r="I673" s="12"/>
    </row>
    <row r="674" spans="6:9" ht="18.75" customHeight="1" x14ac:dyDescent="0.4">
      <c r="F674" s="1">
        <v>41852</v>
      </c>
      <c r="G674" s="12">
        <v>397.21</v>
      </c>
      <c r="I674" s="12"/>
    </row>
    <row r="675" spans="6:9" ht="18.75" customHeight="1" x14ac:dyDescent="0.4">
      <c r="F675" s="1">
        <v>41883</v>
      </c>
      <c r="G675" s="12">
        <v>395.4</v>
      </c>
      <c r="I675" s="12"/>
    </row>
    <row r="676" spans="6:9" ht="18.75" customHeight="1" x14ac:dyDescent="0.4">
      <c r="F676" s="1">
        <v>41913</v>
      </c>
      <c r="G676" s="12">
        <v>395.65</v>
      </c>
      <c r="I676" s="12"/>
    </row>
    <row r="677" spans="6:9" ht="18.75" customHeight="1" x14ac:dyDescent="0.4">
      <c r="F677" s="1">
        <v>41944</v>
      </c>
      <c r="G677" s="12">
        <v>397.23</v>
      </c>
      <c r="I677" s="12"/>
    </row>
    <row r="678" spans="6:9" ht="18.75" customHeight="1" x14ac:dyDescent="0.4">
      <c r="F678" s="1">
        <v>41974</v>
      </c>
      <c r="G678" s="12">
        <v>398.79</v>
      </c>
      <c r="I678" s="12"/>
    </row>
    <row r="679" spans="6:9" ht="18.75" customHeight="1" x14ac:dyDescent="0.4">
      <c r="F679" s="1">
        <v>42005</v>
      </c>
      <c r="G679" s="12">
        <v>399.85</v>
      </c>
      <c r="I679" s="12"/>
    </row>
    <row r="680" spans="6:9" ht="18.75" customHeight="1" x14ac:dyDescent="0.4">
      <c r="F680" s="1">
        <v>42036</v>
      </c>
      <c r="G680" s="12">
        <v>400.31</v>
      </c>
      <c r="I680" s="12"/>
    </row>
    <row r="681" spans="6:9" ht="18.75" customHeight="1" x14ac:dyDescent="0.4">
      <c r="F681" s="1">
        <v>42064</v>
      </c>
      <c r="G681" s="12">
        <v>401.51</v>
      </c>
      <c r="I681" s="12"/>
    </row>
    <row r="682" spans="6:9" ht="18.75" customHeight="1" x14ac:dyDescent="0.4">
      <c r="F682" s="1">
        <v>42095</v>
      </c>
      <c r="G682" s="12">
        <v>403.45</v>
      </c>
      <c r="I682" s="12"/>
    </row>
    <row r="683" spans="6:9" ht="18.75" customHeight="1" x14ac:dyDescent="0.4">
      <c r="F683" s="1">
        <v>42125</v>
      </c>
      <c r="G683" s="12">
        <v>404.1</v>
      </c>
      <c r="I683" s="12"/>
    </row>
    <row r="684" spans="6:9" ht="18.75" customHeight="1" x14ac:dyDescent="0.4">
      <c r="F684" s="1">
        <v>42156</v>
      </c>
      <c r="G684" s="12">
        <v>402.88</v>
      </c>
      <c r="I684" s="12"/>
    </row>
    <row r="685" spans="6:9" ht="18.75" customHeight="1" x14ac:dyDescent="0.4">
      <c r="F685" s="1">
        <v>42186</v>
      </c>
      <c r="G685" s="12">
        <v>401.61</v>
      </c>
      <c r="I685" s="12"/>
    </row>
    <row r="686" spans="6:9" ht="18.75" customHeight="1" x14ac:dyDescent="0.4">
      <c r="F686" s="1">
        <v>42217</v>
      </c>
      <c r="G686" s="12">
        <v>399</v>
      </c>
      <c r="I686" s="12"/>
    </row>
    <row r="687" spans="6:9" ht="18.75" customHeight="1" x14ac:dyDescent="0.4">
      <c r="F687" s="1">
        <v>42248</v>
      </c>
      <c r="G687" s="12">
        <v>397.5</v>
      </c>
      <c r="I687" s="12"/>
    </row>
    <row r="688" spans="6:9" ht="18.75" customHeight="1" x14ac:dyDescent="0.4">
      <c r="F688" s="1">
        <v>42278</v>
      </c>
      <c r="G688" s="12">
        <v>398.28</v>
      </c>
      <c r="I688" s="12"/>
    </row>
    <row r="689" spans="6:9" ht="18.75" customHeight="1" x14ac:dyDescent="0.4">
      <c r="F689" s="1">
        <v>42309</v>
      </c>
      <c r="G689" s="12">
        <v>400.24</v>
      </c>
      <c r="I689" s="12"/>
    </row>
    <row r="690" spans="6:9" ht="18.75" customHeight="1" x14ac:dyDescent="0.4">
      <c r="F690" s="1">
        <v>42339</v>
      </c>
      <c r="G690" s="12">
        <v>401.89</v>
      </c>
      <c r="I690" s="12"/>
    </row>
    <row r="691" spans="6:9" ht="18.75" customHeight="1" x14ac:dyDescent="0.4">
      <c r="F691" s="1">
        <v>42370</v>
      </c>
      <c r="G691" s="12">
        <v>402.65</v>
      </c>
      <c r="I691" s="12"/>
    </row>
    <row r="692" spans="6:9" ht="18.75" customHeight="1" x14ac:dyDescent="0.4">
      <c r="F692" s="1">
        <v>42401</v>
      </c>
      <c r="G692" s="12">
        <v>404.16</v>
      </c>
      <c r="I692" s="12"/>
    </row>
    <row r="693" spans="6:9" ht="18.75" customHeight="1" x14ac:dyDescent="0.4">
      <c r="F693" s="1">
        <v>42430</v>
      </c>
      <c r="G693" s="12">
        <v>404.85</v>
      </c>
      <c r="I693" s="12"/>
    </row>
    <row r="694" spans="6:9" ht="18.75" customHeight="1" x14ac:dyDescent="0.4">
      <c r="F694" s="1">
        <v>42461</v>
      </c>
      <c r="G694" s="12">
        <v>407.57</v>
      </c>
      <c r="I694" s="12"/>
    </row>
    <row r="695" spans="6:9" ht="18.75" customHeight="1" x14ac:dyDescent="0.4">
      <c r="F695" s="1">
        <v>42491</v>
      </c>
      <c r="G695" s="12">
        <v>407.66</v>
      </c>
      <c r="I695" s="12"/>
    </row>
    <row r="696" spans="6:9" ht="18.75" customHeight="1" x14ac:dyDescent="0.4">
      <c r="F696" s="1">
        <v>42522</v>
      </c>
      <c r="G696" s="12">
        <v>407</v>
      </c>
      <c r="I696" s="12"/>
    </row>
    <row r="697" spans="6:9" ht="18.75" customHeight="1" x14ac:dyDescent="0.4">
      <c r="F697" s="1">
        <v>42552</v>
      </c>
      <c r="G697" s="12">
        <v>404.5</v>
      </c>
      <c r="I697" s="12"/>
    </row>
    <row r="698" spans="6:9" ht="18.75" customHeight="1" x14ac:dyDescent="0.4">
      <c r="F698" s="1">
        <v>42583</v>
      </c>
      <c r="G698" s="12">
        <v>402.24</v>
      </c>
      <c r="I698" s="12"/>
    </row>
    <row r="699" spans="6:9" ht="18.75" customHeight="1" x14ac:dyDescent="0.4">
      <c r="F699" s="1">
        <v>42614</v>
      </c>
      <c r="G699" s="12">
        <v>401.01</v>
      </c>
      <c r="I699" s="12"/>
    </row>
    <row r="700" spans="6:9" ht="18.75" customHeight="1" x14ac:dyDescent="0.4">
      <c r="F700" s="1">
        <v>42644</v>
      </c>
      <c r="G700" s="12">
        <v>401.5</v>
      </c>
      <c r="I700" s="12"/>
    </row>
    <row r="701" spans="6:9" ht="18.75" customHeight="1" x14ac:dyDescent="0.4">
      <c r="F701" s="1">
        <v>42675</v>
      </c>
      <c r="G701" s="12">
        <v>403.64</v>
      </c>
      <c r="I701" s="12"/>
    </row>
    <row r="702" spans="6:9" ht="18.75" customHeight="1" x14ac:dyDescent="0.4">
      <c r="F702" s="1">
        <v>42705</v>
      </c>
      <c r="G702" s="12">
        <v>404.55</v>
      </c>
      <c r="I702" s="12"/>
    </row>
    <row r="703" spans="6:9" ht="18.75" customHeight="1" x14ac:dyDescent="0.4">
      <c r="F703" s="1">
        <v>42736</v>
      </c>
      <c r="G703" s="12">
        <v>406.07</v>
      </c>
      <c r="I703" s="12"/>
    </row>
    <row r="704" spans="6:9" ht="18.75" customHeight="1" x14ac:dyDescent="0.4">
      <c r="F704" s="1">
        <v>42767</v>
      </c>
      <c r="G704" s="12">
        <v>406.64</v>
      </c>
      <c r="I704" s="12"/>
    </row>
    <row r="705" spans="6:9" ht="18.75" customHeight="1" x14ac:dyDescent="0.4">
      <c r="F705" s="1">
        <v>42795</v>
      </c>
      <c r="G705" s="12">
        <v>407.05</v>
      </c>
      <c r="I705" s="12"/>
    </row>
    <row r="706" spans="6:9" ht="18.75" customHeight="1" x14ac:dyDescent="0.4">
      <c r="F706" s="1">
        <v>42826</v>
      </c>
      <c r="G706" s="12">
        <v>408.95</v>
      </c>
      <c r="I706" s="12"/>
    </row>
    <row r="707" spans="6:9" ht="18.75" customHeight="1" x14ac:dyDescent="0.4">
      <c r="F707" s="1">
        <v>42856</v>
      </c>
      <c r="G707" s="12">
        <v>409.91</v>
      </c>
      <c r="I707" s="12"/>
    </row>
    <row r="708" spans="6:9" ht="18.75" customHeight="1" x14ac:dyDescent="0.4">
      <c r="F708" s="1">
        <v>42887</v>
      </c>
      <c r="G708" s="12">
        <v>409.12</v>
      </c>
      <c r="I708" s="12"/>
    </row>
    <row r="709" spans="6:9" ht="18.75" customHeight="1" x14ac:dyDescent="0.4">
      <c r="F709" s="1">
        <v>42917</v>
      </c>
      <c r="G709" s="12">
        <v>407.2</v>
      </c>
      <c r="I709" s="12"/>
    </row>
    <row r="710" spans="6:9" ht="18.75" customHeight="1" x14ac:dyDescent="0.4">
      <c r="F710" s="1">
        <v>42948</v>
      </c>
      <c r="G710" s="12">
        <v>405.24</v>
      </c>
      <c r="I710" s="12"/>
    </row>
    <row r="711" spans="6:9" ht="18.75" customHeight="1" x14ac:dyDescent="0.4">
      <c r="F711" s="1">
        <v>42979</v>
      </c>
      <c r="G711" s="12">
        <v>403.27</v>
      </c>
      <c r="I711" s="12"/>
    </row>
    <row r="712" spans="6:9" ht="18.75" customHeight="1" x14ac:dyDescent="0.4">
      <c r="F712" s="1">
        <v>43009</v>
      </c>
      <c r="G712" s="12">
        <v>403.64</v>
      </c>
      <c r="I712" s="12"/>
    </row>
    <row r="713" spans="6:9" ht="18.75" customHeight="1" x14ac:dyDescent="0.4">
      <c r="F713" s="1">
        <v>43040</v>
      </c>
      <c r="G713" s="12">
        <v>405.17</v>
      </c>
      <c r="I713" s="12"/>
    </row>
    <row r="714" spans="6:9" ht="18.75" customHeight="1" x14ac:dyDescent="0.4">
      <c r="F714" s="1">
        <v>43070</v>
      </c>
      <c r="G714" s="12">
        <v>406.75</v>
      </c>
      <c r="I714" s="12"/>
    </row>
    <row r="715" spans="6:9" ht="18.75" customHeight="1" x14ac:dyDescent="0.4">
      <c r="F715" s="1">
        <v>43101</v>
      </c>
      <c r="G715" s="12">
        <v>408.05</v>
      </c>
      <c r="I715" s="12"/>
    </row>
    <row r="716" spans="6:9" ht="18.75" customHeight="1" x14ac:dyDescent="0.4">
      <c r="F716" s="1">
        <v>43132</v>
      </c>
      <c r="G716" s="12">
        <v>408.34</v>
      </c>
      <c r="I716" s="12"/>
    </row>
    <row r="717" spans="6:9" ht="18.75" customHeight="1" x14ac:dyDescent="0.4">
      <c r="F717" s="1">
        <v>43160</v>
      </c>
      <c r="G717" s="12">
        <v>409.25</v>
      </c>
      <c r="I717" s="12"/>
    </row>
    <row r="718" spans="6:9" ht="18.75" customHeight="1" x14ac:dyDescent="0.4">
      <c r="F718" s="1">
        <v>43191</v>
      </c>
      <c r="G718" s="12">
        <v>410.3</v>
      </c>
      <c r="I718" s="12"/>
    </row>
    <row r="719" spans="6:9" ht="18.75" customHeight="1" x14ac:dyDescent="0.4">
      <c r="F719" s="1">
        <v>43221</v>
      </c>
      <c r="G719" s="12">
        <v>411.3</v>
      </c>
      <c r="I719" s="12"/>
    </row>
    <row r="720" spans="6:9" ht="18.75" customHeight="1" x14ac:dyDescent="0.4">
      <c r="F720" s="1">
        <v>43252</v>
      </c>
      <c r="G720" s="12">
        <v>410.88</v>
      </c>
      <c r="I720" s="12"/>
    </row>
    <row r="721" spans="6:9" ht="18.75" customHeight="1" x14ac:dyDescent="0.4">
      <c r="F721" s="1">
        <v>43282</v>
      </c>
      <c r="G721" s="12">
        <v>408.9</v>
      </c>
      <c r="I721" s="12"/>
    </row>
    <row r="722" spans="6:9" ht="18.75" customHeight="1" x14ac:dyDescent="0.4">
      <c r="F722" s="1">
        <v>43313</v>
      </c>
      <c r="G722" s="12">
        <v>407.1</v>
      </c>
      <c r="I722" s="12"/>
    </row>
    <row r="723" spans="6:9" ht="18.75" customHeight="1" x14ac:dyDescent="0.4">
      <c r="F723" s="1">
        <v>43344</v>
      </c>
      <c r="G723" s="12">
        <v>405.59</v>
      </c>
      <c r="I723" s="12"/>
    </row>
    <row r="724" spans="6:9" ht="18.75" customHeight="1" x14ac:dyDescent="0.4">
      <c r="F724" s="1">
        <v>43374</v>
      </c>
      <c r="G724" s="12">
        <v>405.99</v>
      </c>
      <c r="I724" s="12"/>
    </row>
    <row r="725" spans="6:9" ht="18.75" customHeight="1" x14ac:dyDescent="0.4">
      <c r="F725" s="1">
        <v>43405</v>
      </c>
      <c r="G725" s="12">
        <v>408.12</v>
      </c>
      <c r="I725" s="12"/>
    </row>
    <row r="726" spans="6:9" ht="18.75" customHeight="1" x14ac:dyDescent="0.4">
      <c r="F726" s="1">
        <v>43435</v>
      </c>
      <c r="G726" s="12">
        <v>409.23</v>
      </c>
      <c r="I726" s="12"/>
    </row>
    <row r="727" spans="6:9" ht="18.75" customHeight="1" x14ac:dyDescent="0.4">
      <c r="F727" s="1">
        <v>43466</v>
      </c>
      <c r="G727" s="12">
        <v>410.92</v>
      </c>
      <c r="I727" s="12"/>
    </row>
    <row r="728" spans="6:9" ht="18.75" customHeight="1" x14ac:dyDescent="0.4">
      <c r="F728" s="1">
        <v>43497</v>
      </c>
      <c r="G728" s="12">
        <v>411.66</v>
      </c>
      <c r="I728" s="12"/>
    </row>
    <row r="729" spans="6:9" ht="18.75" customHeight="1" x14ac:dyDescent="0.4">
      <c r="F729" s="1">
        <v>43525</v>
      </c>
      <c r="G729" s="12">
        <v>412</v>
      </c>
      <c r="I729" s="12"/>
    </row>
    <row r="730" spans="6:9" ht="18.75" customHeight="1" x14ac:dyDescent="0.4">
      <c r="F730" s="1">
        <v>43556</v>
      </c>
      <c r="G730" s="12">
        <v>413.52</v>
      </c>
      <c r="I730" s="12"/>
    </row>
    <row r="731" spans="6:9" ht="18.75" customHeight="1" x14ac:dyDescent="0.4">
      <c r="F731" s="1">
        <v>43586</v>
      </c>
      <c r="G731" s="12">
        <v>414.83</v>
      </c>
      <c r="I731" s="12"/>
    </row>
    <row r="732" spans="6:9" ht="18.75" customHeight="1" x14ac:dyDescent="0.4">
      <c r="F732" s="1">
        <v>43617</v>
      </c>
      <c r="G732" s="12">
        <v>413.96</v>
      </c>
      <c r="I732" s="12"/>
    </row>
    <row r="733" spans="6:9" ht="18.75" customHeight="1" x14ac:dyDescent="0.4">
      <c r="F733" s="1">
        <v>43647</v>
      </c>
      <c r="G733" s="12">
        <v>411.85</v>
      </c>
      <c r="I733" s="12"/>
    </row>
    <row r="734" spans="6:9" ht="18.75" customHeight="1" x14ac:dyDescent="0.4">
      <c r="F734" s="1">
        <v>43678</v>
      </c>
      <c r="G734" s="12">
        <v>410.08</v>
      </c>
      <c r="I734" s="12"/>
    </row>
    <row r="735" spans="6:9" ht="18.75" customHeight="1" x14ac:dyDescent="0.4">
      <c r="F735" s="1">
        <v>43709</v>
      </c>
      <c r="G735" s="12">
        <v>408.55</v>
      </c>
      <c r="I735" s="12"/>
    </row>
    <row r="736" spans="6:9" ht="18.75" customHeight="1" x14ac:dyDescent="0.4">
      <c r="F736" s="1">
        <v>43739</v>
      </c>
      <c r="G736" s="12">
        <v>408.43</v>
      </c>
      <c r="I736" s="12"/>
    </row>
    <row r="737" spans="6:9" ht="18.75" customHeight="1" x14ac:dyDescent="0.4">
      <c r="F737" s="1">
        <v>43770</v>
      </c>
      <c r="G737" s="12">
        <v>410.29</v>
      </c>
      <c r="I737" s="12"/>
    </row>
    <row r="738" spans="6:9" ht="18.75" customHeight="1" x14ac:dyDescent="0.4">
      <c r="F738" s="1">
        <v>43800</v>
      </c>
      <c r="G738" s="12">
        <v>411.85</v>
      </c>
      <c r="I738" s="12"/>
    </row>
    <row r="739" spans="6:9" ht="18.75" customHeight="1" x14ac:dyDescent="0.4">
      <c r="F739" s="1">
        <v>43831</v>
      </c>
      <c r="G739" s="12">
        <v>413.37</v>
      </c>
      <c r="I739" s="12"/>
    </row>
    <row r="740" spans="6:9" ht="18.75" customHeight="1" x14ac:dyDescent="0.4">
      <c r="F740" s="1">
        <v>43862</v>
      </c>
      <c r="G740" s="12">
        <v>414.09</v>
      </c>
      <c r="I740" s="12"/>
    </row>
    <row r="741" spans="6:9" ht="18.75" customHeight="1" x14ac:dyDescent="0.4">
      <c r="F741" s="1">
        <v>43891</v>
      </c>
      <c r="G741" s="12">
        <v>414.51</v>
      </c>
      <c r="I741" s="12"/>
    </row>
    <row r="742" spans="6:9" ht="18.75" customHeight="1" x14ac:dyDescent="0.4">
      <c r="F742" s="1">
        <v>43922</v>
      </c>
      <c r="G742" s="12">
        <v>416.18</v>
      </c>
      <c r="I742" s="12"/>
    </row>
    <row r="743" spans="6:9" ht="18.75" customHeight="1" x14ac:dyDescent="0.4">
      <c r="F743" s="1">
        <v>43952</v>
      </c>
      <c r="I743" s="12"/>
    </row>
    <row r="744" spans="6:9" ht="18.75" customHeight="1" x14ac:dyDescent="0.4">
      <c r="F744" s="1">
        <v>43983</v>
      </c>
      <c r="I744" s="12"/>
    </row>
    <row r="745" spans="6:9" ht="18.75" customHeight="1" x14ac:dyDescent="0.4">
      <c r="F745" s="1">
        <v>44013</v>
      </c>
      <c r="I745" s="12"/>
    </row>
    <row r="746" spans="6:9" ht="18.75" customHeight="1" x14ac:dyDescent="0.4">
      <c r="F746" s="1">
        <v>44044</v>
      </c>
      <c r="I746" s="12"/>
    </row>
    <row r="747" spans="6:9" ht="18.75" customHeight="1" x14ac:dyDescent="0.4">
      <c r="F747" s="1">
        <v>44075</v>
      </c>
      <c r="I747" s="12"/>
    </row>
    <row r="748" spans="6:9" ht="18.75" customHeight="1" x14ac:dyDescent="0.4">
      <c r="F748" s="1">
        <v>44105</v>
      </c>
      <c r="I748" s="12"/>
    </row>
    <row r="749" spans="6:9" ht="18.75" customHeight="1" x14ac:dyDescent="0.4">
      <c r="F749" s="1">
        <v>44136</v>
      </c>
      <c r="I749" s="12"/>
    </row>
    <row r="750" spans="6:9" ht="18.75" customHeight="1" x14ac:dyDescent="0.4">
      <c r="F750" s="1">
        <v>44166</v>
      </c>
      <c r="I750" s="12"/>
    </row>
    <row r="751" spans="6:9" ht="18.75" customHeight="1" x14ac:dyDescent="0.4">
      <c r="F751" s="1">
        <v>44197</v>
      </c>
      <c r="I751" s="12"/>
    </row>
    <row r="752" spans="6:9" ht="18.75" customHeight="1" x14ac:dyDescent="0.4">
      <c r="F752" s="1">
        <v>44228</v>
      </c>
      <c r="I752" s="12"/>
    </row>
    <row r="753" spans="6:9" ht="18.75" customHeight="1" x14ac:dyDescent="0.4">
      <c r="F753" s="1">
        <v>44256</v>
      </c>
      <c r="I753" s="12"/>
    </row>
    <row r="754" spans="6:9" ht="18.75" customHeight="1" x14ac:dyDescent="0.4">
      <c r="F754" s="1">
        <v>44287</v>
      </c>
      <c r="I754" s="12"/>
    </row>
    <row r="755" spans="6:9" ht="18.75" customHeight="1" x14ac:dyDescent="0.4">
      <c r="F755" s="1">
        <v>44317</v>
      </c>
      <c r="I755" s="12"/>
    </row>
    <row r="756" spans="6:9" ht="18.75" customHeight="1" x14ac:dyDescent="0.4">
      <c r="F756" s="1">
        <v>44348</v>
      </c>
      <c r="I756" s="12"/>
    </row>
    <row r="757" spans="6:9" ht="18.75" customHeight="1" x14ac:dyDescent="0.4">
      <c r="F757" s="1">
        <v>44378</v>
      </c>
      <c r="I757" s="12"/>
    </row>
    <row r="758" spans="6:9" ht="18.75" customHeight="1" x14ac:dyDescent="0.4">
      <c r="F758" s="1">
        <v>44409</v>
      </c>
      <c r="I758" s="12"/>
    </row>
    <row r="759" spans="6:9" ht="18.75" customHeight="1" x14ac:dyDescent="0.4">
      <c r="F759" s="1">
        <v>44440</v>
      </c>
      <c r="I759" s="12"/>
    </row>
    <row r="760" spans="6:9" ht="18.75" customHeight="1" x14ac:dyDescent="0.4">
      <c r="F760" s="1">
        <v>44470</v>
      </c>
      <c r="I760" s="12"/>
    </row>
    <row r="761" spans="6:9" ht="18.75" customHeight="1" x14ac:dyDescent="0.4">
      <c r="F761" s="1">
        <v>44501</v>
      </c>
      <c r="I761" s="12"/>
    </row>
    <row r="762" spans="6:9" ht="18.75" customHeight="1" x14ac:dyDescent="0.4">
      <c r="F762" s="1">
        <v>44531</v>
      </c>
      <c r="I762" s="12"/>
    </row>
    <row r="763" spans="6:9" ht="18.75" customHeight="1" x14ac:dyDescent="0.4">
      <c r="F763" s="1">
        <v>44562</v>
      </c>
      <c r="I763" s="12"/>
    </row>
    <row r="764" spans="6:9" ht="18.75" customHeight="1" x14ac:dyDescent="0.4">
      <c r="F764" s="1">
        <v>44593</v>
      </c>
      <c r="I764" s="12"/>
    </row>
    <row r="765" spans="6:9" ht="18.75" customHeight="1" x14ac:dyDescent="0.4">
      <c r="F765" s="1">
        <v>44621</v>
      </c>
      <c r="I765" s="12"/>
    </row>
    <row r="766" spans="6:9" ht="18.75" customHeight="1" x14ac:dyDescent="0.4">
      <c r="F766" s="1">
        <v>44652</v>
      </c>
      <c r="I766" s="12"/>
    </row>
    <row r="767" spans="6:9" ht="18.75" customHeight="1" x14ac:dyDescent="0.4">
      <c r="F767" s="1">
        <v>44682</v>
      </c>
      <c r="I767" s="12"/>
    </row>
    <row r="768" spans="6:9" ht="18.75" customHeight="1" x14ac:dyDescent="0.4">
      <c r="F768" s="1">
        <v>44713</v>
      </c>
      <c r="I768" s="12"/>
    </row>
    <row r="769" spans="6:9" ht="18.75" customHeight="1" x14ac:dyDescent="0.4">
      <c r="F769" s="1">
        <v>44743</v>
      </c>
      <c r="I769" s="12"/>
    </row>
    <row r="770" spans="6:9" ht="18.75" customHeight="1" x14ac:dyDescent="0.4">
      <c r="F770" s="1">
        <v>44774</v>
      </c>
      <c r="I770" s="12"/>
    </row>
    <row r="771" spans="6:9" ht="18.75" customHeight="1" x14ac:dyDescent="0.4">
      <c r="F771" s="1">
        <v>44805</v>
      </c>
      <c r="I771" s="12"/>
    </row>
    <row r="772" spans="6:9" ht="18.75" customHeight="1" x14ac:dyDescent="0.4">
      <c r="F772" s="1">
        <v>44835</v>
      </c>
      <c r="I772" s="12"/>
    </row>
    <row r="773" spans="6:9" ht="18.75" customHeight="1" x14ac:dyDescent="0.4">
      <c r="F773" s="1">
        <v>44866</v>
      </c>
      <c r="I773" s="12"/>
    </row>
    <row r="774" spans="6:9" ht="18.75" customHeight="1" x14ac:dyDescent="0.4">
      <c r="F774" s="1">
        <v>44896</v>
      </c>
      <c r="I774" s="12"/>
    </row>
    <row r="775" spans="6:9" ht="18.75" customHeight="1" x14ac:dyDescent="0.4">
      <c r="F775" s="1">
        <v>44927</v>
      </c>
      <c r="I775" s="12"/>
    </row>
    <row r="776" spans="6:9" ht="18.75" customHeight="1" x14ac:dyDescent="0.4">
      <c r="F776" s="1">
        <v>44958</v>
      </c>
      <c r="I776" s="12"/>
    </row>
    <row r="777" spans="6:9" ht="18.75" customHeight="1" x14ac:dyDescent="0.4">
      <c r="F777" s="1">
        <v>44986</v>
      </c>
      <c r="I777" s="12"/>
    </row>
    <row r="778" spans="6:9" ht="18.75" customHeight="1" x14ac:dyDescent="0.4">
      <c r="F778" s="1">
        <v>45017</v>
      </c>
      <c r="I778" s="12"/>
    </row>
    <row r="779" spans="6:9" ht="18.75" customHeight="1" x14ac:dyDescent="0.4">
      <c r="F779" s="1">
        <v>45047</v>
      </c>
      <c r="I779" s="12"/>
    </row>
    <row r="780" spans="6:9" ht="18.75" customHeight="1" x14ac:dyDescent="0.4">
      <c r="F780" s="1">
        <v>45078</v>
      </c>
      <c r="I780" s="12"/>
    </row>
    <row r="781" spans="6:9" ht="18.75" customHeight="1" x14ac:dyDescent="0.4">
      <c r="F781" s="1">
        <v>45108</v>
      </c>
      <c r="I781" s="12"/>
    </row>
    <row r="782" spans="6:9" ht="18.75" customHeight="1" x14ac:dyDescent="0.4">
      <c r="F782" s="1">
        <v>45139</v>
      </c>
      <c r="I782" s="12"/>
    </row>
    <row r="783" spans="6:9" ht="18.75" customHeight="1" x14ac:dyDescent="0.4">
      <c r="F783" s="1">
        <v>45170</v>
      </c>
      <c r="I783" s="12"/>
    </row>
    <row r="784" spans="6:9" ht="18.75" customHeight="1" x14ac:dyDescent="0.4">
      <c r="F784" s="1">
        <v>45200</v>
      </c>
      <c r="I784" s="12"/>
    </row>
    <row r="785" spans="6:9" ht="18.75" customHeight="1" x14ac:dyDescent="0.4">
      <c r="F785" s="1">
        <v>45231</v>
      </c>
      <c r="I785" s="12"/>
    </row>
    <row r="786" spans="6:9" ht="18.75" customHeight="1" x14ac:dyDescent="0.4">
      <c r="F786" s="1">
        <v>45261</v>
      </c>
      <c r="I786" s="12"/>
    </row>
    <row r="787" spans="6:9" ht="18.75" customHeight="1" x14ac:dyDescent="0.4">
      <c r="F787" s="1">
        <v>45292</v>
      </c>
      <c r="I787" s="12"/>
    </row>
    <row r="788" spans="6:9" ht="18.75" customHeight="1" x14ac:dyDescent="0.4">
      <c r="F788" s="1">
        <v>45323</v>
      </c>
      <c r="I788" s="12"/>
    </row>
    <row r="789" spans="6:9" ht="18.75" customHeight="1" x14ac:dyDescent="0.4">
      <c r="F789" s="1">
        <v>45352</v>
      </c>
      <c r="I789" s="12"/>
    </row>
    <row r="790" spans="6:9" ht="18.75" customHeight="1" x14ac:dyDescent="0.4">
      <c r="F790" s="1">
        <v>45383</v>
      </c>
      <c r="I790" s="12"/>
    </row>
    <row r="791" spans="6:9" ht="18.75" customHeight="1" x14ac:dyDescent="0.4">
      <c r="F791" s="1">
        <v>45413</v>
      </c>
      <c r="I791" s="12"/>
    </row>
    <row r="792" spans="6:9" ht="18.75" customHeight="1" x14ac:dyDescent="0.4">
      <c r="F792" s="1">
        <v>45444</v>
      </c>
      <c r="I792" s="12"/>
    </row>
    <row r="793" spans="6:9" ht="18.75" customHeight="1" x14ac:dyDescent="0.4">
      <c r="F793" s="1">
        <v>45474</v>
      </c>
      <c r="I793" s="12"/>
    </row>
    <row r="794" spans="6:9" ht="18.75" customHeight="1" x14ac:dyDescent="0.4">
      <c r="F794" s="1">
        <v>45505</v>
      </c>
      <c r="I794" s="12"/>
    </row>
    <row r="795" spans="6:9" ht="18.75" customHeight="1" x14ac:dyDescent="0.4">
      <c r="F795" s="1">
        <v>45536</v>
      </c>
      <c r="I795" s="12"/>
    </row>
    <row r="796" spans="6:9" ht="18.75" customHeight="1" x14ac:dyDescent="0.4">
      <c r="F796" s="1">
        <v>45566</v>
      </c>
      <c r="I796" s="12"/>
    </row>
    <row r="797" spans="6:9" ht="18.75" customHeight="1" x14ac:dyDescent="0.4">
      <c r="F797" s="1">
        <v>45597</v>
      </c>
      <c r="I797" s="12"/>
    </row>
    <row r="798" spans="6:9" ht="18.75" customHeight="1" x14ac:dyDescent="0.4">
      <c r="F798" s="1">
        <v>45627</v>
      </c>
      <c r="I798" s="12"/>
    </row>
    <row r="799" spans="6:9" ht="18.75" customHeight="1" x14ac:dyDescent="0.4">
      <c r="F799" s="1">
        <v>45658</v>
      </c>
      <c r="I799" s="12"/>
    </row>
    <row r="800" spans="6:9" ht="18.75" customHeight="1" x14ac:dyDescent="0.4">
      <c r="F800" s="1">
        <v>45689</v>
      </c>
      <c r="I800" s="12"/>
    </row>
    <row r="801" spans="6:9" ht="18.75" customHeight="1" x14ac:dyDescent="0.4">
      <c r="F801" s="1">
        <v>45717</v>
      </c>
      <c r="I801" s="12"/>
    </row>
    <row r="802" spans="6:9" ht="18.75" customHeight="1" x14ac:dyDescent="0.4">
      <c r="F802" s="1">
        <v>45748</v>
      </c>
      <c r="I802" s="12"/>
    </row>
    <row r="803" spans="6:9" ht="18.75" customHeight="1" x14ac:dyDescent="0.4">
      <c r="F803" s="1">
        <v>45778</v>
      </c>
      <c r="I803" s="12"/>
    </row>
    <row r="804" spans="6:9" ht="18.75" customHeight="1" x14ac:dyDescent="0.4">
      <c r="F804" s="1">
        <v>45809</v>
      </c>
      <c r="I804" s="12"/>
    </row>
    <row r="805" spans="6:9" ht="18.75" customHeight="1" x14ac:dyDescent="0.4">
      <c r="F805" s="1">
        <v>45839</v>
      </c>
      <c r="I805" s="12"/>
    </row>
    <row r="806" spans="6:9" ht="18.75" customHeight="1" x14ac:dyDescent="0.4">
      <c r="F806" s="1">
        <v>45870</v>
      </c>
      <c r="I806" s="12"/>
    </row>
    <row r="807" spans="6:9" ht="18.75" customHeight="1" x14ac:dyDescent="0.4">
      <c r="F807" s="1">
        <v>45901</v>
      </c>
      <c r="I807" s="12"/>
    </row>
    <row r="808" spans="6:9" ht="18.75" customHeight="1" x14ac:dyDescent="0.4">
      <c r="F808" s="1">
        <v>45931</v>
      </c>
      <c r="I808" s="12"/>
    </row>
    <row r="809" spans="6:9" ht="18.75" customHeight="1" x14ac:dyDescent="0.4">
      <c r="F809" s="1">
        <v>45962</v>
      </c>
      <c r="I809" s="12"/>
    </row>
    <row r="810" spans="6:9" ht="18.75" customHeight="1" x14ac:dyDescent="0.4">
      <c r="F810" s="1">
        <v>45992</v>
      </c>
      <c r="I810" s="12"/>
    </row>
    <row r="811" spans="6:9" ht="18.75" customHeight="1" x14ac:dyDescent="0.4">
      <c r="F811" s="1">
        <v>46023</v>
      </c>
      <c r="I811" s="12"/>
    </row>
    <row r="812" spans="6:9" ht="18.75" customHeight="1" x14ac:dyDescent="0.4">
      <c r="F812" s="1">
        <v>46054</v>
      </c>
      <c r="I812" s="12"/>
    </row>
    <row r="813" spans="6:9" ht="18.75" customHeight="1" x14ac:dyDescent="0.4">
      <c r="F813" s="1">
        <v>46082</v>
      </c>
      <c r="I813" s="12"/>
    </row>
    <row r="814" spans="6:9" ht="18.75" customHeight="1" x14ac:dyDescent="0.4">
      <c r="F814" s="1">
        <v>46113</v>
      </c>
      <c r="I814" s="12"/>
    </row>
    <row r="815" spans="6:9" ht="18.75" customHeight="1" x14ac:dyDescent="0.4">
      <c r="F815" s="1">
        <v>46143</v>
      </c>
      <c r="I815" s="12"/>
    </row>
    <row r="816" spans="6:9" ht="18.75" customHeight="1" x14ac:dyDescent="0.4">
      <c r="F816" s="1">
        <v>46174</v>
      </c>
      <c r="I816" s="12"/>
    </row>
    <row r="817" spans="6:9" ht="18.75" customHeight="1" x14ac:dyDescent="0.4">
      <c r="F817" s="1">
        <v>46204</v>
      </c>
      <c r="I817" s="12"/>
    </row>
    <row r="818" spans="6:9" ht="18.75" customHeight="1" x14ac:dyDescent="0.4">
      <c r="F818" s="1">
        <v>46235</v>
      </c>
      <c r="I818" s="12"/>
    </row>
    <row r="819" spans="6:9" ht="18.75" customHeight="1" x14ac:dyDescent="0.4">
      <c r="F819" s="1">
        <v>46266</v>
      </c>
      <c r="I819" s="12"/>
    </row>
    <row r="820" spans="6:9" ht="18.75" customHeight="1" x14ac:dyDescent="0.4">
      <c r="F820" s="1">
        <v>46296</v>
      </c>
      <c r="I820" s="12"/>
    </row>
    <row r="821" spans="6:9" ht="18.75" customHeight="1" x14ac:dyDescent="0.4">
      <c r="F821" s="1">
        <v>46327</v>
      </c>
      <c r="I821" s="12"/>
    </row>
    <row r="822" spans="6:9" ht="18.75" customHeight="1" x14ac:dyDescent="0.4">
      <c r="F822" s="1">
        <v>46357</v>
      </c>
      <c r="I822" s="12"/>
    </row>
    <row r="823" spans="6:9" ht="18.75" customHeight="1" x14ac:dyDescent="0.4">
      <c r="F823" s="1">
        <v>46388</v>
      </c>
      <c r="I823" s="12"/>
    </row>
    <row r="824" spans="6:9" ht="18.75" customHeight="1" x14ac:dyDescent="0.4">
      <c r="F824" s="1">
        <v>46419</v>
      </c>
      <c r="I824" s="12"/>
    </row>
    <row r="825" spans="6:9" ht="18.75" customHeight="1" x14ac:dyDescent="0.4">
      <c r="F825" s="1">
        <v>46447</v>
      </c>
      <c r="I825" s="12"/>
    </row>
    <row r="826" spans="6:9" ht="18.75" customHeight="1" x14ac:dyDescent="0.4">
      <c r="F826" s="1">
        <v>46478</v>
      </c>
      <c r="I826" s="12"/>
    </row>
    <row r="827" spans="6:9" ht="18.75" customHeight="1" x14ac:dyDescent="0.4">
      <c r="F827" s="1">
        <v>46508</v>
      </c>
      <c r="I827" s="12"/>
    </row>
    <row r="828" spans="6:9" ht="18.75" customHeight="1" x14ac:dyDescent="0.4">
      <c r="F828" s="1">
        <v>46539</v>
      </c>
      <c r="I828" s="12"/>
    </row>
    <row r="829" spans="6:9" ht="18.75" customHeight="1" x14ac:dyDescent="0.4">
      <c r="F829" s="1">
        <v>46569</v>
      </c>
      <c r="I829" s="12"/>
    </row>
    <row r="830" spans="6:9" ht="18.75" customHeight="1" x14ac:dyDescent="0.4">
      <c r="F830" s="1">
        <v>46600</v>
      </c>
      <c r="I830" s="12"/>
    </row>
    <row r="831" spans="6:9" ht="18.75" customHeight="1" x14ac:dyDescent="0.4">
      <c r="F831" s="1">
        <v>46631</v>
      </c>
      <c r="I831" s="12"/>
    </row>
    <row r="832" spans="6:9" ht="18.75" customHeight="1" x14ac:dyDescent="0.4">
      <c r="F832" s="1">
        <v>46661</v>
      </c>
      <c r="I832" s="12"/>
    </row>
    <row r="833" spans="6:9" ht="18.75" customHeight="1" x14ac:dyDescent="0.4">
      <c r="F833" s="1">
        <v>46692</v>
      </c>
      <c r="I833" s="12"/>
    </row>
    <row r="834" spans="6:9" ht="18.75" customHeight="1" x14ac:dyDescent="0.4">
      <c r="F834" s="1">
        <v>46722</v>
      </c>
      <c r="I834" s="12"/>
    </row>
    <row r="835" spans="6:9" ht="18.75" customHeight="1" x14ac:dyDescent="0.4">
      <c r="F835" s="1">
        <v>46753</v>
      </c>
      <c r="I835" s="12"/>
    </row>
    <row r="836" spans="6:9" ht="18.75" customHeight="1" x14ac:dyDescent="0.4">
      <c r="F836" s="1">
        <v>46784</v>
      </c>
      <c r="I836" s="12"/>
    </row>
    <row r="837" spans="6:9" ht="18.75" customHeight="1" x14ac:dyDescent="0.4">
      <c r="F837" s="1">
        <v>46813</v>
      </c>
      <c r="I837" s="12"/>
    </row>
    <row r="838" spans="6:9" ht="18.75" customHeight="1" x14ac:dyDescent="0.4">
      <c r="F838" s="1">
        <v>46844</v>
      </c>
      <c r="I838" s="12"/>
    </row>
    <row r="839" spans="6:9" ht="18.75" customHeight="1" x14ac:dyDescent="0.4">
      <c r="F839" s="1">
        <v>46874</v>
      </c>
      <c r="I839" s="12"/>
    </row>
    <row r="840" spans="6:9" ht="18.75" customHeight="1" x14ac:dyDescent="0.4">
      <c r="F840" s="1">
        <v>46905</v>
      </c>
      <c r="I840" s="12"/>
    </row>
    <row r="841" spans="6:9" ht="18.75" customHeight="1" x14ac:dyDescent="0.4">
      <c r="F841" s="1">
        <v>46935</v>
      </c>
      <c r="I841" s="12"/>
    </row>
    <row r="842" spans="6:9" ht="18.75" customHeight="1" x14ac:dyDescent="0.4">
      <c r="F842" s="1">
        <v>46966</v>
      </c>
      <c r="I842" s="12"/>
    </row>
    <row r="843" spans="6:9" ht="18.75" customHeight="1" x14ac:dyDescent="0.4">
      <c r="F843" s="1">
        <v>46997</v>
      </c>
      <c r="I843" s="12"/>
    </row>
    <row r="844" spans="6:9" ht="18.75" customHeight="1" x14ac:dyDescent="0.4">
      <c r="F844" s="1">
        <v>47027</v>
      </c>
      <c r="I844" s="12"/>
    </row>
    <row r="845" spans="6:9" ht="18.75" customHeight="1" x14ac:dyDescent="0.4">
      <c r="F845" s="1">
        <v>47058</v>
      </c>
      <c r="I845" s="12"/>
    </row>
    <row r="846" spans="6:9" ht="18.75" customHeight="1" x14ac:dyDescent="0.4">
      <c r="F846" s="1">
        <v>47088</v>
      </c>
      <c r="I846" s="12"/>
    </row>
    <row r="847" spans="6:9" ht="18.75" customHeight="1" x14ac:dyDescent="0.4">
      <c r="F847" s="1">
        <v>47119</v>
      </c>
      <c r="I847" s="12"/>
    </row>
    <row r="848" spans="6:9" ht="18.75" customHeight="1" x14ac:dyDescent="0.4">
      <c r="F848" s="1">
        <v>47150</v>
      </c>
      <c r="I848" s="12"/>
    </row>
    <row r="849" spans="6:9" ht="18.75" customHeight="1" x14ac:dyDescent="0.4">
      <c r="F849" s="1">
        <v>47178</v>
      </c>
      <c r="I849" s="12"/>
    </row>
    <row r="850" spans="6:9" ht="18.75" customHeight="1" x14ac:dyDescent="0.4">
      <c r="F850" s="1">
        <v>47209</v>
      </c>
      <c r="I850" s="12"/>
    </row>
    <row r="851" spans="6:9" ht="18.75" customHeight="1" x14ac:dyDescent="0.4">
      <c r="F851" s="1">
        <v>47239</v>
      </c>
      <c r="I851" s="12"/>
    </row>
    <row r="852" spans="6:9" ht="18.75" customHeight="1" x14ac:dyDescent="0.4">
      <c r="F852" s="1">
        <v>47270</v>
      </c>
      <c r="I852" s="12"/>
    </row>
    <row r="853" spans="6:9" ht="18.75" customHeight="1" x14ac:dyDescent="0.4">
      <c r="F853" s="1">
        <v>47300</v>
      </c>
      <c r="I853" s="12"/>
    </row>
    <row r="854" spans="6:9" ht="18.75" customHeight="1" x14ac:dyDescent="0.4">
      <c r="F854" s="1">
        <v>47331</v>
      </c>
      <c r="I854" s="12"/>
    </row>
    <row r="855" spans="6:9" ht="18.75" customHeight="1" x14ac:dyDescent="0.4">
      <c r="F855" s="1">
        <v>47362</v>
      </c>
      <c r="I855" s="12"/>
    </row>
    <row r="856" spans="6:9" ht="18.75" customHeight="1" x14ac:dyDescent="0.4">
      <c r="F856" s="1">
        <v>47392</v>
      </c>
      <c r="I856" s="12"/>
    </row>
    <row r="857" spans="6:9" ht="18.75" customHeight="1" x14ac:dyDescent="0.4">
      <c r="F857" s="1">
        <v>47423</v>
      </c>
      <c r="I857" s="12"/>
    </row>
    <row r="858" spans="6:9" ht="18.75" customHeight="1" x14ac:dyDescent="0.4">
      <c r="F858" s="1">
        <v>47453</v>
      </c>
      <c r="I858" s="12"/>
    </row>
    <row r="859" spans="6:9" ht="18.75" customHeight="1" x14ac:dyDescent="0.4">
      <c r="F859" s="1">
        <v>47484</v>
      </c>
      <c r="I859" s="12"/>
    </row>
    <row r="860" spans="6:9" ht="18.75" customHeight="1" x14ac:dyDescent="0.4">
      <c r="F860" s="1">
        <v>47515</v>
      </c>
      <c r="I860" s="12"/>
    </row>
    <row r="861" spans="6:9" ht="18.75" customHeight="1" x14ac:dyDescent="0.4">
      <c r="F861" s="1">
        <v>47543</v>
      </c>
      <c r="I861" s="12"/>
    </row>
    <row r="862" spans="6:9" ht="18.75" customHeight="1" x14ac:dyDescent="0.4">
      <c r="F862" s="1">
        <v>47574</v>
      </c>
      <c r="I862" s="12"/>
    </row>
    <row r="863" spans="6:9" ht="18.75" customHeight="1" x14ac:dyDescent="0.4">
      <c r="F863" s="1">
        <v>47604</v>
      </c>
      <c r="I863" s="12"/>
    </row>
    <row r="864" spans="6:9" ht="18.75" customHeight="1" x14ac:dyDescent="0.4">
      <c r="F864" s="1">
        <v>47635</v>
      </c>
      <c r="I864" s="12"/>
    </row>
    <row r="865" spans="6:9" ht="18.75" customHeight="1" x14ac:dyDescent="0.4">
      <c r="F865" s="1">
        <v>47665</v>
      </c>
      <c r="I865" s="12"/>
    </row>
    <row r="866" spans="6:9" ht="18.75" customHeight="1" x14ac:dyDescent="0.4">
      <c r="F866" s="1">
        <v>47696</v>
      </c>
      <c r="I866" s="12"/>
    </row>
    <row r="867" spans="6:9" ht="18.75" customHeight="1" x14ac:dyDescent="0.4">
      <c r="F867" s="1">
        <v>47727</v>
      </c>
      <c r="I867" s="12"/>
    </row>
    <row r="868" spans="6:9" ht="18.75" customHeight="1" x14ac:dyDescent="0.4">
      <c r="F868" s="1">
        <v>47757</v>
      </c>
      <c r="I868" s="12"/>
    </row>
    <row r="869" spans="6:9" ht="18.75" customHeight="1" x14ac:dyDescent="0.4">
      <c r="F869" s="1">
        <v>47788</v>
      </c>
      <c r="I869" s="12"/>
    </row>
    <row r="870" spans="6:9" ht="18.75" customHeight="1" x14ac:dyDescent="0.4">
      <c r="F870" s="1">
        <v>47818</v>
      </c>
      <c r="I870" s="12"/>
    </row>
    <row r="871" spans="6:9" ht="18.75" customHeight="1" x14ac:dyDescent="0.4">
      <c r="F871" s="1">
        <v>47849</v>
      </c>
      <c r="I871" s="12"/>
    </row>
    <row r="872" spans="6:9" ht="18.75" customHeight="1" x14ac:dyDescent="0.4">
      <c r="F872" s="1">
        <v>47880</v>
      </c>
      <c r="I872" s="12"/>
    </row>
    <row r="873" spans="6:9" ht="18.75" customHeight="1" x14ac:dyDescent="0.4">
      <c r="F873" s="1">
        <v>47908</v>
      </c>
      <c r="I873" s="12"/>
    </row>
    <row r="874" spans="6:9" ht="18.75" customHeight="1" x14ac:dyDescent="0.4">
      <c r="F874" s="1">
        <v>47939</v>
      </c>
      <c r="I874" s="12"/>
    </row>
    <row r="875" spans="6:9" ht="18.75" customHeight="1" x14ac:dyDescent="0.4">
      <c r="F875" s="1">
        <v>47969</v>
      </c>
      <c r="I875" s="12"/>
    </row>
    <row r="876" spans="6:9" ht="18.75" customHeight="1" x14ac:dyDescent="0.4">
      <c r="F876" s="1">
        <v>48000</v>
      </c>
      <c r="I876" s="12"/>
    </row>
    <row r="877" spans="6:9" ht="18.75" customHeight="1" x14ac:dyDescent="0.4">
      <c r="F877" s="1">
        <v>48030</v>
      </c>
      <c r="I877" s="12"/>
    </row>
    <row r="878" spans="6:9" ht="18.75" customHeight="1" x14ac:dyDescent="0.4">
      <c r="F878" s="1">
        <v>48061</v>
      </c>
      <c r="I878" s="12"/>
    </row>
    <row r="879" spans="6:9" ht="18.75" customHeight="1" x14ac:dyDescent="0.4">
      <c r="F879" s="1">
        <v>48092</v>
      </c>
      <c r="I879" s="12"/>
    </row>
    <row r="880" spans="6:9" ht="18.75" customHeight="1" x14ac:dyDescent="0.4">
      <c r="F880" s="1">
        <v>48122</v>
      </c>
      <c r="I880" s="12"/>
    </row>
    <row r="881" spans="6:9" ht="18.75" customHeight="1" x14ac:dyDescent="0.4">
      <c r="F881" s="1">
        <v>48153</v>
      </c>
      <c r="I881" s="12"/>
    </row>
    <row r="882" spans="6:9" ht="18.75" customHeight="1" x14ac:dyDescent="0.4">
      <c r="F882" s="1">
        <v>48183</v>
      </c>
      <c r="I882" s="12"/>
    </row>
    <row r="883" spans="6:9" ht="18.75" customHeight="1" x14ac:dyDescent="0.4">
      <c r="F883" s="1">
        <v>48214</v>
      </c>
      <c r="I883" s="12"/>
    </row>
    <row r="884" spans="6:9" ht="18.75" customHeight="1" x14ac:dyDescent="0.4">
      <c r="F884" s="1">
        <v>48245</v>
      </c>
      <c r="I884" s="12"/>
    </row>
    <row r="885" spans="6:9" ht="18.75" customHeight="1" x14ac:dyDescent="0.4">
      <c r="F885" s="1">
        <v>48274</v>
      </c>
      <c r="I885" s="12"/>
    </row>
    <row r="886" spans="6:9" ht="18.75" customHeight="1" x14ac:dyDescent="0.4">
      <c r="F886" s="1">
        <v>48305</v>
      </c>
      <c r="I886" s="12"/>
    </row>
    <row r="887" spans="6:9" ht="18.75" customHeight="1" x14ac:dyDescent="0.4">
      <c r="F887" s="1">
        <v>48335</v>
      </c>
      <c r="I887" s="12"/>
    </row>
    <row r="888" spans="6:9" ht="18.75" customHeight="1" x14ac:dyDescent="0.4">
      <c r="F888" s="1">
        <v>48366</v>
      </c>
      <c r="I888" s="12"/>
    </row>
    <row r="889" spans="6:9" ht="18.75" customHeight="1" x14ac:dyDescent="0.4">
      <c r="F889" s="1">
        <v>48396</v>
      </c>
      <c r="I889" s="12"/>
    </row>
    <row r="890" spans="6:9" ht="18.75" customHeight="1" x14ac:dyDescent="0.4">
      <c r="F890" s="1">
        <v>48427</v>
      </c>
      <c r="I890" s="12"/>
    </row>
    <row r="891" spans="6:9" ht="18.75" customHeight="1" x14ac:dyDescent="0.4">
      <c r="F891" s="1">
        <v>48458</v>
      </c>
      <c r="I891" s="12"/>
    </row>
    <row r="892" spans="6:9" ht="18.75" customHeight="1" x14ac:dyDescent="0.4">
      <c r="F892" s="1">
        <v>48488</v>
      </c>
      <c r="I892" s="12"/>
    </row>
    <row r="893" spans="6:9" ht="18.75" customHeight="1" x14ac:dyDescent="0.4">
      <c r="F893" s="1">
        <v>48519</v>
      </c>
      <c r="I893" s="12"/>
    </row>
    <row r="894" spans="6:9" ht="18.75" customHeight="1" x14ac:dyDescent="0.4">
      <c r="F894" s="1">
        <v>48549</v>
      </c>
      <c r="I894" s="12"/>
    </row>
    <row r="895" spans="6:9" ht="18.75" customHeight="1" x14ac:dyDescent="0.4">
      <c r="F895" s="1">
        <v>48580</v>
      </c>
      <c r="I895" s="12"/>
    </row>
    <row r="896" spans="6:9" ht="18.75" customHeight="1" x14ac:dyDescent="0.4">
      <c r="F896" s="1">
        <v>48611</v>
      </c>
      <c r="I896" s="12"/>
    </row>
    <row r="897" spans="6:9" ht="18.75" customHeight="1" x14ac:dyDescent="0.4">
      <c r="F897" s="1">
        <v>48639</v>
      </c>
      <c r="I897" s="12"/>
    </row>
    <row r="898" spans="6:9" ht="18.75" customHeight="1" x14ac:dyDescent="0.4">
      <c r="F898" s="1">
        <v>48670</v>
      </c>
      <c r="I898" s="12"/>
    </row>
    <row r="899" spans="6:9" ht="18.75" customHeight="1" x14ac:dyDescent="0.4">
      <c r="F899" s="1">
        <v>48700</v>
      </c>
      <c r="I899" s="12"/>
    </row>
    <row r="900" spans="6:9" ht="18.75" customHeight="1" x14ac:dyDescent="0.4">
      <c r="F900" s="1">
        <v>48731</v>
      </c>
      <c r="I900" s="12"/>
    </row>
    <row r="901" spans="6:9" ht="18.75" customHeight="1" x14ac:dyDescent="0.4">
      <c r="F901" s="1">
        <v>48761</v>
      </c>
      <c r="I901" s="12"/>
    </row>
    <row r="902" spans="6:9" ht="18.75" customHeight="1" x14ac:dyDescent="0.4">
      <c r="F902" s="1">
        <v>48792</v>
      </c>
      <c r="I902" s="12"/>
    </row>
    <row r="903" spans="6:9" ht="18.75" customHeight="1" x14ac:dyDescent="0.4">
      <c r="F903" s="1">
        <v>48823</v>
      </c>
      <c r="I903" s="12"/>
    </row>
    <row r="904" spans="6:9" ht="18.75" customHeight="1" x14ac:dyDescent="0.4">
      <c r="F904" s="1">
        <v>48853</v>
      </c>
      <c r="I904" s="12"/>
    </row>
    <row r="905" spans="6:9" ht="18.75" customHeight="1" x14ac:dyDescent="0.4">
      <c r="F905" s="1">
        <v>48884</v>
      </c>
      <c r="I905" s="12"/>
    </row>
    <row r="906" spans="6:9" ht="18.75" customHeight="1" x14ac:dyDescent="0.4">
      <c r="F906" s="1">
        <v>48914</v>
      </c>
      <c r="I906" s="12"/>
    </row>
    <row r="907" spans="6:9" ht="18.75" customHeight="1" x14ac:dyDescent="0.4">
      <c r="F907" s="1">
        <v>48945</v>
      </c>
      <c r="I907" s="12"/>
    </row>
    <row r="908" spans="6:9" ht="18.75" customHeight="1" x14ac:dyDescent="0.4">
      <c r="F908" s="1">
        <v>48976</v>
      </c>
      <c r="I908" s="12"/>
    </row>
    <row r="909" spans="6:9" ht="18.75" customHeight="1" x14ac:dyDescent="0.4">
      <c r="F909" s="1">
        <v>49004</v>
      </c>
      <c r="I909" s="12"/>
    </row>
    <row r="910" spans="6:9" ht="18.75" customHeight="1" x14ac:dyDescent="0.4">
      <c r="F910" s="1">
        <v>49035</v>
      </c>
      <c r="I910" s="12"/>
    </row>
    <row r="911" spans="6:9" ht="18.75" customHeight="1" x14ac:dyDescent="0.4">
      <c r="F911" s="1">
        <v>49065</v>
      </c>
      <c r="I911" s="12"/>
    </row>
    <row r="912" spans="6:9" ht="18.75" customHeight="1" x14ac:dyDescent="0.4">
      <c r="F912" s="1">
        <v>49096</v>
      </c>
      <c r="I912" s="12"/>
    </row>
    <row r="913" spans="6:9" ht="18.75" customHeight="1" x14ac:dyDescent="0.4">
      <c r="F913" s="1">
        <v>49126</v>
      </c>
      <c r="I913" s="12"/>
    </row>
    <row r="914" spans="6:9" ht="18.75" customHeight="1" x14ac:dyDescent="0.4">
      <c r="F914" s="1">
        <v>49157</v>
      </c>
      <c r="I914" s="12"/>
    </row>
    <row r="915" spans="6:9" ht="18.75" customHeight="1" x14ac:dyDescent="0.4">
      <c r="F915" s="1">
        <v>49188</v>
      </c>
      <c r="I915" s="12"/>
    </row>
    <row r="916" spans="6:9" ht="18.75" customHeight="1" x14ac:dyDescent="0.4">
      <c r="F916" s="1">
        <v>49218</v>
      </c>
      <c r="I916" s="12"/>
    </row>
    <row r="917" spans="6:9" ht="18.75" customHeight="1" x14ac:dyDescent="0.4">
      <c r="F917" s="1">
        <v>49249</v>
      </c>
      <c r="I917" s="12"/>
    </row>
    <row r="918" spans="6:9" ht="18.75" customHeight="1" x14ac:dyDescent="0.4">
      <c r="F918" s="1">
        <v>49279</v>
      </c>
      <c r="I918" s="12"/>
    </row>
    <row r="919" spans="6:9" ht="18.75" customHeight="1" x14ac:dyDescent="0.4">
      <c r="F919" s="1">
        <v>49310</v>
      </c>
      <c r="I919" s="12"/>
    </row>
    <row r="920" spans="6:9" ht="18.75" customHeight="1" x14ac:dyDescent="0.4">
      <c r="F920" s="1">
        <v>49341</v>
      </c>
      <c r="I920" s="12"/>
    </row>
    <row r="921" spans="6:9" ht="18.75" customHeight="1" x14ac:dyDescent="0.4">
      <c r="F921" s="1">
        <v>49369</v>
      </c>
      <c r="I921" s="12"/>
    </row>
    <row r="922" spans="6:9" ht="18.75" customHeight="1" x14ac:dyDescent="0.4">
      <c r="F922" s="1">
        <v>49400</v>
      </c>
      <c r="I922" s="12"/>
    </row>
    <row r="923" spans="6:9" ht="18.75" customHeight="1" x14ac:dyDescent="0.4">
      <c r="F923" s="1">
        <v>49430</v>
      </c>
      <c r="I923" s="12"/>
    </row>
    <row r="924" spans="6:9" ht="18.75" customHeight="1" x14ac:dyDescent="0.4">
      <c r="F924" s="1">
        <v>49461</v>
      </c>
      <c r="I924" s="12"/>
    </row>
    <row r="925" spans="6:9" ht="18.75" customHeight="1" x14ac:dyDescent="0.4">
      <c r="F925" s="1">
        <v>49491</v>
      </c>
      <c r="I925" s="12"/>
    </row>
    <row r="926" spans="6:9" ht="18.75" customHeight="1" x14ac:dyDescent="0.4">
      <c r="F926" s="1">
        <v>49522</v>
      </c>
      <c r="I926" s="12"/>
    </row>
    <row r="927" spans="6:9" ht="18.75" customHeight="1" x14ac:dyDescent="0.4">
      <c r="F927" s="1">
        <v>49553</v>
      </c>
      <c r="I927" s="12"/>
    </row>
    <row r="928" spans="6:9" ht="18.75" customHeight="1" x14ac:dyDescent="0.4">
      <c r="F928" s="1">
        <v>49583</v>
      </c>
      <c r="I928" s="12"/>
    </row>
    <row r="929" spans="6:9" ht="18.75" customHeight="1" x14ac:dyDescent="0.4">
      <c r="F929" s="1">
        <v>49614</v>
      </c>
      <c r="I929" s="12"/>
    </row>
    <row r="930" spans="6:9" ht="18.75" customHeight="1" x14ac:dyDescent="0.4">
      <c r="F930" s="1">
        <v>49644</v>
      </c>
      <c r="I930" s="12"/>
    </row>
    <row r="931" spans="6:9" ht="18.75" customHeight="1" x14ac:dyDescent="0.4">
      <c r="F931" s="1">
        <v>49675</v>
      </c>
      <c r="I931" s="12"/>
    </row>
    <row r="932" spans="6:9" ht="18.75" customHeight="1" x14ac:dyDescent="0.4">
      <c r="F932" s="1">
        <v>49706</v>
      </c>
      <c r="I932" s="12"/>
    </row>
    <row r="933" spans="6:9" ht="18.75" customHeight="1" x14ac:dyDescent="0.4">
      <c r="F933" s="1">
        <v>49735</v>
      </c>
      <c r="I933" s="12"/>
    </row>
    <row r="934" spans="6:9" ht="18.75" customHeight="1" x14ac:dyDescent="0.4">
      <c r="F934" s="1">
        <v>49766</v>
      </c>
      <c r="I934" s="12"/>
    </row>
    <row r="935" spans="6:9" ht="18.75" customHeight="1" x14ac:dyDescent="0.4">
      <c r="F935" s="1">
        <v>49796</v>
      </c>
      <c r="I935" s="12"/>
    </row>
    <row r="936" spans="6:9" ht="18.75" customHeight="1" x14ac:dyDescent="0.4">
      <c r="F936" s="1">
        <v>49827</v>
      </c>
      <c r="I936" s="12"/>
    </row>
    <row r="937" spans="6:9" ht="18.75" customHeight="1" x14ac:dyDescent="0.4">
      <c r="F937" s="1">
        <v>49857</v>
      </c>
      <c r="I937" s="12"/>
    </row>
    <row r="938" spans="6:9" ht="18.75" customHeight="1" x14ac:dyDescent="0.4">
      <c r="F938" s="1">
        <v>49888</v>
      </c>
      <c r="I938" s="12"/>
    </row>
    <row r="939" spans="6:9" ht="18.75" customHeight="1" x14ac:dyDescent="0.4">
      <c r="F939" s="1">
        <v>49919</v>
      </c>
      <c r="I939" s="12"/>
    </row>
    <row r="940" spans="6:9" ht="18.75" customHeight="1" x14ac:dyDescent="0.4">
      <c r="F940" s="1">
        <v>49949</v>
      </c>
      <c r="I940" s="12"/>
    </row>
    <row r="941" spans="6:9" ht="18.75" customHeight="1" x14ac:dyDescent="0.4">
      <c r="F941" s="1">
        <v>49980</v>
      </c>
      <c r="I941" s="12"/>
    </row>
    <row r="942" spans="6:9" ht="18.75" customHeight="1" x14ac:dyDescent="0.4">
      <c r="F942" s="1">
        <v>50010</v>
      </c>
      <c r="I942" s="12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2B8F-F147-4174-A20B-E1AA1AA57A05}">
  <dimension ref="A1:P942"/>
  <sheetViews>
    <sheetView workbookViewId="0">
      <selection activeCell="A12" sqref="A12:B25"/>
    </sheetView>
  </sheetViews>
  <sheetFormatPr defaultRowHeight="18.75" customHeight="1" x14ac:dyDescent="0.4"/>
  <cols>
    <col min="1" max="1" width="19" style="2" bestFit="1" customWidth="1"/>
    <col min="2" max="2" width="12.75" customWidth="1"/>
    <col min="3" max="3" width="10" customWidth="1"/>
    <col min="4" max="4" width="9" customWidth="1"/>
    <col min="5" max="5" width="33.375" customWidth="1"/>
    <col min="6" max="6" width="10.25" bestFit="1" customWidth="1"/>
    <col min="7" max="8" width="7.5" style="12" bestFit="1" customWidth="1"/>
    <col min="9" max="9" width="9.75" bestFit="1" customWidth="1"/>
    <col min="10" max="10" width="5.75" bestFit="1" customWidth="1"/>
    <col min="11" max="11" width="8.375" style="12" bestFit="1" customWidth="1"/>
    <col min="12" max="12" width="7.5" style="12" customWidth="1"/>
    <col min="13" max="13" width="7.25" style="12" bestFit="1" customWidth="1"/>
  </cols>
  <sheetData>
    <row r="1" spans="1:16" ht="18.75" customHeight="1" x14ac:dyDescent="0.4">
      <c r="A1" s="2" t="s">
        <v>21</v>
      </c>
      <c r="B1" s="14" t="s">
        <v>18</v>
      </c>
      <c r="D1" t="s">
        <v>3</v>
      </c>
      <c r="F1" s="3" t="s">
        <v>41</v>
      </c>
      <c r="G1" s="11" t="s">
        <v>1</v>
      </c>
      <c r="H1" s="11" t="s">
        <v>17</v>
      </c>
      <c r="I1" s="3" t="s">
        <v>42</v>
      </c>
      <c r="J1" s="3" t="s">
        <v>9</v>
      </c>
      <c r="K1" s="11" t="s">
        <v>13</v>
      </c>
      <c r="L1" s="11" t="s">
        <v>24</v>
      </c>
      <c r="M1" s="11" t="s">
        <v>15</v>
      </c>
      <c r="O1" s="18" t="s">
        <v>35</v>
      </c>
    </row>
    <row r="2" spans="1:16" ht="18.75" customHeight="1" x14ac:dyDescent="0.4">
      <c r="A2" s="2" t="s">
        <v>2</v>
      </c>
      <c r="B2" s="14" t="s">
        <v>13</v>
      </c>
      <c r="D2" t="s">
        <v>22</v>
      </c>
      <c r="F2" s="1">
        <v>21245</v>
      </c>
      <c r="G2" s="12">
        <v>315.7</v>
      </c>
      <c r="H2" s="12">
        <f t="shared" ref="H2" si="0">EXP(_A*F2+_B)+_C</f>
        <v>308.36871208582096</v>
      </c>
      <c r="I2" s="12">
        <f>G2-H2</f>
        <v>7.331287914179029</v>
      </c>
      <c r="J2">
        <f>MONTH(F2)</f>
        <v>3</v>
      </c>
      <c r="K2" s="12" cm="1">
        <f t="array" ref="K2">INDEX(Sm,J2)</f>
        <v>0</v>
      </c>
      <c r="L2" s="12">
        <f>H2+K2</f>
        <v>308.36871208582096</v>
      </c>
      <c r="M2" s="12">
        <f>G2-L2</f>
        <v>7.331287914179029</v>
      </c>
      <c r="O2" s="19" t="s">
        <v>36</v>
      </c>
      <c r="P2" t="s">
        <v>33</v>
      </c>
    </row>
    <row r="3" spans="1:16" ht="18.75" customHeight="1" x14ac:dyDescent="0.4">
      <c r="A3" s="2" t="s">
        <v>39</v>
      </c>
      <c r="B3" s="14" t="s">
        <v>19</v>
      </c>
      <c r="D3" t="s">
        <v>23</v>
      </c>
      <c r="F3" s="1">
        <v>21276</v>
      </c>
      <c r="G3" s="12">
        <v>317.45999999999998</v>
      </c>
      <c r="I3" s="12"/>
    </row>
    <row r="4" spans="1:16" ht="18.75" customHeight="1" x14ac:dyDescent="0.4">
      <c r="F4" s="1">
        <v>21306</v>
      </c>
      <c r="G4" s="12">
        <v>317.51</v>
      </c>
      <c r="I4" s="12"/>
      <c r="O4" s="18" t="s">
        <v>32</v>
      </c>
    </row>
    <row r="5" spans="1:16" ht="18.75" customHeight="1" thickBot="1" x14ac:dyDescent="0.45">
      <c r="A5" t="s">
        <v>28</v>
      </c>
      <c r="F5" s="1">
        <v>21367</v>
      </c>
      <c r="G5" s="12">
        <v>315.86</v>
      </c>
      <c r="I5" s="12"/>
      <c r="O5" s="19">
        <v>1</v>
      </c>
      <c r="P5" t="s">
        <v>58</v>
      </c>
    </row>
    <row r="6" spans="1:16" ht="18.75" customHeight="1" x14ac:dyDescent="0.4">
      <c r="A6" s="2" t="s">
        <v>4</v>
      </c>
      <c r="B6" s="5">
        <v>1E-4</v>
      </c>
      <c r="D6" t="s">
        <v>12</v>
      </c>
      <c r="F6" s="1">
        <v>21398</v>
      </c>
      <c r="G6" s="12">
        <v>314.93</v>
      </c>
      <c r="I6" s="12"/>
      <c r="P6" t="s">
        <v>59</v>
      </c>
    </row>
    <row r="7" spans="1:16" ht="18.75" customHeight="1" thickBot="1" x14ac:dyDescent="0.45">
      <c r="A7" s="2" t="s">
        <v>5</v>
      </c>
      <c r="B7" s="6">
        <v>0</v>
      </c>
      <c r="F7" s="1">
        <v>21429</v>
      </c>
      <c r="G7" s="12">
        <v>313.20999999999998</v>
      </c>
      <c r="I7" s="12"/>
      <c r="P7" t="s">
        <v>34</v>
      </c>
    </row>
    <row r="8" spans="1:16" ht="18.75" customHeight="1" thickBot="1" x14ac:dyDescent="0.45">
      <c r="A8" s="2" t="s">
        <v>6</v>
      </c>
      <c r="B8" s="7">
        <v>300</v>
      </c>
      <c r="D8" s="8" t="s">
        <v>29</v>
      </c>
      <c r="E8" t="s">
        <v>10</v>
      </c>
      <c r="F8" s="1">
        <v>21490</v>
      </c>
      <c r="G8" s="12">
        <v>313.33</v>
      </c>
      <c r="I8" s="12"/>
      <c r="O8" s="19">
        <v>2</v>
      </c>
      <c r="P8" t="s">
        <v>45</v>
      </c>
    </row>
    <row r="9" spans="1:16" ht="18.75" customHeight="1" thickBot="1" x14ac:dyDescent="0.45">
      <c r="F9" s="1">
        <v>21520</v>
      </c>
      <c r="G9" s="12">
        <v>314.67</v>
      </c>
      <c r="I9" s="12"/>
      <c r="O9" s="19"/>
      <c r="P9" t="s">
        <v>46</v>
      </c>
    </row>
    <row r="10" spans="1:16" ht="18.75" customHeight="1" thickBot="1" x14ac:dyDescent="0.45">
      <c r="A10" s="2" t="s">
        <v>44</v>
      </c>
      <c r="B10" s="8">
        <f>SUMSQ(I2:I742)/COUNT(I2:I742)</f>
        <v>53.747782480587496</v>
      </c>
      <c r="D10" s="4" t="s">
        <v>30</v>
      </c>
      <c r="E10" t="s">
        <v>11</v>
      </c>
      <c r="F10" s="1">
        <v>21551</v>
      </c>
      <c r="G10" s="12">
        <v>315.58</v>
      </c>
      <c r="I10" s="12"/>
      <c r="O10" s="19">
        <v>3</v>
      </c>
      <c r="P10" t="s">
        <v>53</v>
      </c>
    </row>
    <row r="11" spans="1:16" ht="18.75" customHeight="1" x14ac:dyDescent="0.4">
      <c r="F11" s="1">
        <v>21582</v>
      </c>
      <c r="G11" s="12">
        <v>316.49</v>
      </c>
      <c r="I11" s="12"/>
      <c r="O11" s="19">
        <v>4</v>
      </c>
      <c r="P11" t="s">
        <v>47</v>
      </c>
    </row>
    <row r="12" spans="1:16" ht="18.75" customHeight="1" x14ac:dyDescent="0.4">
      <c r="A12" t="s">
        <v>43</v>
      </c>
      <c r="F12" s="1">
        <v>21610</v>
      </c>
      <c r="G12" s="12">
        <v>316.64999999999998</v>
      </c>
      <c r="I12" s="12"/>
      <c r="O12" s="19">
        <v>5</v>
      </c>
      <c r="P12" t="s">
        <v>57</v>
      </c>
    </row>
    <row r="13" spans="1:16" ht="18.75" customHeight="1" x14ac:dyDescent="0.4">
      <c r="A13" s="2" t="s">
        <v>7</v>
      </c>
      <c r="B13" s="20" t="s">
        <v>14</v>
      </c>
      <c r="F13" s="1">
        <v>21641</v>
      </c>
      <c r="G13" s="12">
        <v>317.72000000000003</v>
      </c>
      <c r="I13" s="12"/>
      <c r="O13" s="19"/>
      <c r="P13" t="s">
        <v>56</v>
      </c>
    </row>
    <row r="14" spans="1:16" ht="18.75" customHeight="1" x14ac:dyDescent="0.4">
      <c r="A14" s="21">
        <v>1</v>
      </c>
      <c r="B14" s="25" t="e">
        <f>AVERAGEIF(J:J,A14,I:I)</f>
        <v>#DIV/0!</v>
      </c>
      <c r="C14" s="22"/>
      <c r="F14" s="1">
        <v>21671</v>
      </c>
      <c r="G14" s="12">
        <v>318.29000000000002</v>
      </c>
      <c r="I14" s="12"/>
      <c r="O14" s="19">
        <v>6</v>
      </c>
      <c r="P14" t="s">
        <v>52</v>
      </c>
    </row>
    <row r="15" spans="1:16" ht="18.75" customHeight="1" x14ac:dyDescent="0.4">
      <c r="A15" s="21">
        <v>2</v>
      </c>
      <c r="B15" s="25"/>
      <c r="C15" s="22"/>
      <c r="F15" s="1">
        <v>21702</v>
      </c>
      <c r="G15" s="12">
        <v>318.14999999999998</v>
      </c>
      <c r="I15" s="12"/>
      <c r="O15" s="19">
        <v>7</v>
      </c>
      <c r="P15" t="s">
        <v>54</v>
      </c>
    </row>
    <row r="16" spans="1:16" ht="18.75" customHeight="1" x14ac:dyDescent="0.4">
      <c r="A16" s="21">
        <v>3</v>
      </c>
      <c r="B16" s="25"/>
      <c r="C16" s="22"/>
      <c r="F16" s="1">
        <v>21732</v>
      </c>
      <c r="G16" s="12">
        <v>316.54000000000002</v>
      </c>
      <c r="I16" s="12"/>
      <c r="O16" s="19">
        <v>8</v>
      </c>
      <c r="P16" t="s">
        <v>55</v>
      </c>
    </row>
    <row r="17" spans="1:16" ht="18.75" customHeight="1" x14ac:dyDescent="0.4">
      <c r="A17" s="21">
        <v>4</v>
      </c>
      <c r="B17" s="25"/>
      <c r="C17" s="22"/>
      <c r="F17" s="1">
        <v>21763</v>
      </c>
      <c r="G17" s="12">
        <v>314.8</v>
      </c>
      <c r="I17" s="12"/>
      <c r="O17" s="19">
        <v>9</v>
      </c>
      <c r="P17" t="s">
        <v>48</v>
      </c>
    </row>
    <row r="18" spans="1:16" ht="18.75" customHeight="1" x14ac:dyDescent="0.4">
      <c r="A18" s="21">
        <v>5</v>
      </c>
      <c r="B18" s="25"/>
      <c r="C18" s="22"/>
      <c r="F18" s="1">
        <v>21794</v>
      </c>
      <c r="G18" s="12">
        <v>313.83999999999997</v>
      </c>
      <c r="I18" s="12"/>
      <c r="O18" s="19"/>
      <c r="P18" t="s">
        <v>49</v>
      </c>
    </row>
    <row r="19" spans="1:16" ht="18.75" customHeight="1" x14ac:dyDescent="0.4">
      <c r="A19" s="21">
        <v>6</v>
      </c>
      <c r="B19" s="25"/>
      <c r="C19" s="22"/>
      <c r="F19" s="1">
        <v>21824</v>
      </c>
      <c r="G19" s="12">
        <v>313.33</v>
      </c>
      <c r="I19" s="12"/>
      <c r="O19" s="19">
        <v>10</v>
      </c>
      <c r="P19" t="s">
        <v>38</v>
      </c>
    </row>
    <row r="20" spans="1:16" ht="18.75" customHeight="1" x14ac:dyDescent="0.4">
      <c r="A20" s="21">
        <v>7</v>
      </c>
      <c r="B20" s="25"/>
      <c r="C20" s="22"/>
      <c r="F20" s="1">
        <v>21855</v>
      </c>
      <c r="G20" s="12">
        <v>314.81</v>
      </c>
      <c r="I20" s="12"/>
    </row>
    <row r="21" spans="1:16" ht="18.75" customHeight="1" x14ac:dyDescent="0.4">
      <c r="A21" s="21">
        <v>8</v>
      </c>
      <c r="B21" s="25"/>
      <c r="C21" s="22"/>
      <c r="F21" s="1">
        <v>21885</v>
      </c>
      <c r="G21" s="12">
        <v>315.58</v>
      </c>
      <c r="I21" s="12"/>
      <c r="O21" t="s">
        <v>40</v>
      </c>
    </row>
    <row r="22" spans="1:16" ht="18.75" customHeight="1" x14ac:dyDescent="0.4">
      <c r="A22" s="21">
        <v>9</v>
      </c>
      <c r="B22" s="25"/>
      <c r="C22" s="22"/>
      <c r="F22" s="1">
        <v>21916</v>
      </c>
      <c r="G22" s="12">
        <v>316.43</v>
      </c>
      <c r="I22" s="12"/>
    </row>
    <row r="23" spans="1:16" ht="18.75" customHeight="1" x14ac:dyDescent="0.4">
      <c r="A23" s="21">
        <v>10</v>
      </c>
      <c r="B23" s="25"/>
      <c r="C23" s="22"/>
      <c r="F23" s="1">
        <v>21947</v>
      </c>
      <c r="G23" s="12">
        <v>316.98</v>
      </c>
      <c r="I23" s="12"/>
    </row>
    <row r="24" spans="1:16" ht="18.75" customHeight="1" x14ac:dyDescent="0.4">
      <c r="A24" s="21">
        <v>11</v>
      </c>
      <c r="B24" s="25"/>
      <c r="C24" s="22"/>
      <c r="D24" s="10"/>
      <c r="F24" s="1">
        <v>21976</v>
      </c>
      <c r="G24" s="12">
        <v>317.58</v>
      </c>
      <c r="I24" s="12"/>
    </row>
    <row r="25" spans="1:16" ht="18.75" customHeight="1" x14ac:dyDescent="0.4">
      <c r="A25" s="21">
        <v>12</v>
      </c>
      <c r="B25" s="25"/>
      <c r="C25" s="22"/>
      <c r="F25" s="1">
        <v>22007</v>
      </c>
      <c r="G25" s="12">
        <v>319.02999999999997</v>
      </c>
      <c r="I25" s="12"/>
    </row>
    <row r="26" spans="1:16" ht="18.75" customHeight="1" x14ac:dyDescent="0.4">
      <c r="A26" s="9">
        <v>13</v>
      </c>
      <c r="B26" s="23" t="e">
        <f>B14</f>
        <v>#DIV/0!</v>
      </c>
      <c r="C26" s="10" t="s">
        <v>16</v>
      </c>
      <c r="F26" s="1">
        <v>22037</v>
      </c>
      <c r="G26" s="12">
        <v>320.04000000000002</v>
      </c>
      <c r="I26" s="12"/>
    </row>
    <row r="27" spans="1:16" ht="18.75" customHeight="1" x14ac:dyDescent="0.4">
      <c r="A27" s="2" t="s">
        <v>8</v>
      </c>
      <c r="B27" s="26" t="e">
        <f>SUM(B14:B25)</f>
        <v>#DIV/0!</v>
      </c>
      <c r="F27" s="1">
        <v>22068</v>
      </c>
      <c r="G27" s="12">
        <v>319.58</v>
      </c>
      <c r="I27" s="12"/>
    </row>
    <row r="28" spans="1:16" ht="18.75" customHeight="1" x14ac:dyDescent="0.4">
      <c r="F28" s="1">
        <v>22098</v>
      </c>
      <c r="G28" s="12">
        <v>318.18</v>
      </c>
      <c r="I28" s="12"/>
    </row>
    <row r="29" spans="1:16" ht="18.75" customHeight="1" x14ac:dyDescent="0.4">
      <c r="A29" s="2" t="s">
        <v>25</v>
      </c>
      <c r="B29" s="26">
        <f>SUMSQ(M:M)/COUNT(M:M)</f>
        <v>53.747782480587496</v>
      </c>
      <c r="F29" s="1">
        <v>22129</v>
      </c>
      <c r="G29" s="12">
        <v>315.89999999999998</v>
      </c>
      <c r="I29" s="12"/>
    </row>
    <row r="30" spans="1:16" ht="18.75" customHeight="1" x14ac:dyDescent="0.4">
      <c r="F30" s="1">
        <v>22160</v>
      </c>
      <c r="G30" s="12">
        <v>314.17</v>
      </c>
      <c r="I30" s="12"/>
    </row>
    <row r="31" spans="1:16" ht="18.75" customHeight="1" x14ac:dyDescent="0.4">
      <c r="F31" s="1">
        <v>22190</v>
      </c>
      <c r="G31" s="12">
        <v>313.83</v>
      </c>
      <c r="I31" s="12"/>
    </row>
    <row r="32" spans="1:16" ht="18.75" customHeight="1" x14ac:dyDescent="0.4">
      <c r="F32" s="1">
        <v>22221</v>
      </c>
      <c r="G32" s="12">
        <v>315</v>
      </c>
      <c r="I32" s="12"/>
    </row>
    <row r="33" spans="1:9" ht="18.75" customHeight="1" x14ac:dyDescent="0.4">
      <c r="F33" s="1">
        <v>22251</v>
      </c>
      <c r="G33" s="12">
        <v>316.19</v>
      </c>
      <c r="I33" s="12"/>
    </row>
    <row r="34" spans="1:9" ht="18.75" customHeight="1" x14ac:dyDescent="0.4">
      <c r="F34" s="1">
        <v>22282</v>
      </c>
      <c r="G34" s="12">
        <v>316.89999999999998</v>
      </c>
      <c r="I34" s="12"/>
    </row>
    <row r="35" spans="1:9" ht="18.75" customHeight="1" x14ac:dyDescent="0.4">
      <c r="F35" s="1">
        <v>22313</v>
      </c>
      <c r="G35" s="12">
        <v>317.7</v>
      </c>
      <c r="I35" s="12"/>
    </row>
    <row r="36" spans="1:9" ht="18.75" customHeight="1" x14ac:dyDescent="0.4">
      <c r="A36"/>
      <c r="F36" s="1">
        <v>22341</v>
      </c>
      <c r="G36" s="12">
        <v>318.54000000000002</v>
      </c>
      <c r="I36" s="12"/>
    </row>
    <row r="37" spans="1:9" ht="18.75" customHeight="1" x14ac:dyDescent="0.4">
      <c r="F37" s="1">
        <v>22372</v>
      </c>
      <c r="G37" s="12">
        <v>319.48</v>
      </c>
      <c r="I37" s="12"/>
    </row>
    <row r="38" spans="1:9" ht="18.75" customHeight="1" x14ac:dyDescent="0.4">
      <c r="A38" s="13"/>
      <c r="F38" s="1">
        <v>22402</v>
      </c>
      <c r="G38" s="12">
        <v>320.58</v>
      </c>
      <c r="I38" s="12"/>
    </row>
    <row r="39" spans="1:9" ht="18.75" customHeight="1" x14ac:dyDescent="0.4">
      <c r="F39" s="1">
        <v>22433</v>
      </c>
      <c r="G39" s="12">
        <v>319.77</v>
      </c>
      <c r="I39" s="12"/>
    </row>
    <row r="40" spans="1:9" ht="18.75" customHeight="1" x14ac:dyDescent="0.4">
      <c r="F40" s="1">
        <v>22463</v>
      </c>
      <c r="G40" s="12">
        <v>318.57</v>
      </c>
      <c r="I40" s="12"/>
    </row>
    <row r="41" spans="1:9" ht="18.75" customHeight="1" x14ac:dyDescent="0.4">
      <c r="F41" s="1">
        <v>22494</v>
      </c>
      <c r="G41" s="12">
        <v>316.79000000000002</v>
      </c>
      <c r="I41" s="12"/>
    </row>
    <row r="42" spans="1:9" ht="18.75" customHeight="1" x14ac:dyDescent="0.4">
      <c r="F42" s="1">
        <v>22525</v>
      </c>
      <c r="G42" s="12">
        <v>314.99</v>
      </c>
      <c r="I42" s="12"/>
    </row>
    <row r="43" spans="1:9" ht="18.75" customHeight="1" x14ac:dyDescent="0.4">
      <c r="F43" s="1">
        <v>22555</v>
      </c>
      <c r="G43" s="12">
        <v>315.31</v>
      </c>
      <c r="I43" s="12"/>
    </row>
    <row r="44" spans="1:9" ht="18.75" customHeight="1" x14ac:dyDescent="0.4">
      <c r="F44" s="1">
        <v>22586</v>
      </c>
      <c r="G44" s="12">
        <v>316.10000000000002</v>
      </c>
      <c r="I44" s="12"/>
    </row>
    <row r="45" spans="1:9" ht="18.75" customHeight="1" x14ac:dyDescent="0.4">
      <c r="F45" s="1">
        <v>22616</v>
      </c>
      <c r="G45" s="12">
        <v>317.01</v>
      </c>
      <c r="I45" s="12"/>
    </row>
    <row r="46" spans="1:9" ht="18.75" customHeight="1" x14ac:dyDescent="0.4">
      <c r="F46" s="1">
        <v>22647</v>
      </c>
      <c r="G46" s="12">
        <v>317.94</v>
      </c>
      <c r="I46" s="12"/>
    </row>
    <row r="47" spans="1:9" ht="18.75" customHeight="1" x14ac:dyDescent="0.4">
      <c r="F47" s="1">
        <v>22678</v>
      </c>
      <c r="G47" s="12">
        <v>318.55</v>
      </c>
      <c r="I47" s="12"/>
    </row>
    <row r="48" spans="1:9" ht="18.75" customHeight="1" x14ac:dyDescent="0.4">
      <c r="F48" s="1">
        <v>22706</v>
      </c>
      <c r="G48" s="12">
        <v>319.68</v>
      </c>
      <c r="I48" s="12"/>
    </row>
    <row r="49" spans="6:9" ht="18.75" customHeight="1" x14ac:dyDescent="0.4">
      <c r="F49" s="1">
        <v>22737</v>
      </c>
      <c r="G49" s="12">
        <v>320.57</v>
      </c>
      <c r="I49" s="12"/>
    </row>
    <row r="50" spans="6:9" ht="18.75" customHeight="1" x14ac:dyDescent="0.4">
      <c r="F50" s="1">
        <v>22767</v>
      </c>
      <c r="G50" s="12">
        <v>321.02</v>
      </c>
      <c r="I50" s="12"/>
    </row>
    <row r="51" spans="6:9" ht="18.75" customHeight="1" x14ac:dyDescent="0.4">
      <c r="F51" s="1">
        <v>22798</v>
      </c>
      <c r="G51" s="12">
        <v>320.62</v>
      </c>
      <c r="I51" s="12"/>
    </row>
    <row r="52" spans="6:9" ht="18.75" customHeight="1" x14ac:dyDescent="0.4">
      <c r="F52" s="1">
        <v>22828</v>
      </c>
      <c r="G52" s="12">
        <v>319.61</v>
      </c>
      <c r="I52" s="12"/>
    </row>
    <row r="53" spans="6:9" ht="18.75" customHeight="1" x14ac:dyDescent="0.4">
      <c r="F53" s="1">
        <v>22859</v>
      </c>
      <c r="G53" s="12">
        <v>317.39999999999998</v>
      </c>
      <c r="I53" s="12"/>
    </row>
    <row r="54" spans="6:9" ht="18.75" customHeight="1" x14ac:dyDescent="0.4">
      <c r="F54" s="1">
        <v>22890</v>
      </c>
      <c r="G54" s="12">
        <v>316.25</v>
      </c>
      <c r="I54" s="12"/>
    </row>
    <row r="55" spans="6:9" ht="18.75" customHeight="1" x14ac:dyDescent="0.4">
      <c r="F55" s="1">
        <v>22920</v>
      </c>
      <c r="G55" s="12">
        <v>315.42</v>
      </c>
      <c r="I55" s="12"/>
    </row>
    <row r="56" spans="6:9" ht="18.75" customHeight="1" x14ac:dyDescent="0.4">
      <c r="F56" s="1">
        <v>22951</v>
      </c>
      <c r="G56" s="12">
        <v>316.69</v>
      </c>
      <c r="I56" s="12"/>
    </row>
    <row r="57" spans="6:9" ht="18.75" customHeight="1" x14ac:dyDescent="0.4">
      <c r="F57" s="1">
        <v>22981</v>
      </c>
      <c r="G57" s="12">
        <v>317.7</v>
      </c>
      <c r="I57" s="12"/>
    </row>
    <row r="58" spans="6:9" ht="18.75" customHeight="1" x14ac:dyDescent="0.4">
      <c r="F58" s="1">
        <v>23012</v>
      </c>
      <c r="G58" s="12">
        <v>318.74</v>
      </c>
      <c r="I58" s="12"/>
    </row>
    <row r="59" spans="6:9" ht="18.75" customHeight="1" x14ac:dyDescent="0.4">
      <c r="F59" s="1">
        <v>23043</v>
      </c>
      <c r="G59" s="12">
        <v>319.07</v>
      </c>
      <c r="I59" s="12"/>
    </row>
    <row r="60" spans="6:9" ht="18.75" customHeight="1" x14ac:dyDescent="0.4">
      <c r="F60" s="1">
        <v>23071</v>
      </c>
      <c r="G60" s="12">
        <v>319.86</v>
      </c>
      <c r="I60" s="12"/>
    </row>
    <row r="61" spans="6:9" ht="18.75" customHeight="1" x14ac:dyDescent="0.4">
      <c r="F61" s="1">
        <v>23102</v>
      </c>
      <c r="G61" s="12">
        <v>321.38</v>
      </c>
      <c r="I61" s="12"/>
    </row>
    <row r="62" spans="6:9" ht="18.75" customHeight="1" x14ac:dyDescent="0.4">
      <c r="F62" s="1">
        <v>23132</v>
      </c>
      <c r="G62" s="12">
        <v>322.25</v>
      </c>
      <c r="I62" s="12"/>
    </row>
    <row r="63" spans="6:9" ht="18.75" customHeight="1" x14ac:dyDescent="0.4">
      <c r="F63" s="1">
        <v>23163</v>
      </c>
      <c r="G63" s="12">
        <v>321.48</v>
      </c>
      <c r="I63" s="12"/>
    </row>
    <row r="64" spans="6:9" ht="18.75" customHeight="1" x14ac:dyDescent="0.4">
      <c r="F64" s="1">
        <v>23193</v>
      </c>
      <c r="G64" s="12">
        <v>319.74</v>
      </c>
      <c r="I64" s="12"/>
    </row>
    <row r="65" spans="6:9" ht="18.75" customHeight="1" x14ac:dyDescent="0.4">
      <c r="F65" s="1">
        <v>23224</v>
      </c>
      <c r="G65" s="12">
        <v>317.77</v>
      </c>
      <c r="I65" s="12"/>
    </row>
    <row r="66" spans="6:9" ht="18.75" customHeight="1" x14ac:dyDescent="0.4">
      <c r="F66" s="1">
        <v>23255</v>
      </c>
      <c r="G66" s="12">
        <v>316.20999999999998</v>
      </c>
      <c r="I66" s="12"/>
    </row>
    <row r="67" spans="6:9" ht="18.75" customHeight="1" x14ac:dyDescent="0.4">
      <c r="F67" s="1">
        <v>23285</v>
      </c>
      <c r="G67" s="12">
        <v>315.99</v>
      </c>
      <c r="I67" s="12"/>
    </row>
    <row r="68" spans="6:9" ht="18.75" customHeight="1" x14ac:dyDescent="0.4">
      <c r="F68" s="1">
        <v>23316</v>
      </c>
      <c r="G68" s="12">
        <v>317.07</v>
      </c>
      <c r="I68" s="12"/>
    </row>
    <row r="69" spans="6:9" ht="18.75" customHeight="1" x14ac:dyDescent="0.4">
      <c r="F69" s="1">
        <v>23346</v>
      </c>
      <c r="G69" s="12">
        <v>318.35000000000002</v>
      </c>
      <c r="I69" s="12"/>
    </row>
    <row r="70" spans="6:9" ht="18.75" customHeight="1" x14ac:dyDescent="0.4">
      <c r="F70" s="1">
        <v>23377</v>
      </c>
      <c r="G70" s="12">
        <v>319.57</v>
      </c>
      <c r="I70" s="12"/>
    </row>
    <row r="71" spans="6:9" ht="18.75" customHeight="1" x14ac:dyDescent="0.4">
      <c r="F71" s="1">
        <v>23498</v>
      </c>
      <c r="G71" s="12">
        <v>322.26</v>
      </c>
      <c r="I71" s="12"/>
    </row>
    <row r="72" spans="6:9" ht="18.75" customHeight="1" x14ac:dyDescent="0.4">
      <c r="F72" s="1">
        <v>23529</v>
      </c>
      <c r="G72" s="12">
        <v>321.89</v>
      </c>
      <c r="I72" s="12"/>
    </row>
    <row r="73" spans="6:9" ht="18.75" customHeight="1" x14ac:dyDescent="0.4">
      <c r="F73" s="1">
        <v>23559</v>
      </c>
      <c r="G73" s="12">
        <v>320.44</v>
      </c>
      <c r="I73" s="12"/>
    </row>
    <row r="74" spans="6:9" ht="18.75" customHeight="1" x14ac:dyDescent="0.4">
      <c r="F74" s="1">
        <v>23590</v>
      </c>
      <c r="G74" s="12">
        <v>318.69</v>
      </c>
      <c r="I74" s="12"/>
    </row>
    <row r="75" spans="6:9" ht="18.75" customHeight="1" x14ac:dyDescent="0.4">
      <c r="F75" s="1">
        <v>23621</v>
      </c>
      <c r="G75" s="12">
        <v>316.7</v>
      </c>
      <c r="I75" s="12"/>
    </row>
    <row r="76" spans="6:9" ht="18.75" customHeight="1" x14ac:dyDescent="0.4">
      <c r="F76" s="1">
        <v>23651</v>
      </c>
      <c r="G76" s="12">
        <v>316.87</v>
      </c>
      <c r="I76" s="12"/>
    </row>
    <row r="77" spans="6:9" ht="18.75" customHeight="1" x14ac:dyDescent="0.4">
      <c r="F77" s="1">
        <v>23682</v>
      </c>
      <c r="G77" s="12">
        <v>317.68</v>
      </c>
      <c r="I77" s="12"/>
    </row>
    <row r="78" spans="6:9" ht="18.75" customHeight="1" x14ac:dyDescent="0.4">
      <c r="F78" s="1">
        <v>23712</v>
      </c>
      <c r="G78" s="12">
        <v>318.70999999999998</v>
      </c>
      <c r="I78" s="12"/>
    </row>
    <row r="79" spans="6:9" ht="18.75" customHeight="1" x14ac:dyDescent="0.4">
      <c r="F79" s="1">
        <v>23743</v>
      </c>
      <c r="G79" s="12">
        <v>319.44</v>
      </c>
      <c r="I79" s="12"/>
    </row>
    <row r="80" spans="6:9" ht="18.75" customHeight="1" x14ac:dyDescent="0.4">
      <c r="F80" s="1">
        <v>23774</v>
      </c>
      <c r="G80" s="12">
        <v>320.44</v>
      </c>
      <c r="I80" s="12"/>
    </row>
    <row r="81" spans="6:9" ht="18.75" customHeight="1" x14ac:dyDescent="0.4">
      <c r="F81" s="1">
        <v>23802</v>
      </c>
      <c r="G81" s="12">
        <v>320.89</v>
      </c>
      <c r="I81" s="12"/>
    </row>
    <row r="82" spans="6:9" ht="18.75" customHeight="1" x14ac:dyDescent="0.4">
      <c r="F82" s="1">
        <v>23833</v>
      </c>
      <c r="G82" s="12">
        <v>322.14</v>
      </c>
      <c r="I82" s="12"/>
    </row>
    <row r="83" spans="6:9" ht="18.75" customHeight="1" x14ac:dyDescent="0.4">
      <c r="F83" s="1">
        <v>23863</v>
      </c>
      <c r="G83" s="12">
        <v>322.17</v>
      </c>
      <c r="I83" s="12"/>
    </row>
    <row r="84" spans="6:9" ht="18.75" customHeight="1" x14ac:dyDescent="0.4">
      <c r="F84" s="1">
        <v>23894</v>
      </c>
      <c r="G84" s="12">
        <v>321.87</v>
      </c>
      <c r="I84" s="12"/>
    </row>
    <row r="85" spans="6:9" ht="18.75" customHeight="1" x14ac:dyDescent="0.4">
      <c r="F85" s="1">
        <v>23924</v>
      </c>
      <c r="G85" s="12">
        <v>321.20999999999998</v>
      </c>
      <c r="I85" s="12"/>
    </row>
    <row r="86" spans="6:9" ht="18.75" customHeight="1" x14ac:dyDescent="0.4">
      <c r="F86" s="1">
        <v>23955</v>
      </c>
      <c r="G86" s="12">
        <v>318.87</v>
      </c>
      <c r="I86" s="12"/>
    </row>
    <row r="87" spans="6:9" ht="18.75" customHeight="1" x14ac:dyDescent="0.4">
      <c r="F87" s="1">
        <v>23986</v>
      </c>
      <c r="G87" s="12">
        <v>317.81</v>
      </c>
      <c r="I87" s="12"/>
    </row>
    <row r="88" spans="6:9" ht="18.75" customHeight="1" x14ac:dyDescent="0.4">
      <c r="F88" s="1">
        <v>24016</v>
      </c>
      <c r="G88" s="12">
        <v>317.3</v>
      </c>
      <c r="I88" s="12"/>
    </row>
    <row r="89" spans="6:9" ht="18.75" customHeight="1" x14ac:dyDescent="0.4">
      <c r="F89" s="1">
        <v>24047</v>
      </c>
      <c r="G89" s="12">
        <v>318.87</v>
      </c>
      <c r="I89" s="12"/>
    </row>
    <row r="90" spans="6:9" ht="18.75" customHeight="1" x14ac:dyDescent="0.4">
      <c r="F90" s="1">
        <v>24077</v>
      </c>
      <c r="G90" s="12">
        <v>319.42</v>
      </c>
      <c r="I90" s="12"/>
    </row>
    <row r="91" spans="6:9" ht="18.75" customHeight="1" x14ac:dyDescent="0.4">
      <c r="F91" s="1">
        <v>24108</v>
      </c>
      <c r="G91" s="12">
        <v>320.62</v>
      </c>
      <c r="I91" s="12"/>
    </row>
    <row r="92" spans="6:9" ht="18.75" customHeight="1" x14ac:dyDescent="0.4">
      <c r="F92" s="1">
        <v>24139</v>
      </c>
      <c r="G92" s="12">
        <v>321.60000000000002</v>
      </c>
      <c r="I92" s="12"/>
    </row>
    <row r="93" spans="6:9" ht="18.75" customHeight="1" x14ac:dyDescent="0.4">
      <c r="F93" s="1">
        <v>24167</v>
      </c>
      <c r="G93" s="12">
        <v>322.39</v>
      </c>
      <c r="I93" s="12"/>
    </row>
    <row r="94" spans="6:9" ht="18.75" customHeight="1" x14ac:dyDescent="0.4">
      <c r="F94" s="1">
        <v>24198</v>
      </c>
      <c r="G94" s="12">
        <v>323.7</v>
      </c>
      <c r="I94" s="12"/>
    </row>
    <row r="95" spans="6:9" ht="18.75" customHeight="1" x14ac:dyDescent="0.4">
      <c r="F95" s="1">
        <v>24228</v>
      </c>
      <c r="G95" s="12">
        <v>324.08</v>
      </c>
      <c r="I95" s="12"/>
    </row>
    <row r="96" spans="6:9" ht="18.75" customHeight="1" x14ac:dyDescent="0.4">
      <c r="F96" s="1">
        <v>24259</v>
      </c>
      <c r="G96" s="12">
        <v>323.75</v>
      </c>
      <c r="I96" s="12"/>
    </row>
    <row r="97" spans="6:9" ht="18.75" customHeight="1" x14ac:dyDescent="0.4">
      <c r="F97" s="1">
        <v>24289</v>
      </c>
      <c r="G97" s="12">
        <v>322.38</v>
      </c>
      <c r="I97" s="12"/>
    </row>
    <row r="98" spans="6:9" ht="18.75" customHeight="1" x14ac:dyDescent="0.4">
      <c r="F98" s="1">
        <v>24320</v>
      </c>
      <c r="G98" s="12">
        <v>320.36</v>
      </c>
      <c r="I98" s="12"/>
    </row>
    <row r="99" spans="6:9" ht="18.75" customHeight="1" x14ac:dyDescent="0.4">
      <c r="F99" s="1">
        <v>24351</v>
      </c>
      <c r="G99" s="12">
        <v>318.64</v>
      </c>
      <c r="I99" s="12"/>
    </row>
    <row r="100" spans="6:9" ht="18.75" customHeight="1" x14ac:dyDescent="0.4">
      <c r="F100" s="1">
        <v>24381</v>
      </c>
      <c r="G100" s="12">
        <v>318.10000000000002</v>
      </c>
      <c r="I100" s="12"/>
    </row>
    <row r="101" spans="6:9" ht="18.75" customHeight="1" x14ac:dyDescent="0.4">
      <c r="F101" s="1">
        <v>24412</v>
      </c>
      <c r="G101" s="12">
        <v>319.77999999999997</v>
      </c>
      <c r="I101" s="12"/>
    </row>
    <row r="102" spans="6:9" ht="18.75" customHeight="1" x14ac:dyDescent="0.4">
      <c r="F102" s="1">
        <v>24442</v>
      </c>
      <c r="G102" s="12">
        <v>321.02999999999997</v>
      </c>
      <c r="I102" s="12"/>
    </row>
    <row r="103" spans="6:9" ht="18.75" customHeight="1" x14ac:dyDescent="0.4">
      <c r="F103" s="1">
        <v>24473</v>
      </c>
      <c r="G103" s="12">
        <v>322.33</v>
      </c>
      <c r="I103" s="12"/>
    </row>
    <row r="104" spans="6:9" ht="18.75" customHeight="1" x14ac:dyDescent="0.4">
      <c r="F104" s="1">
        <v>24504</v>
      </c>
      <c r="G104" s="12">
        <v>322.5</v>
      </c>
      <c r="I104" s="12"/>
    </row>
    <row r="105" spans="6:9" ht="18.75" customHeight="1" x14ac:dyDescent="0.4">
      <c r="F105" s="1">
        <v>24532</v>
      </c>
      <c r="G105" s="12">
        <v>323.04000000000002</v>
      </c>
      <c r="I105" s="12"/>
    </row>
    <row r="106" spans="6:9" ht="18.75" customHeight="1" x14ac:dyDescent="0.4">
      <c r="F106" s="1">
        <v>24563</v>
      </c>
      <c r="G106" s="12">
        <v>324.42</v>
      </c>
      <c r="I106" s="12"/>
    </row>
    <row r="107" spans="6:9" ht="18.75" customHeight="1" x14ac:dyDescent="0.4">
      <c r="F107" s="1">
        <v>24593</v>
      </c>
      <c r="G107" s="12">
        <v>325</v>
      </c>
      <c r="I107" s="12"/>
    </row>
    <row r="108" spans="6:9" ht="18.75" customHeight="1" x14ac:dyDescent="0.4">
      <c r="F108" s="1">
        <v>24624</v>
      </c>
      <c r="G108" s="12">
        <v>324.08999999999997</v>
      </c>
      <c r="I108" s="12"/>
    </row>
    <row r="109" spans="6:9" ht="18.75" customHeight="1" x14ac:dyDescent="0.4">
      <c r="F109" s="1">
        <v>24654</v>
      </c>
      <c r="G109" s="12">
        <v>322.54000000000002</v>
      </c>
      <c r="I109" s="12"/>
    </row>
    <row r="110" spans="6:9" ht="18.75" customHeight="1" x14ac:dyDescent="0.4">
      <c r="F110" s="1">
        <v>24685</v>
      </c>
      <c r="G110" s="12">
        <v>320.92</v>
      </c>
      <c r="I110" s="12"/>
    </row>
    <row r="111" spans="6:9" ht="18.75" customHeight="1" x14ac:dyDescent="0.4">
      <c r="F111" s="1">
        <v>24716</v>
      </c>
      <c r="G111" s="12">
        <v>319.25</v>
      </c>
      <c r="I111" s="12"/>
    </row>
    <row r="112" spans="6:9" ht="18.75" customHeight="1" x14ac:dyDescent="0.4">
      <c r="F112" s="1">
        <v>24746</v>
      </c>
      <c r="G112" s="12">
        <v>319.39</v>
      </c>
      <c r="I112" s="12"/>
    </row>
    <row r="113" spans="6:9" ht="18.75" customHeight="1" x14ac:dyDescent="0.4">
      <c r="F113" s="1">
        <v>24777</v>
      </c>
      <c r="G113" s="12">
        <v>320.73</v>
      </c>
      <c r="I113" s="12"/>
    </row>
    <row r="114" spans="6:9" ht="18.75" customHeight="1" x14ac:dyDescent="0.4">
      <c r="F114" s="1">
        <v>24807</v>
      </c>
      <c r="G114" s="12">
        <v>321.95999999999998</v>
      </c>
      <c r="I114" s="12"/>
    </row>
    <row r="115" spans="6:9" ht="18.75" customHeight="1" x14ac:dyDescent="0.4">
      <c r="F115" s="1">
        <v>24838</v>
      </c>
      <c r="G115" s="12">
        <v>322.57</v>
      </c>
      <c r="I115" s="12"/>
    </row>
    <row r="116" spans="6:9" ht="18.75" customHeight="1" x14ac:dyDescent="0.4">
      <c r="F116" s="1">
        <v>24869</v>
      </c>
      <c r="G116" s="12">
        <v>323.14999999999998</v>
      </c>
      <c r="I116" s="12"/>
    </row>
    <row r="117" spans="6:9" ht="18.75" customHeight="1" x14ac:dyDescent="0.4">
      <c r="F117" s="1">
        <v>24898</v>
      </c>
      <c r="G117" s="12">
        <v>323.89</v>
      </c>
      <c r="I117" s="12"/>
    </row>
    <row r="118" spans="6:9" ht="18.75" customHeight="1" x14ac:dyDescent="0.4">
      <c r="F118" s="1">
        <v>24929</v>
      </c>
      <c r="G118" s="12">
        <v>325.02</v>
      </c>
      <c r="I118" s="12"/>
    </row>
    <row r="119" spans="6:9" ht="18.75" customHeight="1" x14ac:dyDescent="0.4">
      <c r="F119" s="1">
        <v>24959</v>
      </c>
      <c r="G119" s="12">
        <v>325.57</v>
      </c>
      <c r="I119" s="12"/>
    </row>
    <row r="120" spans="6:9" ht="18.75" customHeight="1" x14ac:dyDescent="0.4">
      <c r="F120" s="1">
        <v>24990</v>
      </c>
      <c r="G120" s="12">
        <v>325.36</v>
      </c>
      <c r="I120" s="12"/>
    </row>
    <row r="121" spans="6:9" ht="18.75" customHeight="1" x14ac:dyDescent="0.4">
      <c r="F121" s="1">
        <v>25020</v>
      </c>
      <c r="G121" s="12">
        <v>324.14</v>
      </c>
      <c r="I121" s="12"/>
    </row>
    <row r="122" spans="6:9" ht="18.75" customHeight="1" x14ac:dyDescent="0.4">
      <c r="F122" s="1">
        <v>25051</v>
      </c>
      <c r="G122" s="12">
        <v>322.11</v>
      </c>
      <c r="I122" s="12"/>
    </row>
    <row r="123" spans="6:9" ht="18.75" customHeight="1" x14ac:dyDescent="0.4">
      <c r="F123" s="1">
        <v>25082</v>
      </c>
      <c r="G123" s="12">
        <v>320.33</v>
      </c>
      <c r="I123" s="12"/>
    </row>
    <row r="124" spans="6:9" ht="18.75" customHeight="1" x14ac:dyDescent="0.4">
      <c r="F124" s="1">
        <v>25112</v>
      </c>
      <c r="G124" s="12">
        <v>320.25</v>
      </c>
      <c r="I124" s="12"/>
    </row>
    <row r="125" spans="6:9" ht="18.75" customHeight="1" x14ac:dyDescent="0.4">
      <c r="F125" s="1">
        <v>25143</v>
      </c>
      <c r="G125" s="12">
        <v>321.32</v>
      </c>
      <c r="I125" s="12"/>
    </row>
    <row r="126" spans="6:9" ht="18.75" customHeight="1" x14ac:dyDescent="0.4">
      <c r="F126" s="1">
        <v>25173</v>
      </c>
      <c r="G126" s="12">
        <v>322.89</v>
      </c>
      <c r="I126" s="12"/>
    </row>
    <row r="127" spans="6:9" ht="18.75" customHeight="1" x14ac:dyDescent="0.4">
      <c r="F127" s="1">
        <v>25204</v>
      </c>
      <c r="G127" s="12">
        <v>324</v>
      </c>
      <c r="I127" s="12"/>
    </row>
    <row r="128" spans="6:9" ht="18.75" customHeight="1" x14ac:dyDescent="0.4">
      <c r="F128" s="1">
        <v>25235</v>
      </c>
      <c r="G128" s="12">
        <v>324.41000000000003</v>
      </c>
      <c r="I128" s="12"/>
    </row>
    <row r="129" spans="6:9" ht="18.75" customHeight="1" x14ac:dyDescent="0.4">
      <c r="F129" s="1">
        <v>25263</v>
      </c>
      <c r="G129" s="12">
        <v>325.63</v>
      </c>
      <c r="I129" s="12"/>
    </row>
    <row r="130" spans="6:9" ht="18.75" customHeight="1" x14ac:dyDescent="0.4">
      <c r="F130" s="1">
        <v>25294</v>
      </c>
      <c r="G130" s="12">
        <v>326.66000000000003</v>
      </c>
      <c r="I130" s="12"/>
    </row>
    <row r="131" spans="6:9" ht="18.75" customHeight="1" x14ac:dyDescent="0.4">
      <c r="F131" s="1">
        <v>25324</v>
      </c>
      <c r="G131" s="12">
        <v>327.38</v>
      </c>
      <c r="I131" s="12"/>
    </row>
    <row r="132" spans="6:9" ht="18.75" customHeight="1" x14ac:dyDescent="0.4">
      <c r="F132" s="1">
        <v>25355</v>
      </c>
      <c r="G132" s="12">
        <v>326.70999999999998</v>
      </c>
      <c r="I132" s="12"/>
    </row>
    <row r="133" spans="6:9" ht="18.75" customHeight="1" x14ac:dyDescent="0.4">
      <c r="F133" s="1">
        <v>25385</v>
      </c>
      <c r="G133" s="12">
        <v>325.88</v>
      </c>
      <c r="I133" s="12"/>
    </row>
    <row r="134" spans="6:9" ht="18.75" customHeight="1" x14ac:dyDescent="0.4">
      <c r="F134" s="1">
        <v>25416</v>
      </c>
      <c r="G134" s="12">
        <v>323.66000000000003</v>
      </c>
      <c r="I134" s="12"/>
    </row>
    <row r="135" spans="6:9" ht="18.75" customHeight="1" x14ac:dyDescent="0.4">
      <c r="F135" s="1">
        <v>25447</v>
      </c>
      <c r="G135" s="12">
        <v>322.38</v>
      </c>
      <c r="I135" s="12"/>
    </row>
    <row r="136" spans="6:9" ht="18.75" customHeight="1" x14ac:dyDescent="0.4">
      <c r="F136" s="1">
        <v>25477</v>
      </c>
      <c r="G136" s="12">
        <v>321.77999999999997</v>
      </c>
      <c r="I136" s="12"/>
    </row>
    <row r="137" spans="6:9" ht="18.75" customHeight="1" x14ac:dyDescent="0.4">
      <c r="F137" s="1">
        <v>25508</v>
      </c>
      <c r="G137" s="12">
        <v>322.85000000000002</v>
      </c>
      <c r="I137" s="12"/>
    </row>
    <row r="138" spans="6:9" ht="18.75" customHeight="1" x14ac:dyDescent="0.4">
      <c r="F138" s="1">
        <v>25538</v>
      </c>
      <c r="G138" s="12">
        <v>324.12</v>
      </c>
      <c r="I138" s="12"/>
    </row>
    <row r="139" spans="6:9" ht="18.75" customHeight="1" x14ac:dyDescent="0.4">
      <c r="F139" s="1">
        <v>25569</v>
      </c>
      <c r="G139" s="12">
        <v>325.06</v>
      </c>
      <c r="I139" s="12"/>
    </row>
    <row r="140" spans="6:9" ht="18.75" customHeight="1" x14ac:dyDescent="0.4">
      <c r="F140" s="1">
        <v>25600</v>
      </c>
      <c r="G140" s="12">
        <v>325.98</v>
      </c>
      <c r="I140" s="12"/>
    </row>
    <row r="141" spans="6:9" ht="18.75" customHeight="1" x14ac:dyDescent="0.4">
      <c r="F141" s="1">
        <v>25628</v>
      </c>
      <c r="G141" s="12">
        <v>326.93</v>
      </c>
      <c r="I141" s="12"/>
    </row>
    <row r="142" spans="6:9" ht="18.75" customHeight="1" x14ac:dyDescent="0.4">
      <c r="F142" s="1">
        <v>25659</v>
      </c>
      <c r="G142" s="12">
        <v>328.13</v>
      </c>
      <c r="I142" s="12"/>
    </row>
    <row r="143" spans="6:9" ht="18.75" customHeight="1" x14ac:dyDescent="0.4">
      <c r="F143" s="1">
        <v>25689</v>
      </c>
      <c r="G143" s="12">
        <v>328.08</v>
      </c>
      <c r="I143" s="12"/>
    </row>
    <row r="144" spans="6:9" ht="18.75" customHeight="1" x14ac:dyDescent="0.4">
      <c r="F144" s="1">
        <v>25720</v>
      </c>
      <c r="G144" s="12">
        <v>327.67</v>
      </c>
      <c r="I144" s="12"/>
    </row>
    <row r="145" spans="6:9" ht="18.75" customHeight="1" x14ac:dyDescent="0.4">
      <c r="F145" s="1">
        <v>25750</v>
      </c>
      <c r="G145" s="12">
        <v>326.33999999999997</v>
      </c>
      <c r="I145" s="12"/>
    </row>
    <row r="146" spans="6:9" ht="18.75" customHeight="1" x14ac:dyDescent="0.4">
      <c r="F146" s="1">
        <v>25781</v>
      </c>
      <c r="G146" s="12">
        <v>324.69</v>
      </c>
      <c r="I146" s="12"/>
    </row>
    <row r="147" spans="6:9" ht="18.75" customHeight="1" x14ac:dyDescent="0.4">
      <c r="F147" s="1">
        <v>25812</v>
      </c>
      <c r="G147" s="12">
        <v>323.10000000000002</v>
      </c>
      <c r="I147" s="12"/>
    </row>
    <row r="148" spans="6:9" ht="18.75" customHeight="1" x14ac:dyDescent="0.4">
      <c r="F148" s="1">
        <v>25842</v>
      </c>
      <c r="G148" s="12">
        <v>323.06</v>
      </c>
      <c r="I148" s="12"/>
    </row>
    <row r="149" spans="6:9" ht="18.75" customHeight="1" x14ac:dyDescent="0.4">
      <c r="F149" s="1">
        <v>25873</v>
      </c>
      <c r="G149" s="12">
        <v>324.01</v>
      </c>
      <c r="I149" s="12"/>
    </row>
    <row r="150" spans="6:9" ht="18.75" customHeight="1" x14ac:dyDescent="0.4">
      <c r="F150" s="1">
        <v>25903</v>
      </c>
      <c r="G150" s="12">
        <v>325.13</v>
      </c>
      <c r="I150" s="12"/>
    </row>
    <row r="151" spans="6:9" ht="18.75" customHeight="1" x14ac:dyDescent="0.4">
      <c r="F151" s="1">
        <v>25934</v>
      </c>
      <c r="G151" s="12">
        <v>326.17</v>
      </c>
      <c r="I151" s="12"/>
    </row>
    <row r="152" spans="6:9" ht="18.75" customHeight="1" x14ac:dyDescent="0.4">
      <c r="F152" s="1">
        <v>25965</v>
      </c>
      <c r="G152" s="12">
        <v>326.68</v>
      </c>
      <c r="I152" s="12"/>
    </row>
    <row r="153" spans="6:9" ht="18.75" customHeight="1" x14ac:dyDescent="0.4">
      <c r="F153" s="1">
        <v>25993</v>
      </c>
      <c r="G153" s="12">
        <v>327.17</v>
      </c>
      <c r="I153" s="12"/>
    </row>
    <row r="154" spans="6:9" ht="18.75" customHeight="1" x14ac:dyDescent="0.4">
      <c r="F154" s="1">
        <v>26024</v>
      </c>
      <c r="G154" s="12">
        <v>327.79</v>
      </c>
      <c r="I154" s="12"/>
    </row>
    <row r="155" spans="6:9" ht="18.75" customHeight="1" x14ac:dyDescent="0.4">
      <c r="F155" s="1">
        <v>26054</v>
      </c>
      <c r="G155" s="12">
        <v>328.93</v>
      </c>
      <c r="I155" s="12"/>
    </row>
    <row r="156" spans="6:9" ht="18.75" customHeight="1" x14ac:dyDescent="0.4">
      <c r="F156" s="1">
        <v>26085</v>
      </c>
      <c r="G156" s="12">
        <v>328.57</v>
      </c>
      <c r="I156" s="12"/>
    </row>
    <row r="157" spans="6:9" ht="18.75" customHeight="1" x14ac:dyDescent="0.4">
      <c r="F157" s="1">
        <v>26115</v>
      </c>
      <c r="G157" s="12">
        <v>327.36</v>
      </c>
      <c r="I157" s="12"/>
    </row>
    <row r="158" spans="6:9" ht="18.75" customHeight="1" x14ac:dyDescent="0.4">
      <c r="F158" s="1">
        <v>26146</v>
      </c>
      <c r="G158" s="12">
        <v>325.43</v>
      </c>
      <c r="I158" s="12"/>
    </row>
    <row r="159" spans="6:9" ht="18.75" customHeight="1" x14ac:dyDescent="0.4">
      <c r="F159" s="1">
        <v>26177</v>
      </c>
      <c r="G159" s="12">
        <v>323.36</v>
      </c>
      <c r="I159" s="12"/>
    </row>
    <row r="160" spans="6:9" ht="18.75" customHeight="1" x14ac:dyDescent="0.4">
      <c r="F160" s="1">
        <v>26207</v>
      </c>
      <c r="G160" s="12">
        <v>323.56</v>
      </c>
      <c r="I160" s="12"/>
    </row>
    <row r="161" spans="6:9" ht="18.75" customHeight="1" x14ac:dyDescent="0.4">
      <c r="F161" s="1">
        <v>26238</v>
      </c>
      <c r="G161" s="12">
        <v>324.8</v>
      </c>
      <c r="I161" s="12"/>
    </row>
    <row r="162" spans="6:9" ht="18.75" customHeight="1" x14ac:dyDescent="0.4">
      <c r="F162" s="1">
        <v>26268</v>
      </c>
      <c r="G162" s="12">
        <v>326.01</v>
      </c>
      <c r="I162" s="12"/>
    </row>
    <row r="163" spans="6:9" ht="18.75" customHeight="1" x14ac:dyDescent="0.4">
      <c r="F163" s="1">
        <v>26299</v>
      </c>
      <c r="G163" s="12">
        <v>326.77</v>
      </c>
      <c r="I163" s="12"/>
    </row>
    <row r="164" spans="6:9" ht="18.75" customHeight="1" x14ac:dyDescent="0.4">
      <c r="F164" s="1">
        <v>26330</v>
      </c>
      <c r="G164" s="12">
        <v>327.63</v>
      </c>
      <c r="I164" s="12"/>
    </row>
    <row r="165" spans="6:9" ht="18.75" customHeight="1" x14ac:dyDescent="0.4">
      <c r="F165" s="1">
        <v>26359</v>
      </c>
      <c r="G165" s="12">
        <v>327.75</v>
      </c>
      <c r="I165" s="12"/>
    </row>
    <row r="166" spans="6:9" ht="18.75" customHeight="1" x14ac:dyDescent="0.4">
      <c r="F166" s="1">
        <v>26390</v>
      </c>
      <c r="G166" s="12">
        <v>329.72</v>
      </c>
      <c r="I166" s="12"/>
    </row>
    <row r="167" spans="6:9" ht="18.75" customHeight="1" x14ac:dyDescent="0.4">
      <c r="F167" s="1">
        <v>26420</v>
      </c>
      <c r="G167" s="12">
        <v>330.07</v>
      </c>
      <c r="I167" s="12"/>
    </row>
    <row r="168" spans="6:9" ht="18.75" customHeight="1" x14ac:dyDescent="0.4">
      <c r="F168" s="1">
        <v>26451</v>
      </c>
      <c r="G168" s="12">
        <v>329.09</v>
      </c>
      <c r="I168" s="12"/>
    </row>
    <row r="169" spans="6:9" ht="18.75" customHeight="1" x14ac:dyDescent="0.4">
      <c r="F169" s="1">
        <v>26481</v>
      </c>
      <c r="G169" s="12">
        <v>328.04</v>
      </c>
      <c r="I169" s="12"/>
    </row>
    <row r="170" spans="6:9" ht="18.75" customHeight="1" x14ac:dyDescent="0.4">
      <c r="F170" s="1">
        <v>26512</v>
      </c>
      <c r="G170" s="12">
        <v>326.32</v>
      </c>
      <c r="I170" s="12"/>
    </row>
    <row r="171" spans="6:9" ht="18.75" customHeight="1" x14ac:dyDescent="0.4">
      <c r="F171" s="1">
        <v>26543</v>
      </c>
      <c r="G171" s="12">
        <v>324.83999999999997</v>
      </c>
      <c r="I171" s="12"/>
    </row>
    <row r="172" spans="6:9" ht="18.75" customHeight="1" x14ac:dyDescent="0.4">
      <c r="F172" s="1">
        <v>26573</v>
      </c>
      <c r="G172" s="12">
        <v>325.2</v>
      </c>
      <c r="I172" s="12"/>
    </row>
    <row r="173" spans="6:9" ht="18.75" customHeight="1" x14ac:dyDescent="0.4">
      <c r="F173" s="1">
        <v>26604</v>
      </c>
      <c r="G173" s="12">
        <v>326.5</v>
      </c>
      <c r="I173" s="12"/>
    </row>
    <row r="174" spans="6:9" ht="18.75" customHeight="1" x14ac:dyDescent="0.4">
      <c r="F174" s="1">
        <v>26634</v>
      </c>
      <c r="G174" s="12">
        <v>327.55</v>
      </c>
      <c r="I174" s="12"/>
    </row>
    <row r="175" spans="6:9" ht="18.75" customHeight="1" x14ac:dyDescent="0.4">
      <c r="F175" s="1">
        <v>26665</v>
      </c>
      <c r="G175" s="12">
        <v>328.55</v>
      </c>
      <c r="I175" s="12"/>
    </row>
    <row r="176" spans="6:9" ht="18.75" customHeight="1" x14ac:dyDescent="0.4">
      <c r="F176" s="1">
        <v>26696</v>
      </c>
      <c r="G176" s="12">
        <v>329.56</v>
      </c>
      <c r="I176" s="12"/>
    </row>
    <row r="177" spans="6:9" ht="18.75" customHeight="1" x14ac:dyDescent="0.4">
      <c r="F177" s="1">
        <v>26724</v>
      </c>
      <c r="G177" s="12">
        <v>330.3</v>
      </c>
      <c r="I177" s="12"/>
    </row>
    <row r="178" spans="6:9" ht="18.75" customHeight="1" x14ac:dyDescent="0.4">
      <c r="F178" s="1">
        <v>26755</v>
      </c>
      <c r="G178" s="12">
        <v>331.5</v>
      </c>
      <c r="I178" s="12"/>
    </row>
    <row r="179" spans="6:9" ht="18.75" customHeight="1" x14ac:dyDescent="0.4">
      <c r="F179" s="1">
        <v>26785</v>
      </c>
      <c r="G179" s="12">
        <v>332.48</v>
      </c>
      <c r="I179" s="12"/>
    </row>
    <row r="180" spans="6:9" ht="18.75" customHeight="1" x14ac:dyDescent="0.4">
      <c r="F180" s="1">
        <v>26816</v>
      </c>
      <c r="G180" s="12">
        <v>332.07</v>
      </c>
      <c r="I180" s="12"/>
    </row>
    <row r="181" spans="6:9" ht="18.75" customHeight="1" x14ac:dyDescent="0.4">
      <c r="F181" s="1">
        <v>26846</v>
      </c>
      <c r="G181" s="12">
        <v>330.87</v>
      </c>
      <c r="I181" s="12"/>
    </row>
    <row r="182" spans="6:9" ht="18.75" customHeight="1" x14ac:dyDescent="0.4">
      <c r="F182" s="1">
        <v>26877</v>
      </c>
      <c r="G182" s="12">
        <v>329.31</v>
      </c>
      <c r="I182" s="12"/>
    </row>
    <row r="183" spans="6:9" ht="18.75" customHeight="1" x14ac:dyDescent="0.4">
      <c r="F183" s="1">
        <v>26908</v>
      </c>
      <c r="G183" s="12">
        <v>327.51</v>
      </c>
      <c r="I183" s="12"/>
    </row>
    <row r="184" spans="6:9" ht="18.75" customHeight="1" x14ac:dyDescent="0.4">
      <c r="F184" s="1">
        <v>26938</v>
      </c>
      <c r="G184" s="12">
        <v>327.18</v>
      </c>
      <c r="I184" s="12"/>
    </row>
    <row r="185" spans="6:9" ht="18.75" customHeight="1" x14ac:dyDescent="0.4">
      <c r="F185" s="1">
        <v>26969</v>
      </c>
      <c r="G185" s="12">
        <v>328.16</v>
      </c>
      <c r="I185" s="12"/>
    </row>
    <row r="186" spans="6:9" ht="18.75" customHeight="1" x14ac:dyDescent="0.4">
      <c r="F186" s="1">
        <v>26999</v>
      </c>
      <c r="G186" s="12">
        <v>328.64</v>
      </c>
      <c r="I186" s="12"/>
    </row>
    <row r="187" spans="6:9" ht="18.75" customHeight="1" x14ac:dyDescent="0.4">
      <c r="F187" s="1">
        <v>27030</v>
      </c>
      <c r="G187" s="12">
        <v>329.35</v>
      </c>
      <c r="I187" s="12"/>
    </row>
    <row r="188" spans="6:9" ht="18.75" customHeight="1" x14ac:dyDescent="0.4">
      <c r="F188" s="1">
        <v>27061</v>
      </c>
      <c r="G188" s="12">
        <v>330.71</v>
      </c>
      <c r="I188" s="12"/>
    </row>
    <row r="189" spans="6:9" ht="18.75" customHeight="1" x14ac:dyDescent="0.4">
      <c r="F189" s="1">
        <v>27089</v>
      </c>
      <c r="G189" s="12">
        <v>331.48</v>
      </c>
      <c r="I189" s="12"/>
    </row>
    <row r="190" spans="6:9" ht="18.75" customHeight="1" x14ac:dyDescent="0.4">
      <c r="F190" s="1">
        <v>27120</v>
      </c>
      <c r="G190" s="12">
        <v>332.65</v>
      </c>
      <c r="I190" s="12"/>
    </row>
    <row r="191" spans="6:9" ht="18.75" customHeight="1" x14ac:dyDescent="0.4">
      <c r="F191" s="1">
        <v>27150</v>
      </c>
      <c r="G191" s="12">
        <v>333.09</v>
      </c>
      <c r="I191" s="12"/>
    </row>
    <row r="192" spans="6:9" ht="18.75" customHeight="1" x14ac:dyDescent="0.4">
      <c r="F192" s="1">
        <v>27181</v>
      </c>
      <c r="G192" s="12">
        <v>332.25</v>
      </c>
      <c r="I192" s="12"/>
    </row>
    <row r="193" spans="6:9" ht="18.75" customHeight="1" x14ac:dyDescent="0.4">
      <c r="F193" s="1">
        <v>27211</v>
      </c>
      <c r="G193" s="12">
        <v>331.18</v>
      </c>
      <c r="I193" s="12"/>
    </row>
    <row r="194" spans="6:9" ht="18.75" customHeight="1" x14ac:dyDescent="0.4">
      <c r="F194" s="1">
        <v>27242</v>
      </c>
      <c r="G194" s="12">
        <v>329.39</v>
      </c>
      <c r="I194" s="12"/>
    </row>
    <row r="195" spans="6:9" ht="18.75" customHeight="1" x14ac:dyDescent="0.4">
      <c r="F195" s="1">
        <v>27273</v>
      </c>
      <c r="G195" s="12">
        <v>327.43</v>
      </c>
      <c r="I195" s="12"/>
    </row>
    <row r="196" spans="6:9" ht="18.75" customHeight="1" x14ac:dyDescent="0.4">
      <c r="F196" s="1">
        <v>27303</v>
      </c>
      <c r="G196" s="12">
        <v>327.37</v>
      </c>
      <c r="I196" s="12"/>
    </row>
    <row r="197" spans="6:9" ht="18.75" customHeight="1" x14ac:dyDescent="0.4">
      <c r="F197" s="1">
        <v>27334</v>
      </c>
      <c r="G197" s="12">
        <v>328.46</v>
      </c>
      <c r="I197" s="12"/>
    </row>
    <row r="198" spans="6:9" ht="18.75" customHeight="1" x14ac:dyDescent="0.4">
      <c r="F198" s="1">
        <v>27364</v>
      </c>
      <c r="G198" s="12">
        <v>329.57</v>
      </c>
      <c r="I198" s="12"/>
    </row>
    <row r="199" spans="6:9" ht="18.75" customHeight="1" x14ac:dyDescent="0.4">
      <c r="F199" s="1">
        <v>27395</v>
      </c>
      <c r="G199" s="12">
        <v>330.4</v>
      </c>
      <c r="I199" s="12"/>
    </row>
    <row r="200" spans="6:9" ht="18.75" customHeight="1" x14ac:dyDescent="0.4">
      <c r="F200" s="1">
        <v>27426</v>
      </c>
      <c r="G200" s="12">
        <v>331.4</v>
      </c>
      <c r="I200" s="12"/>
    </row>
    <row r="201" spans="6:9" ht="18.75" customHeight="1" x14ac:dyDescent="0.4">
      <c r="F201" s="1">
        <v>27454</v>
      </c>
      <c r="G201" s="12">
        <v>332.04</v>
      </c>
      <c r="I201" s="12"/>
    </row>
    <row r="202" spans="6:9" ht="18.75" customHeight="1" x14ac:dyDescent="0.4">
      <c r="F202" s="1">
        <v>27485</v>
      </c>
      <c r="G202" s="12">
        <v>333.31</v>
      </c>
      <c r="I202" s="12"/>
    </row>
    <row r="203" spans="6:9" ht="18.75" customHeight="1" x14ac:dyDescent="0.4">
      <c r="F203" s="1">
        <v>27515</v>
      </c>
      <c r="G203" s="12">
        <v>333.97</v>
      </c>
      <c r="I203" s="12"/>
    </row>
    <row r="204" spans="6:9" ht="18.75" customHeight="1" x14ac:dyDescent="0.4">
      <c r="F204" s="1">
        <v>27546</v>
      </c>
      <c r="G204" s="12">
        <v>333.6</v>
      </c>
      <c r="I204" s="12"/>
    </row>
    <row r="205" spans="6:9" ht="18.75" customHeight="1" x14ac:dyDescent="0.4">
      <c r="F205" s="1">
        <v>27576</v>
      </c>
      <c r="G205" s="12">
        <v>331.9</v>
      </c>
      <c r="I205" s="12"/>
    </row>
    <row r="206" spans="6:9" ht="18.75" customHeight="1" x14ac:dyDescent="0.4">
      <c r="F206" s="1">
        <v>27607</v>
      </c>
      <c r="G206" s="12">
        <v>330.06</v>
      </c>
      <c r="I206" s="12"/>
    </row>
    <row r="207" spans="6:9" ht="18.75" customHeight="1" x14ac:dyDescent="0.4">
      <c r="F207" s="1">
        <v>27638</v>
      </c>
      <c r="G207" s="12">
        <v>328.56</v>
      </c>
      <c r="I207" s="12"/>
    </row>
    <row r="208" spans="6:9" ht="18.75" customHeight="1" x14ac:dyDescent="0.4">
      <c r="F208" s="1">
        <v>27668</v>
      </c>
      <c r="G208" s="12">
        <v>328.34</v>
      </c>
      <c r="I208" s="12"/>
    </row>
    <row r="209" spans="6:9" ht="18.75" customHeight="1" x14ac:dyDescent="0.4">
      <c r="F209" s="1">
        <v>27699</v>
      </c>
      <c r="G209" s="12">
        <v>329.49</v>
      </c>
      <c r="I209" s="12"/>
    </row>
    <row r="210" spans="6:9" ht="18.75" customHeight="1" x14ac:dyDescent="0.4">
      <c r="F210" s="1">
        <v>27729</v>
      </c>
      <c r="G210" s="12">
        <v>330.76</v>
      </c>
      <c r="I210" s="12"/>
    </row>
    <row r="211" spans="6:9" ht="18.75" customHeight="1" x14ac:dyDescent="0.4">
      <c r="F211" s="1">
        <v>27760</v>
      </c>
      <c r="G211" s="12">
        <v>331.75</v>
      </c>
      <c r="I211" s="12"/>
    </row>
    <row r="212" spans="6:9" ht="18.75" customHeight="1" x14ac:dyDescent="0.4">
      <c r="F212" s="1">
        <v>27791</v>
      </c>
      <c r="G212" s="12">
        <v>332.57</v>
      </c>
      <c r="I212" s="12"/>
    </row>
    <row r="213" spans="6:9" ht="18.75" customHeight="1" x14ac:dyDescent="0.4">
      <c r="F213" s="1">
        <v>27820</v>
      </c>
      <c r="G213" s="12">
        <v>333.5</v>
      </c>
      <c r="I213" s="12"/>
    </row>
    <row r="214" spans="6:9" ht="18.75" customHeight="1" x14ac:dyDescent="0.4">
      <c r="F214" s="1">
        <v>27851</v>
      </c>
      <c r="G214" s="12">
        <v>334.58</v>
      </c>
      <c r="I214" s="12"/>
    </row>
    <row r="215" spans="6:9" ht="18.75" customHeight="1" x14ac:dyDescent="0.4">
      <c r="F215" s="1">
        <v>27881</v>
      </c>
      <c r="G215" s="12">
        <v>334.88</v>
      </c>
      <c r="I215" s="12"/>
    </row>
    <row r="216" spans="6:9" ht="18.75" customHeight="1" x14ac:dyDescent="0.4">
      <c r="F216" s="1">
        <v>27912</v>
      </c>
      <c r="G216" s="12">
        <v>334.33</v>
      </c>
      <c r="I216" s="12"/>
    </row>
    <row r="217" spans="6:9" ht="18.75" customHeight="1" x14ac:dyDescent="0.4">
      <c r="F217" s="1">
        <v>27942</v>
      </c>
      <c r="G217" s="12">
        <v>333.05</v>
      </c>
      <c r="I217" s="12"/>
    </row>
    <row r="218" spans="6:9" ht="18.75" customHeight="1" x14ac:dyDescent="0.4">
      <c r="F218" s="1">
        <v>27973</v>
      </c>
      <c r="G218" s="12">
        <v>330.94</v>
      </c>
      <c r="I218" s="12"/>
    </row>
    <row r="219" spans="6:9" ht="18.75" customHeight="1" x14ac:dyDescent="0.4">
      <c r="F219" s="1">
        <v>28004</v>
      </c>
      <c r="G219" s="12">
        <v>329.3</v>
      </c>
      <c r="I219" s="12"/>
    </row>
    <row r="220" spans="6:9" ht="18.75" customHeight="1" x14ac:dyDescent="0.4">
      <c r="F220" s="1">
        <v>28034</v>
      </c>
      <c r="G220" s="12">
        <v>328.94</v>
      </c>
      <c r="I220" s="12"/>
    </row>
    <row r="221" spans="6:9" ht="18.75" customHeight="1" x14ac:dyDescent="0.4">
      <c r="F221" s="1">
        <v>28065</v>
      </c>
      <c r="G221" s="12">
        <v>330.31</v>
      </c>
      <c r="I221" s="12"/>
    </row>
    <row r="222" spans="6:9" ht="18.75" customHeight="1" x14ac:dyDescent="0.4">
      <c r="F222" s="1">
        <v>28095</v>
      </c>
      <c r="G222" s="12">
        <v>331.68</v>
      </c>
      <c r="I222" s="12"/>
    </row>
    <row r="223" spans="6:9" ht="18.75" customHeight="1" x14ac:dyDescent="0.4">
      <c r="F223" s="1">
        <v>28126</v>
      </c>
      <c r="G223" s="12">
        <v>332.93</v>
      </c>
      <c r="I223" s="12"/>
    </row>
    <row r="224" spans="6:9" ht="18.75" customHeight="1" x14ac:dyDescent="0.4">
      <c r="F224" s="1">
        <v>28157</v>
      </c>
      <c r="G224" s="12">
        <v>333.42</v>
      </c>
      <c r="I224" s="12"/>
    </row>
    <row r="225" spans="6:9" ht="18.75" customHeight="1" x14ac:dyDescent="0.4">
      <c r="F225" s="1">
        <v>28185</v>
      </c>
      <c r="G225" s="12">
        <v>334.7</v>
      </c>
      <c r="I225" s="12"/>
    </row>
    <row r="226" spans="6:9" ht="18.75" customHeight="1" x14ac:dyDescent="0.4">
      <c r="F226" s="1">
        <v>28216</v>
      </c>
      <c r="G226" s="12">
        <v>336.07</v>
      </c>
      <c r="I226" s="12"/>
    </row>
    <row r="227" spans="6:9" ht="18.75" customHeight="1" x14ac:dyDescent="0.4">
      <c r="F227" s="1">
        <v>28246</v>
      </c>
      <c r="G227" s="12">
        <v>336.75</v>
      </c>
      <c r="I227" s="12"/>
    </row>
    <row r="228" spans="6:9" ht="18.75" customHeight="1" x14ac:dyDescent="0.4">
      <c r="F228" s="1">
        <v>28277</v>
      </c>
      <c r="G228" s="12">
        <v>336.27</v>
      </c>
      <c r="I228" s="12"/>
    </row>
    <row r="229" spans="6:9" ht="18.75" customHeight="1" x14ac:dyDescent="0.4">
      <c r="F229" s="1">
        <v>28307</v>
      </c>
      <c r="G229" s="12">
        <v>334.92</v>
      </c>
      <c r="I229" s="12"/>
    </row>
    <row r="230" spans="6:9" ht="18.75" customHeight="1" x14ac:dyDescent="0.4">
      <c r="F230" s="1">
        <v>28338</v>
      </c>
      <c r="G230" s="12">
        <v>332.75</v>
      </c>
      <c r="I230" s="12"/>
    </row>
    <row r="231" spans="6:9" ht="18.75" customHeight="1" x14ac:dyDescent="0.4">
      <c r="F231" s="1">
        <v>28369</v>
      </c>
      <c r="G231" s="12">
        <v>331.59</v>
      </c>
      <c r="I231" s="12"/>
    </row>
    <row r="232" spans="6:9" ht="18.75" customHeight="1" x14ac:dyDescent="0.4">
      <c r="F232" s="1">
        <v>28399</v>
      </c>
      <c r="G232" s="12">
        <v>331.16</v>
      </c>
      <c r="I232" s="12"/>
    </row>
    <row r="233" spans="6:9" ht="18.75" customHeight="1" x14ac:dyDescent="0.4">
      <c r="F233" s="1">
        <v>28430</v>
      </c>
      <c r="G233" s="12">
        <v>332.4</v>
      </c>
      <c r="I233" s="12"/>
    </row>
    <row r="234" spans="6:9" ht="18.75" customHeight="1" x14ac:dyDescent="0.4">
      <c r="F234" s="1">
        <v>28460</v>
      </c>
      <c r="G234" s="12">
        <v>333.85</v>
      </c>
      <c r="I234" s="12"/>
    </row>
    <row r="235" spans="6:9" ht="18.75" customHeight="1" x14ac:dyDescent="0.4">
      <c r="F235" s="1">
        <v>28491</v>
      </c>
      <c r="G235" s="12">
        <v>334.97</v>
      </c>
      <c r="I235" s="12"/>
    </row>
    <row r="236" spans="6:9" ht="18.75" customHeight="1" x14ac:dyDescent="0.4">
      <c r="F236" s="1">
        <v>28522</v>
      </c>
      <c r="G236" s="12">
        <v>335.39</v>
      </c>
      <c r="I236" s="12"/>
    </row>
    <row r="237" spans="6:9" ht="18.75" customHeight="1" x14ac:dyDescent="0.4">
      <c r="F237" s="1">
        <v>28550</v>
      </c>
      <c r="G237" s="12">
        <v>336.64</v>
      </c>
      <c r="I237" s="12"/>
    </row>
    <row r="238" spans="6:9" ht="18.75" customHeight="1" x14ac:dyDescent="0.4">
      <c r="F238" s="1">
        <v>28581</v>
      </c>
      <c r="G238" s="12">
        <v>337.76</v>
      </c>
      <c r="I238" s="12"/>
    </row>
    <row r="239" spans="6:9" ht="18.75" customHeight="1" x14ac:dyDescent="0.4">
      <c r="F239" s="1">
        <v>28611</v>
      </c>
      <c r="G239" s="12">
        <v>338.01</v>
      </c>
      <c r="I239" s="12"/>
    </row>
    <row r="240" spans="6:9" ht="18.75" customHeight="1" x14ac:dyDescent="0.4">
      <c r="F240" s="1">
        <v>28642</v>
      </c>
      <c r="G240" s="12">
        <v>337.9</v>
      </c>
      <c r="I240" s="12"/>
    </row>
    <row r="241" spans="6:9" ht="18.75" customHeight="1" x14ac:dyDescent="0.4">
      <c r="F241" s="1">
        <v>28672</v>
      </c>
      <c r="G241" s="12">
        <v>336.54</v>
      </c>
      <c r="I241" s="12"/>
    </row>
    <row r="242" spans="6:9" ht="18.75" customHeight="1" x14ac:dyDescent="0.4">
      <c r="F242" s="1">
        <v>28703</v>
      </c>
      <c r="G242" s="12">
        <v>334.68</v>
      </c>
      <c r="I242" s="12"/>
    </row>
    <row r="243" spans="6:9" ht="18.75" customHeight="1" x14ac:dyDescent="0.4">
      <c r="F243" s="1">
        <v>28734</v>
      </c>
      <c r="G243" s="12">
        <v>332.76</v>
      </c>
      <c r="I243" s="12"/>
    </row>
    <row r="244" spans="6:9" ht="18.75" customHeight="1" x14ac:dyDescent="0.4">
      <c r="F244" s="1">
        <v>28764</v>
      </c>
      <c r="G244" s="12">
        <v>332.55</v>
      </c>
      <c r="I244" s="12"/>
    </row>
    <row r="245" spans="6:9" ht="18.75" customHeight="1" x14ac:dyDescent="0.4">
      <c r="F245" s="1">
        <v>28795</v>
      </c>
      <c r="G245" s="12">
        <v>333.92</v>
      </c>
      <c r="I245" s="12"/>
    </row>
    <row r="246" spans="6:9" ht="18.75" customHeight="1" x14ac:dyDescent="0.4">
      <c r="F246" s="1">
        <v>28825</v>
      </c>
      <c r="G246" s="12">
        <v>334.95</v>
      </c>
      <c r="I246" s="12"/>
    </row>
    <row r="247" spans="6:9" ht="18.75" customHeight="1" x14ac:dyDescent="0.4">
      <c r="F247" s="1">
        <v>28856</v>
      </c>
      <c r="G247" s="12">
        <v>336.23</v>
      </c>
      <c r="I247" s="12"/>
    </row>
    <row r="248" spans="6:9" ht="18.75" customHeight="1" x14ac:dyDescent="0.4">
      <c r="F248" s="1">
        <v>28887</v>
      </c>
      <c r="G248" s="12">
        <v>336.76</v>
      </c>
      <c r="I248" s="12"/>
    </row>
    <row r="249" spans="6:9" ht="18.75" customHeight="1" x14ac:dyDescent="0.4">
      <c r="F249" s="1">
        <v>28915</v>
      </c>
      <c r="G249" s="12">
        <v>337.96</v>
      </c>
      <c r="I249" s="12"/>
    </row>
    <row r="250" spans="6:9" ht="18.75" customHeight="1" x14ac:dyDescent="0.4">
      <c r="F250" s="1">
        <v>28946</v>
      </c>
      <c r="G250" s="12">
        <v>338.88</v>
      </c>
      <c r="I250" s="12"/>
    </row>
    <row r="251" spans="6:9" ht="18.75" customHeight="1" x14ac:dyDescent="0.4">
      <c r="F251" s="1">
        <v>28976</v>
      </c>
      <c r="G251" s="12">
        <v>339.47</v>
      </c>
      <c r="I251" s="12"/>
    </row>
    <row r="252" spans="6:9" ht="18.75" customHeight="1" x14ac:dyDescent="0.4">
      <c r="F252" s="1">
        <v>29007</v>
      </c>
      <c r="G252" s="12">
        <v>339.29</v>
      </c>
      <c r="I252" s="12"/>
    </row>
    <row r="253" spans="6:9" ht="18.75" customHeight="1" x14ac:dyDescent="0.4">
      <c r="F253" s="1">
        <v>29037</v>
      </c>
      <c r="G253" s="12">
        <v>337.73</v>
      </c>
      <c r="I253" s="12"/>
    </row>
    <row r="254" spans="6:9" ht="18.75" customHeight="1" x14ac:dyDescent="0.4">
      <c r="F254" s="1">
        <v>29068</v>
      </c>
      <c r="G254" s="12">
        <v>336.09</v>
      </c>
      <c r="I254" s="12"/>
    </row>
    <row r="255" spans="6:9" ht="18.75" customHeight="1" x14ac:dyDescent="0.4">
      <c r="F255" s="1">
        <v>29099</v>
      </c>
      <c r="G255" s="12">
        <v>333.92</v>
      </c>
      <c r="I255" s="12"/>
    </row>
    <row r="256" spans="6:9" ht="18.75" customHeight="1" x14ac:dyDescent="0.4">
      <c r="F256" s="1">
        <v>29129</v>
      </c>
      <c r="G256" s="12">
        <v>333.86</v>
      </c>
      <c r="I256" s="12"/>
    </row>
    <row r="257" spans="6:9" ht="18.75" customHeight="1" x14ac:dyDescent="0.4">
      <c r="F257" s="1">
        <v>29160</v>
      </c>
      <c r="G257" s="12">
        <v>335.29</v>
      </c>
      <c r="I257" s="12"/>
    </row>
    <row r="258" spans="6:9" ht="18.75" customHeight="1" x14ac:dyDescent="0.4">
      <c r="F258" s="1">
        <v>29190</v>
      </c>
      <c r="G258" s="12">
        <v>336.73</v>
      </c>
      <c r="I258" s="12"/>
    </row>
    <row r="259" spans="6:9" ht="18.75" customHeight="1" x14ac:dyDescent="0.4">
      <c r="F259" s="1">
        <v>29221</v>
      </c>
      <c r="G259" s="12">
        <v>338.01</v>
      </c>
      <c r="I259" s="12"/>
    </row>
    <row r="260" spans="6:9" ht="18.75" customHeight="1" x14ac:dyDescent="0.4">
      <c r="F260" s="1">
        <v>29252</v>
      </c>
      <c r="G260" s="12">
        <v>338.36</v>
      </c>
      <c r="I260" s="12"/>
    </row>
    <row r="261" spans="6:9" ht="18.75" customHeight="1" x14ac:dyDescent="0.4">
      <c r="F261" s="1">
        <v>29281</v>
      </c>
      <c r="G261" s="12">
        <v>340.07</v>
      </c>
      <c r="I261" s="12"/>
    </row>
    <row r="262" spans="6:9" ht="18.75" customHeight="1" x14ac:dyDescent="0.4">
      <c r="F262" s="1">
        <v>29312</v>
      </c>
      <c r="G262" s="12">
        <v>340.76</v>
      </c>
      <c r="I262" s="12"/>
    </row>
    <row r="263" spans="6:9" ht="18.75" customHeight="1" x14ac:dyDescent="0.4">
      <c r="F263" s="1">
        <v>29342</v>
      </c>
      <c r="G263" s="12">
        <v>341.47</v>
      </c>
      <c r="I263" s="12"/>
    </row>
    <row r="264" spans="6:9" ht="18.75" customHeight="1" x14ac:dyDescent="0.4">
      <c r="F264" s="1">
        <v>29373</v>
      </c>
      <c r="G264" s="12">
        <v>341.17</v>
      </c>
      <c r="I264" s="12"/>
    </row>
    <row r="265" spans="6:9" ht="18.75" customHeight="1" x14ac:dyDescent="0.4">
      <c r="F265" s="1">
        <v>29403</v>
      </c>
      <c r="G265" s="12">
        <v>339.56</v>
      </c>
      <c r="I265" s="12"/>
    </row>
    <row r="266" spans="6:9" ht="18.75" customHeight="1" x14ac:dyDescent="0.4">
      <c r="F266" s="1">
        <v>29434</v>
      </c>
      <c r="G266" s="12">
        <v>337.6</v>
      </c>
      <c r="I266" s="12"/>
    </row>
    <row r="267" spans="6:9" ht="18.75" customHeight="1" x14ac:dyDescent="0.4">
      <c r="F267" s="1">
        <v>29465</v>
      </c>
      <c r="G267" s="12">
        <v>335.88</v>
      </c>
      <c r="I267" s="12"/>
    </row>
    <row r="268" spans="6:9" ht="18.75" customHeight="1" x14ac:dyDescent="0.4">
      <c r="F268" s="1">
        <v>29495</v>
      </c>
      <c r="G268" s="12">
        <v>336.02</v>
      </c>
      <c r="I268" s="12"/>
    </row>
    <row r="269" spans="6:9" ht="18.75" customHeight="1" x14ac:dyDescent="0.4">
      <c r="F269" s="1">
        <v>29526</v>
      </c>
      <c r="G269" s="12">
        <v>337.1</v>
      </c>
      <c r="I269" s="12"/>
    </row>
    <row r="270" spans="6:9" ht="18.75" customHeight="1" x14ac:dyDescent="0.4">
      <c r="F270" s="1">
        <v>29556</v>
      </c>
      <c r="G270" s="12">
        <v>338.21</v>
      </c>
      <c r="I270" s="12"/>
    </row>
    <row r="271" spans="6:9" ht="18.75" customHeight="1" x14ac:dyDescent="0.4">
      <c r="F271" s="1">
        <v>29587</v>
      </c>
      <c r="G271" s="12">
        <v>339.24</v>
      </c>
      <c r="I271" s="12"/>
    </row>
    <row r="272" spans="6:9" ht="18.75" customHeight="1" x14ac:dyDescent="0.4">
      <c r="F272" s="1">
        <v>29618</v>
      </c>
      <c r="G272" s="12">
        <v>340.48</v>
      </c>
      <c r="I272" s="12"/>
    </row>
    <row r="273" spans="6:9" ht="18.75" customHeight="1" x14ac:dyDescent="0.4">
      <c r="F273" s="1">
        <v>29646</v>
      </c>
      <c r="G273" s="12">
        <v>341.38</v>
      </c>
      <c r="I273" s="12"/>
    </row>
    <row r="274" spans="6:9" ht="18.75" customHeight="1" x14ac:dyDescent="0.4">
      <c r="F274" s="1">
        <v>29677</v>
      </c>
      <c r="G274" s="12">
        <v>342.5</v>
      </c>
      <c r="I274" s="12"/>
    </row>
    <row r="275" spans="6:9" ht="18.75" customHeight="1" x14ac:dyDescent="0.4">
      <c r="F275" s="1">
        <v>29707</v>
      </c>
      <c r="G275" s="12">
        <v>342.91</v>
      </c>
      <c r="I275" s="12"/>
    </row>
    <row r="276" spans="6:9" ht="18.75" customHeight="1" x14ac:dyDescent="0.4">
      <c r="F276" s="1">
        <v>29738</v>
      </c>
      <c r="G276" s="12">
        <v>342.25</v>
      </c>
      <c r="I276" s="12"/>
    </row>
    <row r="277" spans="6:9" ht="18.75" customHeight="1" x14ac:dyDescent="0.4">
      <c r="F277" s="1">
        <v>29768</v>
      </c>
      <c r="G277" s="12">
        <v>340.49</v>
      </c>
      <c r="I277" s="12"/>
    </row>
    <row r="278" spans="6:9" ht="18.75" customHeight="1" x14ac:dyDescent="0.4">
      <c r="F278" s="1">
        <v>29799</v>
      </c>
      <c r="G278" s="12">
        <v>338.43</v>
      </c>
      <c r="I278" s="12"/>
    </row>
    <row r="279" spans="6:9" ht="18.75" customHeight="1" x14ac:dyDescent="0.4">
      <c r="F279" s="1">
        <v>29830</v>
      </c>
      <c r="G279" s="12">
        <v>336.69</v>
      </c>
      <c r="I279" s="12"/>
    </row>
    <row r="280" spans="6:9" ht="18.75" customHeight="1" x14ac:dyDescent="0.4">
      <c r="F280" s="1">
        <v>29860</v>
      </c>
      <c r="G280" s="12">
        <v>336.86</v>
      </c>
      <c r="I280" s="12"/>
    </row>
    <row r="281" spans="6:9" ht="18.75" customHeight="1" x14ac:dyDescent="0.4">
      <c r="F281" s="1">
        <v>29891</v>
      </c>
      <c r="G281" s="12">
        <v>338.36</v>
      </c>
      <c r="I281" s="12"/>
    </row>
    <row r="282" spans="6:9" ht="18.75" customHeight="1" x14ac:dyDescent="0.4">
      <c r="F282" s="1">
        <v>29921</v>
      </c>
      <c r="G282" s="12">
        <v>339.61</v>
      </c>
      <c r="I282" s="12"/>
    </row>
    <row r="283" spans="6:9" ht="18.75" customHeight="1" x14ac:dyDescent="0.4">
      <c r="F283" s="1">
        <v>29952</v>
      </c>
      <c r="G283" s="12">
        <v>340.75</v>
      </c>
      <c r="I283" s="12"/>
    </row>
    <row r="284" spans="6:9" ht="18.75" customHeight="1" x14ac:dyDescent="0.4">
      <c r="F284" s="1">
        <v>29983</v>
      </c>
      <c r="G284" s="12">
        <v>341.61</v>
      </c>
      <c r="I284" s="12"/>
    </row>
    <row r="285" spans="6:9" ht="18.75" customHeight="1" x14ac:dyDescent="0.4">
      <c r="F285" s="1">
        <v>30011</v>
      </c>
      <c r="G285" s="12">
        <v>342.7</v>
      </c>
      <c r="I285" s="12"/>
    </row>
    <row r="286" spans="6:9" ht="18.75" customHeight="1" x14ac:dyDescent="0.4">
      <c r="F286" s="1">
        <v>30042</v>
      </c>
      <c r="G286" s="12">
        <v>343.57</v>
      </c>
      <c r="I286" s="12"/>
    </row>
    <row r="287" spans="6:9" ht="18.75" customHeight="1" x14ac:dyDescent="0.4">
      <c r="F287" s="1">
        <v>30072</v>
      </c>
      <c r="G287" s="12">
        <v>344.14</v>
      </c>
      <c r="I287" s="12"/>
    </row>
    <row r="288" spans="6:9" ht="18.75" customHeight="1" x14ac:dyDescent="0.4">
      <c r="F288" s="1">
        <v>30103</v>
      </c>
      <c r="G288" s="12">
        <v>343.35</v>
      </c>
      <c r="I288" s="12"/>
    </row>
    <row r="289" spans="6:9" ht="18.75" customHeight="1" x14ac:dyDescent="0.4">
      <c r="F289" s="1">
        <v>30133</v>
      </c>
      <c r="G289" s="12">
        <v>342.06</v>
      </c>
      <c r="I289" s="12"/>
    </row>
    <row r="290" spans="6:9" ht="18.75" customHeight="1" x14ac:dyDescent="0.4">
      <c r="F290" s="1">
        <v>30164</v>
      </c>
      <c r="G290" s="12">
        <v>339.81</v>
      </c>
      <c r="I290" s="12"/>
    </row>
    <row r="291" spans="6:9" ht="18.75" customHeight="1" x14ac:dyDescent="0.4">
      <c r="F291" s="1">
        <v>30195</v>
      </c>
      <c r="G291" s="12">
        <v>337.98</v>
      </c>
      <c r="I291" s="12"/>
    </row>
    <row r="292" spans="6:9" ht="18.75" customHeight="1" x14ac:dyDescent="0.4">
      <c r="F292" s="1">
        <v>30225</v>
      </c>
      <c r="G292" s="12">
        <v>337.86</v>
      </c>
      <c r="I292" s="12"/>
    </row>
    <row r="293" spans="6:9" ht="18.75" customHeight="1" x14ac:dyDescent="0.4">
      <c r="F293" s="1">
        <v>30256</v>
      </c>
      <c r="G293" s="12">
        <v>339.26</v>
      </c>
      <c r="I293" s="12"/>
    </row>
    <row r="294" spans="6:9" ht="18.75" customHeight="1" x14ac:dyDescent="0.4">
      <c r="F294" s="1">
        <v>30286</v>
      </c>
      <c r="G294" s="12">
        <v>340.49</v>
      </c>
      <c r="I294" s="12"/>
    </row>
    <row r="295" spans="6:9" ht="18.75" customHeight="1" x14ac:dyDescent="0.4">
      <c r="F295" s="1">
        <v>30317</v>
      </c>
      <c r="G295" s="12">
        <v>341.38</v>
      </c>
      <c r="I295" s="12"/>
    </row>
    <row r="296" spans="6:9" ht="18.75" customHeight="1" x14ac:dyDescent="0.4">
      <c r="F296" s="1">
        <v>30348</v>
      </c>
      <c r="G296" s="12">
        <v>342.52</v>
      </c>
      <c r="I296" s="12"/>
    </row>
    <row r="297" spans="6:9" ht="18.75" customHeight="1" x14ac:dyDescent="0.4">
      <c r="F297" s="1">
        <v>30376</v>
      </c>
      <c r="G297" s="12">
        <v>343.1</v>
      </c>
      <c r="I297" s="12"/>
    </row>
    <row r="298" spans="6:9" ht="18.75" customHeight="1" x14ac:dyDescent="0.4">
      <c r="F298" s="1">
        <v>30407</v>
      </c>
      <c r="G298" s="12">
        <v>344.94</v>
      </c>
      <c r="I298" s="12"/>
    </row>
    <row r="299" spans="6:9" ht="18.75" customHeight="1" x14ac:dyDescent="0.4">
      <c r="F299" s="1">
        <v>30437</v>
      </c>
      <c r="G299" s="12">
        <v>345.76</v>
      </c>
      <c r="I299" s="12"/>
    </row>
    <row r="300" spans="6:9" ht="18.75" customHeight="1" x14ac:dyDescent="0.4">
      <c r="F300" s="1">
        <v>30468</v>
      </c>
      <c r="G300" s="12">
        <v>345.32</v>
      </c>
      <c r="I300" s="12"/>
    </row>
    <row r="301" spans="6:9" ht="18.75" customHeight="1" x14ac:dyDescent="0.4">
      <c r="F301" s="1">
        <v>30498</v>
      </c>
      <c r="G301" s="12">
        <v>343.98</v>
      </c>
      <c r="I301" s="12"/>
    </row>
    <row r="302" spans="6:9" ht="18.75" customHeight="1" x14ac:dyDescent="0.4">
      <c r="F302" s="1">
        <v>30529</v>
      </c>
      <c r="G302" s="12">
        <v>342.38</v>
      </c>
      <c r="I302" s="12"/>
    </row>
    <row r="303" spans="6:9" ht="18.75" customHeight="1" x14ac:dyDescent="0.4">
      <c r="F303" s="1">
        <v>30560</v>
      </c>
      <c r="G303" s="12">
        <v>339.87</v>
      </c>
      <c r="I303" s="12"/>
    </row>
    <row r="304" spans="6:9" ht="18.75" customHeight="1" x14ac:dyDescent="0.4">
      <c r="F304" s="1">
        <v>30590</v>
      </c>
      <c r="G304" s="12">
        <v>339.99</v>
      </c>
      <c r="I304" s="12"/>
    </row>
    <row r="305" spans="6:9" ht="18.75" customHeight="1" x14ac:dyDescent="0.4">
      <c r="F305" s="1">
        <v>30621</v>
      </c>
      <c r="G305" s="12">
        <v>341.15</v>
      </c>
      <c r="I305" s="12"/>
    </row>
    <row r="306" spans="6:9" ht="18.75" customHeight="1" x14ac:dyDescent="0.4">
      <c r="F306" s="1">
        <v>30651</v>
      </c>
      <c r="G306" s="12">
        <v>342.99</v>
      </c>
      <c r="I306" s="12"/>
    </row>
    <row r="307" spans="6:9" ht="18.75" customHeight="1" x14ac:dyDescent="0.4">
      <c r="F307" s="1">
        <v>30682</v>
      </c>
      <c r="G307" s="12">
        <v>343.7</v>
      </c>
      <c r="I307" s="12"/>
    </row>
    <row r="308" spans="6:9" ht="18.75" customHeight="1" x14ac:dyDescent="0.4">
      <c r="F308" s="1">
        <v>30713</v>
      </c>
      <c r="G308" s="12">
        <v>344.5</v>
      </c>
      <c r="I308" s="12"/>
    </row>
    <row r="309" spans="6:9" ht="18.75" customHeight="1" x14ac:dyDescent="0.4">
      <c r="F309" s="1">
        <v>30742</v>
      </c>
      <c r="G309" s="12">
        <v>345.28</v>
      </c>
      <c r="I309" s="12"/>
    </row>
    <row r="310" spans="6:9" ht="18.75" customHeight="1" x14ac:dyDescent="0.4">
      <c r="F310" s="1">
        <v>30773</v>
      </c>
      <c r="G310" s="12">
        <v>347.05</v>
      </c>
      <c r="I310" s="12"/>
    </row>
    <row r="311" spans="6:9" ht="18.75" customHeight="1" x14ac:dyDescent="0.4">
      <c r="F311" s="1">
        <v>30803</v>
      </c>
      <c r="G311" s="12">
        <v>347.43</v>
      </c>
      <c r="I311" s="12"/>
    </row>
    <row r="312" spans="6:9" ht="18.75" customHeight="1" x14ac:dyDescent="0.4">
      <c r="F312" s="1">
        <v>30834</v>
      </c>
      <c r="G312" s="12">
        <v>346.8</v>
      </c>
      <c r="I312" s="12"/>
    </row>
    <row r="313" spans="6:9" ht="18.75" customHeight="1" x14ac:dyDescent="0.4">
      <c r="F313" s="1">
        <v>30864</v>
      </c>
      <c r="G313" s="12">
        <v>345.39</v>
      </c>
      <c r="I313" s="12"/>
    </row>
    <row r="314" spans="6:9" ht="18.75" customHeight="1" x14ac:dyDescent="0.4">
      <c r="F314" s="1">
        <v>30895</v>
      </c>
      <c r="G314" s="12">
        <v>343.28</v>
      </c>
      <c r="I314" s="12"/>
    </row>
    <row r="315" spans="6:9" ht="18.75" customHeight="1" x14ac:dyDescent="0.4">
      <c r="F315" s="1">
        <v>30926</v>
      </c>
      <c r="G315" s="12">
        <v>341.07</v>
      </c>
      <c r="I315" s="12"/>
    </row>
    <row r="316" spans="6:9" ht="18.75" customHeight="1" x14ac:dyDescent="0.4">
      <c r="F316" s="1">
        <v>30956</v>
      </c>
      <c r="G316" s="12">
        <v>341.35</v>
      </c>
      <c r="I316" s="12"/>
    </row>
    <row r="317" spans="6:9" ht="18.75" customHeight="1" x14ac:dyDescent="0.4">
      <c r="F317" s="1">
        <v>30987</v>
      </c>
      <c r="G317" s="12">
        <v>342.98</v>
      </c>
      <c r="I317" s="12"/>
    </row>
    <row r="318" spans="6:9" ht="18.75" customHeight="1" x14ac:dyDescent="0.4">
      <c r="F318" s="1">
        <v>31017</v>
      </c>
      <c r="G318" s="12">
        <v>344.22</v>
      </c>
      <c r="I318" s="12"/>
    </row>
    <row r="319" spans="6:9" ht="18.75" customHeight="1" x14ac:dyDescent="0.4">
      <c r="F319" s="1">
        <v>31048</v>
      </c>
      <c r="G319" s="12">
        <v>344.97</v>
      </c>
      <c r="I319" s="12"/>
    </row>
    <row r="320" spans="6:9" ht="18.75" customHeight="1" x14ac:dyDescent="0.4">
      <c r="F320" s="1">
        <v>31079</v>
      </c>
      <c r="G320" s="12">
        <v>345.99</v>
      </c>
      <c r="I320" s="12"/>
    </row>
    <row r="321" spans="6:9" ht="18.75" customHeight="1" x14ac:dyDescent="0.4">
      <c r="F321" s="1">
        <v>31107</v>
      </c>
      <c r="G321" s="12">
        <v>347.42</v>
      </c>
      <c r="I321" s="12"/>
    </row>
    <row r="322" spans="6:9" ht="18.75" customHeight="1" x14ac:dyDescent="0.4">
      <c r="F322" s="1">
        <v>31138</v>
      </c>
      <c r="G322" s="12">
        <v>348.35</v>
      </c>
      <c r="I322" s="12"/>
    </row>
    <row r="323" spans="6:9" ht="18.75" customHeight="1" x14ac:dyDescent="0.4">
      <c r="F323" s="1">
        <v>31168</v>
      </c>
      <c r="G323" s="12">
        <v>348.93</v>
      </c>
      <c r="I323" s="12"/>
    </row>
    <row r="324" spans="6:9" ht="18.75" customHeight="1" x14ac:dyDescent="0.4">
      <c r="F324" s="1">
        <v>31199</v>
      </c>
      <c r="G324" s="12">
        <v>348.25</v>
      </c>
      <c r="I324" s="12"/>
    </row>
    <row r="325" spans="6:9" ht="18.75" customHeight="1" x14ac:dyDescent="0.4">
      <c r="F325" s="1">
        <v>31229</v>
      </c>
      <c r="G325" s="12">
        <v>346.56</v>
      </c>
      <c r="I325" s="12"/>
    </row>
    <row r="326" spans="6:9" ht="18.75" customHeight="1" x14ac:dyDescent="0.4">
      <c r="F326" s="1">
        <v>31260</v>
      </c>
      <c r="G326" s="12">
        <v>344.67</v>
      </c>
      <c r="I326" s="12"/>
    </row>
    <row r="327" spans="6:9" ht="18.75" customHeight="1" x14ac:dyDescent="0.4">
      <c r="F327" s="1">
        <v>31291</v>
      </c>
      <c r="G327" s="12">
        <v>343.09</v>
      </c>
      <c r="I327" s="12"/>
    </row>
    <row r="328" spans="6:9" ht="18.75" customHeight="1" x14ac:dyDescent="0.4">
      <c r="F328" s="1">
        <v>31321</v>
      </c>
      <c r="G328" s="12">
        <v>342.8</v>
      </c>
      <c r="I328" s="12"/>
    </row>
    <row r="329" spans="6:9" ht="18.75" customHeight="1" x14ac:dyDescent="0.4">
      <c r="F329" s="1">
        <v>31352</v>
      </c>
      <c r="G329" s="12">
        <v>344.24</v>
      </c>
      <c r="I329" s="12"/>
    </row>
    <row r="330" spans="6:9" ht="18.75" customHeight="1" x14ac:dyDescent="0.4">
      <c r="F330" s="1">
        <v>31382</v>
      </c>
      <c r="G330" s="12">
        <v>345.56</v>
      </c>
      <c r="I330" s="12"/>
    </row>
    <row r="331" spans="6:9" ht="18.75" customHeight="1" x14ac:dyDescent="0.4">
      <c r="F331" s="1">
        <v>31413</v>
      </c>
      <c r="G331" s="12">
        <v>346.3</v>
      </c>
      <c r="I331" s="12"/>
    </row>
    <row r="332" spans="6:9" ht="18.75" customHeight="1" x14ac:dyDescent="0.4">
      <c r="F332" s="1">
        <v>31444</v>
      </c>
      <c r="G332" s="12">
        <v>346.95</v>
      </c>
      <c r="I332" s="12"/>
    </row>
    <row r="333" spans="6:9" ht="18.75" customHeight="1" x14ac:dyDescent="0.4">
      <c r="F333" s="1">
        <v>31472</v>
      </c>
      <c r="G333" s="12">
        <v>347.85</v>
      </c>
      <c r="I333" s="12"/>
    </row>
    <row r="334" spans="6:9" ht="18.75" customHeight="1" x14ac:dyDescent="0.4">
      <c r="F334" s="1">
        <v>31503</v>
      </c>
      <c r="G334" s="12">
        <v>349.55</v>
      </c>
      <c r="I334" s="12"/>
    </row>
    <row r="335" spans="6:9" ht="18.75" customHeight="1" x14ac:dyDescent="0.4">
      <c r="F335" s="1">
        <v>31533</v>
      </c>
      <c r="G335" s="12">
        <v>350.22</v>
      </c>
      <c r="I335" s="12"/>
    </row>
    <row r="336" spans="6:9" ht="18.75" customHeight="1" x14ac:dyDescent="0.4">
      <c r="F336" s="1">
        <v>31564</v>
      </c>
      <c r="G336" s="12">
        <v>349.55</v>
      </c>
      <c r="I336" s="12"/>
    </row>
    <row r="337" spans="6:9" ht="18.75" customHeight="1" x14ac:dyDescent="0.4">
      <c r="F337" s="1">
        <v>31594</v>
      </c>
      <c r="G337" s="12">
        <v>347.94</v>
      </c>
      <c r="I337" s="12"/>
    </row>
    <row r="338" spans="6:9" ht="18.75" customHeight="1" x14ac:dyDescent="0.4">
      <c r="F338" s="1">
        <v>31625</v>
      </c>
      <c r="G338" s="12">
        <v>345.9</v>
      </c>
      <c r="I338" s="12"/>
    </row>
    <row r="339" spans="6:9" ht="18.75" customHeight="1" x14ac:dyDescent="0.4">
      <c r="F339" s="1">
        <v>31656</v>
      </c>
      <c r="G339" s="12">
        <v>344.85</v>
      </c>
      <c r="I339" s="12"/>
    </row>
    <row r="340" spans="6:9" ht="18.75" customHeight="1" x14ac:dyDescent="0.4">
      <c r="F340" s="1">
        <v>31686</v>
      </c>
      <c r="G340" s="12">
        <v>344.17</v>
      </c>
      <c r="I340" s="12"/>
    </row>
    <row r="341" spans="6:9" ht="18.75" customHeight="1" x14ac:dyDescent="0.4">
      <c r="F341" s="1">
        <v>31717</v>
      </c>
      <c r="G341" s="12">
        <v>345.66</v>
      </c>
      <c r="I341" s="12"/>
    </row>
    <row r="342" spans="6:9" ht="18.75" customHeight="1" x14ac:dyDescent="0.4">
      <c r="F342" s="1">
        <v>31747</v>
      </c>
      <c r="G342" s="12">
        <v>346.9</v>
      </c>
      <c r="I342" s="12"/>
    </row>
    <row r="343" spans="6:9" ht="18.75" customHeight="1" x14ac:dyDescent="0.4">
      <c r="F343" s="1">
        <v>31778</v>
      </c>
      <c r="G343" s="12">
        <v>348.02</v>
      </c>
      <c r="I343" s="12"/>
    </row>
    <row r="344" spans="6:9" ht="18.75" customHeight="1" x14ac:dyDescent="0.4">
      <c r="F344" s="1">
        <v>31809</v>
      </c>
      <c r="G344" s="12">
        <v>348.48</v>
      </c>
      <c r="I344" s="12"/>
    </row>
    <row r="345" spans="6:9" ht="18.75" customHeight="1" x14ac:dyDescent="0.4">
      <c r="F345" s="1">
        <v>31837</v>
      </c>
      <c r="G345" s="12">
        <v>349.42</v>
      </c>
      <c r="I345" s="12"/>
    </row>
    <row r="346" spans="6:9" ht="18.75" customHeight="1" x14ac:dyDescent="0.4">
      <c r="F346" s="1">
        <v>31868</v>
      </c>
      <c r="G346" s="12">
        <v>350.98</v>
      </c>
      <c r="I346" s="12"/>
    </row>
    <row r="347" spans="6:9" ht="18.75" customHeight="1" x14ac:dyDescent="0.4">
      <c r="F347" s="1">
        <v>31898</v>
      </c>
      <c r="G347" s="12">
        <v>351.85</v>
      </c>
      <c r="I347" s="12"/>
    </row>
    <row r="348" spans="6:9" ht="18.75" customHeight="1" x14ac:dyDescent="0.4">
      <c r="F348" s="1">
        <v>31929</v>
      </c>
      <c r="G348" s="12">
        <v>351.26</v>
      </c>
      <c r="I348" s="12"/>
    </row>
    <row r="349" spans="6:9" ht="18.75" customHeight="1" x14ac:dyDescent="0.4">
      <c r="F349" s="1">
        <v>31959</v>
      </c>
      <c r="G349" s="12">
        <v>349.51</v>
      </c>
      <c r="I349" s="12"/>
    </row>
    <row r="350" spans="6:9" ht="18.75" customHeight="1" x14ac:dyDescent="0.4">
      <c r="F350" s="1">
        <v>31990</v>
      </c>
      <c r="G350" s="12">
        <v>348.1</v>
      </c>
      <c r="I350" s="12"/>
    </row>
    <row r="351" spans="6:9" ht="18.75" customHeight="1" x14ac:dyDescent="0.4">
      <c r="F351" s="1">
        <v>32021</v>
      </c>
      <c r="G351" s="12">
        <v>346.45</v>
      </c>
      <c r="I351" s="12"/>
    </row>
    <row r="352" spans="6:9" ht="18.75" customHeight="1" x14ac:dyDescent="0.4">
      <c r="F352" s="1">
        <v>32051</v>
      </c>
      <c r="G352" s="12">
        <v>346.36</v>
      </c>
      <c r="I352" s="12"/>
    </row>
    <row r="353" spans="6:9" ht="18.75" customHeight="1" x14ac:dyDescent="0.4">
      <c r="F353" s="1">
        <v>32082</v>
      </c>
      <c r="G353" s="12">
        <v>347.81</v>
      </c>
      <c r="I353" s="12"/>
    </row>
    <row r="354" spans="6:9" ht="18.75" customHeight="1" x14ac:dyDescent="0.4">
      <c r="F354" s="1">
        <v>32112</v>
      </c>
      <c r="G354" s="12">
        <v>348.96</v>
      </c>
      <c r="I354" s="12"/>
    </row>
    <row r="355" spans="6:9" ht="18.75" customHeight="1" x14ac:dyDescent="0.4">
      <c r="F355" s="1">
        <v>32143</v>
      </c>
      <c r="G355" s="12">
        <v>350.43</v>
      </c>
      <c r="I355" s="12"/>
    </row>
    <row r="356" spans="6:9" ht="18.75" customHeight="1" x14ac:dyDescent="0.4">
      <c r="F356" s="1">
        <v>32174</v>
      </c>
      <c r="G356" s="12">
        <v>351.73</v>
      </c>
      <c r="I356" s="12"/>
    </row>
    <row r="357" spans="6:9" ht="18.75" customHeight="1" x14ac:dyDescent="0.4">
      <c r="F357" s="1">
        <v>32203</v>
      </c>
      <c r="G357" s="12">
        <v>352.22</v>
      </c>
      <c r="I357" s="12"/>
    </row>
    <row r="358" spans="6:9" ht="18.75" customHeight="1" x14ac:dyDescent="0.4">
      <c r="F358" s="1">
        <v>32234</v>
      </c>
      <c r="G358" s="12">
        <v>353.59</v>
      </c>
      <c r="I358" s="12"/>
    </row>
    <row r="359" spans="6:9" ht="18.75" customHeight="1" x14ac:dyDescent="0.4">
      <c r="F359" s="1">
        <v>32264</v>
      </c>
      <c r="G359" s="12">
        <v>354.22</v>
      </c>
      <c r="I359" s="12"/>
    </row>
    <row r="360" spans="6:9" ht="18.75" customHeight="1" x14ac:dyDescent="0.4">
      <c r="F360" s="1">
        <v>32295</v>
      </c>
      <c r="G360" s="12">
        <v>353.8</v>
      </c>
      <c r="I360" s="12"/>
    </row>
    <row r="361" spans="6:9" ht="18.75" customHeight="1" x14ac:dyDescent="0.4">
      <c r="F361" s="1">
        <v>32325</v>
      </c>
      <c r="G361" s="12">
        <v>352.38</v>
      </c>
      <c r="I361" s="12"/>
    </row>
    <row r="362" spans="6:9" ht="18.75" customHeight="1" x14ac:dyDescent="0.4">
      <c r="F362" s="1">
        <v>32356</v>
      </c>
      <c r="G362" s="12">
        <v>350.43</v>
      </c>
      <c r="I362" s="12"/>
    </row>
    <row r="363" spans="6:9" ht="18.75" customHeight="1" x14ac:dyDescent="0.4">
      <c r="F363" s="1">
        <v>32387</v>
      </c>
      <c r="G363" s="12">
        <v>348.73</v>
      </c>
      <c r="I363" s="12"/>
    </row>
    <row r="364" spans="6:9" ht="18.75" customHeight="1" x14ac:dyDescent="0.4">
      <c r="F364" s="1">
        <v>32417</v>
      </c>
      <c r="G364" s="12">
        <v>348.88</v>
      </c>
      <c r="I364" s="12"/>
    </row>
    <row r="365" spans="6:9" ht="18.75" customHeight="1" x14ac:dyDescent="0.4">
      <c r="F365" s="1">
        <v>32448</v>
      </c>
      <c r="G365" s="12">
        <v>350.07</v>
      </c>
      <c r="I365" s="12"/>
    </row>
    <row r="366" spans="6:9" ht="18.75" customHeight="1" x14ac:dyDescent="0.4">
      <c r="F366" s="1">
        <v>32478</v>
      </c>
      <c r="G366" s="12">
        <v>351.34</v>
      </c>
      <c r="I366" s="12"/>
    </row>
    <row r="367" spans="6:9" ht="18.75" customHeight="1" x14ac:dyDescent="0.4">
      <c r="F367" s="1">
        <v>32509</v>
      </c>
      <c r="G367" s="12">
        <v>352.76</v>
      </c>
      <c r="I367" s="12"/>
    </row>
    <row r="368" spans="6:9" ht="18.75" customHeight="1" x14ac:dyDescent="0.4">
      <c r="F368" s="1">
        <v>32540</v>
      </c>
      <c r="G368" s="12">
        <v>353.07</v>
      </c>
      <c r="I368" s="12"/>
    </row>
    <row r="369" spans="6:9" ht="18.75" customHeight="1" x14ac:dyDescent="0.4">
      <c r="F369" s="1">
        <v>32568</v>
      </c>
      <c r="G369" s="12">
        <v>353.68</v>
      </c>
      <c r="I369" s="12"/>
    </row>
    <row r="370" spans="6:9" ht="18.75" customHeight="1" x14ac:dyDescent="0.4">
      <c r="F370" s="1">
        <v>32599</v>
      </c>
      <c r="G370" s="12">
        <v>355.42</v>
      </c>
      <c r="I370" s="12"/>
    </row>
    <row r="371" spans="6:9" ht="18.75" customHeight="1" x14ac:dyDescent="0.4">
      <c r="F371" s="1">
        <v>32629</v>
      </c>
      <c r="G371" s="12">
        <v>355.67</v>
      </c>
      <c r="I371" s="12"/>
    </row>
    <row r="372" spans="6:9" ht="18.75" customHeight="1" x14ac:dyDescent="0.4">
      <c r="F372" s="1">
        <v>32660</v>
      </c>
      <c r="G372" s="12">
        <v>355.12</v>
      </c>
      <c r="I372" s="12"/>
    </row>
    <row r="373" spans="6:9" ht="18.75" customHeight="1" x14ac:dyDescent="0.4">
      <c r="F373" s="1">
        <v>32690</v>
      </c>
      <c r="G373" s="12">
        <v>353.9</v>
      </c>
      <c r="I373" s="12"/>
    </row>
    <row r="374" spans="6:9" ht="18.75" customHeight="1" x14ac:dyDescent="0.4">
      <c r="F374" s="1">
        <v>32721</v>
      </c>
      <c r="G374" s="12">
        <v>351.67</v>
      </c>
      <c r="I374" s="12"/>
    </row>
    <row r="375" spans="6:9" ht="18.75" customHeight="1" x14ac:dyDescent="0.4">
      <c r="F375" s="1">
        <v>32752</v>
      </c>
      <c r="G375" s="12">
        <v>349.81</v>
      </c>
      <c r="I375" s="12"/>
    </row>
    <row r="376" spans="6:9" ht="18.75" customHeight="1" x14ac:dyDescent="0.4">
      <c r="F376" s="1">
        <v>32782</v>
      </c>
      <c r="G376" s="12">
        <v>349.99</v>
      </c>
      <c r="I376" s="12"/>
    </row>
    <row r="377" spans="6:9" ht="18.75" customHeight="1" x14ac:dyDescent="0.4">
      <c r="F377" s="1">
        <v>32813</v>
      </c>
      <c r="G377" s="12">
        <v>351.3</v>
      </c>
      <c r="I377" s="12"/>
    </row>
    <row r="378" spans="6:9" ht="18.75" customHeight="1" x14ac:dyDescent="0.4">
      <c r="F378" s="1">
        <v>32843</v>
      </c>
      <c r="G378" s="12">
        <v>352.52</v>
      </c>
      <c r="I378" s="12"/>
    </row>
    <row r="379" spans="6:9" ht="18.75" customHeight="1" x14ac:dyDescent="0.4">
      <c r="F379" s="1">
        <v>32874</v>
      </c>
      <c r="G379" s="12">
        <v>353.66</v>
      </c>
      <c r="I379" s="12"/>
    </row>
    <row r="380" spans="6:9" ht="18.75" customHeight="1" x14ac:dyDescent="0.4">
      <c r="F380" s="1">
        <v>32905</v>
      </c>
      <c r="G380" s="12">
        <v>354.7</v>
      </c>
      <c r="I380" s="12"/>
    </row>
    <row r="381" spans="6:9" ht="18.75" customHeight="1" x14ac:dyDescent="0.4">
      <c r="F381" s="1">
        <v>32933</v>
      </c>
      <c r="G381" s="12">
        <v>355.38</v>
      </c>
      <c r="I381" s="12"/>
    </row>
    <row r="382" spans="6:9" ht="18.75" customHeight="1" x14ac:dyDescent="0.4">
      <c r="F382" s="1">
        <v>32964</v>
      </c>
      <c r="G382" s="12">
        <v>356.2</v>
      </c>
      <c r="I382" s="12"/>
    </row>
    <row r="383" spans="6:9" ht="18.75" customHeight="1" x14ac:dyDescent="0.4">
      <c r="F383" s="1">
        <v>32994</v>
      </c>
      <c r="G383" s="12">
        <v>357.16</v>
      </c>
      <c r="I383" s="12"/>
    </row>
    <row r="384" spans="6:9" ht="18.75" customHeight="1" x14ac:dyDescent="0.4">
      <c r="F384" s="1">
        <v>33025</v>
      </c>
      <c r="G384" s="12">
        <v>356.23</v>
      </c>
      <c r="I384" s="12"/>
    </row>
    <row r="385" spans="6:9" ht="18.75" customHeight="1" x14ac:dyDescent="0.4">
      <c r="F385" s="1">
        <v>33055</v>
      </c>
      <c r="G385" s="12">
        <v>354.81</v>
      </c>
      <c r="I385" s="12"/>
    </row>
    <row r="386" spans="6:9" ht="18.75" customHeight="1" x14ac:dyDescent="0.4">
      <c r="F386" s="1">
        <v>33086</v>
      </c>
      <c r="G386" s="12">
        <v>352.91</v>
      </c>
      <c r="I386" s="12"/>
    </row>
    <row r="387" spans="6:9" ht="18.75" customHeight="1" x14ac:dyDescent="0.4">
      <c r="F387" s="1">
        <v>33117</v>
      </c>
      <c r="G387" s="12">
        <v>350.96</v>
      </c>
      <c r="I387" s="12"/>
    </row>
    <row r="388" spans="6:9" ht="18.75" customHeight="1" x14ac:dyDescent="0.4">
      <c r="F388" s="1">
        <v>33147</v>
      </c>
      <c r="G388" s="12">
        <v>351.18</v>
      </c>
      <c r="I388" s="12"/>
    </row>
    <row r="389" spans="6:9" ht="18.75" customHeight="1" x14ac:dyDescent="0.4">
      <c r="F389" s="1">
        <v>33178</v>
      </c>
      <c r="G389" s="12">
        <v>352.83</v>
      </c>
      <c r="I389" s="12"/>
    </row>
    <row r="390" spans="6:9" ht="18.75" customHeight="1" x14ac:dyDescent="0.4">
      <c r="F390" s="1">
        <v>33208</v>
      </c>
      <c r="G390" s="12">
        <v>354.21</v>
      </c>
      <c r="I390" s="12"/>
    </row>
    <row r="391" spans="6:9" ht="18.75" customHeight="1" x14ac:dyDescent="0.4">
      <c r="F391" s="1">
        <v>33239</v>
      </c>
      <c r="G391" s="12">
        <v>354.72</v>
      </c>
      <c r="I391" s="12"/>
    </row>
    <row r="392" spans="6:9" ht="18.75" customHeight="1" x14ac:dyDescent="0.4">
      <c r="F392" s="1">
        <v>33270</v>
      </c>
      <c r="G392" s="12">
        <v>355.75</v>
      </c>
      <c r="I392" s="12"/>
    </row>
    <row r="393" spans="6:9" ht="18.75" customHeight="1" x14ac:dyDescent="0.4">
      <c r="F393" s="1">
        <v>33298</v>
      </c>
      <c r="G393" s="12">
        <v>357.16</v>
      </c>
      <c r="I393" s="12"/>
    </row>
    <row r="394" spans="6:9" ht="18.75" customHeight="1" x14ac:dyDescent="0.4">
      <c r="F394" s="1">
        <v>33329</v>
      </c>
      <c r="G394" s="12">
        <v>358.6</v>
      </c>
      <c r="I394" s="12"/>
    </row>
    <row r="395" spans="6:9" ht="18.75" customHeight="1" x14ac:dyDescent="0.4">
      <c r="F395" s="1">
        <v>33359</v>
      </c>
      <c r="G395" s="12">
        <v>359.34</v>
      </c>
      <c r="I395" s="12"/>
    </row>
    <row r="396" spans="6:9" ht="18.75" customHeight="1" x14ac:dyDescent="0.4">
      <c r="F396" s="1">
        <v>33390</v>
      </c>
      <c r="G396" s="12">
        <v>358.24</v>
      </c>
      <c r="I396" s="12"/>
    </row>
    <row r="397" spans="6:9" ht="18.75" customHeight="1" x14ac:dyDescent="0.4">
      <c r="F397" s="1">
        <v>33420</v>
      </c>
      <c r="G397" s="12">
        <v>356.17</v>
      </c>
      <c r="I397" s="12"/>
    </row>
    <row r="398" spans="6:9" ht="18.75" customHeight="1" x14ac:dyDescent="0.4">
      <c r="F398" s="1">
        <v>33451</v>
      </c>
      <c r="G398" s="12">
        <v>354.01</v>
      </c>
      <c r="I398" s="12"/>
    </row>
    <row r="399" spans="6:9" ht="18.75" customHeight="1" x14ac:dyDescent="0.4">
      <c r="F399" s="1">
        <v>33482</v>
      </c>
      <c r="G399" s="12">
        <v>352.15</v>
      </c>
      <c r="I399" s="12"/>
    </row>
    <row r="400" spans="6:9" ht="18.75" customHeight="1" x14ac:dyDescent="0.4">
      <c r="F400" s="1">
        <v>33512</v>
      </c>
      <c r="G400" s="12">
        <v>352.21</v>
      </c>
      <c r="I400" s="12"/>
    </row>
    <row r="401" spans="6:9" ht="18.75" customHeight="1" x14ac:dyDescent="0.4">
      <c r="F401" s="1">
        <v>33543</v>
      </c>
      <c r="G401" s="12">
        <v>353.75</v>
      </c>
      <c r="I401" s="12"/>
    </row>
    <row r="402" spans="6:9" ht="18.75" customHeight="1" x14ac:dyDescent="0.4">
      <c r="F402" s="1">
        <v>33573</v>
      </c>
      <c r="G402" s="12">
        <v>354.99</v>
      </c>
      <c r="I402" s="12"/>
    </row>
    <row r="403" spans="6:9" ht="18.75" customHeight="1" x14ac:dyDescent="0.4">
      <c r="F403" s="1">
        <v>33604</v>
      </c>
      <c r="G403" s="12">
        <v>355.99</v>
      </c>
      <c r="I403" s="12"/>
    </row>
    <row r="404" spans="6:9" ht="18.75" customHeight="1" x14ac:dyDescent="0.4">
      <c r="F404" s="1">
        <v>33635</v>
      </c>
      <c r="G404" s="12">
        <v>356.72</v>
      </c>
      <c r="I404" s="12"/>
    </row>
    <row r="405" spans="6:9" ht="18.75" customHeight="1" x14ac:dyDescent="0.4">
      <c r="F405" s="1">
        <v>33664</v>
      </c>
      <c r="G405" s="12">
        <v>357.81</v>
      </c>
      <c r="I405" s="12"/>
    </row>
    <row r="406" spans="6:9" ht="18.75" customHeight="1" x14ac:dyDescent="0.4">
      <c r="F406" s="1">
        <v>33695</v>
      </c>
      <c r="G406" s="12">
        <v>359.15</v>
      </c>
      <c r="I406" s="12"/>
    </row>
    <row r="407" spans="6:9" ht="18.75" customHeight="1" x14ac:dyDescent="0.4">
      <c r="F407" s="1">
        <v>33725</v>
      </c>
      <c r="G407" s="12">
        <v>359.66</v>
      </c>
      <c r="I407" s="12"/>
    </row>
    <row r="408" spans="6:9" ht="18.75" customHeight="1" x14ac:dyDescent="0.4">
      <c r="F408" s="1">
        <v>33756</v>
      </c>
      <c r="G408" s="12">
        <v>359.25</v>
      </c>
      <c r="I408" s="12"/>
    </row>
    <row r="409" spans="6:9" ht="18.75" customHeight="1" x14ac:dyDescent="0.4">
      <c r="F409" s="1">
        <v>33786</v>
      </c>
      <c r="G409" s="12">
        <v>357.02</v>
      </c>
      <c r="I409" s="12"/>
    </row>
    <row r="410" spans="6:9" ht="18.75" customHeight="1" x14ac:dyDescent="0.4">
      <c r="F410" s="1">
        <v>33817</v>
      </c>
      <c r="G410" s="12">
        <v>355</v>
      </c>
      <c r="I410" s="12"/>
    </row>
    <row r="411" spans="6:9" ht="18.75" customHeight="1" x14ac:dyDescent="0.4">
      <c r="F411" s="1">
        <v>33848</v>
      </c>
      <c r="G411" s="12">
        <v>353.01</v>
      </c>
      <c r="I411" s="12"/>
    </row>
    <row r="412" spans="6:9" ht="18.75" customHeight="1" x14ac:dyDescent="0.4">
      <c r="F412" s="1">
        <v>33878</v>
      </c>
      <c r="G412" s="12">
        <v>353.31</v>
      </c>
      <c r="I412" s="12"/>
    </row>
    <row r="413" spans="6:9" ht="18.75" customHeight="1" x14ac:dyDescent="0.4">
      <c r="F413" s="1">
        <v>33909</v>
      </c>
      <c r="G413" s="12">
        <v>354.16</v>
      </c>
      <c r="I413" s="12"/>
    </row>
    <row r="414" spans="6:9" ht="18.75" customHeight="1" x14ac:dyDescent="0.4">
      <c r="F414" s="1">
        <v>33939</v>
      </c>
      <c r="G414" s="12">
        <v>355.4</v>
      </c>
      <c r="I414" s="12"/>
    </row>
    <row r="415" spans="6:9" ht="18.75" customHeight="1" x14ac:dyDescent="0.4">
      <c r="F415" s="1">
        <v>33970</v>
      </c>
      <c r="G415" s="12">
        <v>356.7</v>
      </c>
      <c r="I415" s="12"/>
    </row>
    <row r="416" spans="6:9" ht="18.75" customHeight="1" x14ac:dyDescent="0.4">
      <c r="F416" s="1">
        <v>34001</v>
      </c>
      <c r="G416" s="12">
        <v>357.17</v>
      </c>
      <c r="I416" s="12"/>
    </row>
    <row r="417" spans="6:9" ht="18.75" customHeight="1" x14ac:dyDescent="0.4">
      <c r="F417" s="1">
        <v>34029</v>
      </c>
      <c r="G417" s="12">
        <v>358.38</v>
      </c>
      <c r="I417" s="12"/>
    </row>
    <row r="418" spans="6:9" ht="18.75" customHeight="1" x14ac:dyDescent="0.4">
      <c r="F418" s="1">
        <v>34060</v>
      </c>
      <c r="G418" s="12">
        <v>359.46</v>
      </c>
      <c r="I418" s="12"/>
    </row>
    <row r="419" spans="6:9" ht="18.75" customHeight="1" x14ac:dyDescent="0.4">
      <c r="F419" s="1">
        <v>34090</v>
      </c>
      <c r="G419" s="12">
        <v>360.28</v>
      </c>
      <c r="I419" s="12"/>
    </row>
    <row r="420" spans="6:9" ht="18.75" customHeight="1" x14ac:dyDescent="0.4">
      <c r="F420" s="1">
        <v>34121</v>
      </c>
      <c r="G420" s="12">
        <v>359.6</v>
      </c>
      <c r="I420" s="12"/>
    </row>
    <row r="421" spans="6:9" ht="18.75" customHeight="1" x14ac:dyDescent="0.4">
      <c r="F421" s="1">
        <v>34151</v>
      </c>
      <c r="G421" s="12">
        <v>357.57</v>
      </c>
      <c r="I421" s="12"/>
    </row>
    <row r="422" spans="6:9" ht="18.75" customHeight="1" x14ac:dyDescent="0.4">
      <c r="F422" s="1">
        <v>34182</v>
      </c>
      <c r="G422" s="12">
        <v>355.52</v>
      </c>
      <c r="I422" s="12"/>
    </row>
    <row r="423" spans="6:9" ht="18.75" customHeight="1" x14ac:dyDescent="0.4">
      <c r="F423" s="1">
        <v>34213</v>
      </c>
      <c r="G423" s="12">
        <v>353.69</v>
      </c>
      <c r="I423" s="12"/>
    </row>
    <row r="424" spans="6:9" ht="18.75" customHeight="1" x14ac:dyDescent="0.4">
      <c r="F424" s="1">
        <v>34243</v>
      </c>
      <c r="G424" s="12">
        <v>353.99</v>
      </c>
      <c r="I424" s="12"/>
    </row>
    <row r="425" spans="6:9" ht="18.75" customHeight="1" x14ac:dyDescent="0.4">
      <c r="F425" s="1">
        <v>34274</v>
      </c>
      <c r="G425" s="12">
        <v>355.34</v>
      </c>
      <c r="I425" s="12"/>
    </row>
    <row r="426" spans="6:9" ht="18.75" customHeight="1" x14ac:dyDescent="0.4">
      <c r="F426" s="1">
        <v>34304</v>
      </c>
      <c r="G426" s="12">
        <v>356.8</v>
      </c>
      <c r="I426" s="12"/>
    </row>
    <row r="427" spans="6:9" ht="18.75" customHeight="1" x14ac:dyDescent="0.4">
      <c r="F427" s="1">
        <v>34335</v>
      </c>
      <c r="G427" s="12">
        <v>358.37</v>
      </c>
      <c r="I427" s="12"/>
    </row>
    <row r="428" spans="6:9" ht="18.75" customHeight="1" x14ac:dyDescent="0.4">
      <c r="F428" s="1">
        <v>34366</v>
      </c>
      <c r="G428" s="12">
        <v>358.91</v>
      </c>
      <c r="I428" s="12"/>
    </row>
    <row r="429" spans="6:9" ht="18.75" customHeight="1" x14ac:dyDescent="0.4">
      <c r="F429" s="1">
        <v>34394</v>
      </c>
      <c r="G429" s="12">
        <v>359.97</v>
      </c>
      <c r="I429" s="12"/>
    </row>
    <row r="430" spans="6:9" ht="18.75" customHeight="1" x14ac:dyDescent="0.4">
      <c r="F430" s="1">
        <v>34425</v>
      </c>
      <c r="G430" s="12">
        <v>361.26</v>
      </c>
      <c r="I430" s="12"/>
    </row>
    <row r="431" spans="6:9" ht="18.75" customHeight="1" x14ac:dyDescent="0.4">
      <c r="F431" s="1">
        <v>34455</v>
      </c>
      <c r="G431" s="12">
        <v>361.69</v>
      </c>
      <c r="I431" s="12"/>
    </row>
    <row r="432" spans="6:9" ht="18.75" customHeight="1" x14ac:dyDescent="0.4">
      <c r="F432" s="1">
        <v>34486</v>
      </c>
      <c r="G432" s="12">
        <v>360.94</v>
      </c>
      <c r="I432" s="12"/>
    </row>
    <row r="433" spans="6:9" ht="18.75" customHeight="1" x14ac:dyDescent="0.4">
      <c r="F433" s="1">
        <v>34516</v>
      </c>
      <c r="G433" s="12">
        <v>359.55</v>
      </c>
      <c r="I433" s="12"/>
    </row>
    <row r="434" spans="6:9" ht="18.75" customHeight="1" x14ac:dyDescent="0.4">
      <c r="F434" s="1">
        <v>34547</v>
      </c>
      <c r="G434" s="12">
        <v>357.48</v>
      </c>
      <c r="I434" s="12"/>
    </row>
    <row r="435" spans="6:9" ht="18.75" customHeight="1" x14ac:dyDescent="0.4">
      <c r="F435" s="1">
        <v>34578</v>
      </c>
      <c r="G435" s="12">
        <v>355.84</v>
      </c>
      <c r="I435" s="12"/>
    </row>
    <row r="436" spans="6:9" ht="18.75" customHeight="1" x14ac:dyDescent="0.4">
      <c r="F436" s="1">
        <v>34608</v>
      </c>
      <c r="G436" s="12">
        <v>356</v>
      </c>
      <c r="I436" s="12"/>
    </row>
    <row r="437" spans="6:9" ht="18.75" customHeight="1" x14ac:dyDescent="0.4">
      <c r="F437" s="1">
        <v>34639</v>
      </c>
      <c r="G437" s="12">
        <v>357.58</v>
      </c>
      <c r="I437" s="12"/>
    </row>
    <row r="438" spans="6:9" ht="18.75" customHeight="1" x14ac:dyDescent="0.4">
      <c r="F438" s="1">
        <v>34669</v>
      </c>
      <c r="G438" s="12">
        <v>359.04</v>
      </c>
      <c r="I438" s="12"/>
    </row>
    <row r="439" spans="6:9" ht="18.75" customHeight="1" x14ac:dyDescent="0.4">
      <c r="F439" s="1">
        <v>34700</v>
      </c>
      <c r="G439" s="12">
        <v>359.97</v>
      </c>
      <c r="I439" s="12"/>
    </row>
    <row r="440" spans="6:9" ht="18.75" customHeight="1" x14ac:dyDescent="0.4">
      <c r="F440" s="1">
        <v>34731</v>
      </c>
      <c r="G440" s="12">
        <v>361</v>
      </c>
      <c r="I440" s="12"/>
    </row>
    <row r="441" spans="6:9" ht="18.75" customHeight="1" x14ac:dyDescent="0.4">
      <c r="F441" s="1">
        <v>34759</v>
      </c>
      <c r="G441" s="12">
        <v>361.63</v>
      </c>
      <c r="I441" s="12"/>
    </row>
    <row r="442" spans="6:9" ht="18.75" customHeight="1" x14ac:dyDescent="0.4">
      <c r="F442" s="1">
        <v>34790</v>
      </c>
      <c r="G442" s="12">
        <v>363.45</v>
      </c>
      <c r="I442" s="12"/>
    </row>
    <row r="443" spans="6:9" ht="18.75" customHeight="1" x14ac:dyDescent="0.4">
      <c r="F443" s="1">
        <v>34820</v>
      </c>
      <c r="G443" s="12">
        <v>363.8</v>
      </c>
      <c r="I443" s="12"/>
    </row>
    <row r="444" spans="6:9" ht="18.75" customHeight="1" x14ac:dyDescent="0.4">
      <c r="F444" s="1">
        <v>34851</v>
      </c>
      <c r="G444" s="12">
        <v>363.26</v>
      </c>
      <c r="I444" s="12"/>
    </row>
    <row r="445" spans="6:9" ht="18.75" customHeight="1" x14ac:dyDescent="0.4">
      <c r="F445" s="1">
        <v>34881</v>
      </c>
      <c r="G445" s="12">
        <v>361.89</v>
      </c>
      <c r="I445" s="12"/>
    </row>
    <row r="446" spans="6:9" ht="18.75" customHeight="1" x14ac:dyDescent="0.4">
      <c r="F446" s="1">
        <v>34912</v>
      </c>
      <c r="G446" s="12">
        <v>359.45</v>
      </c>
      <c r="I446" s="12"/>
    </row>
    <row r="447" spans="6:9" ht="18.75" customHeight="1" x14ac:dyDescent="0.4">
      <c r="F447" s="1">
        <v>34943</v>
      </c>
      <c r="G447" s="12">
        <v>358.05</v>
      </c>
      <c r="I447" s="12"/>
    </row>
    <row r="448" spans="6:9" ht="18.75" customHeight="1" x14ac:dyDescent="0.4">
      <c r="F448" s="1">
        <v>34973</v>
      </c>
      <c r="G448" s="12">
        <v>357.75</v>
      </c>
      <c r="I448" s="12"/>
    </row>
    <row r="449" spans="6:9" ht="18.75" customHeight="1" x14ac:dyDescent="0.4">
      <c r="F449" s="1">
        <v>35004</v>
      </c>
      <c r="G449" s="12">
        <v>359.56</v>
      </c>
      <c r="I449" s="12"/>
    </row>
    <row r="450" spans="6:9" ht="18.75" customHeight="1" x14ac:dyDescent="0.4">
      <c r="F450" s="1">
        <v>35034</v>
      </c>
      <c r="G450" s="12">
        <v>360.7</v>
      </c>
      <c r="I450" s="12"/>
    </row>
    <row r="451" spans="6:9" ht="18.75" customHeight="1" x14ac:dyDescent="0.4">
      <c r="F451" s="1">
        <v>35065</v>
      </c>
      <c r="G451" s="12">
        <v>362.05</v>
      </c>
      <c r="I451" s="12"/>
    </row>
    <row r="452" spans="6:9" ht="18.75" customHeight="1" x14ac:dyDescent="0.4">
      <c r="F452" s="1">
        <v>35096</v>
      </c>
      <c r="G452" s="12">
        <v>363.24</v>
      </c>
      <c r="I452" s="12"/>
    </row>
    <row r="453" spans="6:9" ht="18.75" customHeight="1" x14ac:dyDescent="0.4">
      <c r="F453" s="1">
        <v>35125</v>
      </c>
      <c r="G453" s="12">
        <v>364.02</v>
      </c>
      <c r="I453" s="12"/>
    </row>
    <row r="454" spans="6:9" ht="18.75" customHeight="1" x14ac:dyDescent="0.4">
      <c r="F454" s="1">
        <v>35156</v>
      </c>
      <c r="G454" s="12">
        <v>364.71</v>
      </c>
      <c r="I454" s="12"/>
    </row>
    <row r="455" spans="6:9" ht="18.75" customHeight="1" x14ac:dyDescent="0.4">
      <c r="F455" s="1">
        <v>35186</v>
      </c>
      <c r="G455" s="12">
        <v>365.42</v>
      </c>
      <c r="I455" s="12"/>
    </row>
    <row r="456" spans="6:9" ht="18.75" customHeight="1" x14ac:dyDescent="0.4">
      <c r="F456" s="1">
        <v>35217</v>
      </c>
      <c r="G456" s="12">
        <v>364.97</v>
      </c>
      <c r="I456" s="12"/>
    </row>
    <row r="457" spans="6:9" ht="18.75" customHeight="1" x14ac:dyDescent="0.4">
      <c r="F457" s="1">
        <v>35247</v>
      </c>
      <c r="G457" s="12">
        <v>363.65</v>
      </c>
      <c r="I457" s="12"/>
    </row>
    <row r="458" spans="6:9" ht="18.75" customHeight="1" x14ac:dyDescent="0.4">
      <c r="F458" s="1">
        <v>35278</v>
      </c>
      <c r="G458" s="12">
        <v>361.48</v>
      </c>
      <c r="I458" s="12"/>
    </row>
    <row r="459" spans="6:9" ht="18.75" customHeight="1" x14ac:dyDescent="0.4">
      <c r="F459" s="1">
        <v>35309</v>
      </c>
      <c r="G459" s="12">
        <v>359.45</v>
      </c>
      <c r="I459" s="12"/>
    </row>
    <row r="460" spans="6:9" ht="18.75" customHeight="1" x14ac:dyDescent="0.4">
      <c r="F460" s="1">
        <v>35339</v>
      </c>
      <c r="G460" s="12">
        <v>359.61</v>
      </c>
      <c r="I460" s="12"/>
    </row>
    <row r="461" spans="6:9" ht="18.75" customHeight="1" x14ac:dyDescent="0.4">
      <c r="F461" s="1">
        <v>35370</v>
      </c>
      <c r="G461" s="12">
        <v>360.76</v>
      </c>
      <c r="I461" s="12"/>
    </row>
    <row r="462" spans="6:9" ht="18.75" customHeight="1" x14ac:dyDescent="0.4">
      <c r="F462" s="1">
        <v>35400</v>
      </c>
      <c r="G462" s="12">
        <v>362.33</v>
      </c>
      <c r="I462" s="12"/>
    </row>
    <row r="463" spans="6:9" ht="18.75" customHeight="1" x14ac:dyDescent="0.4">
      <c r="F463" s="1">
        <v>35431</v>
      </c>
      <c r="G463" s="12">
        <v>363.19</v>
      </c>
      <c r="I463" s="12"/>
    </row>
    <row r="464" spans="6:9" ht="18.75" customHeight="1" x14ac:dyDescent="0.4">
      <c r="F464" s="1">
        <v>35462</v>
      </c>
      <c r="G464" s="12">
        <v>363.99</v>
      </c>
      <c r="I464" s="12"/>
    </row>
    <row r="465" spans="6:9" ht="18.75" customHeight="1" x14ac:dyDescent="0.4">
      <c r="F465" s="1">
        <v>35490</v>
      </c>
      <c r="G465" s="12">
        <v>364.56</v>
      </c>
      <c r="I465" s="12"/>
    </row>
    <row r="466" spans="6:9" ht="18.75" customHeight="1" x14ac:dyDescent="0.4">
      <c r="F466" s="1">
        <v>35521</v>
      </c>
      <c r="G466" s="12">
        <v>366.36</v>
      </c>
      <c r="I466" s="12"/>
    </row>
    <row r="467" spans="6:9" ht="18.75" customHeight="1" x14ac:dyDescent="0.4">
      <c r="F467" s="1">
        <v>35551</v>
      </c>
      <c r="G467" s="12">
        <v>366.8</v>
      </c>
      <c r="I467" s="12"/>
    </row>
    <row r="468" spans="6:9" ht="18.75" customHeight="1" x14ac:dyDescent="0.4">
      <c r="F468" s="1">
        <v>35582</v>
      </c>
      <c r="G468" s="12">
        <v>365.63</v>
      </c>
      <c r="I468" s="12"/>
    </row>
    <row r="469" spans="6:9" ht="18.75" customHeight="1" x14ac:dyDescent="0.4">
      <c r="F469" s="1">
        <v>35612</v>
      </c>
      <c r="G469" s="12">
        <v>364.47</v>
      </c>
      <c r="I469" s="12"/>
    </row>
    <row r="470" spans="6:9" ht="18.75" customHeight="1" x14ac:dyDescent="0.4">
      <c r="F470" s="1">
        <v>35643</v>
      </c>
      <c r="G470" s="12">
        <v>362.5</v>
      </c>
      <c r="I470" s="12"/>
    </row>
    <row r="471" spans="6:9" ht="18.75" customHeight="1" x14ac:dyDescent="0.4">
      <c r="F471" s="1">
        <v>35674</v>
      </c>
      <c r="G471" s="12">
        <v>360.19</v>
      </c>
      <c r="I471" s="12"/>
    </row>
    <row r="472" spans="6:9" ht="18.75" customHeight="1" x14ac:dyDescent="0.4">
      <c r="F472" s="1">
        <v>35704</v>
      </c>
      <c r="G472" s="12">
        <v>360.78</v>
      </c>
      <c r="I472" s="12"/>
    </row>
    <row r="473" spans="6:9" ht="18.75" customHeight="1" x14ac:dyDescent="0.4">
      <c r="F473" s="1">
        <v>35735</v>
      </c>
      <c r="G473" s="12">
        <v>362.43</v>
      </c>
      <c r="I473" s="12"/>
    </row>
    <row r="474" spans="6:9" ht="18.75" customHeight="1" x14ac:dyDescent="0.4">
      <c r="F474" s="1">
        <v>35765</v>
      </c>
      <c r="G474" s="12">
        <v>364.28</v>
      </c>
      <c r="I474" s="12"/>
    </row>
    <row r="475" spans="6:9" ht="18.75" customHeight="1" x14ac:dyDescent="0.4">
      <c r="F475" s="1">
        <v>35796</v>
      </c>
      <c r="G475" s="12">
        <v>365.33</v>
      </c>
      <c r="I475" s="12"/>
    </row>
    <row r="476" spans="6:9" ht="18.75" customHeight="1" x14ac:dyDescent="0.4">
      <c r="F476" s="1">
        <v>35827</v>
      </c>
      <c r="G476" s="12">
        <v>366.15</v>
      </c>
      <c r="I476" s="12"/>
    </row>
    <row r="477" spans="6:9" ht="18.75" customHeight="1" x14ac:dyDescent="0.4">
      <c r="F477" s="1">
        <v>35855</v>
      </c>
      <c r="G477" s="12">
        <v>367.31</v>
      </c>
      <c r="I477" s="12"/>
    </row>
    <row r="478" spans="6:9" ht="18.75" customHeight="1" x14ac:dyDescent="0.4">
      <c r="F478" s="1">
        <v>35886</v>
      </c>
      <c r="G478" s="12">
        <v>368.61</v>
      </c>
      <c r="I478" s="12"/>
    </row>
    <row r="479" spans="6:9" ht="18.75" customHeight="1" x14ac:dyDescent="0.4">
      <c r="F479" s="1">
        <v>35916</v>
      </c>
      <c r="G479" s="12">
        <v>369.3</v>
      </c>
      <c r="I479" s="12"/>
    </row>
    <row r="480" spans="6:9" ht="18.75" customHeight="1" x14ac:dyDescent="0.4">
      <c r="F480" s="1">
        <v>35947</v>
      </c>
      <c r="G480" s="12">
        <v>368.88</v>
      </c>
      <c r="I480" s="12"/>
    </row>
    <row r="481" spans="6:9" ht="18.75" customHeight="1" x14ac:dyDescent="0.4">
      <c r="F481" s="1">
        <v>35977</v>
      </c>
      <c r="G481" s="12">
        <v>367.64</v>
      </c>
      <c r="I481" s="12"/>
    </row>
    <row r="482" spans="6:9" ht="18.75" customHeight="1" x14ac:dyDescent="0.4">
      <c r="F482" s="1">
        <v>36008</v>
      </c>
      <c r="G482" s="12">
        <v>365.78</v>
      </c>
      <c r="I482" s="12"/>
    </row>
    <row r="483" spans="6:9" ht="18.75" customHeight="1" x14ac:dyDescent="0.4">
      <c r="F483" s="1">
        <v>36039</v>
      </c>
      <c r="G483" s="12">
        <v>363.9</v>
      </c>
      <c r="I483" s="12"/>
    </row>
    <row r="484" spans="6:9" ht="18.75" customHeight="1" x14ac:dyDescent="0.4">
      <c r="F484" s="1">
        <v>36069</v>
      </c>
      <c r="G484" s="12">
        <v>364.23</v>
      </c>
      <c r="I484" s="12"/>
    </row>
    <row r="485" spans="6:9" ht="18.75" customHeight="1" x14ac:dyDescent="0.4">
      <c r="F485" s="1">
        <v>36100</v>
      </c>
      <c r="G485" s="12">
        <v>365.46</v>
      </c>
      <c r="I485" s="12"/>
    </row>
    <row r="486" spans="6:9" ht="18.75" customHeight="1" x14ac:dyDescent="0.4">
      <c r="F486" s="1">
        <v>36130</v>
      </c>
      <c r="G486" s="12">
        <v>366.97</v>
      </c>
      <c r="I486" s="12"/>
    </row>
    <row r="487" spans="6:9" ht="18.75" customHeight="1" x14ac:dyDescent="0.4">
      <c r="F487" s="1">
        <v>36161</v>
      </c>
      <c r="G487" s="12">
        <v>368.15</v>
      </c>
      <c r="I487" s="12"/>
    </row>
    <row r="488" spans="6:9" ht="18.75" customHeight="1" x14ac:dyDescent="0.4">
      <c r="F488" s="1">
        <v>36192</v>
      </c>
      <c r="G488" s="12">
        <v>368.87</v>
      </c>
      <c r="I488" s="12"/>
    </row>
    <row r="489" spans="6:9" ht="18.75" customHeight="1" x14ac:dyDescent="0.4">
      <c r="F489" s="1">
        <v>36220</v>
      </c>
      <c r="G489" s="12">
        <v>369.59</v>
      </c>
      <c r="I489" s="12"/>
    </row>
    <row r="490" spans="6:9" ht="18.75" customHeight="1" x14ac:dyDescent="0.4">
      <c r="F490" s="1">
        <v>36251</v>
      </c>
      <c r="G490" s="12">
        <v>371.14</v>
      </c>
      <c r="I490" s="12"/>
    </row>
    <row r="491" spans="6:9" ht="18.75" customHeight="1" x14ac:dyDescent="0.4">
      <c r="F491" s="1">
        <v>36281</v>
      </c>
      <c r="G491" s="12">
        <v>371</v>
      </c>
      <c r="I491" s="12"/>
    </row>
    <row r="492" spans="6:9" ht="18.75" customHeight="1" x14ac:dyDescent="0.4">
      <c r="F492" s="1">
        <v>36312</v>
      </c>
      <c r="G492" s="12">
        <v>370.35</v>
      </c>
      <c r="I492" s="12"/>
    </row>
    <row r="493" spans="6:9" ht="18.75" customHeight="1" x14ac:dyDescent="0.4">
      <c r="F493" s="1">
        <v>36342</v>
      </c>
      <c r="G493" s="12">
        <v>369.27</v>
      </c>
      <c r="I493" s="12"/>
    </row>
    <row r="494" spans="6:9" ht="18.75" customHeight="1" x14ac:dyDescent="0.4">
      <c r="F494" s="1">
        <v>36373</v>
      </c>
      <c r="G494" s="12">
        <v>366.93</v>
      </c>
      <c r="I494" s="12"/>
    </row>
    <row r="495" spans="6:9" ht="18.75" customHeight="1" x14ac:dyDescent="0.4">
      <c r="F495" s="1">
        <v>36404</v>
      </c>
      <c r="G495" s="12">
        <v>364.64</v>
      </c>
      <c r="I495" s="12"/>
    </row>
    <row r="496" spans="6:9" ht="18.75" customHeight="1" x14ac:dyDescent="0.4">
      <c r="F496" s="1">
        <v>36434</v>
      </c>
      <c r="G496" s="12">
        <v>365.13</v>
      </c>
      <c r="I496" s="12"/>
    </row>
    <row r="497" spans="6:9" ht="18.75" customHeight="1" x14ac:dyDescent="0.4">
      <c r="F497" s="1">
        <v>36465</v>
      </c>
      <c r="G497" s="12">
        <v>366.68</v>
      </c>
      <c r="I497" s="12"/>
    </row>
    <row r="498" spans="6:9" ht="18.75" customHeight="1" x14ac:dyDescent="0.4">
      <c r="F498" s="1">
        <v>36495</v>
      </c>
      <c r="G498" s="12">
        <v>368</v>
      </c>
      <c r="I498" s="12"/>
    </row>
    <row r="499" spans="6:9" ht="18.75" customHeight="1" x14ac:dyDescent="0.4">
      <c r="F499" s="1">
        <v>36526</v>
      </c>
      <c r="G499" s="12">
        <v>369.14</v>
      </c>
      <c r="I499" s="12"/>
    </row>
    <row r="500" spans="6:9" ht="18.75" customHeight="1" x14ac:dyDescent="0.4">
      <c r="F500" s="1">
        <v>36557</v>
      </c>
      <c r="G500" s="12">
        <v>369.46</v>
      </c>
      <c r="I500" s="12"/>
    </row>
    <row r="501" spans="6:9" ht="18.75" customHeight="1" x14ac:dyDescent="0.4">
      <c r="F501" s="1">
        <v>36586</v>
      </c>
      <c r="G501" s="12">
        <v>370.51</v>
      </c>
      <c r="I501" s="12"/>
    </row>
    <row r="502" spans="6:9" ht="18.75" customHeight="1" x14ac:dyDescent="0.4">
      <c r="F502" s="1">
        <v>36617</v>
      </c>
      <c r="G502" s="12">
        <v>371.66</v>
      </c>
      <c r="I502" s="12"/>
    </row>
    <row r="503" spans="6:9" ht="18.75" customHeight="1" x14ac:dyDescent="0.4">
      <c r="F503" s="1">
        <v>36647</v>
      </c>
      <c r="G503" s="12">
        <v>371.83</v>
      </c>
      <c r="I503" s="12"/>
    </row>
    <row r="504" spans="6:9" ht="18.75" customHeight="1" x14ac:dyDescent="0.4">
      <c r="F504" s="1">
        <v>36678</v>
      </c>
      <c r="G504" s="12">
        <v>371.69</v>
      </c>
      <c r="I504" s="12"/>
    </row>
    <row r="505" spans="6:9" ht="18.75" customHeight="1" x14ac:dyDescent="0.4">
      <c r="F505" s="1">
        <v>36708</v>
      </c>
      <c r="G505" s="12">
        <v>370.12</v>
      </c>
      <c r="I505" s="12"/>
    </row>
    <row r="506" spans="6:9" ht="18.75" customHeight="1" x14ac:dyDescent="0.4">
      <c r="F506" s="1">
        <v>36739</v>
      </c>
      <c r="G506" s="12">
        <v>368.12</v>
      </c>
      <c r="I506" s="12"/>
    </row>
    <row r="507" spans="6:9" ht="18.75" customHeight="1" x14ac:dyDescent="0.4">
      <c r="F507" s="1">
        <v>36770</v>
      </c>
      <c r="G507" s="12">
        <v>366.62</v>
      </c>
      <c r="I507" s="12"/>
    </row>
    <row r="508" spans="6:9" ht="18.75" customHeight="1" x14ac:dyDescent="0.4">
      <c r="F508" s="1">
        <v>36800</v>
      </c>
      <c r="G508" s="12">
        <v>366.73</v>
      </c>
      <c r="I508" s="12"/>
    </row>
    <row r="509" spans="6:9" ht="18.75" customHeight="1" x14ac:dyDescent="0.4">
      <c r="F509" s="1">
        <v>36831</v>
      </c>
      <c r="G509" s="12">
        <v>368.29</v>
      </c>
      <c r="I509" s="12"/>
    </row>
    <row r="510" spans="6:9" ht="18.75" customHeight="1" x14ac:dyDescent="0.4">
      <c r="F510" s="1">
        <v>36861</v>
      </c>
      <c r="G510" s="12">
        <v>369.52</v>
      </c>
      <c r="I510" s="12"/>
    </row>
    <row r="511" spans="6:9" ht="18.75" customHeight="1" x14ac:dyDescent="0.4">
      <c r="F511" s="1">
        <v>36892</v>
      </c>
      <c r="G511" s="12">
        <v>370.28</v>
      </c>
      <c r="I511" s="12"/>
    </row>
    <row r="512" spans="6:9" ht="18.75" customHeight="1" x14ac:dyDescent="0.4">
      <c r="F512" s="1">
        <v>36923</v>
      </c>
      <c r="G512" s="12">
        <v>371.5</v>
      </c>
      <c r="I512" s="12"/>
    </row>
    <row r="513" spans="6:9" ht="18.75" customHeight="1" x14ac:dyDescent="0.4">
      <c r="F513" s="1">
        <v>36951</v>
      </c>
      <c r="G513" s="12">
        <v>372.12</v>
      </c>
      <c r="I513" s="12"/>
    </row>
    <row r="514" spans="6:9" ht="18.75" customHeight="1" x14ac:dyDescent="0.4">
      <c r="F514" s="1">
        <v>36982</v>
      </c>
      <c r="G514" s="12">
        <v>372.86</v>
      </c>
      <c r="I514" s="12"/>
    </row>
    <row r="515" spans="6:9" ht="18.75" customHeight="1" x14ac:dyDescent="0.4">
      <c r="F515" s="1">
        <v>37012</v>
      </c>
      <c r="G515" s="12">
        <v>374.02</v>
      </c>
      <c r="I515" s="12"/>
    </row>
    <row r="516" spans="6:9" ht="18.75" customHeight="1" x14ac:dyDescent="0.4">
      <c r="F516" s="1">
        <v>37043</v>
      </c>
      <c r="G516" s="12">
        <v>373.31</v>
      </c>
      <c r="I516" s="12"/>
    </row>
    <row r="517" spans="6:9" ht="18.75" customHeight="1" x14ac:dyDescent="0.4">
      <c r="F517" s="1">
        <v>37073</v>
      </c>
      <c r="G517" s="12">
        <v>371.62</v>
      </c>
      <c r="I517" s="12"/>
    </row>
    <row r="518" spans="6:9" ht="18.75" customHeight="1" x14ac:dyDescent="0.4">
      <c r="F518" s="1">
        <v>37104</v>
      </c>
      <c r="G518" s="12">
        <v>369.55</v>
      </c>
      <c r="I518" s="12"/>
    </row>
    <row r="519" spans="6:9" ht="18.75" customHeight="1" x14ac:dyDescent="0.4">
      <c r="F519" s="1">
        <v>37135</v>
      </c>
      <c r="G519" s="12">
        <v>367.96</v>
      </c>
      <c r="I519" s="12"/>
    </row>
    <row r="520" spans="6:9" ht="18.75" customHeight="1" x14ac:dyDescent="0.4">
      <c r="F520" s="1">
        <v>37165</v>
      </c>
      <c r="G520" s="12">
        <v>368.09</v>
      </c>
      <c r="I520" s="12"/>
    </row>
    <row r="521" spans="6:9" ht="18.75" customHeight="1" x14ac:dyDescent="0.4">
      <c r="F521" s="1">
        <v>37196</v>
      </c>
      <c r="G521" s="12">
        <v>369.68</v>
      </c>
      <c r="I521" s="12"/>
    </row>
    <row r="522" spans="6:9" ht="18.75" customHeight="1" x14ac:dyDescent="0.4">
      <c r="F522" s="1">
        <v>37226</v>
      </c>
      <c r="G522" s="12">
        <v>371.24</v>
      </c>
      <c r="I522" s="12"/>
    </row>
    <row r="523" spans="6:9" ht="18.75" customHeight="1" x14ac:dyDescent="0.4">
      <c r="F523" s="1">
        <v>37257</v>
      </c>
      <c r="G523" s="12">
        <v>372.44</v>
      </c>
      <c r="I523" s="12"/>
    </row>
    <row r="524" spans="6:9" ht="18.75" customHeight="1" x14ac:dyDescent="0.4">
      <c r="F524" s="1">
        <v>37288</v>
      </c>
      <c r="G524" s="12">
        <v>373.08</v>
      </c>
      <c r="I524" s="12"/>
    </row>
    <row r="525" spans="6:9" ht="18.75" customHeight="1" x14ac:dyDescent="0.4">
      <c r="F525" s="1">
        <v>37316</v>
      </c>
      <c r="G525" s="12">
        <v>373.52</v>
      </c>
      <c r="I525" s="12"/>
    </row>
    <row r="526" spans="6:9" ht="18.75" customHeight="1" x14ac:dyDescent="0.4">
      <c r="F526" s="1">
        <v>37347</v>
      </c>
      <c r="G526" s="12">
        <v>374.85</v>
      </c>
      <c r="I526" s="12"/>
    </row>
    <row r="527" spans="6:9" ht="18.75" customHeight="1" x14ac:dyDescent="0.4">
      <c r="F527" s="1">
        <v>37377</v>
      </c>
      <c r="G527" s="12">
        <v>375.55</v>
      </c>
      <c r="I527" s="12"/>
    </row>
    <row r="528" spans="6:9" ht="18.75" customHeight="1" x14ac:dyDescent="0.4">
      <c r="F528" s="1">
        <v>37408</v>
      </c>
      <c r="G528" s="12">
        <v>375.4</v>
      </c>
      <c r="I528" s="12"/>
    </row>
    <row r="529" spans="6:9" ht="18.75" customHeight="1" x14ac:dyDescent="0.4">
      <c r="F529" s="1">
        <v>37438</v>
      </c>
      <c r="G529" s="12">
        <v>374.02</v>
      </c>
      <c r="I529" s="12"/>
    </row>
    <row r="530" spans="6:9" ht="18.75" customHeight="1" x14ac:dyDescent="0.4">
      <c r="F530" s="1">
        <v>37469</v>
      </c>
      <c r="G530" s="12">
        <v>371.48</v>
      </c>
      <c r="I530" s="12"/>
    </row>
    <row r="531" spans="6:9" ht="18.75" customHeight="1" x14ac:dyDescent="0.4">
      <c r="F531" s="1">
        <v>37500</v>
      </c>
      <c r="G531" s="12">
        <v>370.7</v>
      </c>
      <c r="I531" s="12"/>
    </row>
    <row r="532" spans="6:9" ht="18.75" customHeight="1" x14ac:dyDescent="0.4">
      <c r="F532" s="1">
        <v>37530</v>
      </c>
      <c r="G532" s="12">
        <v>370.25</v>
      </c>
      <c r="I532" s="12"/>
    </row>
    <row r="533" spans="6:9" ht="18.75" customHeight="1" x14ac:dyDescent="0.4">
      <c r="F533" s="1">
        <v>37561</v>
      </c>
      <c r="G533" s="12">
        <v>372.08</v>
      </c>
      <c r="I533" s="12"/>
    </row>
    <row r="534" spans="6:9" ht="18.75" customHeight="1" x14ac:dyDescent="0.4">
      <c r="F534" s="1">
        <v>37591</v>
      </c>
      <c r="G534" s="12">
        <v>373.78</v>
      </c>
      <c r="I534" s="12"/>
    </row>
    <row r="535" spans="6:9" ht="18.75" customHeight="1" x14ac:dyDescent="0.4">
      <c r="F535" s="1">
        <v>37622</v>
      </c>
      <c r="G535" s="12">
        <v>374.68</v>
      </c>
      <c r="I535" s="12"/>
    </row>
    <row r="536" spans="6:9" ht="18.75" customHeight="1" x14ac:dyDescent="0.4">
      <c r="F536" s="1">
        <v>37653</v>
      </c>
      <c r="G536" s="12">
        <v>375.62</v>
      </c>
      <c r="I536" s="12"/>
    </row>
    <row r="537" spans="6:9" ht="18.75" customHeight="1" x14ac:dyDescent="0.4">
      <c r="F537" s="1">
        <v>37681</v>
      </c>
      <c r="G537" s="12">
        <v>376.11</v>
      </c>
      <c r="I537" s="12"/>
    </row>
    <row r="538" spans="6:9" ht="18.75" customHeight="1" x14ac:dyDescent="0.4">
      <c r="F538" s="1">
        <v>37712</v>
      </c>
      <c r="G538" s="12">
        <v>377.65</v>
      </c>
      <c r="I538" s="12"/>
    </row>
    <row r="539" spans="6:9" ht="18.75" customHeight="1" x14ac:dyDescent="0.4">
      <c r="F539" s="1">
        <v>37742</v>
      </c>
      <c r="G539" s="12">
        <v>378.35</v>
      </c>
      <c r="I539" s="12"/>
    </row>
    <row r="540" spans="6:9" ht="18.75" customHeight="1" x14ac:dyDescent="0.4">
      <c r="F540" s="1">
        <v>37773</v>
      </c>
      <c r="G540" s="12">
        <v>378.13</v>
      </c>
      <c r="I540" s="12"/>
    </row>
    <row r="541" spans="6:9" ht="18.75" customHeight="1" x14ac:dyDescent="0.4">
      <c r="F541" s="1">
        <v>37803</v>
      </c>
      <c r="G541" s="12">
        <v>376.6</v>
      </c>
      <c r="I541" s="12"/>
    </row>
    <row r="542" spans="6:9" ht="18.75" customHeight="1" x14ac:dyDescent="0.4">
      <c r="F542" s="1">
        <v>37834</v>
      </c>
      <c r="G542" s="12">
        <v>374.48</v>
      </c>
      <c r="I542" s="12"/>
    </row>
    <row r="543" spans="6:9" ht="18.75" customHeight="1" x14ac:dyDescent="0.4">
      <c r="F543" s="1">
        <v>37865</v>
      </c>
      <c r="G543" s="12">
        <v>372.98</v>
      </c>
      <c r="I543" s="12"/>
    </row>
    <row r="544" spans="6:9" ht="18.75" customHeight="1" x14ac:dyDescent="0.4">
      <c r="F544" s="1">
        <v>37895</v>
      </c>
      <c r="G544" s="12">
        <v>373</v>
      </c>
      <c r="I544" s="12"/>
    </row>
    <row r="545" spans="6:9" ht="18.75" customHeight="1" x14ac:dyDescent="0.4">
      <c r="F545" s="1">
        <v>37926</v>
      </c>
      <c r="G545" s="12">
        <v>374.35</v>
      </c>
      <c r="I545" s="12"/>
    </row>
    <row r="546" spans="6:9" ht="18.75" customHeight="1" x14ac:dyDescent="0.4">
      <c r="F546" s="1">
        <v>37956</v>
      </c>
      <c r="G546" s="12">
        <v>375.69</v>
      </c>
      <c r="I546" s="12"/>
    </row>
    <row r="547" spans="6:9" ht="18.75" customHeight="1" x14ac:dyDescent="0.4">
      <c r="F547" s="1">
        <v>37987</v>
      </c>
      <c r="G547" s="12">
        <v>376.79</v>
      </c>
      <c r="I547" s="12"/>
    </row>
    <row r="548" spans="6:9" ht="18.75" customHeight="1" x14ac:dyDescent="0.4">
      <c r="F548" s="1">
        <v>38018</v>
      </c>
      <c r="G548" s="12">
        <v>377.37</v>
      </c>
      <c r="I548" s="12"/>
    </row>
    <row r="549" spans="6:9" ht="18.75" customHeight="1" x14ac:dyDescent="0.4">
      <c r="F549" s="1">
        <v>38047</v>
      </c>
      <c r="G549" s="12">
        <v>378.39</v>
      </c>
      <c r="I549" s="12"/>
    </row>
    <row r="550" spans="6:9" ht="18.75" customHeight="1" x14ac:dyDescent="0.4">
      <c r="F550" s="1">
        <v>38078</v>
      </c>
      <c r="G550" s="12">
        <v>380.5</v>
      </c>
      <c r="I550" s="12"/>
    </row>
    <row r="551" spans="6:9" ht="18.75" customHeight="1" x14ac:dyDescent="0.4">
      <c r="F551" s="1">
        <v>38108</v>
      </c>
      <c r="G551" s="12">
        <v>380.62</v>
      </c>
      <c r="I551" s="12"/>
    </row>
    <row r="552" spans="6:9" ht="18.75" customHeight="1" x14ac:dyDescent="0.4">
      <c r="F552" s="1">
        <v>38139</v>
      </c>
      <c r="G552" s="12">
        <v>379.55</v>
      </c>
      <c r="I552" s="12"/>
    </row>
    <row r="553" spans="6:9" ht="18.75" customHeight="1" x14ac:dyDescent="0.4">
      <c r="F553" s="1">
        <v>38169</v>
      </c>
      <c r="G553" s="12">
        <v>377.76</v>
      </c>
      <c r="I553" s="12"/>
    </row>
    <row r="554" spans="6:9" ht="18.75" customHeight="1" x14ac:dyDescent="0.4">
      <c r="F554" s="1">
        <v>38200</v>
      </c>
      <c r="G554" s="12">
        <v>375.83</v>
      </c>
      <c r="I554" s="12"/>
    </row>
    <row r="555" spans="6:9" ht="18.75" customHeight="1" x14ac:dyDescent="0.4">
      <c r="F555" s="1">
        <v>38231</v>
      </c>
      <c r="G555" s="12">
        <v>374.05</v>
      </c>
      <c r="I555" s="12"/>
    </row>
    <row r="556" spans="6:9" ht="18.75" customHeight="1" x14ac:dyDescent="0.4">
      <c r="F556" s="1">
        <v>38261</v>
      </c>
      <c r="G556" s="12">
        <v>374.22</v>
      </c>
      <c r="I556" s="12"/>
    </row>
    <row r="557" spans="6:9" ht="18.75" customHeight="1" x14ac:dyDescent="0.4">
      <c r="F557" s="1">
        <v>38292</v>
      </c>
      <c r="G557" s="12">
        <v>375.84</v>
      </c>
      <c r="I557" s="12"/>
    </row>
    <row r="558" spans="6:9" ht="18.75" customHeight="1" x14ac:dyDescent="0.4">
      <c r="F558" s="1">
        <v>38322</v>
      </c>
      <c r="G558" s="12">
        <v>377.44</v>
      </c>
      <c r="I558" s="12"/>
    </row>
    <row r="559" spans="6:9" ht="18.75" customHeight="1" x14ac:dyDescent="0.4">
      <c r="F559" s="1">
        <v>38353</v>
      </c>
      <c r="G559" s="12">
        <v>378.34</v>
      </c>
      <c r="I559" s="12"/>
    </row>
    <row r="560" spans="6:9" ht="18.75" customHeight="1" x14ac:dyDescent="0.4">
      <c r="F560" s="1">
        <v>38384</v>
      </c>
      <c r="G560" s="12">
        <v>379.61</v>
      </c>
      <c r="I560" s="12"/>
    </row>
    <row r="561" spans="6:9" ht="18.75" customHeight="1" x14ac:dyDescent="0.4">
      <c r="F561" s="1">
        <v>38412</v>
      </c>
      <c r="G561" s="12">
        <v>380.08</v>
      </c>
      <c r="I561" s="12"/>
    </row>
    <row r="562" spans="6:9" ht="18.75" customHeight="1" x14ac:dyDescent="0.4">
      <c r="F562" s="1">
        <v>38443</v>
      </c>
      <c r="G562" s="12">
        <v>382.05</v>
      </c>
      <c r="I562" s="12"/>
    </row>
    <row r="563" spans="6:9" ht="18.75" customHeight="1" x14ac:dyDescent="0.4">
      <c r="F563" s="1">
        <v>38473</v>
      </c>
      <c r="G563" s="12">
        <v>382.24</v>
      </c>
      <c r="I563" s="12"/>
    </row>
    <row r="564" spans="6:9" ht="18.75" customHeight="1" x14ac:dyDescent="0.4">
      <c r="F564" s="1">
        <v>38504</v>
      </c>
      <c r="G564" s="12">
        <v>382.08</v>
      </c>
      <c r="I564" s="12"/>
    </row>
    <row r="565" spans="6:9" ht="18.75" customHeight="1" x14ac:dyDescent="0.4">
      <c r="F565" s="1">
        <v>38534</v>
      </c>
      <c r="G565" s="12">
        <v>380.66</v>
      </c>
      <c r="I565" s="12"/>
    </row>
    <row r="566" spans="6:9" ht="18.75" customHeight="1" x14ac:dyDescent="0.4">
      <c r="F566" s="1">
        <v>38565</v>
      </c>
      <c r="G566" s="12">
        <v>378.67</v>
      </c>
      <c r="I566" s="12"/>
    </row>
    <row r="567" spans="6:9" ht="18.75" customHeight="1" x14ac:dyDescent="0.4">
      <c r="F567" s="1">
        <v>38596</v>
      </c>
      <c r="G567" s="12">
        <v>376.42</v>
      </c>
      <c r="I567" s="12"/>
    </row>
    <row r="568" spans="6:9" ht="18.75" customHeight="1" x14ac:dyDescent="0.4">
      <c r="F568" s="1">
        <v>38626</v>
      </c>
      <c r="G568" s="12">
        <v>376.8</v>
      </c>
      <c r="I568" s="12"/>
    </row>
    <row r="569" spans="6:9" ht="18.75" customHeight="1" x14ac:dyDescent="0.4">
      <c r="F569" s="1">
        <v>38657</v>
      </c>
      <c r="G569" s="12">
        <v>378.31</v>
      </c>
      <c r="I569" s="12"/>
    </row>
    <row r="570" spans="6:9" ht="18.75" customHeight="1" x14ac:dyDescent="0.4">
      <c r="F570" s="1">
        <v>38687</v>
      </c>
      <c r="G570" s="12">
        <v>379.96</v>
      </c>
      <c r="I570" s="12"/>
    </row>
    <row r="571" spans="6:9" ht="18.75" customHeight="1" x14ac:dyDescent="0.4">
      <c r="F571" s="1">
        <v>38718</v>
      </c>
      <c r="G571" s="12">
        <v>381.37</v>
      </c>
      <c r="I571" s="12"/>
    </row>
    <row r="572" spans="6:9" ht="18.75" customHeight="1" x14ac:dyDescent="0.4">
      <c r="F572" s="1">
        <v>38749</v>
      </c>
      <c r="G572" s="12">
        <v>382.02</v>
      </c>
      <c r="I572" s="12"/>
    </row>
    <row r="573" spans="6:9" ht="18.75" customHeight="1" x14ac:dyDescent="0.4">
      <c r="F573" s="1">
        <v>38777</v>
      </c>
      <c r="G573" s="12">
        <v>382.56</v>
      </c>
      <c r="I573" s="12"/>
    </row>
    <row r="574" spans="6:9" ht="18.75" customHeight="1" x14ac:dyDescent="0.4">
      <c r="F574" s="1">
        <v>38808</v>
      </c>
      <c r="G574" s="12">
        <v>384.36</v>
      </c>
      <c r="I574" s="12"/>
    </row>
    <row r="575" spans="6:9" ht="18.75" customHeight="1" x14ac:dyDescent="0.4">
      <c r="F575" s="1">
        <v>38838</v>
      </c>
      <c r="G575" s="12">
        <v>384.92</v>
      </c>
      <c r="I575" s="12"/>
    </row>
    <row r="576" spans="6:9" ht="18.75" customHeight="1" x14ac:dyDescent="0.4">
      <c r="F576" s="1">
        <v>38869</v>
      </c>
      <c r="G576" s="12">
        <v>384.03</v>
      </c>
      <c r="I576" s="12"/>
    </row>
    <row r="577" spans="6:9" ht="18.75" customHeight="1" x14ac:dyDescent="0.4">
      <c r="F577" s="1">
        <v>38899</v>
      </c>
      <c r="G577" s="12">
        <v>382.28</v>
      </c>
      <c r="I577" s="12"/>
    </row>
    <row r="578" spans="6:9" ht="18.75" customHeight="1" x14ac:dyDescent="0.4">
      <c r="F578" s="1">
        <v>38930</v>
      </c>
      <c r="G578" s="12">
        <v>380.48</v>
      </c>
      <c r="I578" s="12"/>
    </row>
    <row r="579" spans="6:9" ht="18.75" customHeight="1" x14ac:dyDescent="0.4">
      <c r="F579" s="1">
        <v>38961</v>
      </c>
      <c r="G579" s="12">
        <v>378.81</v>
      </c>
      <c r="I579" s="12"/>
    </row>
    <row r="580" spans="6:9" ht="18.75" customHeight="1" x14ac:dyDescent="0.4">
      <c r="F580" s="1">
        <v>38991</v>
      </c>
      <c r="G580" s="12">
        <v>379.06</v>
      </c>
      <c r="I580" s="12"/>
    </row>
    <row r="581" spans="6:9" ht="18.75" customHeight="1" x14ac:dyDescent="0.4">
      <c r="F581" s="1">
        <v>39022</v>
      </c>
      <c r="G581" s="12">
        <v>380.14</v>
      </c>
      <c r="I581" s="12"/>
    </row>
    <row r="582" spans="6:9" ht="18.75" customHeight="1" x14ac:dyDescent="0.4">
      <c r="F582" s="1">
        <v>39052</v>
      </c>
      <c r="G582" s="12">
        <v>381.66</v>
      </c>
      <c r="I582" s="12"/>
    </row>
    <row r="583" spans="6:9" ht="18.75" customHeight="1" x14ac:dyDescent="0.4">
      <c r="F583" s="1">
        <v>39083</v>
      </c>
      <c r="G583" s="12">
        <v>382.58</v>
      </c>
      <c r="I583" s="12"/>
    </row>
    <row r="584" spans="6:9" ht="18.75" customHeight="1" x14ac:dyDescent="0.4">
      <c r="F584" s="1">
        <v>39114</v>
      </c>
      <c r="G584" s="12">
        <v>383.71</v>
      </c>
      <c r="I584" s="12"/>
    </row>
    <row r="585" spans="6:9" ht="18.75" customHeight="1" x14ac:dyDescent="0.4">
      <c r="F585" s="1">
        <v>39142</v>
      </c>
      <c r="G585" s="12">
        <v>384.34</v>
      </c>
      <c r="I585" s="12"/>
    </row>
    <row r="586" spans="6:9" ht="18.75" customHeight="1" x14ac:dyDescent="0.4">
      <c r="F586" s="1">
        <v>39173</v>
      </c>
      <c r="G586" s="12">
        <v>386.23</v>
      </c>
      <c r="I586" s="12"/>
    </row>
    <row r="587" spans="6:9" ht="18.75" customHeight="1" x14ac:dyDescent="0.4">
      <c r="F587" s="1">
        <v>39203</v>
      </c>
      <c r="G587" s="12">
        <v>386.41</v>
      </c>
      <c r="I587" s="12"/>
    </row>
    <row r="588" spans="6:9" ht="18.75" customHeight="1" x14ac:dyDescent="0.4">
      <c r="F588" s="1">
        <v>39234</v>
      </c>
      <c r="G588" s="12">
        <v>385.87</v>
      </c>
      <c r="I588" s="12"/>
    </row>
    <row r="589" spans="6:9" ht="18.75" customHeight="1" x14ac:dyDescent="0.4">
      <c r="F589" s="1">
        <v>39264</v>
      </c>
      <c r="G589" s="12">
        <v>384.44</v>
      </c>
      <c r="I589" s="12"/>
    </row>
    <row r="590" spans="6:9" ht="18.75" customHeight="1" x14ac:dyDescent="0.4">
      <c r="F590" s="1">
        <v>39295</v>
      </c>
      <c r="G590" s="12">
        <v>381.84</v>
      </c>
      <c r="I590" s="12"/>
    </row>
    <row r="591" spans="6:9" ht="18.75" customHeight="1" x14ac:dyDescent="0.4">
      <c r="F591" s="1">
        <v>39326</v>
      </c>
      <c r="G591" s="12">
        <v>380.86</v>
      </c>
      <c r="I591" s="12"/>
    </row>
    <row r="592" spans="6:9" ht="18.75" customHeight="1" x14ac:dyDescent="0.4">
      <c r="F592" s="1">
        <v>39356</v>
      </c>
      <c r="G592" s="12">
        <v>380.86</v>
      </c>
      <c r="I592" s="12"/>
    </row>
    <row r="593" spans="6:9" ht="18.75" customHeight="1" x14ac:dyDescent="0.4">
      <c r="F593" s="1">
        <v>39387</v>
      </c>
      <c r="G593" s="12">
        <v>382.36</v>
      </c>
      <c r="I593" s="12"/>
    </row>
    <row r="594" spans="6:9" ht="18.75" customHeight="1" x14ac:dyDescent="0.4">
      <c r="F594" s="1">
        <v>39417</v>
      </c>
      <c r="G594" s="12">
        <v>383.61</v>
      </c>
      <c r="I594" s="12"/>
    </row>
    <row r="595" spans="6:9" ht="18.75" customHeight="1" x14ac:dyDescent="0.4">
      <c r="F595" s="1">
        <v>39448</v>
      </c>
      <c r="G595" s="12">
        <v>385.07</v>
      </c>
      <c r="I595" s="12"/>
    </row>
    <row r="596" spans="6:9" ht="18.75" customHeight="1" x14ac:dyDescent="0.4">
      <c r="F596" s="1">
        <v>39479</v>
      </c>
      <c r="G596" s="12">
        <v>385.84</v>
      </c>
      <c r="I596" s="12"/>
    </row>
    <row r="597" spans="6:9" ht="18.75" customHeight="1" x14ac:dyDescent="0.4">
      <c r="F597" s="1">
        <v>39508</v>
      </c>
      <c r="G597" s="12">
        <v>385.83</v>
      </c>
      <c r="I597" s="12"/>
    </row>
    <row r="598" spans="6:9" ht="18.75" customHeight="1" x14ac:dyDescent="0.4">
      <c r="F598" s="1">
        <v>39539</v>
      </c>
      <c r="G598" s="12">
        <v>386.77</v>
      </c>
      <c r="I598" s="12"/>
    </row>
    <row r="599" spans="6:9" ht="18.75" customHeight="1" x14ac:dyDescent="0.4">
      <c r="F599" s="1">
        <v>39569</v>
      </c>
      <c r="G599" s="12">
        <v>388.51</v>
      </c>
      <c r="I599" s="12"/>
    </row>
    <row r="600" spans="6:9" ht="18.75" customHeight="1" x14ac:dyDescent="0.4">
      <c r="F600" s="1">
        <v>39600</v>
      </c>
      <c r="G600" s="12">
        <v>388.05</v>
      </c>
      <c r="I600" s="12"/>
    </row>
    <row r="601" spans="6:9" ht="18.75" customHeight="1" x14ac:dyDescent="0.4">
      <c r="F601" s="1">
        <v>39630</v>
      </c>
      <c r="G601" s="12">
        <v>386.25</v>
      </c>
      <c r="I601" s="12"/>
    </row>
    <row r="602" spans="6:9" ht="18.75" customHeight="1" x14ac:dyDescent="0.4">
      <c r="F602" s="1">
        <v>39661</v>
      </c>
      <c r="G602" s="12">
        <v>384.08</v>
      </c>
      <c r="I602" s="12"/>
    </row>
    <row r="603" spans="6:9" ht="18.75" customHeight="1" x14ac:dyDescent="0.4">
      <c r="F603" s="1">
        <v>39692</v>
      </c>
      <c r="G603" s="12">
        <v>383.09</v>
      </c>
      <c r="I603" s="12"/>
    </row>
    <row r="604" spans="6:9" ht="18.75" customHeight="1" x14ac:dyDescent="0.4">
      <c r="F604" s="1">
        <v>39722</v>
      </c>
      <c r="G604" s="12">
        <v>382.78</v>
      </c>
      <c r="I604" s="12"/>
    </row>
    <row r="605" spans="6:9" ht="18.75" customHeight="1" x14ac:dyDescent="0.4">
      <c r="F605" s="1">
        <v>39753</v>
      </c>
      <c r="G605" s="12">
        <v>384.01</v>
      </c>
      <c r="I605" s="12"/>
    </row>
    <row r="606" spans="6:9" ht="18.75" customHeight="1" x14ac:dyDescent="0.4">
      <c r="F606" s="1">
        <v>39783</v>
      </c>
      <c r="G606" s="12">
        <v>385.11</v>
      </c>
      <c r="I606" s="12"/>
    </row>
    <row r="607" spans="6:9" ht="18.75" customHeight="1" x14ac:dyDescent="0.4">
      <c r="F607" s="1">
        <v>39814</v>
      </c>
      <c r="G607" s="12">
        <v>386.65</v>
      </c>
      <c r="I607" s="12"/>
    </row>
    <row r="608" spans="6:9" ht="18.75" customHeight="1" x14ac:dyDescent="0.4">
      <c r="F608" s="1">
        <v>39845</v>
      </c>
      <c r="G608" s="12">
        <v>387.12</v>
      </c>
      <c r="I608" s="12"/>
    </row>
    <row r="609" spans="6:9" ht="18.75" customHeight="1" x14ac:dyDescent="0.4">
      <c r="F609" s="1">
        <v>39873</v>
      </c>
      <c r="G609" s="12">
        <v>388.52</v>
      </c>
      <c r="I609" s="12"/>
    </row>
    <row r="610" spans="6:9" ht="18.75" customHeight="1" x14ac:dyDescent="0.4">
      <c r="F610" s="1">
        <v>39904</v>
      </c>
      <c r="G610" s="12">
        <v>389.57</v>
      </c>
      <c r="I610" s="12"/>
    </row>
    <row r="611" spans="6:9" ht="18.75" customHeight="1" x14ac:dyDescent="0.4">
      <c r="F611" s="1">
        <v>39934</v>
      </c>
      <c r="G611" s="12">
        <v>390.17</v>
      </c>
      <c r="I611" s="12"/>
    </row>
    <row r="612" spans="6:9" ht="18.75" customHeight="1" x14ac:dyDescent="0.4">
      <c r="F612" s="1">
        <v>39965</v>
      </c>
      <c r="G612" s="12">
        <v>389.62</v>
      </c>
      <c r="I612" s="12"/>
    </row>
    <row r="613" spans="6:9" ht="18.75" customHeight="1" x14ac:dyDescent="0.4">
      <c r="F613" s="1">
        <v>39995</v>
      </c>
      <c r="G613" s="12">
        <v>388.07</v>
      </c>
      <c r="I613" s="12"/>
    </row>
    <row r="614" spans="6:9" ht="18.75" customHeight="1" x14ac:dyDescent="0.4">
      <c r="F614" s="1">
        <v>40026</v>
      </c>
      <c r="G614" s="12">
        <v>386.08</v>
      </c>
      <c r="I614" s="12"/>
    </row>
    <row r="615" spans="6:9" ht="18.75" customHeight="1" x14ac:dyDescent="0.4">
      <c r="F615" s="1">
        <v>40057</v>
      </c>
      <c r="G615" s="12">
        <v>384.65</v>
      </c>
      <c r="I615" s="12"/>
    </row>
    <row r="616" spans="6:9" ht="18.75" customHeight="1" x14ac:dyDescent="0.4">
      <c r="F616" s="1">
        <v>40087</v>
      </c>
      <c r="G616" s="12">
        <v>384.33</v>
      </c>
      <c r="I616" s="12"/>
    </row>
    <row r="617" spans="6:9" ht="18.75" customHeight="1" x14ac:dyDescent="0.4">
      <c r="F617" s="1">
        <v>40118</v>
      </c>
      <c r="G617" s="12">
        <v>386.05</v>
      </c>
      <c r="I617" s="12"/>
    </row>
    <row r="618" spans="6:9" ht="18.75" customHeight="1" x14ac:dyDescent="0.4">
      <c r="F618" s="1">
        <v>40148</v>
      </c>
      <c r="G618" s="12">
        <v>387.49</v>
      </c>
      <c r="I618" s="12"/>
    </row>
    <row r="619" spans="6:9" ht="18.75" customHeight="1" x14ac:dyDescent="0.4">
      <c r="F619" s="1">
        <v>40179</v>
      </c>
      <c r="G619" s="12">
        <v>388.55</v>
      </c>
      <c r="I619" s="12"/>
    </row>
    <row r="620" spans="6:9" ht="18.75" customHeight="1" x14ac:dyDescent="0.4">
      <c r="F620" s="1">
        <v>40210</v>
      </c>
      <c r="G620" s="12">
        <v>390.08</v>
      </c>
      <c r="I620" s="12"/>
    </row>
    <row r="621" spans="6:9" ht="18.75" customHeight="1" x14ac:dyDescent="0.4">
      <c r="F621" s="1">
        <v>40238</v>
      </c>
      <c r="G621" s="12">
        <v>391.01</v>
      </c>
      <c r="I621" s="12"/>
    </row>
    <row r="622" spans="6:9" ht="18.75" customHeight="1" x14ac:dyDescent="0.4">
      <c r="F622" s="1">
        <v>40269</v>
      </c>
      <c r="G622" s="12">
        <v>392.38</v>
      </c>
      <c r="I622" s="12"/>
    </row>
    <row r="623" spans="6:9" ht="18.75" customHeight="1" x14ac:dyDescent="0.4">
      <c r="F623" s="1">
        <v>40299</v>
      </c>
      <c r="G623" s="12">
        <v>393.22</v>
      </c>
      <c r="I623" s="12"/>
    </row>
    <row r="624" spans="6:9" ht="18.75" customHeight="1" x14ac:dyDescent="0.4">
      <c r="F624" s="1">
        <v>40330</v>
      </c>
      <c r="G624" s="12">
        <v>392.24</v>
      </c>
      <c r="I624" s="12"/>
    </row>
    <row r="625" spans="6:9" ht="18.75" customHeight="1" x14ac:dyDescent="0.4">
      <c r="F625" s="1">
        <v>40360</v>
      </c>
      <c r="G625" s="12">
        <v>390.33</v>
      </c>
      <c r="I625" s="12"/>
    </row>
    <row r="626" spans="6:9" ht="18.75" customHeight="1" x14ac:dyDescent="0.4">
      <c r="F626" s="1">
        <v>40391</v>
      </c>
      <c r="G626" s="12">
        <v>388.52</v>
      </c>
      <c r="I626" s="12"/>
    </row>
    <row r="627" spans="6:9" ht="18.75" customHeight="1" x14ac:dyDescent="0.4">
      <c r="F627" s="1">
        <v>40422</v>
      </c>
      <c r="G627" s="12">
        <v>386.84</v>
      </c>
      <c r="I627" s="12"/>
    </row>
    <row r="628" spans="6:9" ht="18.75" customHeight="1" x14ac:dyDescent="0.4">
      <c r="F628" s="1">
        <v>40452</v>
      </c>
      <c r="G628" s="12">
        <v>387.16</v>
      </c>
      <c r="I628" s="12"/>
    </row>
    <row r="629" spans="6:9" ht="18.75" customHeight="1" x14ac:dyDescent="0.4">
      <c r="F629" s="1">
        <v>40483</v>
      </c>
      <c r="G629" s="12">
        <v>388.67</v>
      </c>
      <c r="I629" s="12"/>
    </row>
    <row r="630" spans="6:9" ht="18.75" customHeight="1" x14ac:dyDescent="0.4">
      <c r="F630" s="1">
        <v>40513</v>
      </c>
      <c r="G630" s="12">
        <v>389.81</v>
      </c>
      <c r="I630" s="12"/>
    </row>
    <row r="631" spans="6:9" ht="18.75" customHeight="1" x14ac:dyDescent="0.4">
      <c r="F631" s="1">
        <v>40544</v>
      </c>
      <c r="G631" s="12">
        <v>391.3</v>
      </c>
      <c r="I631" s="12"/>
    </row>
    <row r="632" spans="6:9" ht="18.75" customHeight="1" x14ac:dyDescent="0.4">
      <c r="F632" s="1">
        <v>40575</v>
      </c>
      <c r="G632" s="12">
        <v>391.92</v>
      </c>
      <c r="I632" s="12"/>
    </row>
    <row r="633" spans="6:9" ht="18.75" customHeight="1" x14ac:dyDescent="0.4">
      <c r="F633" s="1">
        <v>40603</v>
      </c>
      <c r="G633" s="12">
        <v>392.45</v>
      </c>
      <c r="I633" s="12"/>
    </row>
    <row r="634" spans="6:9" ht="18.75" customHeight="1" x14ac:dyDescent="0.4">
      <c r="F634" s="1">
        <v>40634</v>
      </c>
      <c r="G634" s="12">
        <v>393.37</v>
      </c>
      <c r="I634" s="12"/>
    </row>
    <row r="635" spans="6:9" ht="18.75" customHeight="1" x14ac:dyDescent="0.4">
      <c r="F635" s="1">
        <v>40664</v>
      </c>
      <c r="G635" s="12">
        <v>394.28</v>
      </c>
      <c r="I635" s="12"/>
    </row>
    <row r="636" spans="6:9" ht="18.75" customHeight="1" x14ac:dyDescent="0.4">
      <c r="F636" s="1">
        <v>40695</v>
      </c>
      <c r="G636" s="12">
        <v>393.69</v>
      </c>
      <c r="I636" s="12"/>
    </row>
    <row r="637" spans="6:9" ht="18.75" customHeight="1" x14ac:dyDescent="0.4">
      <c r="F637" s="1">
        <v>40725</v>
      </c>
      <c r="G637" s="12">
        <v>392.59</v>
      </c>
      <c r="I637" s="12"/>
    </row>
    <row r="638" spans="6:9" ht="18.75" customHeight="1" x14ac:dyDescent="0.4">
      <c r="F638" s="1">
        <v>40756</v>
      </c>
      <c r="G638" s="12">
        <v>390.21</v>
      </c>
      <c r="I638" s="12"/>
    </row>
    <row r="639" spans="6:9" ht="18.75" customHeight="1" x14ac:dyDescent="0.4">
      <c r="F639" s="1">
        <v>40787</v>
      </c>
      <c r="G639" s="12">
        <v>389</v>
      </c>
      <c r="I639" s="12"/>
    </row>
    <row r="640" spans="6:9" ht="18.75" customHeight="1" x14ac:dyDescent="0.4">
      <c r="F640" s="1">
        <v>40817</v>
      </c>
      <c r="G640" s="12">
        <v>388.93</v>
      </c>
      <c r="I640" s="12"/>
    </row>
    <row r="641" spans="6:9" ht="18.75" customHeight="1" x14ac:dyDescent="0.4">
      <c r="F641" s="1">
        <v>40848</v>
      </c>
      <c r="G641" s="12">
        <v>390.24</v>
      </c>
      <c r="I641" s="12"/>
    </row>
    <row r="642" spans="6:9" ht="18.75" customHeight="1" x14ac:dyDescent="0.4">
      <c r="F642" s="1">
        <v>40878</v>
      </c>
      <c r="G642" s="12">
        <v>391.8</v>
      </c>
      <c r="I642" s="12"/>
    </row>
    <row r="643" spans="6:9" ht="18.75" customHeight="1" x14ac:dyDescent="0.4">
      <c r="F643" s="1">
        <v>40909</v>
      </c>
      <c r="G643" s="12">
        <v>393.07</v>
      </c>
      <c r="I643" s="12"/>
    </row>
    <row r="644" spans="6:9" ht="18.75" customHeight="1" x14ac:dyDescent="0.4">
      <c r="F644" s="1">
        <v>40940</v>
      </c>
      <c r="G644" s="12">
        <v>393.35</v>
      </c>
      <c r="I644" s="12"/>
    </row>
    <row r="645" spans="6:9" ht="18.75" customHeight="1" x14ac:dyDescent="0.4">
      <c r="F645" s="1">
        <v>40969</v>
      </c>
      <c r="G645" s="12">
        <v>394.36</v>
      </c>
      <c r="I645" s="12"/>
    </row>
    <row r="646" spans="6:9" ht="18.75" customHeight="1" x14ac:dyDescent="0.4">
      <c r="F646" s="1">
        <v>41000</v>
      </c>
      <c r="G646" s="12">
        <v>396.43</v>
      </c>
      <c r="I646" s="12"/>
    </row>
    <row r="647" spans="6:9" ht="18.75" customHeight="1" x14ac:dyDescent="0.4">
      <c r="F647" s="1">
        <v>41030</v>
      </c>
      <c r="G647" s="12">
        <v>396.87</v>
      </c>
      <c r="I647" s="12"/>
    </row>
    <row r="648" spans="6:9" ht="18.75" customHeight="1" x14ac:dyDescent="0.4">
      <c r="F648" s="1">
        <v>41061</v>
      </c>
      <c r="G648" s="12">
        <v>395.88</v>
      </c>
      <c r="I648" s="12"/>
    </row>
    <row r="649" spans="6:9" ht="18.75" customHeight="1" x14ac:dyDescent="0.4">
      <c r="F649" s="1">
        <v>41091</v>
      </c>
      <c r="G649" s="12">
        <v>394.52</v>
      </c>
      <c r="I649" s="12"/>
    </row>
    <row r="650" spans="6:9" ht="18.75" customHeight="1" x14ac:dyDescent="0.4">
      <c r="F650" s="1">
        <v>41122</v>
      </c>
      <c r="G650" s="12">
        <v>392.54</v>
      </c>
      <c r="I650" s="12"/>
    </row>
    <row r="651" spans="6:9" ht="18.75" customHeight="1" x14ac:dyDescent="0.4">
      <c r="F651" s="1">
        <v>41153</v>
      </c>
      <c r="G651" s="12">
        <v>391.13</v>
      </c>
      <c r="I651" s="12"/>
    </row>
    <row r="652" spans="6:9" ht="18.75" customHeight="1" x14ac:dyDescent="0.4">
      <c r="F652" s="1">
        <v>41183</v>
      </c>
      <c r="G652" s="12">
        <v>391.01</v>
      </c>
      <c r="I652" s="12"/>
    </row>
    <row r="653" spans="6:9" ht="18.75" customHeight="1" x14ac:dyDescent="0.4">
      <c r="F653" s="1">
        <v>41214</v>
      </c>
      <c r="G653" s="12">
        <v>392.95</v>
      </c>
      <c r="I653" s="12"/>
    </row>
    <row r="654" spans="6:9" ht="18.75" customHeight="1" x14ac:dyDescent="0.4">
      <c r="F654" s="1">
        <v>41244</v>
      </c>
      <c r="G654" s="12">
        <v>394.33</v>
      </c>
      <c r="I654" s="12"/>
    </row>
    <row r="655" spans="6:9" ht="18.75" customHeight="1" x14ac:dyDescent="0.4">
      <c r="F655" s="1">
        <v>41275</v>
      </c>
      <c r="G655" s="12">
        <v>395.61</v>
      </c>
      <c r="I655" s="12"/>
    </row>
    <row r="656" spans="6:9" ht="18.75" customHeight="1" x14ac:dyDescent="0.4">
      <c r="F656" s="1">
        <v>41306</v>
      </c>
      <c r="G656" s="12">
        <v>396.85</v>
      </c>
      <c r="I656" s="12"/>
    </row>
    <row r="657" spans="6:9" ht="18.75" customHeight="1" x14ac:dyDescent="0.4">
      <c r="F657" s="1">
        <v>41334</v>
      </c>
      <c r="G657" s="12">
        <v>397.26</v>
      </c>
      <c r="I657" s="12"/>
    </row>
    <row r="658" spans="6:9" ht="18.75" customHeight="1" x14ac:dyDescent="0.4">
      <c r="F658" s="1">
        <v>41365</v>
      </c>
      <c r="G658" s="12">
        <v>398.35</v>
      </c>
      <c r="I658" s="12"/>
    </row>
    <row r="659" spans="6:9" ht="18.75" customHeight="1" x14ac:dyDescent="0.4">
      <c r="F659" s="1">
        <v>41395</v>
      </c>
      <c r="G659" s="12">
        <v>399.98</v>
      </c>
      <c r="I659" s="12"/>
    </row>
    <row r="660" spans="6:9" ht="18.75" customHeight="1" x14ac:dyDescent="0.4">
      <c r="F660" s="1">
        <v>41426</v>
      </c>
      <c r="G660" s="12">
        <v>398.87</v>
      </c>
      <c r="I660" s="12"/>
    </row>
    <row r="661" spans="6:9" ht="18.75" customHeight="1" x14ac:dyDescent="0.4">
      <c r="F661" s="1">
        <v>41456</v>
      </c>
      <c r="G661" s="12">
        <v>397.37</v>
      </c>
      <c r="I661" s="12"/>
    </row>
    <row r="662" spans="6:9" ht="18.75" customHeight="1" x14ac:dyDescent="0.4">
      <c r="F662" s="1">
        <v>41487</v>
      </c>
      <c r="G662" s="12">
        <v>395.41</v>
      </c>
      <c r="I662" s="12"/>
    </row>
    <row r="663" spans="6:9" ht="18.75" customHeight="1" x14ac:dyDescent="0.4">
      <c r="F663" s="1">
        <v>41518</v>
      </c>
      <c r="G663" s="12">
        <v>393.39</v>
      </c>
      <c r="I663" s="12"/>
    </row>
    <row r="664" spans="6:9" ht="18.75" customHeight="1" x14ac:dyDescent="0.4">
      <c r="F664" s="1">
        <v>41548</v>
      </c>
      <c r="G664" s="12">
        <v>393.7</v>
      </c>
      <c r="I664" s="12"/>
    </row>
    <row r="665" spans="6:9" ht="18.75" customHeight="1" x14ac:dyDescent="0.4">
      <c r="F665" s="1">
        <v>41579</v>
      </c>
      <c r="G665" s="12">
        <v>395.19</v>
      </c>
      <c r="I665" s="12"/>
    </row>
    <row r="666" spans="6:9" ht="18.75" customHeight="1" x14ac:dyDescent="0.4">
      <c r="F666" s="1">
        <v>41609</v>
      </c>
      <c r="G666" s="12">
        <v>396.82</v>
      </c>
      <c r="I666" s="12"/>
    </row>
    <row r="667" spans="6:9" ht="18.75" customHeight="1" x14ac:dyDescent="0.4">
      <c r="F667" s="1">
        <v>41640</v>
      </c>
      <c r="G667" s="12">
        <v>397.93</v>
      </c>
      <c r="I667" s="12"/>
    </row>
    <row r="668" spans="6:9" ht="18.75" customHeight="1" x14ac:dyDescent="0.4">
      <c r="F668" s="1">
        <v>41671</v>
      </c>
      <c r="G668" s="12">
        <v>398.1</v>
      </c>
      <c r="I668" s="12"/>
    </row>
    <row r="669" spans="6:9" ht="18.75" customHeight="1" x14ac:dyDescent="0.4">
      <c r="F669" s="1">
        <v>41699</v>
      </c>
      <c r="G669" s="12">
        <v>399.47</v>
      </c>
      <c r="I669" s="12"/>
    </row>
    <row r="670" spans="6:9" ht="18.75" customHeight="1" x14ac:dyDescent="0.4">
      <c r="F670" s="1">
        <v>41730</v>
      </c>
      <c r="G670" s="12">
        <v>401.33</v>
      </c>
      <c r="I670" s="12"/>
    </row>
    <row r="671" spans="6:9" ht="18.75" customHeight="1" x14ac:dyDescent="0.4">
      <c r="F671" s="1">
        <v>41760</v>
      </c>
      <c r="G671" s="12">
        <v>401.88</v>
      </c>
      <c r="I671" s="12"/>
    </row>
    <row r="672" spans="6:9" ht="18.75" customHeight="1" x14ac:dyDescent="0.4">
      <c r="F672" s="1">
        <v>41791</v>
      </c>
      <c r="G672" s="12">
        <v>401.31</v>
      </c>
      <c r="I672" s="12"/>
    </row>
    <row r="673" spans="6:9" ht="18.75" customHeight="1" x14ac:dyDescent="0.4">
      <c r="F673" s="1">
        <v>41821</v>
      </c>
      <c r="G673" s="12">
        <v>399.07</v>
      </c>
      <c r="I673" s="12"/>
    </row>
    <row r="674" spans="6:9" ht="18.75" customHeight="1" x14ac:dyDescent="0.4">
      <c r="F674" s="1">
        <v>41852</v>
      </c>
      <c r="G674" s="12">
        <v>397.21</v>
      </c>
      <c r="I674" s="12"/>
    </row>
    <row r="675" spans="6:9" ht="18.75" customHeight="1" x14ac:dyDescent="0.4">
      <c r="F675" s="1">
        <v>41883</v>
      </c>
      <c r="G675" s="12">
        <v>395.4</v>
      </c>
      <c r="I675" s="12"/>
    </row>
    <row r="676" spans="6:9" ht="18.75" customHeight="1" x14ac:dyDescent="0.4">
      <c r="F676" s="1">
        <v>41913</v>
      </c>
      <c r="G676" s="12">
        <v>395.65</v>
      </c>
      <c r="I676" s="12"/>
    </row>
    <row r="677" spans="6:9" ht="18.75" customHeight="1" x14ac:dyDescent="0.4">
      <c r="F677" s="1">
        <v>41944</v>
      </c>
      <c r="G677" s="12">
        <v>397.23</v>
      </c>
      <c r="I677" s="12"/>
    </row>
    <row r="678" spans="6:9" ht="18.75" customHeight="1" x14ac:dyDescent="0.4">
      <c r="F678" s="1">
        <v>41974</v>
      </c>
      <c r="G678" s="12">
        <v>398.79</v>
      </c>
      <c r="I678" s="12"/>
    </row>
    <row r="679" spans="6:9" ht="18.75" customHeight="1" x14ac:dyDescent="0.4">
      <c r="F679" s="1">
        <v>42005</v>
      </c>
      <c r="G679" s="12">
        <v>399.85</v>
      </c>
      <c r="I679" s="12"/>
    </row>
    <row r="680" spans="6:9" ht="18.75" customHeight="1" x14ac:dyDescent="0.4">
      <c r="F680" s="1">
        <v>42036</v>
      </c>
      <c r="G680" s="12">
        <v>400.31</v>
      </c>
      <c r="I680" s="12"/>
    </row>
    <row r="681" spans="6:9" ht="18.75" customHeight="1" x14ac:dyDescent="0.4">
      <c r="F681" s="1">
        <v>42064</v>
      </c>
      <c r="G681" s="12">
        <v>401.51</v>
      </c>
      <c r="I681" s="12"/>
    </row>
    <row r="682" spans="6:9" ht="18.75" customHeight="1" x14ac:dyDescent="0.4">
      <c r="F682" s="1">
        <v>42095</v>
      </c>
      <c r="G682" s="12">
        <v>403.45</v>
      </c>
      <c r="I682" s="12"/>
    </row>
    <row r="683" spans="6:9" ht="18.75" customHeight="1" x14ac:dyDescent="0.4">
      <c r="F683" s="1">
        <v>42125</v>
      </c>
      <c r="G683" s="12">
        <v>404.1</v>
      </c>
      <c r="I683" s="12"/>
    </row>
    <row r="684" spans="6:9" ht="18.75" customHeight="1" x14ac:dyDescent="0.4">
      <c r="F684" s="1">
        <v>42156</v>
      </c>
      <c r="G684" s="12">
        <v>402.88</v>
      </c>
      <c r="I684" s="12"/>
    </row>
    <row r="685" spans="6:9" ht="18.75" customHeight="1" x14ac:dyDescent="0.4">
      <c r="F685" s="1">
        <v>42186</v>
      </c>
      <c r="G685" s="12">
        <v>401.61</v>
      </c>
      <c r="I685" s="12"/>
    </row>
    <row r="686" spans="6:9" ht="18.75" customHeight="1" x14ac:dyDescent="0.4">
      <c r="F686" s="1">
        <v>42217</v>
      </c>
      <c r="G686" s="12">
        <v>399</v>
      </c>
      <c r="I686" s="12"/>
    </row>
    <row r="687" spans="6:9" ht="18.75" customHeight="1" x14ac:dyDescent="0.4">
      <c r="F687" s="1">
        <v>42248</v>
      </c>
      <c r="G687" s="12">
        <v>397.5</v>
      </c>
      <c r="I687" s="12"/>
    </row>
    <row r="688" spans="6:9" ht="18.75" customHeight="1" x14ac:dyDescent="0.4">
      <c r="F688" s="1">
        <v>42278</v>
      </c>
      <c r="G688" s="12">
        <v>398.28</v>
      </c>
      <c r="I688" s="12"/>
    </row>
    <row r="689" spans="6:9" ht="18.75" customHeight="1" x14ac:dyDescent="0.4">
      <c r="F689" s="1">
        <v>42309</v>
      </c>
      <c r="G689" s="12">
        <v>400.24</v>
      </c>
      <c r="I689" s="12"/>
    </row>
    <row r="690" spans="6:9" ht="18.75" customHeight="1" x14ac:dyDescent="0.4">
      <c r="F690" s="1">
        <v>42339</v>
      </c>
      <c r="G690" s="12">
        <v>401.89</v>
      </c>
      <c r="I690" s="12"/>
    </row>
    <row r="691" spans="6:9" ht="18.75" customHeight="1" x14ac:dyDescent="0.4">
      <c r="F691" s="1">
        <v>42370</v>
      </c>
      <c r="G691" s="12">
        <v>402.65</v>
      </c>
      <c r="I691" s="12"/>
    </row>
    <row r="692" spans="6:9" ht="18.75" customHeight="1" x14ac:dyDescent="0.4">
      <c r="F692" s="1">
        <v>42401</v>
      </c>
      <c r="G692" s="12">
        <v>404.16</v>
      </c>
      <c r="I692" s="12"/>
    </row>
    <row r="693" spans="6:9" ht="18.75" customHeight="1" x14ac:dyDescent="0.4">
      <c r="F693" s="1">
        <v>42430</v>
      </c>
      <c r="G693" s="12">
        <v>404.85</v>
      </c>
      <c r="I693" s="12"/>
    </row>
    <row r="694" spans="6:9" ht="18.75" customHeight="1" x14ac:dyDescent="0.4">
      <c r="F694" s="1">
        <v>42461</v>
      </c>
      <c r="G694" s="12">
        <v>407.57</v>
      </c>
      <c r="I694" s="12"/>
    </row>
    <row r="695" spans="6:9" ht="18.75" customHeight="1" x14ac:dyDescent="0.4">
      <c r="F695" s="1">
        <v>42491</v>
      </c>
      <c r="G695" s="12">
        <v>407.66</v>
      </c>
      <c r="I695" s="12"/>
    </row>
    <row r="696" spans="6:9" ht="18.75" customHeight="1" x14ac:dyDescent="0.4">
      <c r="F696" s="1">
        <v>42522</v>
      </c>
      <c r="G696" s="12">
        <v>407</v>
      </c>
      <c r="I696" s="12"/>
    </row>
    <row r="697" spans="6:9" ht="18.75" customHeight="1" x14ac:dyDescent="0.4">
      <c r="F697" s="1">
        <v>42552</v>
      </c>
      <c r="G697" s="12">
        <v>404.5</v>
      </c>
      <c r="I697" s="12"/>
    </row>
    <row r="698" spans="6:9" ht="18.75" customHeight="1" x14ac:dyDescent="0.4">
      <c r="F698" s="1">
        <v>42583</v>
      </c>
      <c r="G698" s="12">
        <v>402.24</v>
      </c>
      <c r="I698" s="12"/>
    </row>
    <row r="699" spans="6:9" ht="18.75" customHeight="1" x14ac:dyDescent="0.4">
      <c r="F699" s="1">
        <v>42614</v>
      </c>
      <c r="G699" s="12">
        <v>401.01</v>
      </c>
      <c r="I699" s="12"/>
    </row>
    <row r="700" spans="6:9" ht="18.75" customHeight="1" x14ac:dyDescent="0.4">
      <c r="F700" s="1">
        <v>42644</v>
      </c>
      <c r="G700" s="12">
        <v>401.5</v>
      </c>
      <c r="I700" s="12"/>
    </row>
    <row r="701" spans="6:9" ht="18.75" customHeight="1" x14ac:dyDescent="0.4">
      <c r="F701" s="1">
        <v>42675</v>
      </c>
      <c r="G701" s="12">
        <v>403.64</v>
      </c>
      <c r="I701" s="12"/>
    </row>
    <row r="702" spans="6:9" ht="18.75" customHeight="1" x14ac:dyDescent="0.4">
      <c r="F702" s="1">
        <v>42705</v>
      </c>
      <c r="G702" s="12">
        <v>404.55</v>
      </c>
      <c r="I702" s="12"/>
    </row>
    <row r="703" spans="6:9" ht="18.75" customHeight="1" x14ac:dyDescent="0.4">
      <c r="F703" s="1">
        <v>42736</v>
      </c>
      <c r="G703" s="12">
        <v>406.07</v>
      </c>
      <c r="I703" s="12"/>
    </row>
    <row r="704" spans="6:9" ht="18.75" customHeight="1" x14ac:dyDescent="0.4">
      <c r="F704" s="1">
        <v>42767</v>
      </c>
      <c r="G704" s="12">
        <v>406.64</v>
      </c>
      <c r="I704" s="12"/>
    </row>
    <row r="705" spans="6:9" ht="18.75" customHeight="1" x14ac:dyDescent="0.4">
      <c r="F705" s="1">
        <v>42795</v>
      </c>
      <c r="G705" s="12">
        <v>407.05</v>
      </c>
      <c r="I705" s="12"/>
    </row>
    <row r="706" spans="6:9" ht="18.75" customHeight="1" x14ac:dyDescent="0.4">
      <c r="F706" s="1">
        <v>42826</v>
      </c>
      <c r="G706" s="12">
        <v>408.95</v>
      </c>
      <c r="I706" s="12"/>
    </row>
    <row r="707" spans="6:9" ht="18.75" customHeight="1" x14ac:dyDescent="0.4">
      <c r="F707" s="1">
        <v>42856</v>
      </c>
      <c r="G707" s="12">
        <v>409.91</v>
      </c>
      <c r="I707" s="12"/>
    </row>
    <row r="708" spans="6:9" ht="18.75" customHeight="1" x14ac:dyDescent="0.4">
      <c r="F708" s="1">
        <v>42887</v>
      </c>
      <c r="G708" s="12">
        <v>409.12</v>
      </c>
      <c r="I708" s="12"/>
    </row>
    <row r="709" spans="6:9" ht="18.75" customHeight="1" x14ac:dyDescent="0.4">
      <c r="F709" s="1">
        <v>42917</v>
      </c>
      <c r="G709" s="12">
        <v>407.2</v>
      </c>
      <c r="I709" s="12"/>
    </row>
    <row r="710" spans="6:9" ht="18.75" customHeight="1" x14ac:dyDescent="0.4">
      <c r="F710" s="1">
        <v>42948</v>
      </c>
      <c r="G710" s="12">
        <v>405.24</v>
      </c>
      <c r="I710" s="12"/>
    </row>
    <row r="711" spans="6:9" ht="18.75" customHeight="1" x14ac:dyDescent="0.4">
      <c r="F711" s="1">
        <v>42979</v>
      </c>
      <c r="G711" s="12">
        <v>403.27</v>
      </c>
      <c r="I711" s="12"/>
    </row>
    <row r="712" spans="6:9" ht="18.75" customHeight="1" x14ac:dyDescent="0.4">
      <c r="F712" s="1">
        <v>43009</v>
      </c>
      <c r="G712" s="12">
        <v>403.64</v>
      </c>
      <c r="I712" s="12"/>
    </row>
    <row r="713" spans="6:9" ht="18.75" customHeight="1" x14ac:dyDescent="0.4">
      <c r="F713" s="1">
        <v>43040</v>
      </c>
      <c r="G713" s="12">
        <v>405.17</v>
      </c>
      <c r="I713" s="12"/>
    </row>
    <row r="714" spans="6:9" ht="18.75" customHeight="1" x14ac:dyDescent="0.4">
      <c r="F714" s="1">
        <v>43070</v>
      </c>
      <c r="G714" s="12">
        <v>406.75</v>
      </c>
      <c r="I714" s="12"/>
    </row>
    <row r="715" spans="6:9" ht="18.75" customHeight="1" x14ac:dyDescent="0.4">
      <c r="F715" s="1">
        <v>43101</v>
      </c>
      <c r="G715" s="12">
        <v>408.05</v>
      </c>
      <c r="I715" s="12"/>
    </row>
    <row r="716" spans="6:9" ht="18.75" customHeight="1" x14ac:dyDescent="0.4">
      <c r="F716" s="1">
        <v>43132</v>
      </c>
      <c r="G716" s="12">
        <v>408.34</v>
      </c>
      <c r="I716" s="12"/>
    </row>
    <row r="717" spans="6:9" ht="18.75" customHeight="1" x14ac:dyDescent="0.4">
      <c r="F717" s="1">
        <v>43160</v>
      </c>
      <c r="G717" s="12">
        <v>409.25</v>
      </c>
      <c r="I717" s="12"/>
    </row>
    <row r="718" spans="6:9" ht="18.75" customHeight="1" x14ac:dyDescent="0.4">
      <c r="F718" s="1">
        <v>43191</v>
      </c>
      <c r="G718" s="12">
        <v>410.3</v>
      </c>
      <c r="I718" s="12"/>
    </row>
    <row r="719" spans="6:9" ht="18.75" customHeight="1" x14ac:dyDescent="0.4">
      <c r="F719" s="1">
        <v>43221</v>
      </c>
      <c r="G719" s="12">
        <v>411.3</v>
      </c>
      <c r="I719" s="12"/>
    </row>
    <row r="720" spans="6:9" ht="18.75" customHeight="1" x14ac:dyDescent="0.4">
      <c r="F720" s="1">
        <v>43252</v>
      </c>
      <c r="G720" s="12">
        <v>410.88</v>
      </c>
      <c r="I720" s="12"/>
    </row>
    <row r="721" spans="6:9" ht="18.75" customHeight="1" x14ac:dyDescent="0.4">
      <c r="F721" s="1">
        <v>43282</v>
      </c>
      <c r="G721" s="12">
        <v>408.9</v>
      </c>
      <c r="I721" s="12"/>
    </row>
    <row r="722" spans="6:9" ht="18.75" customHeight="1" x14ac:dyDescent="0.4">
      <c r="F722" s="1">
        <v>43313</v>
      </c>
      <c r="G722" s="12">
        <v>407.1</v>
      </c>
      <c r="I722" s="12"/>
    </row>
    <row r="723" spans="6:9" ht="18.75" customHeight="1" x14ac:dyDescent="0.4">
      <c r="F723" s="1">
        <v>43344</v>
      </c>
      <c r="G723" s="12">
        <v>405.59</v>
      </c>
      <c r="I723" s="12"/>
    </row>
    <row r="724" spans="6:9" ht="18.75" customHeight="1" x14ac:dyDescent="0.4">
      <c r="F724" s="1">
        <v>43374</v>
      </c>
      <c r="G724" s="12">
        <v>405.99</v>
      </c>
      <c r="I724" s="12"/>
    </row>
    <row r="725" spans="6:9" ht="18.75" customHeight="1" x14ac:dyDescent="0.4">
      <c r="F725" s="1">
        <v>43405</v>
      </c>
      <c r="G725" s="12">
        <v>408.12</v>
      </c>
      <c r="I725" s="12"/>
    </row>
    <row r="726" spans="6:9" ht="18.75" customHeight="1" x14ac:dyDescent="0.4">
      <c r="F726" s="1">
        <v>43435</v>
      </c>
      <c r="G726" s="12">
        <v>409.23</v>
      </c>
      <c r="I726" s="12"/>
    </row>
    <row r="727" spans="6:9" ht="18.75" customHeight="1" x14ac:dyDescent="0.4">
      <c r="F727" s="1">
        <v>43466</v>
      </c>
      <c r="G727" s="12">
        <v>410.92</v>
      </c>
      <c r="I727" s="12"/>
    </row>
    <row r="728" spans="6:9" ht="18.75" customHeight="1" x14ac:dyDescent="0.4">
      <c r="F728" s="1">
        <v>43497</v>
      </c>
      <c r="G728" s="12">
        <v>411.66</v>
      </c>
      <c r="I728" s="12"/>
    </row>
    <row r="729" spans="6:9" ht="18.75" customHeight="1" x14ac:dyDescent="0.4">
      <c r="F729" s="1">
        <v>43525</v>
      </c>
      <c r="G729" s="12">
        <v>412</v>
      </c>
      <c r="I729" s="12"/>
    </row>
    <row r="730" spans="6:9" ht="18.75" customHeight="1" x14ac:dyDescent="0.4">
      <c r="F730" s="1">
        <v>43556</v>
      </c>
      <c r="G730" s="12">
        <v>413.52</v>
      </c>
      <c r="I730" s="12"/>
    </row>
    <row r="731" spans="6:9" ht="18.75" customHeight="1" x14ac:dyDescent="0.4">
      <c r="F731" s="1">
        <v>43586</v>
      </c>
      <c r="G731" s="12">
        <v>414.83</v>
      </c>
      <c r="I731" s="12"/>
    </row>
    <row r="732" spans="6:9" ht="18.75" customHeight="1" x14ac:dyDescent="0.4">
      <c r="F732" s="1">
        <v>43617</v>
      </c>
      <c r="G732" s="12">
        <v>413.96</v>
      </c>
      <c r="I732" s="12"/>
    </row>
    <row r="733" spans="6:9" ht="18.75" customHeight="1" x14ac:dyDescent="0.4">
      <c r="F733" s="1">
        <v>43647</v>
      </c>
      <c r="G733" s="12">
        <v>411.85</v>
      </c>
      <c r="I733" s="12"/>
    </row>
    <row r="734" spans="6:9" ht="18.75" customHeight="1" x14ac:dyDescent="0.4">
      <c r="F734" s="1">
        <v>43678</v>
      </c>
      <c r="G734" s="12">
        <v>410.08</v>
      </c>
      <c r="I734" s="12"/>
    </row>
    <row r="735" spans="6:9" ht="18.75" customHeight="1" x14ac:dyDescent="0.4">
      <c r="F735" s="1">
        <v>43709</v>
      </c>
      <c r="G735" s="12">
        <v>408.55</v>
      </c>
      <c r="I735" s="12"/>
    </row>
    <row r="736" spans="6:9" ht="18.75" customHeight="1" x14ac:dyDescent="0.4">
      <c r="F736" s="1">
        <v>43739</v>
      </c>
      <c r="G736" s="12">
        <v>408.43</v>
      </c>
      <c r="I736" s="12"/>
    </row>
    <row r="737" spans="6:9" ht="18.75" customHeight="1" x14ac:dyDescent="0.4">
      <c r="F737" s="1">
        <v>43770</v>
      </c>
      <c r="G737" s="12">
        <v>410.29</v>
      </c>
      <c r="I737" s="12"/>
    </row>
    <row r="738" spans="6:9" ht="18.75" customHeight="1" x14ac:dyDescent="0.4">
      <c r="F738" s="1">
        <v>43800</v>
      </c>
      <c r="G738" s="12">
        <v>411.85</v>
      </c>
      <c r="I738" s="12"/>
    </row>
    <row r="739" spans="6:9" ht="18.75" customHeight="1" x14ac:dyDescent="0.4">
      <c r="F739" s="1">
        <v>43831</v>
      </c>
      <c r="G739" s="12">
        <v>413.37</v>
      </c>
      <c r="I739" s="12"/>
    </row>
    <row r="740" spans="6:9" ht="18.75" customHeight="1" x14ac:dyDescent="0.4">
      <c r="F740" s="1">
        <v>43862</v>
      </c>
      <c r="G740" s="12">
        <v>414.09</v>
      </c>
      <c r="I740" s="12"/>
    </row>
    <row r="741" spans="6:9" ht="18.75" customHeight="1" x14ac:dyDescent="0.4">
      <c r="F741" s="1">
        <v>43891</v>
      </c>
      <c r="G741" s="12">
        <v>414.51</v>
      </c>
      <c r="I741" s="12"/>
    </row>
    <row r="742" spans="6:9" ht="18.75" customHeight="1" x14ac:dyDescent="0.4">
      <c r="F742" s="1">
        <v>43922</v>
      </c>
      <c r="G742" s="12">
        <v>416.18</v>
      </c>
      <c r="I742" s="12"/>
    </row>
    <row r="743" spans="6:9" ht="18.75" customHeight="1" x14ac:dyDescent="0.4">
      <c r="F743" s="1">
        <v>43952</v>
      </c>
    </row>
    <row r="744" spans="6:9" ht="18.75" customHeight="1" x14ac:dyDescent="0.4">
      <c r="F744" s="1">
        <v>43983</v>
      </c>
    </row>
    <row r="745" spans="6:9" ht="18.75" customHeight="1" x14ac:dyDescent="0.4">
      <c r="F745" s="1">
        <v>44013</v>
      </c>
    </row>
    <row r="746" spans="6:9" ht="18.75" customHeight="1" x14ac:dyDescent="0.4">
      <c r="F746" s="1">
        <v>44044</v>
      </c>
    </row>
    <row r="747" spans="6:9" ht="18.75" customHeight="1" x14ac:dyDescent="0.4">
      <c r="F747" s="1">
        <v>44075</v>
      </c>
    </row>
    <row r="748" spans="6:9" ht="18.75" customHeight="1" x14ac:dyDescent="0.4">
      <c r="F748" s="1">
        <v>44105</v>
      </c>
    </row>
    <row r="749" spans="6:9" ht="18.75" customHeight="1" x14ac:dyDescent="0.4">
      <c r="F749" s="1">
        <v>44136</v>
      </c>
    </row>
    <row r="750" spans="6:9" ht="18.75" customHeight="1" x14ac:dyDescent="0.4">
      <c r="F750" s="1">
        <v>44166</v>
      </c>
    </row>
    <row r="751" spans="6:9" ht="18.75" customHeight="1" x14ac:dyDescent="0.4">
      <c r="F751" s="1">
        <v>44197</v>
      </c>
    </row>
    <row r="752" spans="6:9" ht="18.75" customHeight="1" x14ac:dyDescent="0.4">
      <c r="F752" s="1">
        <v>44228</v>
      </c>
    </row>
    <row r="753" spans="6:6" ht="18.75" customHeight="1" x14ac:dyDescent="0.4">
      <c r="F753" s="1">
        <v>44256</v>
      </c>
    </row>
    <row r="754" spans="6:6" ht="18.75" customHeight="1" x14ac:dyDescent="0.4">
      <c r="F754" s="1">
        <v>44287</v>
      </c>
    </row>
    <row r="755" spans="6:6" ht="18.75" customHeight="1" x14ac:dyDescent="0.4">
      <c r="F755" s="1">
        <v>44317</v>
      </c>
    </row>
    <row r="756" spans="6:6" ht="18.75" customHeight="1" x14ac:dyDescent="0.4">
      <c r="F756" s="1">
        <v>44348</v>
      </c>
    </row>
    <row r="757" spans="6:6" ht="18.75" customHeight="1" x14ac:dyDescent="0.4">
      <c r="F757" s="1">
        <v>44378</v>
      </c>
    </row>
    <row r="758" spans="6:6" ht="18.75" customHeight="1" x14ac:dyDescent="0.4">
      <c r="F758" s="1">
        <v>44409</v>
      </c>
    </row>
    <row r="759" spans="6:6" ht="18.75" customHeight="1" x14ac:dyDescent="0.4">
      <c r="F759" s="1">
        <v>44440</v>
      </c>
    </row>
    <row r="760" spans="6:6" ht="18.75" customHeight="1" x14ac:dyDescent="0.4">
      <c r="F760" s="1">
        <v>44470</v>
      </c>
    </row>
    <row r="761" spans="6:6" ht="18.75" customHeight="1" x14ac:dyDescent="0.4">
      <c r="F761" s="1">
        <v>44501</v>
      </c>
    </row>
    <row r="762" spans="6:6" ht="18.75" customHeight="1" x14ac:dyDescent="0.4">
      <c r="F762" s="1">
        <v>44531</v>
      </c>
    </row>
    <row r="763" spans="6:6" ht="18.75" customHeight="1" x14ac:dyDescent="0.4">
      <c r="F763" s="1">
        <v>44562</v>
      </c>
    </row>
    <row r="764" spans="6:6" ht="18.75" customHeight="1" x14ac:dyDescent="0.4">
      <c r="F764" s="1">
        <v>44593</v>
      </c>
    </row>
    <row r="765" spans="6:6" ht="18.75" customHeight="1" x14ac:dyDescent="0.4">
      <c r="F765" s="1">
        <v>44621</v>
      </c>
    </row>
    <row r="766" spans="6:6" ht="18.75" customHeight="1" x14ac:dyDescent="0.4">
      <c r="F766" s="1">
        <v>44652</v>
      </c>
    </row>
    <row r="767" spans="6:6" ht="18.75" customHeight="1" x14ac:dyDescent="0.4">
      <c r="F767" s="1">
        <v>44682</v>
      </c>
    </row>
    <row r="768" spans="6:6" ht="18.75" customHeight="1" x14ac:dyDescent="0.4">
      <c r="F768" s="1">
        <v>44713</v>
      </c>
    </row>
    <row r="769" spans="6:6" ht="18.75" customHeight="1" x14ac:dyDescent="0.4">
      <c r="F769" s="1">
        <v>44743</v>
      </c>
    </row>
    <row r="770" spans="6:6" ht="18.75" customHeight="1" x14ac:dyDescent="0.4">
      <c r="F770" s="1">
        <v>44774</v>
      </c>
    </row>
    <row r="771" spans="6:6" ht="18.75" customHeight="1" x14ac:dyDescent="0.4">
      <c r="F771" s="1">
        <v>44805</v>
      </c>
    </row>
    <row r="772" spans="6:6" ht="18.75" customHeight="1" x14ac:dyDescent="0.4">
      <c r="F772" s="1">
        <v>44835</v>
      </c>
    </row>
    <row r="773" spans="6:6" ht="18.75" customHeight="1" x14ac:dyDescent="0.4">
      <c r="F773" s="1">
        <v>44866</v>
      </c>
    </row>
    <row r="774" spans="6:6" ht="18.75" customHeight="1" x14ac:dyDescent="0.4">
      <c r="F774" s="1">
        <v>44896</v>
      </c>
    </row>
    <row r="775" spans="6:6" ht="18.75" customHeight="1" x14ac:dyDescent="0.4">
      <c r="F775" s="1">
        <v>44927</v>
      </c>
    </row>
    <row r="776" spans="6:6" ht="18.75" customHeight="1" x14ac:dyDescent="0.4">
      <c r="F776" s="1">
        <v>44958</v>
      </c>
    </row>
    <row r="777" spans="6:6" ht="18.75" customHeight="1" x14ac:dyDescent="0.4">
      <c r="F777" s="1">
        <v>44986</v>
      </c>
    </row>
    <row r="778" spans="6:6" ht="18.75" customHeight="1" x14ac:dyDescent="0.4">
      <c r="F778" s="1">
        <v>45017</v>
      </c>
    </row>
    <row r="779" spans="6:6" ht="18.75" customHeight="1" x14ac:dyDescent="0.4">
      <c r="F779" s="1">
        <v>45047</v>
      </c>
    </row>
    <row r="780" spans="6:6" ht="18.75" customHeight="1" x14ac:dyDescent="0.4">
      <c r="F780" s="1">
        <v>45078</v>
      </c>
    </row>
    <row r="781" spans="6:6" ht="18.75" customHeight="1" x14ac:dyDescent="0.4">
      <c r="F781" s="1">
        <v>45108</v>
      </c>
    </row>
    <row r="782" spans="6:6" ht="18.75" customHeight="1" x14ac:dyDescent="0.4">
      <c r="F782" s="1">
        <v>45139</v>
      </c>
    </row>
    <row r="783" spans="6:6" ht="18.75" customHeight="1" x14ac:dyDescent="0.4">
      <c r="F783" s="1">
        <v>45170</v>
      </c>
    </row>
    <row r="784" spans="6:6" ht="18.75" customHeight="1" x14ac:dyDescent="0.4">
      <c r="F784" s="1">
        <v>45200</v>
      </c>
    </row>
    <row r="785" spans="6:6" ht="18.75" customHeight="1" x14ac:dyDescent="0.4">
      <c r="F785" s="1">
        <v>45231</v>
      </c>
    </row>
    <row r="786" spans="6:6" ht="18.75" customHeight="1" x14ac:dyDescent="0.4">
      <c r="F786" s="1">
        <v>45261</v>
      </c>
    </row>
    <row r="787" spans="6:6" ht="18.75" customHeight="1" x14ac:dyDescent="0.4">
      <c r="F787" s="1">
        <v>45292</v>
      </c>
    </row>
    <row r="788" spans="6:6" ht="18.75" customHeight="1" x14ac:dyDescent="0.4">
      <c r="F788" s="1">
        <v>45323</v>
      </c>
    </row>
    <row r="789" spans="6:6" ht="18.75" customHeight="1" x14ac:dyDescent="0.4">
      <c r="F789" s="1">
        <v>45352</v>
      </c>
    </row>
    <row r="790" spans="6:6" ht="18.75" customHeight="1" x14ac:dyDescent="0.4">
      <c r="F790" s="1">
        <v>45383</v>
      </c>
    </row>
    <row r="791" spans="6:6" ht="18.75" customHeight="1" x14ac:dyDescent="0.4">
      <c r="F791" s="1">
        <v>45413</v>
      </c>
    </row>
    <row r="792" spans="6:6" ht="18.75" customHeight="1" x14ac:dyDescent="0.4">
      <c r="F792" s="1">
        <v>45444</v>
      </c>
    </row>
    <row r="793" spans="6:6" ht="18.75" customHeight="1" x14ac:dyDescent="0.4">
      <c r="F793" s="1">
        <v>45474</v>
      </c>
    </row>
    <row r="794" spans="6:6" ht="18.75" customHeight="1" x14ac:dyDescent="0.4">
      <c r="F794" s="1">
        <v>45505</v>
      </c>
    </row>
    <row r="795" spans="6:6" ht="18.75" customHeight="1" x14ac:dyDescent="0.4">
      <c r="F795" s="1">
        <v>45536</v>
      </c>
    </row>
    <row r="796" spans="6:6" ht="18.75" customHeight="1" x14ac:dyDescent="0.4">
      <c r="F796" s="1">
        <v>45566</v>
      </c>
    </row>
    <row r="797" spans="6:6" ht="18.75" customHeight="1" x14ac:dyDescent="0.4">
      <c r="F797" s="1">
        <v>45597</v>
      </c>
    </row>
    <row r="798" spans="6:6" ht="18.75" customHeight="1" x14ac:dyDescent="0.4">
      <c r="F798" s="1">
        <v>45627</v>
      </c>
    </row>
    <row r="799" spans="6:6" ht="18.75" customHeight="1" x14ac:dyDescent="0.4">
      <c r="F799" s="1">
        <v>45658</v>
      </c>
    </row>
    <row r="800" spans="6:6" ht="18.75" customHeight="1" x14ac:dyDescent="0.4">
      <c r="F800" s="1">
        <v>45689</v>
      </c>
    </row>
    <row r="801" spans="6:6" ht="18.75" customHeight="1" x14ac:dyDescent="0.4">
      <c r="F801" s="1">
        <v>45717</v>
      </c>
    </row>
    <row r="802" spans="6:6" ht="18.75" customHeight="1" x14ac:dyDescent="0.4">
      <c r="F802" s="1">
        <v>45748</v>
      </c>
    </row>
    <row r="803" spans="6:6" ht="18.75" customHeight="1" x14ac:dyDescent="0.4">
      <c r="F803" s="1">
        <v>45778</v>
      </c>
    </row>
    <row r="804" spans="6:6" ht="18.75" customHeight="1" x14ac:dyDescent="0.4">
      <c r="F804" s="1">
        <v>45809</v>
      </c>
    </row>
    <row r="805" spans="6:6" ht="18.75" customHeight="1" x14ac:dyDescent="0.4">
      <c r="F805" s="1">
        <v>45839</v>
      </c>
    </row>
    <row r="806" spans="6:6" ht="18.75" customHeight="1" x14ac:dyDescent="0.4">
      <c r="F806" s="1">
        <v>45870</v>
      </c>
    </row>
    <row r="807" spans="6:6" ht="18.75" customHeight="1" x14ac:dyDescent="0.4">
      <c r="F807" s="1">
        <v>45901</v>
      </c>
    </row>
    <row r="808" spans="6:6" ht="18.75" customHeight="1" x14ac:dyDescent="0.4">
      <c r="F808" s="1">
        <v>45931</v>
      </c>
    </row>
    <row r="809" spans="6:6" ht="18.75" customHeight="1" x14ac:dyDescent="0.4">
      <c r="F809" s="1">
        <v>45962</v>
      </c>
    </row>
    <row r="810" spans="6:6" ht="18.75" customHeight="1" x14ac:dyDescent="0.4">
      <c r="F810" s="1">
        <v>45992</v>
      </c>
    </row>
    <row r="811" spans="6:6" ht="18.75" customHeight="1" x14ac:dyDescent="0.4">
      <c r="F811" s="1">
        <v>46023</v>
      </c>
    </row>
    <row r="812" spans="6:6" ht="18.75" customHeight="1" x14ac:dyDescent="0.4">
      <c r="F812" s="1">
        <v>46054</v>
      </c>
    </row>
    <row r="813" spans="6:6" ht="18.75" customHeight="1" x14ac:dyDescent="0.4">
      <c r="F813" s="1">
        <v>46082</v>
      </c>
    </row>
    <row r="814" spans="6:6" ht="18.75" customHeight="1" x14ac:dyDescent="0.4">
      <c r="F814" s="1">
        <v>46113</v>
      </c>
    </row>
    <row r="815" spans="6:6" ht="18.75" customHeight="1" x14ac:dyDescent="0.4">
      <c r="F815" s="1">
        <v>46143</v>
      </c>
    </row>
    <row r="816" spans="6:6" ht="18.75" customHeight="1" x14ac:dyDescent="0.4">
      <c r="F816" s="1">
        <v>46174</v>
      </c>
    </row>
    <row r="817" spans="6:6" ht="18.75" customHeight="1" x14ac:dyDescent="0.4">
      <c r="F817" s="1">
        <v>46204</v>
      </c>
    </row>
    <row r="818" spans="6:6" ht="18.75" customHeight="1" x14ac:dyDescent="0.4">
      <c r="F818" s="1">
        <v>46235</v>
      </c>
    </row>
    <row r="819" spans="6:6" ht="18.75" customHeight="1" x14ac:dyDescent="0.4">
      <c r="F819" s="1">
        <v>46266</v>
      </c>
    </row>
    <row r="820" spans="6:6" ht="18.75" customHeight="1" x14ac:dyDescent="0.4">
      <c r="F820" s="1">
        <v>46296</v>
      </c>
    </row>
    <row r="821" spans="6:6" ht="18.75" customHeight="1" x14ac:dyDescent="0.4">
      <c r="F821" s="1">
        <v>46327</v>
      </c>
    </row>
    <row r="822" spans="6:6" ht="18.75" customHeight="1" x14ac:dyDescent="0.4">
      <c r="F822" s="1">
        <v>46357</v>
      </c>
    </row>
    <row r="823" spans="6:6" ht="18.75" customHeight="1" x14ac:dyDescent="0.4">
      <c r="F823" s="1">
        <v>46388</v>
      </c>
    </row>
    <row r="824" spans="6:6" ht="18.75" customHeight="1" x14ac:dyDescent="0.4">
      <c r="F824" s="1">
        <v>46419</v>
      </c>
    </row>
    <row r="825" spans="6:6" ht="18.75" customHeight="1" x14ac:dyDescent="0.4">
      <c r="F825" s="1">
        <v>46447</v>
      </c>
    </row>
    <row r="826" spans="6:6" ht="18.75" customHeight="1" x14ac:dyDescent="0.4">
      <c r="F826" s="1">
        <v>46478</v>
      </c>
    </row>
    <row r="827" spans="6:6" ht="18.75" customHeight="1" x14ac:dyDescent="0.4">
      <c r="F827" s="1">
        <v>46508</v>
      </c>
    </row>
    <row r="828" spans="6:6" ht="18.75" customHeight="1" x14ac:dyDescent="0.4">
      <c r="F828" s="1">
        <v>46539</v>
      </c>
    </row>
    <row r="829" spans="6:6" ht="18.75" customHeight="1" x14ac:dyDescent="0.4">
      <c r="F829" s="1">
        <v>46569</v>
      </c>
    </row>
    <row r="830" spans="6:6" ht="18.75" customHeight="1" x14ac:dyDescent="0.4">
      <c r="F830" s="1">
        <v>46600</v>
      </c>
    </row>
    <row r="831" spans="6:6" ht="18.75" customHeight="1" x14ac:dyDescent="0.4">
      <c r="F831" s="1">
        <v>46631</v>
      </c>
    </row>
    <row r="832" spans="6:6" ht="18.75" customHeight="1" x14ac:dyDescent="0.4">
      <c r="F832" s="1">
        <v>46661</v>
      </c>
    </row>
    <row r="833" spans="6:6" ht="18.75" customHeight="1" x14ac:dyDescent="0.4">
      <c r="F833" s="1">
        <v>46692</v>
      </c>
    </row>
    <row r="834" spans="6:6" ht="18.75" customHeight="1" x14ac:dyDescent="0.4">
      <c r="F834" s="1">
        <v>46722</v>
      </c>
    </row>
    <row r="835" spans="6:6" ht="18.75" customHeight="1" x14ac:dyDescent="0.4">
      <c r="F835" s="1">
        <v>46753</v>
      </c>
    </row>
    <row r="836" spans="6:6" ht="18.75" customHeight="1" x14ac:dyDescent="0.4">
      <c r="F836" s="1">
        <v>46784</v>
      </c>
    </row>
    <row r="837" spans="6:6" ht="18.75" customHeight="1" x14ac:dyDescent="0.4">
      <c r="F837" s="1">
        <v>46813</v>
      </c>
    </row>
    <row r="838" spans="6:6" ht="18.75" customHeight="1" x14ac:dyDescent="0.4">
      <c r="F838" s="1">
        <v>46844</v>
      </c>
    </row>
    <row r="839" spans="6:6" ht="18.75" customHeight="1" x14ac:dyDescent="0.4">
      <c r="F839" s="1">
        <v>46874</v>
      </c>
    </row>
    <row r="840" spans="6:6" ht="18.75" customHeight="1" x14ac:dyDescent="0.4">
      <c r="F840" s="1">
        <v>46905</v>
      </c>
    </row>
    <row r="841" spans="6:6" ht="18.75" customHeight="1" x14ac:dyDescent="0.4">
      <c r="F841" s="1">
        <v>46935</v>
      </c>
    </row>
    <row r="842" spans="6:6" ht="18.75" customHeight="1" x14ac:dyDescent="0.4">
      <c r="F842" s="1">
        <v>46966</v>
      </c>
    </row>
    <row r="843" spans="6:6" ht="18.75" customHeight="1" x14ac:dyDescent="0.4">
      <c r="F843" s="1">
        <v>46997</v>
      </c>
    </row>
    <row r="844" spans="6:6" ht="18.75" customHeight="1" x14ac:dyDescent="0.4">
      <c r="F844" s="1">
        <v>47027</v>
      </c>
    </row>
    <row r="845" spans="6:6" ht="18.75" customHeight="1" x14ac:dyDescent="0.4">
      <c r="F845" s="1">
        <v>47058</v>
      </c>
    </row>
    <row r="846" spans="6:6" ht="18.75" customHeight="1" x14ac:dyDescent="0.4">
      <c r="F846" s="1">
        <v>47088</v>
      </c>
    </row>
    <row r="847" spans="6:6" ht="18.75" customHeight="1" x14ac:dyDescent="0.4">
      <c r="F847" s="1">
        <v>47119</v>
      </c>
    </row>
    <row r="848" spans="6:6" ht="18.75" customHeight="1" x14ac:dyDescent="0.4">
      <c r="F848" s="1">
        <v>47150</v>
      </c>
    </row>
    <row r="849" spans="6:6" ht="18.75" customHeight="1" x14ac:dyDescent="0.4">
      <c r="F849" s="1">
        <v>47178</v>
      </c>
    </row>
    <row r="850" spans="6:6" ht="18.75" customHeight="1" x14ac:dyDescent="0.4">
      <c r="F850" s="1">
        <v>47209</v>
      </c>
    </row>
    <row r="851" spans="6:6" ht="18.75" customHeight="1" x14ac:dyDescent="0.4">
      <c r="F851" s="1">
        <v>47239</v>
      </c>
    </row>
    <row r="852" spans="6:6" ht="18.75" customHeight="1" x14ac:dyDescent="0.4">
      <c r="F852" s="1">
        <v>47270</v>
      </c>
    </row>
    <row r="853" spans="6:6" ht="18.75" customHeight="1" x14ac:dyDescent="0.4">
      <c r="F853" s="1">
        <v>47300</v>
      </c>
    </row>
    <row r="854" spans="6:6" ht="18.75" customHeight="1" x14ac:dyDescent="0.4">
      <c r="F854" s="1">
        <v>47331</v>
      </c>
    </row>
    <row r="855" spans="6:6" ht="18.75" customHeight="1" x14ac:dyDescent="0.4">
      <c r="F855" s="1">
        <v>47362</v>
      </c>
    </row>
    <row r="856" spans="6:6" ht="18.75" customHeight="1" x14ac:dyDescent="0.4">
      <c r="F856" s="1">
        <v>47392</v>
      </c>
    </row>
    <row r="857" spans="6:6" ht="18.75" customHeight="1" x14ac:dyDescent="0.4">
      <c r="F857" s="1">
        <v>47423</v>
      </c>
    </row>
    <row r="858" spans="6:6" ht="18.75" customHeight="1" x14ac:dyDescent="0.4">
      <c r="F858" s="1">
        <v>47453</v>
      </c>
    </row>
    <row r="859" spans="6:6" ht="18.75" customHeight="1" x14ac:dyDescent="0.4">
      <c r="F859" s="1">
        <v>47484</v>
      </c>
    </row>
    <row r="860" spans="6:6" ht="18.75" customHeight="1" x14ac:dyDescent="0.4">
      <c r="F860" s="1">
        <v>47515</v>
      </c>
    </row>
    <row r="861" spans="6:6" ht="18.75" customHeight="1" x14ac:dyDescent="0.4">
      <c r="F861" s="1">
        <v>47543</v>
      </c>
    </row>
    <row r="862" spans="6:6" ht="18.75" customHeight="1" x14ac:dyDescent="0.4">
      <c r="F862" s="1">
        <v>47574</v>
      </c>
    </row>
    <row r="863" spans="6:6" ht="18.75" customHeight="1" x14ac:dyDescent="0.4">
      <c r="F863" s="1">
        <v>47604</v>
      </c>
    </row>
    <row r="864" spans="6:6" ht="18.75" customHeight="1" x14ac:dyDescent="0.4">
      <c r="F864" s="1">
        <v>47635</v>
      </c>
    </row>
    <row r="865" spans="6:6" ht="18.75" customHeight="1" x14ac:dyDescent="0.4">
      <c r="F865" s="1">
        <v>47665</v>
      </c>
    </row>
    <row r="866" spans="6:6" ht="18.75" customHeight="1" x14ac:dyDescent="0.4">
      <c r="F866" s="1">
        <v>47696</v>
      </c>
    </row>
    <row r="867" spans="6:6" ht="18.75" customHeight="1" x14ac:dyDescent="0.4">
      <c r="F867" s="1">
        <v>47727</v>
      </c>
    </row>
    <row r="868" spans="6:6" ht="18.75" customHeight="1" x14ac:dyDescent="0.4">
      <c r="F868" s="1">
        <v>47757</v>
      </c>
    </row>
    <row r="869" spans="6:6" ht="18.75" customHeight="1" x14ac:dyDescent="0.4">
      <c r="F869" s="1">
        <v>47788</v>
      </c>
    </row>
    <row r="870" spans="6:6" ht="18.75" customHeight="1" x14ac:dyDescent="0.4">
      <c r="F870" s="1">
        <v>47818</v>
      </c>
    </row>
    <row r="871" spans="6:6" ht="18.75" customHeight="1" x14ac:dyDescent="0.4">
      <c r="F871" s="1">
        <v>47849</v>
      </c>
    </row>
    <row r="872" spans="6:6" ht="18.75" customHeight="1" x14ac:dyDescent="0.4">
      <c r="F872" s="1">
        <v>47880</v>
      </c>
    </row>
    <row r="873" spans="6:6" ht="18.75" customHeight="1" x14ac:dyDescent="0.4">
      <c r="F873" s="1">
        <v>47908</v>
      </c>
    </row>
    <row r="874" spans="6:6" ht="18.75" customHeight="1" x14ac:dyDescent="0.4">
      <c r="F874" s="1">
        <v>47939</v>
      </c>
    </row>
    <row r="875" spans="6:6" ht="18.75" customHeight="1" x14ac:dyDescent="0.4">
      <c r="F875" s="1">
        <v>47969</v>
      </c>
    </row>
    <row r="876" spans="6:6" ht="18.75" customHeight="1" x14ac:dyDescent="0.4">
      <c r="F876" s="1">
        <v>48000</v>
      </c>
    </row>
    <row r="877" spans="6:6" ht="18.75" customHeight="1" x14ac:dyDescent="0.4">
      <c r="F877" s="1">
        <v>48030</v>
      </c>
    </row>
    <row r="878" spans="6:6" ht="18.75" customHeight="1" x14ac:dyDescent="0.4">
      <c r="F878" s="1">
        <v>48061</v>
      </c>
    </row>
    <row r="879" spans="6:6" ht="18.75" customHeight="1" x14ac:dyDescent="0.4">
      <c r="F879" s="1">
        <v>48092</v>
      </c>
    </row>
    <row r="880" spans="6:6" ht="18.75" customHeight="1" x14ac:dyDescent="0.4">
      <c r="F880" s="1">
        <v>48122</v>
      </c>
    </row>
    <row r="881" spans="6:6" ht="18.75" customHeight="1" x14ac:dyDescent="0.4">
      <c r="F881" s="1">
        <v>48153</v>
      </c>
    </row>
    <row r="882" spans="6:6" ht="18.75" customHeight="1" x14ac:dyDescent="0.4">
      <c r="F882" s="1">
        <v>48183</v>
      </c>
    </row>
    <row r="883" spans="6:6" ht="18.75" customHeight="1" x14ac:dyDescent="0.4">
      <c r="F883" s="1">
        <v>48214</v>
      </c>
    </row>
    <row r="884" spans="6:6" ht="18.75" customHeight="1" x14ac:dyDescent="0.4">
      <c r="F884" s="1">
        <v>48245</v>
      </c>
    </row>
    <row r="885" spans="6:6" ht="18.75" customHeight="1" x14ac:dyDescent="0.4">
      <c r="F885" s="1">
        <v>48274</v>
      </c>
    </row>
    <row r="886" spans="6:6" ht="18.75" customHeight="1" x14ac:dyDescent="0.4">
      <c r="F886" s="1">
        <v>48305</v>
      </c>
    </row>
    <row r="887" spans="6:6" ht="18.75" customHeight="1" x14ac:dyDescent="0.4">
      <c r="F887" s="1">
        <v>48335</v>
      </c>
    </row>
    <row r="888" spans="6:6" ht="18.75" customHeight="1" x14ac:dyDescent="0.4">
      <c r="F888" s="1">
        <v>48366</v>
      </c>
    </row>
    <row r="889" spans="6:6" ht="18.75" customHeight="1" x14ac:dyDescent="0.4">
      <c r="F889" s="1">
        <v>48396</v>
      </c>
    </row>
    <row r="890" spans="6:6" ht="18.75" customHeight="1" x14ac:dyDescent="0.4">
      <c r="F890" s="1">
        <v>48427</v>
      </c>
    </row>
    <row r="891" spans="6:6" ht="18.75" customHeight="1" x14ac:dyDescent="0.4">
      <c r="F891" s="1">
        <v>48458</v>
      </c>
    </row>
    <row r="892" spans="6:6" ht="18.75" customHeight="1" x14ac:dyDescent="0.4">
      <c r="F892" s="1">
        <v>48488</v>
      </c>
    </row>
    <row r="893" spans="6:6" ht="18.75" customHeight="1" x14ac:dyDescent="0.4">
      <c r="F893" s="1">
        <v>48519</v>
      </c>
    </row>
    <row r="894" spans="6:6" ht="18.75" customHeight="1" x14ac:dyDescent="0.4">
      <c r="F894" s="1">
        <v>48549</v>
      </c>
    </row>
    <row r="895" spans="6:6" ht="18.75" customHeight="1" x14ac:dyDescent="0.4">
      <c r="F895" s="1">
        <v>48580</v>
      </c>
    </row>
    <row r="896" spans="6:6" ht="18.75" customHeight="1" x14ac:dyDescent="0.4">
      <c r="F896" s="1">
        <v>48611</v>
      </c>
    </row>
    <row r="897" spans="6:6" ht="18.75" customHeight="1" x14ac:dyDescent="0.4">
      <c r="F897" s="1">
        <v>48639</v>
      </c>
    </row>
    <row r="898" spans="6:6" ht="18.75" customHeight="1" x14ac:dyDescent="0.4">
      <c r="F898" s="1">
        <v>48670</v>
      </c>
    </row>
    <row r="899" spans="6:6" ht="18.75" customHeight="1" x14ac:dyDescent="0.4">
      <c r="F899" s="1">
        <v>48700</v>
      </c>
    </row>
    <row r="900" spans="6:6" ht="18.75" customHeight="1" x14ac:dyDescent="0.4">
      <c r="F900" s="1">
        <v>48731</v>
      </c>
    </row>
    <row r="901" spans="6:6" ht="18.75" customHeight="1" x14ac:dyDescent="0.4">
      <c r="F901" s="1">
        <v>48761</v>
      </c>
    </row>
    <row r="902" spans="6:6" ht="18.75" customHeight="1" x14ac:dyDescent="0.4">
      <c r="F902" s="1">
        <v>48792</v>
      </c>
    </row>
    <row r="903" spans="6:6" ht="18.75" customHeight="1" x14ac:dyDescent="0.4">
      <c r="F903" s="1">
        <v>48823</v>
      </c>
    </row>
    <row r="904" spans="6:6" ht="18.75" customHeight="1" x14ac:dyDescent="0.4">
      <c r="F904" s="1">
        <v>48853</v>
      </c>
    </row>
    <row r="905" spans="6:6" ht="18.75" customHeight="1" x14ac:dyDescent="0.4">
      <c r="F905" s="1">
        <v>48884</v>
      </c>
    </row>
    <row r="906" spans="6:6" ht="18.75" customHeight="1" x14ac:dyDescent="0.4">
      <c r="F906" s="1">
        <v>48914</v>
      </c>
    </row>
    <row r="907" spans="6:6" ht="18.75" customHeight="1" x14ac:dyDescent="0.4">
      <c r="F907" s="1">
        <v>48945</v>
      </c>
    </row>
    <row r="908" spans="6:6" ht="18.75" customHeight="1" x14ac:dyDescent="0.4">
      <c r="F908" s="1">
        <v>48976</v>
      </c>
    </row>
    <row r="909" spans="6:6" ht="18.75" customHeight="1" x14ac:dyDescent="0.4">
      <c r="F909" s="1">
        <v>49004</v>
      </c>
    </row>
    <row r="910" spans="6:6" ht="18.75" customHeight="1" x14ac:dyDescent="0.4">
      <c r="F910" s="1">
        <v>49035</v>
      </c>
    </row>
    <row r="911" spans="6:6" ht="18.75" customHeight="1" x14ac:dyDescent="0.4">
      <c r="F911" s="1">
        <v>49065</v>
      </c>
    </row>
    <row r="912" spans="6:6" ht="18.75" customHeight="1" x14ac:dyDescent="0.4">
      <c r="F912" s="1">
        <v>49096</v>
      </c>
    </row>
    <row r="913" spans="6:6" ht="18.75" customHeight="1" x14ac:dyDescent="0.4">
      <c r="F913" s="1">
        <v>49126</v>
      </c>
    </row>
    <row r="914" spans="6:6" ht="18.75" customHeight="1" x14ac:dyDescent="0.4">
      <c r="F914" s="1">
        <v>49157</v>
      </c>
    </row>
    <row r="915" spans="6:6" ht="18.75" customHeight="1" x14ac:dyDescent="0.4">
      <c r="F915" s="1">
        <v>49188</v>
      </c>
    </row>
    <row r="916" spans="6:6" ht="18.75" customHeight="1" x14ac:dyDescent="0.4">
      <c r="F916" s="1">
        <v>49218</v>
      </c>
    </row>
    <row r="917" spans="6:6" ht="18.75" customHeight="1" x14ac:dyDescent="0.4">
      <c r="F917" s="1">
        <v>49249</v>
      </c>
    </row>
    <row r="918" spans="6:6" ht="18.75" customHeight="1" x14ac:dyDescent="0.4">
      <c r="F918" s="1">
        <v>49279</v>
      </c>
    </row>
    <row r="919" spans="6:6" ht="18.75" customHeight="1" x14ac:dyDescent="0.4">
      <c r="F919" s="1">
        <v>49310</v>
      </c>
    </row>
    <row r="920" spans="6:6" ht="18.75" customHeight="1" x14ac:dyDescent="0.4">
      <c r="F920" s="1">
        <v>49341</v>
      </c>
    </row>
    <row r="921" spans="6:6" ht="18.75" customHeight="1" x14ac:dyDescent="0.4">
      <c r="F921" s="1">
        <v>49369</v>
      </c>
    </row>
    <row r="922" spans="6:6" ht="18.75" customHeight="1" x14ac:dyDescent="0.4">
      <c r="F922" s="1">
        <v>49400</v>
      </c>
    </row>
    <row r="923" spans="6:6" ht="18.75" customHeight="1" x14ac:dyDescent="0.4">
      <c r="F923" s="1">
        <v>49430</v>
      </c>
    </row>
    <row r="924" spans="6:6" ht="18.75" customHeight="1" x14ac:dyDescent="0.4">
      <c r="F924" s="1">
        <v>49461</v>
      </c>
    </row>
    <row r="925" spans="6:6" ht="18.75" customHeight="1" x14ac:dyDescent="0.4">
      <c r="F925" s="1">
        <v>49491</v>
      </c>
    </row>
    <row r="926" spans="6:6" ht="18.75" customHeight="1" x14ac:dyDescent="0.4">
      <c r="F926" s="1">
        <v>49522</v>
      </c>
    </row>
    <row r="927" spans="6:6" ht="18.75" customHeight="1" x14ac:dyDescent="0.4">
      <c r="F927" s="1">
        <v>49553</v>
      </c>
    </row>
    <row r="928" spans="6:6" ht="18.75" customHeight="1" x14ac:dyDescent="0.4">
      <c r="F928" s="1">
        <v>49583</v>
      </c>
    </row>
    <row r="929" spans="6:6" ht="18.75" customHeight="1" x14ac:dyDescent="0.4">
      <c r="F929" s="1">
        <v>49614</v>
      </c>
    </row>
    <row r="930" spans="6:6" ht="18.75" customHeight="1" x14ac:dyDescent="0.4">
      <c r="F930" s="1">
        <v>49644</v>
      </c>
    </row>
    <row r="931" spans="6:6" ht="18.75" customHeight="1" x14ac:dyDescent="0.4">
      <c r="F931" s="1">
        <v>49675</v>
      </c>
    </row>
    <row r="932" spans="6:6" ht="18.75" customHeight="1" x14ac:dyDescent="0.4">
      <c r="F932" s="1">
        <v>49706</v>
      </c>
    </row>
    <row r="933" spans="6:6" ht="18.75" customHeight="1" x14ac:dyDescent="0.4">
      <c r="F933" s="1">
        <v>49735</v>
      </c>
    </row>
    <row r="934" spans="6:6" ht="18.75" customHeight="1" x14ac:dyDescent="0.4">
      <c r="F934" s="1">
        <v>49766</v>
      </c>
    </row>
    <row r="935" spans="6:6" ht="18.75" customHeight="1" x14ac:dyDescent="0.4">
      <c r="F935" s="1">
        <v>49796</v>
      </c>
    </row>
    <row r="936" spans="6:6" ht="18.75" customHeight="1" x14ac:dyDescent="0.4">
      <c r="F936" s="1">
        <v>49827</v>
      </c>
    </row>
    <row r="937" spans="6:6" ht="18.75" customHeight="1" x14ac:dyDescent="0.4">
      <c r="F937" s="1">
        <v>49857</v>
      </c>
    </row>
    <row r="938" spans="6:6" ht="18.75" customHeight="1" x14ac:dyDescent="0.4">
      <c r="F938" s="1">
        <v>49888</v>
      </c>
    </row>
    <row r="939" spans="6:6" ht="18.75" customHeight="1" x14ac:dyDescent="0.4">
      <c r="F939" s="1">
        <v>49919</v>
      </c>
    </row>
    <row r="940" spans="6:6" ht="18.75" customHeight="1" x14ac:dyDescent="0.4">
      <c r="F940" s="1">
        <v>49949</v>
      </c>
    </row>
    <row r="941" spans="6:6" ht="18.75" customHeight="1" x14ac:dyDescent="0.4">
      <c r="F941" s="1">
        <v>49980</v>
      </c>
    </row>
    <row r="942" spans="6:6" ht="18.75" customHeight="1" x14ac:dyDescent="0.4">
      <c r="F942" s="1">
        <v>50010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18DD-72FF-4EC3-9AE0-A7F656533F95}">
  <dimension ref="A1:N747"/>
  <sheetViews>
    <sheetView zoomScaleNormal="100" workbookViewId="0">
      <selection activeCell="L1" sqref="L1:L1048576"/>
    </sheetView>
  </sheetViews>
  <sheetFormatPr defaultRowHeight="18.75" x14ac:dyDescent="0.4"/>
  <cols>
    <col min="1" max="1" width="6" style="2" customWidth="1"/>
    <col min="2" max="4" width="13" bestFit="1" customWidth="1"/>
    <col min="5" max="5" width="13" customWidth="1"/>
    <col min="7" max="7" width="10.25" bestFit="1" customWidth="1"/>
    <col min="8" max="8" width="10.25" customWidth="1"/>
    <col min="9" max="9" width="9" style="28"/>
  </cols>
  <sheetData>
    <row r="1" spans="1:14" s="3" customFormat="1" x14ac:dyDescent="0.4">
      <c r="A1" s="31"/>
      <c r="B1"/>
      <c r="G1" s="3" t="s">
        <v>41</v>
      </c>
      <c r="H1" s="3" t="s">
        <v>9</v>
      </c>
      <c r="I1" s="30" t="s">
        <v>1</v>
      </c>
      <c r="J1" s="3" t="s">
        <v>60</v>
      </c>
      <c r="K1" s="3" t="s">
        <v>13</v>
      </c>
      <c r="L1" s="3" t="s">
        <v>62</v>
      </c>
      <c r="M1" s="3" t="s">
        <v>63</v>
      </c>
      <c r="N1" s="33" t="s">
        <v>67</v>
      </c>
    </row>
    <row r="2" spans="1:14" x14ac:dyDescent="0.4">
      <c r="A2" s="3" t="s">
        <v>7</v>
      </c>
      <c r="B2" s="3" t="s">
        <v>64</v>
      </c>
      <c r="C2" s="3" t="s">
        <v>65</v>
      </c>
      <c r="D2" s="3" t="s">
        <v>66</v>
      </c>
      <c r="E2" s="32" t="s">
        <v>14</v>
      </c>
      <c r="G2" s="1">
        <v>21245</v>
      </c>
      <c r="H2">
        <f>MONTH(G2)</f>
        <v>3</v>
      </c>
      <c r="I2" s="28">
        <v>315.7</v>
      </c>
      <c r="K2">
        <f>INDEX($E$3:$E$14,H2)</f>
        <v>1.3722957593821961</v>
      </c>
      <c r="L2" s="28">
        <f>I2-K2</f>
        <v>314.32770424061778</v>
      </c>
    </row>
    <row r="3" spans="1:14" x14ac:dyDescent="0.4">
      <c r="A3" s="21">
        <v>1</v>
      </c>
      <c r="B3" s="25">
        <f t="shared" ref="B3:B14" si="0">AVERAGEIF(H:H,A3,J:J)</f>
        <v>1.0793442622950844</v>
      </c>
      <c r="C3" s="25">
        <f>B3-B$15/12</f>
        <v>0.94658469945355439</v>
      </c>
      <c r="D3" s="25">
        <f>C3</f>
        <v>0.94658469945355439</v>
      </c>
      <c r="E3" s="25">
        <f>D3-D$15/12</f>
        <v>5.8898749040328657E-2</v>
      </c>
      <c r="G3" s="1">
        <v>21276</v>
      </c>
      <c r="H3">
        <f t="shared" ref="H3:H66" si="1">MONTH(G3)</f>
        <v>4</v>
      </c>
      <c r="I3" s="28">
        <v>317.45999999999998</v>
      </c>
      <c r="J3" s="28"/>
      <c r="K3">
        <f t="shared" ref="K3:K66" si="2">INDEX($E$3:$E$14,H3)</f>
        <v>2.5880472384049131</v>
      </c>
      <c r="L3" s="28">
        <f t="shared" ref="L3:L66" si="3">I3-K3</f>
        <v>314.87195276159508</v>
      </c>
    </row>
    <row r="4" spans="1:14" x14ac:dyDescent="0.4">
      <c r="A4" s="21">
        <v>2</v>
      </c>
      <c r="B4" s="25">
        <f t="shared" si="0"/>
        <v>0.76801923858555876</v>
      </c>
      <c r="C4" s="25">
        <f t="shared" ref="C4:E14" si="4">B4-B$15/12</f>
        <v>0.63525967574402875</v>
      </c>
      <c r="D4" s="25">
        <f>C4+D3</f>
        <v>1.581844375197583</v>
      </c>
      <c r="E4" s="25">
        <f t="shared" si="4"/>
        <v>0.6941584247843573</v>
      </c>
      <c r="G4" s="1">
        <v>21306</v>
      </c>
      <c r="H4">
        <f t="shared" si="1"/>
        <v>5</v>
      </c>
      <c r="I4" s="28">
        <v>317.51</v>
      </c>
      <c r="J4" s="28"/>
      <c r="K4">
        <f t="shared" si="2"/>
        <v>3.0809752517725739</v>
      </c>
      <c r="L4" s="28">
        <f t="shared" si="3"/>
        <v>314.42902474822739</v>
      </c>
    </row>
    <row r="5" spans="1:14" x14ac:dyDescent="0.4">
      <c r="A5" s="21">
        <v>3</v>
      </c>
      <c r="B5" s="25">
        <f t="shared" si="0"/>
        <v>0.81089689743936888</v>
      </c>
      <c r="C5" s="25">
        <f t="shared" si="4"/>
        <v>0.67813733459783887</v>
      </c>
      <c r="D5" s="25">
        <f t="shared" ref="D5:D14" si="5">C5+D4</f>
        <v>2.2599817097954218</v>
      </c>
      <c r="E5" s="25">
        <f t="shared" si="4"/>
        <v>1.3722957593821961</v>
      </c>
      <c r="G5" s="27">
        <v>21337</v>
      </c>
      <c r="H5">
        <f t="shared" si="1"/>
        <v>6</v>
      </c>
      <c r="I5" s="29">
        <f>(30*I4+31*I6)/61</f>
        <v>316.67147540983603</v>
      </c>
      <c r="J5" s="28"/>
      <c r="K5">
        <f t="shared" si="2"/>
        <v>2.3583796233572674</v>
      </c>
      <c r="L5" s="28">
        <f t="shared" si="3"/>
        <v>314.31309578647875</v>
      </c>
    </row>
    <row r="6" spans="1:14" x14ac:dyDescent="0.4">
      <c r="A6" s="21">
        <v>4</v>
      </c>
      <c r="B6" s="25">
        <f t="shared" si="0"/>
        <v>1.3485110418642468</v>
      </c>
      <c r="C6" s="25">
        <f t="shared" si="4"/>
        <v>1.2157514790227169</v>
      </c>
      <c r="D6" s="25">
        <f t="shared" si="5"/>
        <v>3.4757331888181389</v>
      </c>
      <c r="E6" s="25">
        <f t="shared" si="4"/>
        <v>2.5880472384049131</v>
      </c>
      <c r="G6" s="1">
        <v>21367</v>
      </c>
      <c r="H6">
        <f t="shared" si="1"/>
        <v>7</v>
      </c>
      <c r="I6" s="28">
        <v>315.86</v>
      </c>
      <c r="J6" s="28"/>
      <c r="K6">
        <f t="shared" si="2"/>
        <v>0.72791514248295042</v>
      </c>
      <c r="L6" s="28">
        <f t="shared" si="3"/>
        <v>315.13208485751704</v>
      </c>
    </row>
    <row r="7" spans="1:14" x14ac:dyDescent="0.4">
      <c r="A7" s="21">
        <v>5</v>
      </c>
      <c r="B7" s="25">
        <f t="shared" si="0"/>
        <v>0.62568757620919102</v>
      </c>
      <c r="C7" s="25">
        <f t="shared" si="4"/>
        <v>0.49292801336766101</v>
      </c>
      <c r="D7" s="25">
        <f t="shared" si="5"/>
        <v>3.9686612021857997</v>
      </c>
      <c r="E7" s="25">
        <f t="shared" si="4"/>
        <v>3.0809752517725739</v>
      </c>
      <c r="G7" s="1">
        <v>21398</v>
      </c>
      <c r="H7">
        <f t="shared" si="1"/>
        <v>8</v>
      </c>
      <c r="I7" s="28">
        <v>314.93</v>
      </c>
      <c r="J7" s="28"/>
      <c r="K7">
        <f t="shared" si="2"/>
        <v>-1.4099263875716923</v>
      </c>
      <c r="L7" s="28">
        <f t="shared" si="3"/>
        <v>316.33992638757172</v>
      </c>
    </row>
    <row r="8" spans="1:14" x14ac:dyDescent="0.4">
      <c r="A8" s="21">
        <v>6</v>
      </c>
      <c r="B8" s="25">
        <f t="shared" si="0"/>
        <v>-0.58983606557377644</v>
      </c>
      <c r="C8" s="25">
        <f t="shared" si="4"/>
        <v>-0.72259562841530645</v>
      </c>
      <c r="D8" s="25">
        <f t="shared" si="5"/>
        <v>3.2460655737704931</v>
      </c>
      <c r="E8" s="25">
        <f t="shared" si="4"/>
        <v>2.3583796233572674</v>
      </c>
      <c r="G8" s="1">
        <v>21429</v>
      </c>
      <c r="H8">
        <f t="shared" si="1"/>
        <v>9</v>
      </c>
      <c r="I8" s="28">
        <v>313.20999999999998</v>
      </c>
      <c r="J8" s="28"/>
      <c r="K8">
        <f t="shared" si="2"/>
        <v>-3.204325294675523</v>
      </c>
      <c r="L8" s="28">
        <f t="shared" si="3"/>
        <v>316.41432529467551</v>
      </c>
      <c r="M8">
        <f t="shared" ref="M8:M13" si="6">(SUM(L3:L13)+(L2+L14)/2)/12</f>
        <v>315.42962431693985</v>
      </c>
      <c r="N8" s="28">
        <f>L8-M8</f>
        <v>0.98470097773565612</v>
      </c>
    </row>
    <row r="9" spans="1:14" x14ac:dyDescent="0.4">
      <c r="A9" s="21">
        <v>7</v>
      </c>
      <c r="B9" s="25">
        <f t="shared" si="0"/>
        <v>-1.497704918032787</v>
      </c>
      <c r="C9" s="25">
        <f t="shared" si="4"/>
        <v>-1.6304644808743169</v>
      </c>
      <c r="D9" s="25">
        <f t="shared" si="5"/>
        <v>1.6156010928961761</v>
      </c>
      <c r="E9" s="25">
        <f t="shared" si="4"/>
        <v>0.72791514248295042</v>
      </c>
      <c r="G9" s="27">
        <v>21459</v>
      </c>
      <c r="H9">
        <f t="shared" si="1"/>
        <v>10</v>
      </c>
      <c r="I9" s="29">
        <f>(31*I8+30*I10)/61</f>
        <v>313.2690163934426</v>
      </c>
      <c r="J9" s="28"/>
      <c r="K9">
        <f t="shared" si="2"/>
        <v>-3.3270848575170473</v>
      </c>
      <c r="L9" s="28">
        <f t="shared" si="3"/>
        <v>316.59610125095963</v>
      </c>
      <c r="M9">
        <f t="shared" si="6"/>
        <v>315.48004098360656</v>
      </c>
      <c r="N9" s="28">
        <f t="shared" ref="N9:N72" si="7">L9-M9</f>
        <v>1.1160602673530775</v>
      </c>
    </row>
    <row r="10" spans="1:14" x14ac:dyDescent="0.4">
      <c r="A10" s="21">
        <v>8</v>
      </c>
      <c r="B10" s="25">
        <f t="shared" si="0"/>
        <v>-2.0050819672131128</v>
      </c>
      <c r="C10" s="25">
        <f t="shared" si="4"/>
        <v>-2.1378415300546427</v>
      </c>
      <c r="D10" s="25">
        <f t="shared" si="5"/>
        <v>-0.52224043715846657</v>
      </c>
      <c r="E10" s="25">
        <f t="shared" si="4"/>
        <v>-1.4099263875716923</v>
      </c>
      <c r="G10" s="1">
        <v>21490</v>
      </c>
      <c r="H10">
        <f t="shared" si="1"/>
        <v>11</v>
      </c>
      <c r="I10" s="28">
        <v>313.33</v>
      </c>
      <c r="J10" s="28"/>
      <c r="K10">
        <f t="shared" si="2"/>
        <v>-2.0516476990471002</v>
      </c>
      <c r="L10" s="28">
        <f t="shared" si="3"/>
        <v>315.38164769904711</v>
      </c>
      <c r="M10">
        <f t="shared" si="6"/>
        <v>315.52337431693985</v>
      </c>
      <c r="N10" s="28">
        <f t="shared" si="7"/>
        <v>-0.14172661789274343</v>
      </c>
    </row>
    <row r="11" spans="1:14" x14ac:dyDescent="0.4">
      <c r="A11" s="21">
        <v>9</v>
      </c>
      <c r="B11" s="25">
        <f t="shared" si="0"/>
        <v>-1.661639344262301</v>
      </c>
      <c r="C11" s="25">
        <f t="shared" si="4"/>
        <v>-1.7943989071038309</v>
      </c>
      <c r="D11" s="25">
        <f t="shared" si="5"/>
        <v>-2.3166393442622972</v>
      </c>
      <c r="E11" s="25">
        <f t="shared" si="4"/>
        <v>-3.204325294675523</v>
      </c>
      <c r="G11" s="1">
        <v>21520</v>
      </c>
      <c r="H11">
        <f t="shared" si="1"/>
        <v>12</v>
      </c>
      <c r="I11" s="28">
        <v>314.67</v>
      </c>
      <c r="J11" s="28"/>
      <c r="K11">
        <f t="shared" si="2"/>
        <v>-0.88768595041322573</v>
      </c>
      <c r="L11" s="28">
        <f t="shared" si="3"/>
        <v>315.55768595041326</v>
      </c>
      <c r="M11">
        <f t="shared" si="6"/>
        <v>315.61747950819671</v>
      </c>
      <c r="N11" s="28">
        <f t="shared" si="7"/>
        <v>-5.9793557783450524E-2</v>
      </c>
    </row>
    <row r="12" spans="1:14" x14ac:dyDescent="0.4">
      <c r="A12" s="21">
        <v>10</v>
      </c>
      <c r="B12" s="25">
        <f t="shared" si="0"/>
        <v>1.0000000000005815E-2</v>
      </c>
      <c r="C12" s="25">
        <f t="shared" si="4"/>
        <v>-0.12275956284152417</v>
      </c>
      <c r="D12" s="25">
        <f t="shared" si="5"/>
        <v>-2.4393989071038216</v>
      </c>
      <c r="E12" s="25">
        <f t="shared" si="4"/>
        <v>-3.3270848575170473</v>
      </c>
      <c r="G12" s="1">
        <v>21551</v>
      </c>
      <c r="H12">
        <f t="shared" si="1"/>
        <v>1</v>
      </c>
      <c r="I12" s="28">
        <v>315.58</v>
      </c>
      <c r="J12" s="28">
        <f t="shared" ref="J12:J67" si="8">I12-I11</f>
        <v>0.90999999999996817</v>
      </c>
      <c r="K12">
        <f t="shared" si="2"/>
        <v>5.8898749040328657E-2</v>
      </c>
      <c r="L12" s="28">
        <f t="shared" si="3"/>
        <v>315.52110125095965</v>
      </c>
      <c r="M12">
        <f t="shared" si="6"/>
        <v>315.7074180327869</v>
      </c>
      <c r="N12" s="28">
        <f t="shared" si="7"/>
        <v>-0.18631678182725864</v>
      </c>
    </row>
    <row r="13" spans="1:14" x14ac:dyDescent="0.4">
      <c r="A13" s="21">
        <v>11</v>
      </c>
      <c r="B13" s="25">
        <f t="shared" si="0"/>
        <v>1.408196721311477</v>
      </c>
      <c r="C13" s="25">
        <f t="shared" si="4"/>
        <v>1.2754371584699471</v>
      </c>
      <c r="D13" s="25">
        <f t="shared" si="5"/>
        <v>-1.1639617486338745</v>
      </c>
      <c r="E13" s="25">
        <f t="shared" si="4"/>
        <v>-2.0516476990471002</v>
      </c>
      <c r="G13" s="1">
        <v>21582</v>
      </c>
      <c r="H13">
        <f t="shared" si="1"/>
        <v>2</v>
      </c>
      <c r="I13" s="28">
        <v>316.49</v>
      </c>
      <c r="J13" s="28">
        <f t="shared" si="8"/>
        <v>0.91000000000002501</v>
      </c>
      <c r="K13">
        <f t="shared" si="2"/>
        <v>0.6941584247843573</v>
      </c>
      <c r="L13" s="28">
        <f t="shared" si="3"/>
        <v>315.79584157521566</v>
      </c>
      <c r="M13">
        <f t="shared" si="6"/>
        <v>315.73033469945352</v>
      </c>
      <c r="N13" s="28">
        <f t="shared" si="7"/>
        <v>6.5506875762139316E-2</v>
      </c>
    </row>
    <row r="14" spans="1:14" x14ac:dyDescent="0.4">
      <c r="A14" s="21">
        <v>12</v>
      </c>
      <c r="B14" s="25">
        <f t="shared" si="0"/>
        <v>1.2967213114754055</v>
      </c>
      <c r="C14" s="25">
        <f t="shared" si="4"/>
        <v>1.1639617486338756</v>
      </c>
      <c r="D14" s="25">
        <f t="shared" si="5"/>
        <v>0</v>
      </c>
      <c r="E14" s="25">
        <f t="shared" si="4"/>
        <v>-0.88768595041322573</v>
      </c>
      <c r="G14" s="1">
        <v>21610</v>
      </c>
      <c r="H14">
        <f t="shared" si="1"/>
        <v>3</v>
      </c>
      <c r="I14" s="28">
        <v>316.64999999999998</v>
      </c>
      <c r="J14" s="28">
        <f t="shared" si="8"/>
        <v>0.15999999999996817</v>
      </c>
      <c r="K14">
        <f t="shared" si="2"/>
        <v>1.3722957593821961</v>
      </c>
      <c r="L14" s="28">
        <f t="shared" si="3"/>
        <v>315.27770424061777</v>
      </c>
      <c r="M14">
        <f>(SUM(L9:L19)+(L8+L20)/2)/12</f>
        <v>315.75116803278689</v>
      </c>
      <c r="N14" s="28">
        <f t="shared" si="7"/>
        <v>-0.47346379216912737</v>
      </c>
    </row>
    <row r="15" spans="1:14" x14ac:dyDescent="0.4">
      <c r="A15" s="2" t="s">
        <v>61</v>
      </c>
      <c r="B15" s="25">
        <f>SUM(B3:B14)</f>
        <v>1.5931147540983597</v>
      </c>
      <c r="C15" s="25">
        <f t="shared" ref="C15:E15" si="9">SUM(C3:C14)</f>
        <v>0</v>
      </c>
      <c r="D15" s="25">
        <f t="shared" si="9"/>
        <v>10.652231404958709</v>
      </c>
      <c r="E15" s="25">
        <f t="shared" si="9"/>
        <v>-2.2204460492503131E-15</v>
      </c>
      <c r="G15" s="1">
        <v>21641</v>
      </c>
      <c r="H15">
        <f t="shared" si="1"/>
        <v>4</v>
      </c>
      <c r="I15" s="28">
        <v>317.72000000000003</v>
      </c>
      <c r="J15" s="28">
        <f t="shared" si="8"/>
        <v>1.07000000000005</v>
      </c>
      <c r="K15">
        <f t="shared" si="2"/>
        <v>2.5880472384049131</v>
      </c>
      <c r="L15" s="28">
        <f t="shared" si="3"/>
        <v>315.13195276159513</v>
      </c>
      <c r="M15">
        <f t="shared" ref="M15:M78" si="10">(SUM(L10:L20)+(L9+L21)/2)/12</f>
        <v>315.77995901639343</v>
      </c>
      <c r="N15" s="28">
        <f t="shared" si="7"/>
        <v>-0.64800625479830387</v>
      </c>
    </row>
    <row r="16" spans="1:14" x14ac:dyDescent="0.4">
      <c r="C16" s="25"/>
      <c r="G16" s="1">
        <v>21671</v>
      </c>
      <c r="H16">
        <f t="shared" si="1"/>
        <v>5</v>
      </c>
      <c r="I16" s="28">
        <v>318.29000000000002</v>
      </c>
      <c r="J16" s="28">
        <f t="shared" si="8"/>
        <v>0.56999999999999318</v>
      </c>
      <c r="K16">
        <f t="shared" si="2"/>
        <v>3.0809752517725739</v>
      </c>
      <c r="L16" s="28">
        <f t="shared" si="3"/>
        <v>315.20902474822742</v>
      </c>
      <c r="M16">
        <f t="shared" si="10"/>
        <v>315.84416666666669</v>
      </c>
      <c r="N16" s="28">
        <f t="shared" si="7"/>
        <v>-0.63514191843927392</v>
      </c>
    </row>
    <row r="17" spans="7:14" x14ac:dyDescent="0.4">
      <c r="G17" s="1">
        <v>21702</v>
      </c>
      <c r="H17">
        <f t="shared" si="1"/>
        <v>6</v>
      </c>
      <c r="I17" s="28">
        <v>318.14999999999998</v>
      </c>
      <c r="J17" s="28">
        <f t="shared" si="8"/>
        <v>-0.1400000000000432</v>
      </c>
      <c r="K17">
        <f t="shared" si="2"/>
        <v>2.3583796233572674</v>
      </c>
      <c r="L17" s="28">
        <f t="shared" si="3"/>
        <v>315.7916203766427</v>
      </c>
      <c r="M17">
        <f t="shared" si="10"/>
        <v>315.94375000000008</v>
      </c>
      <c r="N17" s="28">
        <f t="shared" si="7"/>
        <v>-0.15212962335738212</v>
      </c>
    </row>
    <row r="18" spans="7:14" x14ac:dyDescent="0.4">
      <c r="G18" s="1">
        <v>21732</v>
      </c>
      <c r="H18">
        <f t="shared" si="1"/>
        <v>7</v>
      </c>
      <c r="I18" s="28">
        <v>316.54000000000002</v>
      </c>
      <c r="J18" s="28">
        <f t="shared" si="8"/>
        <v>-1.6099999999999568</v>
      </c>
      <c r="K18">
        <f t="shared" si="2"/>
        <v>0.72791514248295042</v>
      </c>
      <c r="L18" s="28">
        <f t="shared" si="3"/>
        <v>315.81208485751705</v>
      </c>
      <c r="M18">
        <f t="shared" si="10"/>
        <v>316.01708333333335</v>
      </c>
      <c r="N18" s="28">
        <f t="shared" si="7"/>
        <v>-0.20499847581629638</v>
      </c>
    </row>
    <row r="19" spans="7:14" x14ac:dyDescent="0.4">
      <c r="G19" s="1">
        <v>21763</v>
      </c>
      <c r="H19">
        <f t="shared" si="1"/>
        <v>8</v>
      </c>
      <c r="I19" s="28">
        <v>314.8</v>
      </c>
      <c r="J19" s="28">
        <f t="shared" si="8"/>
        <v>-1.7400000000000091</v>
      </c>
      <c r="K19">
        <f t="shared" si="2"/>
        <v>-1.4099263875716923</v>
      </c>
      <c r="L19" s="28">
        <f t="shared" si="3"/>
        <v>316.20992638757173</v>
      </c>
      <c r="M19">
        <f t="shared" si="10"/>
        <v>316.07291666666674</v>
      </c>
      <c r="N19" s="28">
        <f t="shared" si="7"/>
        <v>0.13700972090498453</v>
      </c>
    </row>
    <row r="20" spans="7:14" x14ac:dyDescent="0.4">
      <c r="G20" s="1">
        <v>21794</v>
      </c>
      <c r="H20">
        <f t="shared" si="1"/>
        <v>9</v>
      </c>
      <c r="I20" s="28">
        <v>313.83999999999997</v>
      </c>
      <c r="J20" s="28">
        <f t="shared" si="8"/>
        <v>-0.96000000000003638</v>
      </c>
      <c r="K20">
        <f t="shared" si="2"/>
        <v>-3.204325294675523</v>
      </c>
      <c r="L20" s="28">
        <f t="shared" si="3"/>
        <v>317.0443252946755</v>
      </c>
      <c r="M20">
        <f t="shared" si="10"/>
        <v>316.13208333333341</v>
      </c>
      <c r="N20" s="28">
        <f t="shared" si="7"/>
        <v>0.91224196134209024</v>
      </c>
    </row>
    <row r="21" spans="7:14" x14ac:dyDescent="0.4">
      <c r="G21" s="1">
        <v>21824</v>
      </c>
      <c r="H21">
        <f t="shared" si="1"/>
        <v>10</v>
      </c>
      <c r="I21" s="28">
        <v>313.33</v>
      </c>
      <c r="J21" s="28">
        <f t="shared" si="8"/>
        <v>-0.50999999999999091</v>
      </c>
      <c r="K21">
        <f t="shared" si="2"/>
        <v>-3.3270848575170473</v>
      </c>
      <c r="L21" s="28">
        <f t="shared" si="3"/>
        <v>316.65708485751702</v>
      </c>
      <c r="M21">
        <f t="shared" si="10"/>
        <v>316.22541666666666</v>
      </c>
      <c r="N21" s="28">
        <f t="shared" si="7"/>
        <v>0.43166819085035968</v>
      </c>
    </row>
    <row r="22" spans="7:14" x14ac:dyDescent="0.4">
      <c r="G22" s="1">
        <v>21855</v>
      </c>
      <c r="H22">
        <f t="shared" si="1"/>
        <v>11</v>
      </c>
      <c r="I22" s="28">
        <v>314.81</v>
      </c>
      <c r="J22" s="28">
        <f t="shared" si="8"/>
        <v>1.4800000000000182</v>
      </c>
      <c r="K22">
        <f t="shared" si="2"/>
        <v>-2.0516476990471002</v>
      </c>
      <c r="L22" s="28">
        <f t="shared" si="3"/>
        <v>316.86164769904713</v>
      </c>
      <c r="M22">
        <f t="shared" si="10"/>
        <v>316.35291666666666</v>
      </c>
      <c r="N22" s="28">
        <f t="shared" si="7"/>
        <v>0.50873103238046724</v>
      </c>
    </row>
    <row r="23" spans="7:14" x14ac:dyDescent="0.4">
      <c r="G23" s="1">
        <v>21885</v>
      </c>
      <c r="H23">
        <f t="shared" si="1"/>
        <v>12</v>
      </c>
      <c r="I23" s="28">
        <v>315.58</v>
      </c>
      <c r="J23" s="28">
        <f t="shared" si="8"/>
        <v>0.76999999999998181</v>
      </c>
      <c r="K23">
        <f t="shared" si="2"/>
        <v>-0.88768595041322573</v>
      </c>
      <c r="L23" s="28">
        <f t="shared" si="3"/>
        <v>316.46768595041323</v>
      </c>
      <c r="M23">
        <f t="shared" si="10"/>
        <v>316.48541666666665</v>
      </c>
      <c r="N23" s="28">
        <f t="shared" si="7"/>
        <v>-1.7730716253424816E-2</v>
      </c>
    </row>
    <row r="24" spans="7:14" x14ac:dyDescent="0.4">
      <c r="G24" s="1">
        <v>21916</v>
      </c>
      <c r="H24">
        <f t="shared" si="1"/>
        <v>1</v>
      </c>
      <c r="I24" s="28">
        <v>316.43</v>
      </c>
      <c r="J24" s="28">
        <f t="shared" si="8"/>
        <v>0.85000000000002274</v>
      </c>
      <c r="K24">
        <f t="shared" si="2"/>
        <v>5.8898749040328657E-2</v>
      </c>
      <c r="L24" s="28">
        <f t="shared" si="3"/>
        <v>316.37110125095967</v>
      </c>
      <c r="M24">
        <f t="shared" si="10"/>
        <v>316.61333333333329</v>
      </c>
      <c r="N24" s="28">
        <f t="shared" si="7"/>
        <v>-0.2422320823736186</v>
      </c>
    </row>
    <row r="25" spans="7:14" x14ac:dyDescent="0.4">
      <c r="G25" s="1">
        <v>21947</v>
      </c>
      <c r="H25">
        <f t="shared" si="1"/>
        <v>2</v>
      </c>
      <c r="I25" s="28">
        <v>316.98</v>
      </c>
      <c r="J25" s="28">
        <f t="shared" si="8"/>
        <v>0.55000000000001137</v>
      </c>
      <c r="K25">
        <f t="shared" si="2"/>
        <v>0.6941584247843573</v>
      </c>
      <c r="L25" s="28">
        <f t="shared" si="3"/>
        <v>316.28584157521567</v>
      </c>
      <c r="M25">
        <f t="shared" si="10"/>
        <v>316.72750000000002</v>
      </c>
      <c r="N25" s="28">
        <f t="shared" si="7"/>
        <v>-0.44165842478435025</v>
      </c>
    </row>
    <row r="26" spans="7:14" x14ac:dyDescent="0.4">
      <c r="G26" s="1">
        <v>21976</v>
      </c>
      <c r="H26">
        <f t="shared" si="1"/>
        <v>3</v>
      </c>
      <c r="I26" s="28">
        <v>317.58</v>
      </c>
      <c r="J26" s="28">
        <f t="shared" si="8"/>
        <v>0.59999999999996589</v>
      </c>
      <c r="K26">
        <f t="shared" si="2"/>
        <v>1.3722957593821961</v>
      </c>
      <c r="L26" s="28">
        <f t="shared" si="3"/>
        <v>316.20770424061777</v>
      </c>
      <c r="M26">
        <f t="shared" si="10"/>
        <v>316.78708333333333</v>
      </c>
      <c r="N26" s="28">
        <f t="shared" si="7"/>
        <v>-0.57937909271555554</v>
      </c>
    </row>
    <row r="27" spans="7:14" x14ac:dyDescent="0.4">
      <c r="G27" s="1">
        <v>22007</v>
      </c>
      <c r="H27">
        <f t="shared" si="1"/>
        <v>4</v>
      </c>
      <c r="I27" s="28">
        <v>319.02999999999997</v>
      </c>
      <c r="J27" s="28">
        <f t="shared" si="8"/>
        <v>1.4499999999999886</v>
      </c>
      <c r="K27">
        <f t="shared" si="2"/>
        <v>2.5880472384049131</v>
      </c>
      <c r="L27" s="28">
        <f t="shared" si="3"/>
        <v>316.44195276159508</v>
      </c>
      <c r="M27">
        <f t="shared" si="10"/>
        <v>316.82166666666666</v>
      </c>
      <c r="N27" s="28">
        <f t="shared" si="7"/>
        <v>-0.37971390507158276</v>
      </c>
    </row>
    <row r="28" spans="7:14" x14ac:dyDescent="0.4">
      <c r="G28" s="1">
        <v>22037</v>
      </c>
      <c r="H28">
        <f t="shared" si="1"/>
        <v>5</v>
      </c>
      <c r="I28" s="28">
        <v>320.04000000000002</v>
      </c>
      <c r="J28" s="28">
        <f t="shared" si="8"/>
        <v>1.0100000000000477</v>
      </c>
      <c r="K28">
        <f t="shared" si="2"/>
        <v>3.0809752517725739</v>
      </c>
      <c r="L28" s="28">
        <f t="shared" si="3"/>
        <v>316.95902474822742</v>
      </c>
      <c r="M28">
        <f t="shared" si="10"/>
        <v>316.85041666666672</v>
      </c>
      <c r="N28" s="28">
        <f t="shared" si="7"/>
        <v>0.10860808156070334</v>
      </c>
    </row>
    <row r="29" spans="7:14" x14ac:dyDescent="0.4">
      <c r="G29" s="1">
        <v>22068</v>
      </c>
      <c r="H29">
        <f t="shared" si="1"/>
        <v>6</v>
      </c>
      <c r="I29" s="28">
        <v>319.58</v>
      </c>
      <c r="J29" s="28">
        <f t="shared" si="8"/>
        <v>-0.46000000000003638</v>
      </c>
      <c r="K29">
        <f t="shared" si="2"/>
        <v>2.3583796233572674</v>
      </c>
      <c r="L29" s="28">
        <f t="shared" si="3"/>
        <v>317.2216203766427</v>
      </c>
      <c r="M29">
        <f t="shared" si="10"/>
        <v>316.88374999999996</v>
      </c>
      <c r="N29" s="28">
        <f t="shared" si="7"/>
        <v>0.33787037664274067</v>
      </c>
    </row>
    <row r="30" spans="7:14" x14ac:dyDescent="0.4">
      <c r="G30" s="1">
        <v>22098</v>
      </c>
      <c r="H30">
        <f t="shared" si="1"/>
        <v>7</v>
      </c>
      <c r="I30" s="28">
        <v>318.18</v>
      </c>
      <c r="J30" s="28">
        <f t="shared" si="8"/>
        <v>-1.3999999999999773</v>
      </c>
      <c r="K30">
        <f t="shared" si="2"/>
        <v>0.72791514248295042</v>
      </c>
      <c r="L30" s="28">
        <f t="shared" si="3"/>
        <v>317.45208485751704</v>
      </c>
      <c r="M30">
        <f t="shared" si="10"/>
        <v>316.92874999999998</v>
      </c>
      <c r="N30" s="28">
        <f t="shared" si="7"/>
        <v>0.52333485751705666</v>
      </c>
    </row>
    <row r="31" spans="7:14" x14ac:dyDescent="0.4">
      <c r="G31" s="1">
        <v>22129</v>
      </c>
      <c r="H31">
        <f t="shared" si="1"/>
        <v>8</v>
      </c>
      <c r="I31" s="28">
        <v>315.89999999999998</v>
      </c>
      <c r="J31" s="28">
        <f t="shared" si="8"/>
        <v>-2.2800000000000296</v>
      </c>
      <c r="K31">
        <f t="shared" si="2"/>
        <v>-1.4099263875716923</v>
      </c>
      <c r="L31" s="28">
        <f t="shared" si="3"/>
        <v>317.30992638757169</v>
      </c>
      <c r="M31">
        <f t="shared" si="10"/>
        <v>316.9783333333333</v>
      </c>
      <c r="N31" s="28">
        <f t="shared" si="7"/>
        <v>0.33159305423839669</v>
      </c>
    </row>
    <row r="32" spans="7:14" x14ac:dyDescent="0.4">
      <c r="G32" s="1">
        <v>22160</v>
      </c>
      <c r="H32">
        <f t="shared" si="1"/>
        <v>9</v>
      </c>
      <c r="I32" s="28">
        <v>314.17</v>
      </c>
      <c r="J32" s="28">
        <f t="shared" si="8"/>
        <v>-1.7299999999999613</v>
      </c>
      <c r="K32">
        <f t="shared" si="2"/>
        <v>-3.204325294675523</v>
      </c>
      <c r="L32" s="28">
        <f t="shared" si="3"/>
        <v>317.37432529467554</v>
      </c>
      <c r="M32">
        <f t="shared" si="10"/>
        <v>317.04833333333329</v>
      </c>
      <c r="N32" s="28">
        <f t="shared" si="7"/>
        <v>0.32599196134225394</v>
      </c>
    </row>
    <row r="33" spans="7:14" x14ac:dyDescent="0.4">
      <c r="G33" s="1">
        <v>22190</v>
      </c>
      <c r="H33">
        <f t="shared" si="1"/>
        <v>10</v>
      </c>
      <c r="I33" s="28">
        <v>313.83</v>
      </c>
      <c r="J33" s="28">
        <f t="shared" si="8"/>
        <v>-0.34000000000003183</v>
      </c>
      <c r="K33">
        <f t="shared" si="2"/>
        <v>-3.3270848575170473</v>
      </c>
      <c r="L33" s="28">
        <f t="shared" si="3"/>
        <v>317.15708485751702</v>
      </c>
      <c r="M33">
        <f t="shared" si="10"/>
        <v>317.10708333333326</v>
      </c>
      <c r="N33" s="28">
        <f t="shared" si="7"/>
        <v>5.0001524183755919E-2</v>
      </c>
    </row>
    <row r="34" spans="7:14" x14ac:dyDescent="0.4">
      <c r="G34" s="1">
        <v>22221</v>
      </c>
      <c r="H34">
        <f t="shared" si="1"/>
        <v>11</v>
      </c>
      <c r="I34" s="28">
        <v>315</v>
      </c>
      <c r="J34" s="28">
        <f t="shared" si="8"/>
        <v>1.1700000000000159</v>
      </c>
      <c r="K34">
        <f t="shared" si="2"/>
        <v>-2.0516476990471002</v>
      </c>
      <c r="L34" s="28">
        <f t="shared" si="3"/>
        <v>317.05164769904712</v>
      </c>
      <c r="M34">
        <f t="shared" si="10"/>
        <v>317.14833333333337</v>
      </c>
      <c r="N34" s="28">
        <f t="shared" si="7"/>
        <v>-9.6685634286245659E-2</v>
      </c>
    </row>
    <row r="35" spans="7:14" x14ac:dyDescent="0.4">
      <c r="G35" s="1">
        <v>22251</v>
      </c>
      <c r="H35">
        <f t="shared" si="1"/>
        <v>12</v>
      </c>
      <c r="I35" s="28">
        <v>316.19</v>
      </c>
      <c r="J35" s="28">
        <f t="shared" si="8"/>
        <v>1.1899999999999977</v>
      </c>
      <c r="K35">
        <f t="shared" si="2"/>
        <v>-0.88768595041322573</v>
      </c>
      <c r="L35" s="28">
        <f t="shared" si="3"/>
        <v>317.07768595041324</v>
      </c>
      <c r="M35">
        <f t="shared" si="10"/>
        <v>317.17874999999998</v>
      </c>
      <c r="N35" s="28">
        <f t="shared" si="7"/>
        <v>-0.1010640495867392</v>
      </c>
    </row>
    <row r="36" spans="7:14" x14ac:dyDescent="0.4">
      <c r="G36" s="1">
        <v>22282</v>
      </c>
      <c r="H36">
        <f t="shared" si="1"/>
        <v>1</v>
      </c>
      <c r="I36" s="28">
        <v>316.89999999999998</v>
      </c>
      <c r="J36" s="28">
        <f t="shared" si="8"/>
        <v>0.70999999999997954</v>
      </c>
      <c r="K36">
        <f t="shared" si="2"/>
        <v>5.8898749040328657E-2</v>
      </c>
      <c r="L36" s="28">
        <f t="shared" si="3"/>
        <v>316.84110125095964</v>
      </c>
      <c r="M36">
        <f t="shared" si="10"/>
        <v>317.20291666666662</v>
      </c>
      <c r="N36" s="28">
        <f t="shared" si="7"/>
        <v>-0.36181541570698528</v>
      </c>
    </row>
    <row r="37" spans="7:14" x14ac:dyDescent="0.4">
      <c r="G37" s="1">
        <v>22313</v>
      </c>
      <c r="H37">
        <f t="shared" si="1"/>
        <v>2</v>
      </c>
      <c r="I37" s="28">
        <v>317.7</v>
      </c>
      <c r="J37" s="28">
        <f t="shared" si="8"/>
        <v>0.80000000000001137</v>
      </c>
      <c r="K37">
        <f t="shared" si="2"/>
        <v>0.6941584247843573</v>
      </c>
      <c r="L37" s="28">
        <f t="shared" si="3"/>
        <v>317.00584157521564</v>
      </c>
      <c r="M37">
        <f t="shared" si="10"/>
        <v>317.25624999999997</v>
      </c>
      <c r="N37" s="28">
        <f t="shared" si="7"/>
        <v>-0.25040842478432523</v>
      </c>
    </row>
    <row r="38" spans="7:14" x14ac:dyDescent="0.4">
      <c r="G38" s="1">
        <v>22341</v>
      </c>
      <c r="H38">
        <f t="shared" si="1"/>
        <v>3</v>
      </c>
      <c r="I38" s="28">
        <v>318.54000000000002</v>
      </c>
      <c r="J38" s="28">
        <f t="shared" si="8"/>
        <v>0.84000000000003183</v>
      </c>
      <c r="K38">
        <f t="shared" si="2"/>
        <v>1.3722957593821961</v>
      </c>
      <c r="L38" s="28">
        <f t="shared" si="3"/>
        <v>317.16770424061781</v>
      </c>
      <c r="M38">
        <f t="shared" si="10"/>
        <v>317.32749999999993</v>
      </c>
      <c r="N38" s="28">
        <f t="shared" si="7"/>
        <v>-0.15979575938212065</v>
      </c>
    </row>
    <row r="39" spans="7:14" x14ac:dyDescent="0.4">
      <c r="G39" s="1">
        <v>22372</v>
      </c>
      <c r="H39">
        <f t="shared" si="1"/>
        <v>4</v>
      </c>
      <c r="I39" s="28">
        <v>319.48</v>
      </c>
      <c r="J39" s="28">
        <f t="shared" si="8"/>
        <v>0.93999999999999773</v>
      </c>
      <c r="K39">
        <f t="shared" si="2"/>
        <v>2.5880472384049131</v>
      </c>
      <c r="L39" s="28">
        <f t="shared" si="3"/>
        <v>316.89195276159512</v>
      </c>
      <c r="M39">
        <f t="shared" si="10"/>
        <v>317.42333333333335</v>
      </c>
      <c r="N39" s="28">
        <f t="shared" si="7"/>
        <v>-0.53138057173822517</v>
      </c>
    </row>
    <row r="40" spans="7:14" x14ac:dyDescent="0.4">
      <c r="G40" s="1">
        <v>22402</v>
      </c>
      <c r="H40">
        <f t="shared" si="1"/>
        <v>5</v>
      </c>
      <c r="I40" s="28">
        <v>320.58</v>
      </c>
      <c r="J40" s="28">
        <f t="shared" si="8"/>
        <v>1.0999999999999659</v>
      </c>
      <c r="K40">
        <f t="shared" si="2"/>
        <v>3.0809752517725739</v>
      </c>
      <c r="L40" s="28">
        <f t="shared" si="3"/>
        <v>317.49902474822738</v>
      </c>
      <c r="M40">
        <f t="shared" si="10"/>
        <v>317.53083333333331</v>
      </c>
      <c r="N40" s="28">
        <f t="shared" si="7"/>
        <v>-3.1808585105920884E-2</v>
      </c>
    </row>
    <row r="41" spans="7:14" x14ac:dyDescent="0.4">
      <c r="G41" s="1">
        <v>22433</v>
      </c>
      <c r="H41">
        <f t="shared" si="1"/>
        <v>6</v>
      </c>
      <c r="I41" s="28">
        <v>319.77</v>
      </c>
      <c r="J41" s="28">
        <f t="shared" si="8"/>
        <v>-0.81000000000000227</v>
      </c>
      <c r="K41">
        <f t="shared" si="2"/>
        <v>2.3583796233572674</v>
      </c>
      <c r="L41" s="28">
        <f t="shared" si="3"/>
        <v>317.4116203766427</v>
      </c>
      <c r="M41">
        <f t="shared" si="10"/>
        <v>317.61083333333335</v>
      </c>
      <c r="N41" s="28">
        <f t="shared" si="7"/>
        <v>-0.19921295669064421</v>
      </c>
    </row>
    <row r="42" spans="7:14" x14ac:dyDescent="0.4">
      <c r="G42" s="1">
        <v>22463</v>
      </c>
      <c r="H42">
        <f t="shared" si="1"/>
        <v>7</v>
      </c>
      <c r="I42" s="28">
        <v>318.57</v>
      </c>
      <c r="J42" s="28">
        <f t="shared" si="8"/>
        <v>-1.1999999999999886</v>
      </c>
      <c r="K42">
        <f t="shared" si="2"/>
        <v>0.72791514248295042</v>
      </c>
      <c r="L42" s="28">
        <f t="shared" si="3"/>
        <v>317.84208485751702</v>
      </c>
      <c r="M42">
        <f t="shared" si="10"/>
        <v>317.68833333333333</v>
      </c>
      <c r="N42" s="28">
        <f t="shared" si="7"/>
        <v>0.15375152418368998</v>
      </c>
    </row>
    <row r="43" spans="7:14" x14ac:dyDescent="0.4">
      <c r="G43" s="1">
        <v>22494</v>
      </c>
      <c r="H43">
        <f t="shared" si="1"/>
        <v>8</v>
      </c>
      <c r="I43" s="28">
        <v>316.79000000000002</v>
      </c>
      <c r="J43" s="28">
        <f t="shared" si="8"/>
        <v>-1.7799999999999727</v>
      </c>
      <c r="K43">
        <f t="shared" si="2"/>
        <v>-1.4099263875716923</v>
      </c>
      <c r="L43" s="28">
        <f t="shared" si="3"/>
        <v>318.19992638757174</v>
      </c>
      <c r="M43">
        <f t="shared" si="10"/>
        <v>317.76708333333335</v>
      </c>
      <c r="N43" s="28">
        <f t="shared" si="7"/>
        <v>0.43284305423838987</v>
      </c>
    </row>
    <row r="44" spans="7:14" x14ac:dyDescent="0.4">
      <c r="G44" s="1">
        <v>22525</v>
      </c>
      <c r="H44">
        <f t="shared" si="1"/>
        <v>9</v>
      </c>
      <c r="I44" s="28">
        <v>314.99</v>
      </c>
      <c r="J44" s="28">
        <f t="shared" si="8"/>
        <v>-1.8000000000000114</v>
      </c>
      <c r="K44">
        <f t="shared" si="2"/>
        <v>-3.204325294675523</v>
      </c>
      <c r="L44" s="28">
        <f t="shared" si="3"/>
        <v>318.19432529467554</v>
      </c>
      <c r="M44">
        <f t="shared" si="10"/>
        <v>317.84999999999997</v>
      </c>
      <c r="N44" s="28">
        <f t="shared" si="7"/>
        <v>0.3443252946755706</v>
      </c>
    </row>
    <row r="45" spans="7:14" x14ac:dyDescent="0.4">
      <c r="G45" s="1">
        <v>22555</v>
      </c>
      <c r="H45">
        <f t="shared" si="1"/>
        <v>10</v>
      </c>
      <c r="I45" s="28">
        <v>315.31</v>
      </c>
      <c r="J45" s="28">
        <f t="shared" si="8"/>
        <v>0.31999999999999318</v>
      </c>
      <c r="K45">
        <f t="shared" si="2"/>
        <v>-3.3270848575170473</v>
      </c>
      <c r="L45" s="28">
        <f t="shared" si="3"/>
        <v>318.63708485751704</v>
      </c>
      <c r="M45">
        <f t="shared" si="10"/>
        <v>317.94291666666658</v>
      </c>
      <c r="N45" s="28">
        <f t="shared" si="7"/>
        <v>0.694168190850462</v>
      </c>
    </row>
    <row r="46" spans="7:14" x14ac:dyDescent="0.4">
      <c r="G46" s="1">
        <v>22586</v>
      </c>
      <c r="H46">
        <f t="shared" si="1"/>
        <v>11</v>
      </c>
      <c r="I46" s="28">
        <v>316.10000000000002</v>
      </c>
      <c r="J46" s="28">
        <f t="shared" si="8"/>
        <v>0.79000000000002046</v>
      </c>
      <c r="K46">
        <f t="shared" si="2"/>
        <v>-2.0516476990471002</v>
      </c>
      <c r="L46" s="28">
        <f t="shared" si="3"/>
        <v>318.15164769904715</v>
      </c>
      <c r="M46">
        <f t="shared" si="10"/>
        <v>318.00666666666666</v>
      </c>
      <c r="N46" s="28">
        <f t="shared" si="7"/>
        <v>0.14498103238048543</v>
      </c>
    </row>
    <row r="47" spans="7:14" x14ac:dyDescent="0.4">
      <c r="G47" s="1">
        <v>22616</v>
      </c>
      <c r="H47">
        <f t="shared" si="1"/>
        <v>12</v>
      </c>
      <c r="I47" s="28">
        <v>317.01</v>
      </c>
      <c r="J47" s="28">
        <f t="shared" si="8"/>
        <v>0.90999999999996817</v>
      </c>
      <c r="K47">
        <f t="shared" si="2"/>
        <v>-0.88768595041322573</v>
      </c>
      <c r="L47" s="28">
        <f t="shared" si="3"/>
        <v>317.89768595041323</v>
      </c>
      <c r="M47">
        <f t="shared" si="10"/>
        <v>318.06041666666664</v>
      </c>
      <c r="N47" s="28">
        <f t="shared" si="7"/>
        <v>-0.16273071625340663</v>
      </c>
    </row>
    <row r="48" spans="7:14" x14ac:dyDescent="0.4">
      <c r="G48" s="1">
        <v>22647</v>
      </c>
      <c r="H48">
        <f t="shared" si="1"/>
        <v>1</v>
      </c>
      <c r="I48" s="28">
        <v>317.94</v>
      </c>
      <c r="J48" s="28">
        <f t="shared" si="8"/>
        <v>0.93000000000000682</v>
      </c>
      <c r="K48">
        <f t="shared" si="2"/>
        <v>5.8898749040328657E-2</v>
      </c>
      <c r="L48" s="28">
        <f t="shared" si="3"/>
        <v>317.88110125095966</v>
      </c>
      <c r="M48">
        <f t="shared" si="10"/>
        <v>318.13916666666665</v>
      </c>
      <c r="N48" s="28">
        <f t="shared" si="7"/>
        <v>-0.25806541570699437</v>
      </c>
    </row>
    <row r="49" spans="7:14" x14ac:dyDescent="0.4">
      <c r="G49" s="1">
        <v>22678</v>
      </c>
      <c r="H49">
        <f t="shared" si="1"/>
        <v>2</v>
      </c>
      <c r="I49" s="28">
        <v>318.55</v>
      </c>
      <c r="J49" s="28">
        <f t="shared" si="8"/>
        <v>0.61000000000001364</v>
      </c>
      <c r="K49">
        <f t="shared" si="2"/>
        <v>0.6941584247843573</v>
      </c>
      <c r="L49" s="28">
        <f t="shared" si="3"/>
        <v>317.85584157521566</v>
      </c>
      <c r="M49">
        <f t="shared" si="10"/>
        <v>318.20791666666668</v>
      </c>
      <c r="N49" s="28">
        <f t="shared" si="7"/>
        <v>-0.35207509145101312</v>
      </c>
    </row>
    <row r="50" spans="7:14" x14ac:dyDescent="0.4">
      <c r="G50" s="1">
        <v>22706</v>
      </c>
      <c r="H50">
        <f t="shared" si="1"/>
        <v>3</v>
      </c>
      <c r="I50" s="28">
        <v>319.68</v>
      </c>
      <c r="J50" s="28">
        <f t="shared" si="8"/>
        <v>1.1299999999999955</v>
      </c>
      <c r="K50">
        <f t="shared" si="2"/>
        <v>1.3722957593821961</v>
      </c>
      <c r="L50" s="28">
        <f t="shared" si="3"/>
        <v>318.3077042406178</v>
      </c>
      <c r="M50">
        <f t="shared" si="10"/>
        <v>318.2858333333333</v>
      </c>
      <c r="N50" s="28">
        <f t="shared" si="7"/>
        <v>2.1870907284494479E-2</v>
      </c>
    </row>
    <row r="51" spans="7:14" x14ac:dyDescent="0.4">
      <c r="G51" s="1">
        <v>22737</v>
      </c>
      <c r="H51">
        <f t="shared" si="1"/>
        <v>4</v>
      </c>
      <c r="I51" s="28">
        <v>320.57</v>
      </c>
      <c r="J51" s="28">
        <f t="shared" si="8"/>
        <v>0.88999999999998636</v>
      </c>
      <c r="K51">
        <f t="shared" si="2"/>
        <v>2.5880472384049131</v>
      </c>
      <c r="L51" s="28">
        <f t="shared" si="3"/>
        <v>317.9819527615951</v>
      </c>
      <c r="M51">
        <f t="shared" si="10"/>
        <v>318.34291666666661</v>
      </c>
      <c r="N51" s="28">
        <f t="shared" si="7"/>
        <v>-0.36096390507151455</v>
      </c>
    </row>
    <row r="52" spans="7:14" x14ac:dyDescent="0.4">
      <c r="G52" s="1">
        <v>22767</v>
      </c>
      <c r="H52">
        <f t="shared" si="1"/>
        <v>5</v>
      </c>
      <c r="I52" s="28">
        <v>321.02</v>
      </c>
      <c r="J52" s="28">
        <f t="shared" si="8"/>
        <v>0.44999999999998863</v>
      </c>
      <c r="K52">
        <f t="shared" si="2"/>
        <v>3.0809752517725739</v>
      </c>
      <c r="L52" s="28">
        <f t="shared" si="3"/>
        <v>317.93902474822738</v>
      </c>
      <c r="M52">
        <f t="shared" si="10"/>
        <v>318.37208333333336</v>
      </c>
      <c r="N52" s="28">
        <f t="shared" si="7"/>
        <v>-0.43305858510598227</v>
      </c>
    </row>
    <row r="53" spans="7:14" x14ac:dyDescent="0.4">
      <c r="G53" s="1">
        <v>22798</v>
      </c>
      <c r="H53">
        <f t="shared" si="1"/>
        <v>6</v>
      </c>
      <c r="I53" s="28">
        <v>320.62</v>
      </c>
      <c r="J53" s="28">
        <f t="shared" si="8"/>
        <v>-0.39999999999997726</v>
      </c>
      <c r="K53">
        <f t="shared" si="2"/>
        <v>2.3583796233572674</v>
      </c>
      <c r="L53" s="28">
        <f t="shared" si="3"/>
        <v>318.26162037664272</v>
      </c>
      <c r="M53">
        <f t="shared" si="10"/>
        <v>318.42541666666665</v>
      </c>
      <c r="N53" s="28">
        <f t="shared" si="7"/>
        <v>-0.16379629002392448</v>
      </c>
    </row>
    <row r="54" spans="7:14" x14ac:dyDescent="0.4">
      <c r="G54" s="1">
        <v>22828</v>
      </c>
      <c r="H54">
        <f t="shared" si="1"/>
        <v>7</v>
      </c>
      <c r="I54" s="28">
        <v>319.61</v>
      </c>
      <c r="J54" s="28">
        <f t="shared" si="8"/>
        <v>-1.0099999999999909</v>
      </c>
      <c r="K54">
        <f t="shared" si="2"/>
        <v>0.72791514248295042</v>
      </c>
      <c r="L54" s="28">
        <f t="shared" si="3"/>
        <v>318.88208485751704</v>
      </c>
      <c r="M54">
        <f t="shared" si="10"/>
        <v>318.48750000000001</v>
      </c>
      <c r="N54" s="28">
        <f t="shared" si="7"/>
        <v>0.39458485751703165</v>
      </c>
    </row>
    <row r="55" spans="7:14" x14ac:dyDescent="0.4">
      <c r="G55" s="1">
        <v>22859</v>
      </c>
      <c r="H55">
        <f t="shared" si="1"/>
        <v>8</v>
      </c>
      <c r="I55" s="28">
        <v>317.39999999999998</v>
      </c>
      <c r="J55" s="28">
        <f t="shared" si="8"/>
        <v>-2.2100000000000364</v>
      </c>
      <c r="K55">
        <f t="shared" si="2"/>
        <v>-1.4099263875716923</v>
      </c>
      <c r="L55" s="28">
        <f t="shared" si="3"/>
        <v>318.80992638757169</v>
      </c>
      <c r="M55">
        <f t="shared" si="10"/>
        <v>318.54249999999996</v>
      </c>
      <c r="N55" s="28">
        <f t="shared" si="7"/>
        <v>0.26742638757173154</v>
      </c>
    </row>
    <row r="56" spans="7:14" x14ac:dyDescent="0.4">
      <c r="G56" s="1">
        <v>22890</v>
      </c>
      <c r="H56">
        <f t="shared" si="1"/>
        <v>9</v>
      </c>
      <c r="I56" s="28">
        <v>316.25</v>
      </c>
      <c r="J56" s="28">
        <f t="shared" si="8"/>
        <v>-1.1499999999999773</v>
      </c>
      <c r="K56">
        <f t="shared" si="2"/>
        <v>-3.204325294675523</v>
      </c>
      <c r="L56" s="28">
        <f t="shared" si="3"/>
        <v>319.45432529467553</v>
      </c>
      <c r="M56">
        <f t="shared" si="10"/>
        <v>318.57166666666666</v>
      </c>
      <c r="N56" s="28">
        <f t="shared" si="7"/>
        <v>0.88265862800886907</v>
      </c>
    </row>
    <row r="57" spans="7:14" x14ac:dyDescent="0.4">
      <c r="G57" s="1">
        <v>22920</v>
      </c>
      <c r="H57">
        <f t="shared" si="1"/>
        <v>10</v>
      </c>
      <c r="I57" s="28">
        <v>315.42</v>
      </c>
      <c r="J57" s="28">
        <f t="shared" si="8"/>
        <v>-0.82999999999998408</v>
      </c>
      <c r="K57">
        <f t="shared" si="2"/>
        <v>-3.3270848575170473</v>
      </c>
      <c r="L57" s="28">
        <f t="shared" si="3"/>
        <v>318.74708485751705</v>
      </c>
      <c r="M57">
        <f t="shared" si="10"/>
        <v>318.61291666666671</v>
      </c>
      <c r="N57" s="28">
        <f t="shared" si="7"/>
        <v>0.13416819085034604</v>
      </c>
    </row>
    <row r="58" spans="7:14" x14ac:dyDescent="0.4">
      <c r="G58" s="1">
        <v>22951</v>
      </c>
      <c r="H58">
        <f t="shared" si="1"/>
        <v>11</v>
      </c>
      <c r="I58" s="28">
        <v>316.69</v>
      </c>
      <c r="J58" s="28">
        <f t="shared" si="8"/>
        <v>1.2699999999999818</v>
      </c>
      <c r="K58">
        <f t="shared" si="2"/>
        <v>-2.0516476990471002</v>
      </c>
      <c r="L58" s="28">
        <f t="shared" si="3"/>
        <v>318.74164769904712</v>
      </c>
      <c r="M58">
        <f t="shared" si="10"/>
        <v>318.69791666666663</v>
      </c>
      <c r="N58" s="28">
        <f t="shared" si="7"/>
        <v>4.3731032380492252E-2</v>
      </c>
    </row>
    <row r="59" spans="7:14" x14ac:dyDescent="0.4">
      <c r="G59" s="1">
        <v>22981</v>
      </c>
      <c r="H59">
        <f t="shared" si="1"/>
        <v>12</v>
      </c>
      <c r="I59" s="28">
        <v>317.7</v>
      </c>
      <c r="J59" s="28">
        <f t="shared" si="8"/>
        <v>1.0099999999999909</v>
      </c>
      <c r="K59">
        <f t="shared" si="2"/>
        <v>-0.88768595041322573</v>
      </c>
      <c r="L59" s="28">
        <f t="shared" si="3"/>
        <v>318.58768595041323</v>
      </c>
      <c r="M59">
        <f t="shared" si="10"/>
        <v>318.78499999999997</v>
      </c>
      <c r="N59" s="28">
        <f t="shared" si="7"/>
        <v>-0.19731404958673693</v>
      </c>
    </row>
    <row r="60" spans="7:14" x14ac:dyDescent="0.4">
      <c r="G60" s="1">
        <v>23012</v>
      </c>
      <c r="H60">
        <f t="shared" si="1"/>
        <v>1</v>
      </c>
      <c r="I60" s="28">
        <v>318.74</v>
      </c>
      <c r="J60" s="28">
        <f t="shared" si="8"/>
        <v>1.0400000000000205</v>
      </c>
      <c r="K60">
        <f t="shared" si="2"/>
        <v>5.8898749040328657E-2</v>
      </c>
      <c r="L60" s="28">
        <f t="shared" si="3"/>
        <v>318.68110125095967</v>
      </c>
      <c r="M60">
        <f t="shared" si="10"/>
        <v>318.82625000000002</v>
      </c>
      <c r="N60" s="28">
        <f t="shared" si="7"/>
        <v>-0.14514874904034514</v>
      </c>
    </row>
    <row r="61" spans="7:14" x14ac:dyDescent="0.4">
      <c r="G61" s="1">
        <v>23043</v>
      </c>
      <c r="H61">
        <f t="shared" si="1"/>
        <v>2</v>
      </c>
      <c r="I61" s="28">
        <v>319.07</v>
      </c>
      <c r="J61" s="28">
        <f t="shared" si="8"/>
        <v>0.32999999999998408</v>
      </c>
      <c r="K61">
        <f t="shared" si="2"/>
        <v>0.6941584247843573</v>
      </c>
      <c r="L61" s="28">
        <f t="shared" si="3"/>
        <v>318.37584157521565</v>
      </c>
      <c r="M61">
        <f t="shared" si="10"/>
        <v>318.84708333333333</v>
      </c>
      <c r="N61" s="28">
        <f t="shared" si="7"/>
        <v>-0.47124175811768509</v>
      </c>
    </row>
    <row r="62" spans="7:14" x14ac:dyDescent="0.4">
      <c r="G62" s="1">
        <v>23071</v>
      </c>
      <c r="H62">
        <f t="shared" si="1"/>
        <v>3</v>
      </c>
      <c r="I62" s="28">
        <v>319.86</v>
      </c>
      <c r="J62" s="28">
        <f t="shared" si="8"/>
        <v>0.79000000000002046</v>
      </c>
      <c r="K62">
        <f t="shared" si="2"/>
        <v>1.3722957593821961</v>
      </c>
      <c r="L62" s="28">
        <f t="shared" si="3"/>
        <v>318.4877042406178</v>
      </c>
      <c r="M62">
        <f t="shared" si="10"/>
        <v>318.86083333333335</v>
      </c>
      <c r="N62" s="28">
        <f t="shared" si="7"/>
        <v>-0.37312909271554418</v>
      </c>
    </row>
    <row r="63" spans="7:14" x14ac:dyDescent="0.4">
      <c r="G63" s="1">
        <v>23102</v>
      </c>
      <c r="H63">
        <f t="shared" si="1"/>
        <v>4</v>
      </c>
      <c r="I63" s="28">
        <v>321.38</v>
      </c>
      <c r="J63" s="28">
        <f t="shared" si="8"/>
        <v>1.5199999999999818</v>
      </c>
      <c r="K63">
        <f t="shared" si="2"/>
        <v>2.5880472384049131</v>
      </c>
      <c r="L63" s="28">
        <f t="shared" si="3"/>
        <v>318.7919527615951</v>
      </c>
      <c r="M63">
        <f t="shared" si="10"/>
        <v>318.88291666666669</v>
      </c>
      <c r="N63" s="28">
        <f t="shared" si="7"/>
        <v>-9.0963905071589579E-2</v>
      </c>
    </row>
    <row r="64" spans="7:14" x14ac:dyDescent="0.4">
      <c r="G64" s="1">
        <v>23132</v>
      </c>
      <c r="H64">
        <f t="shared" si="1"/>
        <v>5</v>
      </c>
      <c r="I64" s="28">
        <v>322.25</v>
      </c>
      <c r="J64" s="28">
        <f t="shared" si="8"/>
        <v>0.87000000000000455</v>
      </c>
      <c r="K64">
        <f t="shared" si="2"/>
        <v>3.0809752517725739</v>
      </c>
      <c r="L64" s="28">
        <f t="shared" si="3"/>
        <v>319.1690247482274</v>
      </c>
      <c r="M64">
        <f t="shared" si="10"/>
        <v>318.92249999999996</v>
      </c>
      <c r="N64" s="28">
        <f t="shared" si="7"/>
        <v>0.24652474822744352</v>
      </c>
    </row>
    <row r="65" spans="7:14" x14ac:dyDescent="0.4">
      <c r="G65" s="1">
        <v>23163</v>
      </c>
      <c r="H65">
        <f t="shared" si="1"/>
        <v>6</v>
      </c>
      <c r="I65" s="28">
        <v>321.48</v>
      </c>
      <c r="J65" s="28">
        <f t="shared" si="8"/>
        <v>-0.76999999999998181</v>
      </c>
      <c r="K65">
        <f t="shared" si="2"/>
        <v>2.3583796233572674</v>
      </c>
      <c r="L65" s="28">
        <f t="shared" si="3"/>
        <v>319.12162037664274</v>
      </c>
      <c r="M65">
        <f t="shared" si="10"/>
        <v>318.96541666666673</v>
      </c>
      <c r="N65" s="28">
        <f t="shared" si="7"/>
        <v>0.15620370997601185</v>
      </c>
    </row>
    <row r="66" spans="7:14" x14ac:dyDescent="0.4">
      <c r="G66" s="1">
        <v>23193</v>
      </c>
      <c r="H66">
        <f t="shared" si="1"/>
        <v>7</v>
      </c>
      <c r="I66" s="28">
        <v>319.74</v>
      </c>
      <c r="J66" s="28">
        <f t="shared" si="8"/>
        <v>-1.7400000000000091</v>
      </c>
      <c r="K66">
        <f t="shared" si="2"/>
        <v>0.72791514248295042</v>
      </c>
      <c r="L66" s="28">
        <f t="shared" si="3"/>
        <v>319.01208485751704</v>
      </c>
      <c r="M66">
        <f t="shared" si="10"/>
        <v>319.02708333333334</v>
      </c>
      <c r="N66" s="28">
        <f t="shared" si="7"/>
        <v>-1.4998475816298651E-2</v>
      </c>
    </row>
    <row r="67" spans="7:14" x14ac:dyDescent="0.4">
      <c r="G67" s="1">
        <v>23224</v>
      </c>
      <c r="H67">
        <f t="shared" ref="H67:H130" si="11">MONTH(G67)</f>
        <v>8</v>
      </c>
      <c r="I67" s="28">
        <v>317.77</v>
      </c>
      <c r="J67" s="28">
        <f t="shared" si="8"/>
        <v>-1.9700000000000273</v>
      </c>
      <c r="K67">
        <f t="shared" ref="K67:K130" si="12">INDEX($E$3:$E$14,H67)</f>
        <v>-1.4099263875716923</v>
      </c>
      <c r="L67" s="28">
        <f t="shared" ref="L67:L130" si="13">I67-K67</f>
        <v>319.1799263875717</v>
      </c>
      <c r="M67">
        <f t="shared" si="10"/>
        <v>319.1112155647383</v>
      </c>
      <c r="N67" s="28">
        <f t="shared" si="7"/>
        <v>6.8710822833395468E-2</v>
      </c>
    </row>
    <row r="68" spans="7:14" x14ac:dyDescent="0.4">
      <c r="G68" s="1">
        <v>23255</v>
      </c>
      <c r="H68">
        <f t="shared" si="11"/>
        <v>9</v>
      </c>
      <c r="I68" s="28">
        <v>316.20999999999998</v>
      </c>
      <c r="J68" s="28">
        <f t="shared" ref="J68:J131" si="14">I68-I67</f>
        <v>-1.5600000000000023</v>
      </c>
      <c r="K68">
        <f t="shared" si="12"/>
        <v>-3.204325294675523</v>
      </c>
      <c r="L68" s="28">
        <f t="shared" si="13"/>
        <v>319.41432529467551</v>
      </c>
      <c r="M68">
        <f t="shared" si="10"/>
        <v>319.20425964187325</v>
      </c>
      <c r="N68" s="28">
        <f t="shared" si="7"/>
        <v>0.21006565280225686</v>
      </c>
    </row>
    <row r="69" spans="7:14" x14ac:dyDescent="0.4">
      <c r="G69" s="1">
        <v>23285</v>
      </c>
      <c r="H69">
        <f t="shared" si="11"/>
        <v>10</v>
      </c>
      <c r="I69" s="28">
        <v>315.99</v>
      </c>
      <c r="J69" s="28">
        <f t="shared" si="14"/>
        <v>-0.21999999999997044</v>
      </c>
      <c r="K69">
        <f t="shared" si="12"/>
        <v>-3.3270848575170473</v>
      </c>
      <c r="L69" s="28">
        <f t="shared" si="13"/>
        <v>319.31708485751705</v>
      </c>
      <c r="M69">
        <f t="shared" si="10"/>
        <v>319.25663223140498</v>
      </c>
      <c r="N69" s="28">
        <f t="shared" si="7"/>
        <v>6.045262611206681E-2</v>
      </c>
    </row>
    <row r="70" spans="7:14" x14ac:dyDescent="0.4">
      <c r="G70" s="1">
        <v>23316</v>
      </c>
      <c r="H70">
        <f t="shared" si="11"/>
        <v>11</v>
      </c>
      <c r="I70" s="28">
        <v>317.07</v>
      </c>
      <c r="J70" s="28">
        <f t="shared" si="14"/>
        <v>1.0799999999999841</v>
      </c>
      <c r="K70">
        <f t="shared" si="12"/>
        <v>-2.0516476990471002</v>
      </c>
      <c r="L70" s="28">
        <f t="shared" si="13"/>
        <v>319.12164769904712</v>
      </c>
      <c r="M70">
        <f t="shared" si="10"/>
        <v>319.26592630853992</v>
      </c>
      <c r="N70" s="28">
        <f t="shared" si="7"/>
        <v>-0.14427860949280102</v>
      </c>
    </row>
    <row r="71" spans="7:14" x14ac:dyDescent="0.4">
      <c r="G71" s="1">
        <v>23346</v>
      </c>
      <c r="H71">
        <f t="shared" si="11"/>
        <v>12</v>
      </c>
      <c r="I71" s="28">
        <v>318.35000000000002</v>
      </c>
      <c r="J71" s="28">
        <f t="shared" si="14"/>
        <v>1.2800000000000296</v>
      </c>
      <c r="K71">
        <f t="shared" si="12"/>
        <v>-0.88768595041322573</v>
      </c>
      <c r="L71" s="28">
        <f t="shared" si="13"/>
        <v>319.23768595041327</v>
      </c>
      <c r="M71">
        <f t="shared" si="10"/>
        <v>319.2834263085399</v>
      </c>
      <c r="N71" s="28">
        <f t="shared" si="7"/>
        <v>-4.5740358126636238E-2</v>
      </c>
    </row>
    <row r="72" spans="7:14" x14ac:dyDescent="0.4">
      <c r="G72" s="1">
        <v>23377</v>
      </c>
      <c r="H72">
        <f t="shared" si="11"/>
        <v>1</v>
      </c>
      <c r="I72" s="28">
        <v>319.57</v>
      </c>
      <c r="J72" s="28">
        <f t="shared" si="14"/>
        <v>1.2199999999999704</v>
      </c>
      <c r="K72">
        <f t="shared" si="12"/>
        <v>5.8898749040328657E-2</v>
      </c>
      <c r="L72" s="28">
        <f t="shared" si="13"/>
        <v>319.51110125095965</v>
      </c>
      <c r="M72">
        <f t="shared" si="10"/>
        <v>319.32967630853994</v>
      </c>
      <c r="N72" s="28">
        <f t="shared" si="7"/>
        <v>0.18142494241971008</v>
      </c>
    </row>
    <row r="73" spans="7:14" x14ac:dyDescent="0.4">
      <c r="G73" s="1">
        <v>23408</v>
      </c>
      <c r="H73">
        <f t="shared" si="11"/>
        <v>2</v>
      </c>
      <c r="I73" s="29">
        <f>(90*I72+31*I76)/121</f>
        <v>320.25917355371899</v>
      </c>
      <c r="J73" s="28">
        <f t="shared" si="14"/>
        <v>0.68917355371900157</v>
      </c>
      <c r="K73">
        <f t="shared" si="12"/>
        <v>0.6941584247843573</v>
      </c>
      <c r="L73" s="28">
        <f t="shared" si="13"/>
        <v>319.56501512893465</v>
      </c>
      <c r="M73">
        <f t="shared" si="10"/>
        <v>319.39717630853988</v>
      </c>
      <c r="N73" s="28">
        <f t="shared" ref="N73:N136" si="15">L73-M73</f>
        <v>0.16783882039476339</v>
      </c>
    </row>
    <row r="74" spans="7:14" x14ac:dyDescent="0.4">
      <c r="G74" s="1">
        <v>23437</v>
      </c>
      <c r="H74">
        <f t="shared" si="11"/>
        <v>3</v>
      </c>
      <c r="I74" s="29">
        <f>(61*I72+60*I76)/121</f>
        <v>320.90388429752062</v>
      </c>
      <c r="J74" s="28">
        <f t="shared" si="14"/>
        <v>0.64471074380162463</v>
      </c>
      <c r="K74">
        <f t="shared" si="12"/>
        <v>1.3722957593821961</v>
      </c>
      <c r="L74" s="28">
        <f t="shared" si="13"/>
        <v>319.53158853813841</v>
      </c>
      <c r="M74">
        <f t="shared" si="10"/>
        <v>319.45592630853992</v>
      </c>
      <c r="N74" s="28">
        <f t="shared" si="15"/>
        <v>7.5662229598492559E-2</v>
      </c>
    </row>
    <row r="75" spans="7:14" x14ac:dyDescent="0.4">
      <c r="G75" s="1">
        <v>23468</v>
      </c>
      <c r="H75">
        <f t="shared" si="11"/>
        <v>4</v>
      </c>
      <c r="I75" s="29">
        <f>(30*I72+91*I76)/121</f>
        <v>321.59305785123968</v>
      </c>
      <c r="J75" s="28">
        <f t="shared" si="14"/>
        <v>0.68917355371905842</v>
      </c>
      <c r="K75">
        <f t="shared" si="12"/>
        <v>2.5880472384049131</v>
      </c>
      <c r="L75" s="28">
        <f t="shared" si="13"/>
        <v>319.00501061283478</v>
      </c>
      <c r="M75">
        <f t="shared" si="10"/>
        <v>319.51300964187323</v>
      </c>
      <c r="N75" s="28">
        <f t="shared" si="15"/>
        <v>-0.50799902903844441</v>
      </c>
    </row>
    <row r="76" spans="7:14" x14ac:dyDescent="0.4">
      <c r="G76" s="1">
        <v>23498</v>
      </c>
      <c r="H76">
        <f t="shared" si="11"/>
        <v>5</v>
      </c>
      <c r="I76" s="28">
        <v>322.26</v>
      </c>
      <c r="J76" s="28">
        <f t="shared" si="14"/>
        <v>0.6669421487603131</v>
      </c>
      <c r="K76">
        <f t="shared" si="12"/>
        <v>3.0809752517725739</v>
      </c>
      <c r="L76" s="28">
        <f t="shared" si="13"/>
        <v>319.17902474822739</v>
      </c>
      <c r="M76">
        <f t="shared" si="10"/>
        <v>319.57509297520659</v>
      </c>
      <c r="N76" s="28">
        <f t="shared" si="15"/>
        <v>-0.39606822697919597</v>
      </c>
    </row>
    <row r="77" spans="7:14" x14ac:dyDescent="0.4">
      <c r="G77" s="1">
        <v>23529</v>
      </c>
      <c r="H77">
        <f t="shared" si="11"/>
        <v>6</v>
      </c>
      <c r="I77" s="28">
        <v>321.89</v>
      </c>
      <c r="J77" s="28">
        <f t="shared" si="14"/>
        <v>-0.37000000000000455</v>
      </c>
      <c r="K77">
        <f t="shared" si="12"/>
        <v>2.3583796233572674</v>
      </c>
      <c r="L77" s="28">
        <f t="shared" si="13"/>
        <v>319.53162037664271</v>
      </c>
      <c r="M77">
        <f t="shared" si="10"/>
        <v>319.6155096418733</v>
      </c>
      <c r="N77" s="28">
        <f t="shared" si="15"/>
        <v>-8.3889265230595811E-2</v>
      </c>
    </row>
    <row r="78" spans="7:14" x14ac:dyDescent="0.4">
      <c r="G78" s="1">
        <v>23559</v>
      </c>
      <c r="H78">
        <f t="shared" si="11"/>
        <v>7</v>
      </c>
      <c r="I78" s="28">
        <v>320.44</v>
      </c>
      <c r="J78" s="28">
        <f t="shared" si="14"/>
        <v>-1.4499999999999886</v>
      </c>
      <c r="K78">
        <f t="shared" si="12"/>
        <v>0.72791514248295042</v>
      </c>
      <c r="L78" s="28">
        <f t="shared" si="13"/>
        <v>319.71208485751703</v>
      </c>
      <c r="M78">
        <f t="shared" si="10"/>
        <v>319.6250929752066</v>
      </c>
      <c r="N78" s="28">
        <f t="shared" si="15"/>
        <v>8.6991882310428537E-2</v>
      </c>
    </row>
    <row r="79" spans="7:14" x14ac:dyDescent="0.4">
      <c r="G79" s="1">
        <v>23590</v>
      </c>
      <c r="H79">
        <f t="shared" si="11"/>
        <v>8</v>
      </c>
      <c r="I79" s="28">
        <v>318.69</v>
      </c>
      <c r="J79" s="28">
        <f t="shared" si="14"/>
        <v>-1.75</v>
      </c>
      <c r="K79">
        <f t="shared" si="12"/>
        <v>-1.4099263875716923</v>
      </c>
      <c r="L79" s="28">
        <f t="shared" si="13"/>
        <v>320.09992638757171</v>
      </c>
      <c r="M79">
        <f t="shared" ref="M79:M142" si="16">(SUM(L74:L84)+(L73+L85)/2)/12</f>
        <v>319.62721074380164</v>
      </c>
      <c r="N79" s="28">
        <f t="shared" si="15"/>
        <v>0.4727156437700728</v>
      </c>
    </row>
    <row r="80" spans="7:14" x14ac:dyDescent="0.4">
      <c r="G80" s="1">
        <v>23621</v>
      </c>
      <c r="H80">
        <f t="shared" si="11"/>
        <v>9</v>
      </c>
      <c r="I80" s="28">
        <v>316.7</v>
      </c>
      <c r="J80" s="28">
        <f t="shared" si="14"/>
        <v>-1.9900000000000091</v>
      </c>
      <c r="K80">
        <f t="shared" si="12"/>
        <v>-3.204325294675523</v>
      </c>
      <c r="L80" s="28">
        <f t="shared" si="13"/>
        <v>319.90432529467552</v>
      </c>
      <c r="M80">
        <f t="shared" si="16"/>
        <v>319.63416666666666</v>
      </c>
      <c r="N80" s="28">
        <f t="shared" si="15"/>
        <v>0.2701586280088577</v>
      </c>
    </row>
    <row r="81" spans="7:14" x14ac:dyDescent="0.4">
      <c r="G81" s="1">
        <v>23651</v>
      </c>
      <c r="H81">
        <f t="shared" si="11"/>
        <v>10</v>
      </c>
      <c r="I81" s="28">
        <v>316.87</v>
      </c>
      <c r="J81" s="28">
        <f t="shared" si="14"/>
        <v>0.17000000000001592</v>
      </c>
      <c r="K81">
        <f t="shared" si="12"/>
        <v>-3.3270848575170473</v>
      </c>
      <c r="L81" s="28">
        <f t="shared" si="13"/>
        <v>320.19708485751704</v>
      </c>
      <c r="M81">
        <f t="shared" si="16"/>
        <v>319.65637741046828</v>
      </c>
      <c r="N81" s="28">
        <f t="shared" si="15"/>
        <v>0.54070744704876006</v>
      </c>
    </row>
    <row r="82" spans="7:14" x14ac:dyDescent="0.4">
      <c r="G82" s="1">
        <v>23682</v>
      </c>
      <c r="H82">
        <f t="shared" si="11"/>
        <v>11</v>
      </c>
      <c r="I82" s="28">
        <v>317.68</v>
      </c>
      <c r="J82" s="28">
        <f t="shared" si="14"/>
        <v>0.81000000000000227</v>
      </c>
      <c r="K82">
        <f t="shared" si="12"/>
        <v>-2.0516476990471002</v>
      </c>
      <c r="L82" s="28">
        <f t="shared" si="13"/>
        <v>319.73164769904713</v>
      </c>
      <c r="M82">
        <f t="shared" si="16"/>
        <v>319.67541666666665</v>
      </c>
      <c r="N82" s="28">
        <f t="shared" si="15"/>
        <v>5.6231032380480883E-2</v>
      </c>
    </row>
    <row r="83" spans="7:14" x14ac:dyDescent="0.4">
      <c r="G83" s="1">
        <v>23712</v>
      </c>
      <c r="H83">
        <f t="shared" si="11"/>
        <v>12</v>
      </c>
      <c r="I83" s="28">
        <v>318.70999999999998</v>
      </c>
      <c r="J83" s="28">
        <f t="shared" si="14"/>
        <v>1.0299999999999727</v>
      </c>
      <c r="K83">
        <f t="shared" si="12"/>
        <v>-0.88768595041322573</v>
      </c>
      <c r="L83" s="28">
        <f t="shared" si="13"/>
        <v>319.59768595041322</v>
      </c>
      <c r="M83">
        <f t="shared" si="16"/>
        <v>319.67083333333335</v>
      </c>
      <c r="N83" s="28">
        <f t="shared" si="15"/>
        <v>-7.3147382920126347E-2</v>
      </c>
    </row>
    <row r="84" spans="7:14" x14ac:dyDescent="0.4">
      <c r="G84" s="1">
        <v>23743</v>
      </c>
      <c r="H84">
        <f t="shared" si="11"/>
        <v>1</v>
      </c>
      <c r="I84" s="28">
        <v>319.44</v>
      </c>
      <c r="J84" s="28">
        <f t="shared" si="14"/>
        <v>0.73000000000001819</v>
      </c>
      <c r="K84">
        <f t="shared" si="12"/>
        <v>5.8898749040328657E-2</v>
      </c>
      <c r="L84" s="28">
        <f t="shared" si="13"/>
        <v>319.38110125095966</v>
      </c>
      <c r="M84">
        <f t="shared" si="16"/>
        <v>319.70208333333341</v>
      </c>
      <c r="N84" s="28">
        <f t="shared" si="15"/>
        <v>-0.32098208237374592</v>
      </c>
    </row>
    <row r="85" spans="7:14" x14ac:dyDescent="0.4">
      <c r="G85" s="1">
        <v>23774</v>
      </c>
      <c r="H85">
        <f t="shared" si="11"/>
        <v>2</v>
      </c>
      <c r="I85" s="28">
        <v>320.44</v>
      </c>
      <c r="J85" s="28">
        <f t="shared" si="14"/>
        <v>1</v>
      </c>
      <c r="K85">
        <f t="shared" si="12"/>
        <v>0.6941584247843573</v>
      </c>
      <c r="L85" s="28">
        <f t="shared" si="13"/>
        <v>319.74584157521565</v>
      </c>
      <c r="M85">
        <f t="shared" si="16"/>
        <v>319.74166666666667</v>
      </c>
      <c r="N85" s="28">
        <f t="shared" si="15"/>
        <v>4.1749085489755089E-3</v>
      </c>
    </row>
    <row r="86" spans="7:14" x14ac:dyDescent="0.4">
      <c r="G86" s="1">
        <v>23802</v>
      </c>
      <c r="H86">
        <f t="shared" si="11"/>
        <v>3</v>
      </c>
      <c r="I86" s="28">
        <v>320.89</v>
      </c>
      <c r="J86" s="28">
        <f t="shared" si="14"/>
        <v>0.44999999999998863</v>
      </c>
      <c r="K86">
        <f t="shared" si="12"/>
        <v>1.3722957593821961</v>
      </c>
      <c r="L86" s="28">
        <f t="shared" si="13"/>
        <v>319.51770424061777</v>
      </c>
      <c r="M86">
        <f t="shared" si="16"/>
        <v>319.79541666666671</v>
      </c>
      <c r="N86" s="28">
        <f t="shared" si="15"/>
        <v>-0.27771242604893587</v>
      </c>
    </row>
    <row r="87" spans="7:14" x14ac:dyDescent="0.4">
      <c r="G87" s="1">
        <v>23833</v>
      </c>
      <c r="H87">
        <f t="shared" si="11"/>
        <v>4</v>
      </c>
      <c r="I87" s="28">
        <v>322.14</v>
      </c>
      <c r="J87" s="28">
        <f t="shared" si="14"/>
        <v>1.25</v>
      </c>
      <c r="K87">
        <f t="shared" si="12"/>
        <v>2.5880472384049131</v>
      </c>
      <c r="L87" s="28">
        <f t="shared" si="13"/>
        <v>319.55195276159509</v>
      </c>
      <c r="M87">
        <f t="shared" si="16"/>
        <v>319.85958333333332</v>
      </c>
      <c r="N87" s="28">
        <f t="shared" si="15"/>
        <v>-0.30763057173822972</v>
      </c>
    </row>
    <row r="88" spans="7:14" x14ac:dyDescent="0.4">
      <c r="G88" s="1">
        <v>23863</v>
      </c>
      <c r="H88">
        <f t="shared" si="11"/>
        <v>5</v>
      </c>
      <c r="I88" s="28">
        <v>322.17</v>
      </c>
      <c r="J88" s="28">
        <f t="shared" si="14"/>
        <v>3.0000000000029559E-2</v>
      </c>
      <c r="K88">
        <f t="shared" si="12"/>
        <v>3.0809752517725739</v>
      </c>
      <c r="L88" s="28">
        <f t="shared" si="13"/>
        <v>319.08902474822742</v>
      </c>
      <c r="M88">
        <f t="shared" si="16"/>
        <v>319.92708333333331</v>
      </c>
      <c r="N88" s="28">
        <f t="shared" si="15"/>
        <v>-0.83805858510589815</v>
      </c>
    </row>
    <row r="89" spans="7:14" x14ac:dyDescent="0.4">
      <c r="G89" s="1">
        <v>23894</v>
      </c>
      <c r="H89">
        <f t="shared" si="11"/>
        <v>6</v>
      </c>
      <c r="I89" s="28">
        <v>321.87</v>
      </c>
      <c r="J89" s="28">
        <f t="shared" si="14"/>
        <v>-0.30000000000001137</v>
      </c>
      <c r="K89">
        <f t="shared" si="12"/>
        <v>2.3583796233572674</v>
      </c>
      <c r="L89" s="28">
        <f t="shared" si="13"/>
        <v>319.51162037664272</v>
      </c>
      <c r="M89">
        <f t="shared" si="16"/>
        <v>320.00625000000002</v>
      </c>
      <c r="N89" s="28">
        <f t="shared" si="15"/>
        <v>-0.49462962335729799</v>
      </c>
    </row>
    <row r="90" spans="7:14" x14ac:dyDescent="0.4">
      <c r="G90" s="1">
        <v>23924</v>
      </c>
      <c r="H90">
        <f t="shared" si="11"/>
        <v>7</v>
      </c>
      <c r="I90" s="28">
        <v>321.20999999999998</v>
      </c>
      <c r="J90" s="28">
        <f t="shared" si="14"/>
        <v>-0.66000000000002501</v>
      </c>
      <c r="K90">
        <f t="shared" si="12"/>
        <v>0.72791514248295042</v>
      </c>
      <c r="L90" s="28">
        <f t="shared" si="13"/>
        <v>320.48208485751701</v>
      </c>
      <c r="M90">
        <f t="shared" si="16"/>
        <v>320.08499999999998</v>
      </c>
      <c r="N90" s="28">
        <f t="shared" si="15"/>
        <v>0.39708485751702938</v>
      </c>
    </row>
    <row r="91" spans="7:14" x14ac:dyDescent="0.4">
      <c r="G91" s="1">
        <v>23955</v>
      </c>
      <c r="H91">
        <f t="shared" si="11"/>
        <v>8</v>
      </c>
      <c r="I91" s="28">
        <v>318.87</v>
      </c>
      <c r="J91" s="28">
        <f t="shared" si="14"/>
        <v>-2.339999999999975</v>
      </c>
      <c r="K91">
        <f t="shared" si="12"/>
        <v>-1.4099263875716923</v>
      </c>
      <c r="L91" s="28">
        <f t="shared" si="13"/>
        <v>320.27992638757172</v>
      </c>
      <c r="M91">
        <f t="shared" si="16"/>
        <v>320.1825</v>
      </c>
      <c r="N91" s="28">
        <f t="shared" si="15"/>
        <v>9.7426387571715622E-2</v>
      </c>
    </row>
    <row r="92" spans="7:14" x14ac:dyDescent="0.4">
      <c r="G92" s="1">
        <v>23986</v>
      </c>
      <c r="H92">
        <f t="shared" si="11"/>
        <v>9</v>
      </c>
      <c r="I92" s="28">
        <v>317.81</v>
      </c>
      <c r="J92" s="28">
        <f t="shared" si="14"/>
        <v>-1.0600000000000023</v>
      </c>
      <c r="K92">
        <f t="shared" si="12"/>
        <v>-3.204325294675523</v>
      </c>
      <c r="L92" s="28">
        <f t="shared" si="13"/>
        <v>321.01432529467553</v>
      </c>
      <c r="M92">
        <f t="shared" si="16"/>
        <v>320.29333333333335</v>
      </c>
      <c r="N92" s="28">
        <f t="shared" si="15"/>
        <v>0.72099196134217891</v>
      </c>
    </row>
    <row r="93" spans="7:14" x14ac:dyDescent="0.4">
      <c r="G93" s="1">
        <v>24016</v>
      </c>
      <c r="H93">
        <f t="shared" si="11"/>
        <v>10</v>
      </c>
      <c r="I93" s="28">
        <v>317.3</v>
      </c>
      <c r="J93" s="28">
        <f t="shared" si="14"/>
        <v>-0.50999999999999091</v>
      </c>
      <c r="K93">
        <f t="shared" si="12"/>
        <v>-3.3270848575170473</v>
      </c>
      <c r="L93" s="28">
        <f t="shared" si="13"/>
        <v>320.62708485751705</v>
      </c>
      <c r="M93">
        <f t="shared" si="16"/>
        <v>320.42083333333329</v>
      </c>
      <c r="N93" s="28">
        <f t="shared" si="15"/>
        <v>0.20625152418375592</v>
      </c>
    </row>
    <row r="94" spans="7:14" x14ac:dyDescent="0.4">
      <c r="G94" s="1">
        <v>24047</v>
      </c>
      <c r="H94">
        <f t="shared" si="11"/>
        <v>11</v>
      </c>
      <c r="I94" s="28">
        <v>318.87</v>
      </c>
      <c r="J94" s="28">
        <f t="shared" si="14"/>
        <v>1.5699999999999932</v>
      </c>
      <c r="K94">
        <f t="shared" si="12"/>
        <v>-2.0516476990471002</v>
      </c>
      <c r="L94" s="28">
        <f t="shared" si="13"/>
        <v>320.92164769904713</v>
      </c>
      <c r="M94">
        <f t="shared" si="16"/>
        <v>320.56541666666664</v>
      </c>
      <c r="N94" s="28">
        <f t="shared" si="15"/>
        <v>0.35623103238049225</v>
      </c>
    </row>
    <row r="95" spans="7:14" x14ac:dyDescent="0.4">
      <c r="G95" s="1">
        <v>24077</v>
      </c>
      <c r="H95">
        <f t="shared" si="11"/>
        <v>12</v>
      </c>
      <c r="I95" s="28">
        <v>319.42</v>
      </c>
      <c r="J95" s="28">
        <f t="shared" si="14"/>
        <v>0.55000000000001137</v>
      </c>
      <c r="K95">
        <f t="shared" si="12"/>
        <v>-0.88768595041322573</v>
      </c>
      <c r="L95" s="28">
        <f t="shared" si="13"/>
        <v>320.30768595041326</v>
      </c>
      <c r="M95">
        <f t="shared" si="16"/>
        <v>320.72333333333336</v>
      </c>
      <c r="N95" s="28">
        <f t="shared" si="15"/>
        <v>-0.41564738292009906</v>
      </c>
    </row>
    <row r="96" spans="7:14" x14ac:dyDescent="0.4">
      <c r="G96" s="1">
        <v>24108</v>
      </c>
      <c r="H96">
        <f t="shared" si="11"/>
        <v>1</v>
      </c>
      <c r="I96" s="28">
        <v>320.62</v>
      </c>
      <c r="J96" s="28">
        <f t="shared" si="14"/>
        <v>1.1999999999999886</v>
      </c>
      <c r="K96">
        <f t="shared" si="12"/>
        <v>5.8898749040328657E-2</v>
      </c>
      <c r="L96" s="28">
        <f t="shared" si="13"/>
        <v>320.56110125095967</v>
      </c>
      <c r="M96">
        <f t="shared" si="16"/>
        <v>320.8504166666666</v>
      </c>
      <c r="N96" s="28">
        <f t="shared" si="15"/>
        <v>-0.28931541570693753</v>
      </c>
    </row>
    <row r="97" spans="7:14" x14ac:dyDescent="0.4">
      <c r="G97" s="1">
        <v>24139</v>
      </c>
      <c r="H97">
        <f t="shared" si="11"/>
        <v>2</v>
      </c>
      <c r="I97" s="28">
        <v>321.60000000000002</v>
      </c>
      <c r="J97" s="28">
        <f t="shared" si="14"/>
        <v>0.98000000000001819</v>
      </c>
      <c r="K97">
        <f t="shared" si="12"/>
        <v>0.6941584247843573</v>
      </c>
      <c r="L97" s="28">
        <f t="shared" si="13"/>
        <v>320.90584157521567</v>
      </c>
      <c r="M97">
        <f t="shared" si="16"/>
        <v>320.96124999999995</v>
      </c>
      <c r="N97" s="28">
        <f t="shared" si="15"/>
        <v>-5.5408424784275212E-2</v>
      </c>
    </row>
    <row r="98" spans="7:14" x14ac:dyDescent="0.4">
      <c r="G98" s="1">
        <v>24167</v>
      </c>
      <c r="H98">
        <f t="shared" si="11"/>
        <v>3</v>
      </c>
      <c r="I98" s="28">
        <v>322.39</v>
      </c>
      <c r="J98" s="28">
        <f t="shared" si="14"/>
        <v>0.78999999999996362</v>
      </c>
      <c r="K98">
        <f t="shared" si="12"/>
        <v>1.3722957593821961</v>
      </c>
      <c r="L98" s="28">
        <f t="shared" si="13"/>
        <v>321.01770424061777</v>
      </c>
      <c r="M98">
        <f t="shared" si="16"/>
        <v>321.05791666666659</v>
      </c>
      <c r="N98" s="28">
        <f t="shared" si="15"/>
        <v>-4.0212426048810812E-2</v>
      </c>
    </row>
    <row r="99" spans="7:14" x14ac:dyDescent="0.4">
      <c r="G99" s="1">
        <v>24198</v>
      </c>
      <c r="H99">
        <f t="shared" si="11"/>
        <v>4</v>
      </c>
      <c r="I99" s="28">
        <v>323.7</v>
      </c>
      <c r="J99" s="28">
        <f t="shared" si="14"/>
        <v>1.3100000000000023</v>
      </c>
      <c r="K99">
        <f t="shared" si="12"/>
        <v>2.5880472384049131</v>
      </c>
      <c r="L99" s="28">
        <f t="shared" si="13"/>
        <v>321.11195276159509</v>
      </c>
      <c r="M99">
        <f t="shared" si="16"/>
        <v>321.12583333333328</v>
      </c>
      <c r="N99" s="28">
        <f t="shared" si="15"/>
        <v>-1.3880571738184244E-2</v>
      </c>
    </row>
    <row r="100" spans="7:14" x14ac:dyDescent="0.4">
      <c r="G100" s="1">
        <v>24228</v>
      </c>
      <c r="H100">
        <f t="shared" si="11"/>
        <v>5</v>
      </c>
      <c r="I100" s="28">
        <v>324.08</v>
      </c>
      <c r="J100" s="28">
        <f t="shared" si="14"/>
        <v>0.37999999999999545</v>
      </c>
      <c r="K100">
        <f t="shared" si="12"/>
        <v>3.0809752517725739</v>
      </c>
      <c r="L100" s="28">
        <f t="shared" si="13"/>
        <v>320.99902474822738</v>
      </c>
      <c r="M100">
        <f t="shared" si="16"/>
        <v>321.1970833333333</v>
      </c>
      <c r="N100" s="28">
        <f t="shared" si="15"/>
        <v>-0.19805858510591179</v>
      </c>
    </row>
    <row r="101" spans="7:14" x14ac:dyDescent="0.4">
      <c r="G101" s="1">
        <v>24259</v>
      </c>
      <c r="H101">
        <f t="shared" si="11"/>
        <v>6</v>
      </c>
      <c r="I101" s="28">
        <v>323.75</v>
      </c>
      <c r="J101" s="28">
        <f t="shared" si="14"/>
        <v>-0.32999999999998408</v>
      </c>
      <c r="K101">
        <f t="shared" si="12"/>
        <v>2.3583796233572674</v>
      </c>
      <c r="L101" s="28">
        <f t="shared" si="13"/>
        <v>321.39162037664272</v>
      </c>
      <c r="M101">
        <f t="shared" si="16"/>
        <v>321.30208333333331</v>
      </c>
      <c r="N101" s="28">
        <f t="shared" si="15"/>
        <v>8.9537043309405817E-2</v>
      </c>
    </row>
    <row r="102" spans="7:14" x14ac:dyDescent="0.4">
      <c r="G102" s="1">
        <v>24289</v>
      </c>
      <c r="H102">
        <f t="shared" si="11"/>
        <v>7</v>
      </c>
      <c r="I102" s="28">
        <v>322.38</v>
      </c>
      <c r="J102" s="28">
        <f t="shared" si="14"/>
        <v>-1.3700000000000045</v>
      </c>
      <c r="K102">
        <f t="shared" si="12"/>
        <v>0.72791514248295042</v>
      </c>
      <c r="L102" s="28">
        <f t="shared" si="13"/>
        <v>321.65208485751702</v>
      </c>
      <c r="M102">
        <f t="shared" si="16"/>
        <v>321.44041666666664</v>
      </c>
      <c r="N102" s="28">
        <f t="shared" si="15"/>
        <v>0.21166819085038924</v>
      </c>
    </row>
    <row r="103" spans="7:14" x14ac:dyDescent="0.4">
      <c r="G103" s="1">
        <v>24320</v>
      </c>
      <c r="H103">
        <f t="shared" si="11"/>
        <v>8</v>
      </c>
      <c r="I103" s="28">
        <v>320.36</v>
      </c>
      <c r="J103" s="28">
        <f t="shared" si="14"/>
        <v>-2.0199999999999818</v>
      </c>
      <c r="K103">
        <f t="shared" si="12"/>
        <v>-1.4099263875716923</v>
      </c>
      <c r="L103" s="28">
        <f t="shared" si="13"/>
        <v>321.76992638757173</v>
      </c>
      <c r="M103">
        <f t="shared" si="16"/>
        <v>321.54916666666668</v>
      </c>
      <c r="N103" s="28">
        <f t="shared" si="15"/>
        <v>0.22075972090505047</v>
      </c>
    </row>
    <row r="104" spans="7:14" x14ac:dyDescent="0.4">
      <c r="G104" s="1">
        <v>24351</v>
      </c>
      <c r="H104">
        <f t="shared" si="11"/>
        <v>9</v>
      </c>
      <c r="I104" s="28">
        <v>318.64</v>
      </c>
      <c r="J104" s="28">
        <f t="shared" si="14"/>
        <v>-1.7200000000000273</v>
      </c>
      <c r="K104">
        <f t="shared" si="12"/>
        <v>-3.204325294675523</v>
      </c>
      <c r="L104" s="28">
        <f t="shared" si="13"/>
        <v>321.84432529467551</v>
      </c>
      <c r="M104">
        <f t="shared" si="16"/>
        <v>321.61375000000004</v>
      </c>
      <c r="N104" s="28">
        <f t="shared" si="15"/>
        <v>0.23057529467547511</v>
      </c>
    </row>
    <row r="105" spans="7:14" x14ac:dyDescent="0.4">
      <c r="G105" s="1">
        <v>24381</v>
      </c>
      <c r="H105">
        <f t="shared" si="11"/>
        <v>10</v>
      </c>
      <c r="I105" s="28">
        <v>318.10000000000002</v>
      </c>
      <c r="J105" s="28">
        <f t="shared" si="14"/>
        <v>-0.53999999999996362</v>
      </c>
      <c r="K105">
        <f t="shared" si="12"/>
        <v>-3.3270848575170473</v>
      </c>
      <c r="L105" s="28">
        <f t="shared" si="13"/>
        <v>321.42708485751706</v>
      </c>
      <c r="M105">
        <f t="shared" si="16"/>
        <v>321.67083333333329</v>
      </c>
      <c r="N105" s="28">
        <f t="shared" si="15"/>
        <v>-0.24374847581623271</v>
      </c>
    </row>
    <row r="106" spans="7:14" x14ac:dyDescent="0.4">
      <c r="G106" s="1">
        <v>24412</v>
      </c>
      <c r="H106">
        <f t="shared" si="11"/>
        <v>11</v>
      </c>
      <c r="I106" s="28">
        <v>319.77999999999997</v>
      </c>
      <c r="J106" s="28">
        <f t="shared" si="14"/>
        <v>1.67999999999995</v>
      </c>
      <c r="K106">
        <f t="shared" si="12"/>
        <v>-2.0516476990471002</v>
      </c>
      <c r="L106" s="28">
        <f t="shared" si="13"/>
        <v>321.8316476990471</v>
      </c>
      <c r="M106">
        <f t="shared" si="16"/>
        <v>321.73916666666662</v>
      </c>
      <c r="N106" s="28">
        <f t="shared" si="15"/>
        <v>9.2481032380476336E-2</v>
      </c>
    </row>
    <row r="107" spans="7:14" x14ac:dyDescent="0.4">
      <c r="G107" s="1">
        <v>24442</v>
      </c>
      <c r="H107">
        <f t="shared" si="11"/>
        <v>12</v>
      </c>
      <c r="I107" s="28">
        <v>321.02999999999997</v>
      </c>
      <c r="J107" s="28">
        <f t="shared" si="14"/>
        <v>1.25</v>
      </c>
      <c r="K107">
        <f t="shared" si="12"/>
        <v>-0.88768595041322573</v>
      </c>
      <c r="L107" s="28">
        <f t="shared" si="13"/>
        <v>321.91768595041322</v>
      </c>
      <c r="M107">
        <f t="shared" si="16"/>
        <v>321.79166666666669</v>
      </c>
      <c r="N107" s="28">
        <f t="shared" si="15"/>
        <v>0.12601928374652971</v>
      </c>
    </row>
    <row r="108" spans="7:14" x14ac:dyDescent="0.4">
      <c r="G108" s="1">
        <v>24473</v>
      </c>
      <c r="H108">
        <f t="shared" si="11"/>
        <v>1</v>
      </c>
      <c r="I108" s="28">
        <v>322.33</v>
      </c>
      <c r="J108" s="28">
        <f t="shared" si="14"/>
        <v>1.3000000000000114</v>
      </c>
      <c r="K108">
        <f t="shared" si="12"/>
        <v>5.8898749040328657E-2</v>
      </c>
      <c r="L108" s="28">
        <f t="shared" si="13"/>
        <v>322.27110125095965</v>
      </c>
      <c r="M108">
        <f t="shared" si="16"/>
        <v>321.8125</v>
      </c>
      <c r="N108" s="28">
        <f t="shared" si="15"/>
        <v>0.45860125095964577</v>
      </c>
    </row>
    <row r="109" spans="7:14" x14ac:dyDescent="0.4">
      <c r="G109" s="1">
        <v>24504</v>
      </c>
      <c r="H109">
        <f t="shared" si="11"/>
        <v>2</v>
      </c>
      <c r="I109" s="28">
        <v>322.5</v>
      </c>
      <c r="J109" s="28">
        <f t="shared" si="14"/>
        <v>0.17000000000001592</v>
      </c>
      <c r="K109">
        <f t="shared" si="12"/>
        <v>0.6941584247843573</v>
      </c>
      <c r="L109" s="28">
        <f t="shared" si="13"/>
        <v>321.80584157521565</v>
      </c>
      <c r="M109">
        <f t="shared" si="16"/>
        <v>321.84250000000003</v>
      </c>
      <c r="N109" s="28">
        <f t="shared" si="15"/>
        <v>-3.665842478437753E-2</v>
      </c>
    </row>
    <row r="110" spans="7:14" x14ac:dyDescent="0.4">
      <c r="G110" s="1">
        <v>24532</v>
      </c>
      <c r="H110">
        <f t="shared" si="11"/>
        <v>3</v>
      </c>
      <c r="I110" s="28">
        <v>323.04000000000002</v>
      </c>
      <c r="J110" s="28">
        <f t="shared" si="14"/>
        <v>0.54000000000002046</v>
      </c>
      <c r="K110">
        <f t="shared" si="12"/>
        <v>1.3722957593821961</v>
      </c>
      <c r="L110" s="28">
        <f t="shared" si="13"/>
        <v>321.66770424061781</v>
      </c>
      <c r="M110">
        <f t="shared" si="16"/>
        <v>321.89125000000007</v>
      </c>
      <c r="N110" s="28">
        <f t="shared" si="15"/>
        <v>-0.22354575938226162</v>
      </c>
    </row>
    <row r="111" spans="7:14" x14ac:dyDescent="0.4">
      <c r="G111" s="1">
        <v>24563</v>
      </c>
      <c r="H111">
        <f t="shared" si="11"/>
        <v>4</v>
      </c>
      <c r="I111" s="28">
        <v>324.42</v>
      </c>
      <c r="J111" s="28">
        <f t="shared" si="14"/>
        <v>1.3799999999999955</v>
      </c>
      <c r="K111">
        <f t="shared" si="12"/>
        <v>2.5880472384049131</v>
      </c>
      <c r="L111" s="28">
        <f t="shared" si="13"/>
        <v>321.83195276159512</v>
      </c>
      <c r="M111">
        <f t="shared" si="16"/>
        <v>321.97041666666672</v>
      </c>
      <c r="N111" s="28">
        <f t="shared" si="15"/>
        <v>-0.13846390507160322</v>
      </c>
    </row>
    <row r="112" spans="7:14" x14ac:dyDescent="0.4">
      <c r="G112" s="1">
        <v>24593</v>
      </c>
      <c r="H112">
        <f t="shared" si="11"/>
        <v>5</v>
      </c>
      <c r="I112" s="28">
        <v>325</v>
      </c>
      <c r="J112" s="28">
        <f t="shared" si="14"/>
        <v>0.57999999999998408</v>
      </c>
      <c r="K112">
        <f t="shared" si="12"/>
        <v>3.0809752517725739</v>
      </c>
      <c r="L112" s="28">
        <f t="shared" si="13"/>
        <v>321.9190247482274</v>
      </c>
      <c r="M112">
        <f t="shared" si="16"/>
        <v>322.06374999999997</v>
      </c>
      <c r="N112" s="28">
        <f t="shared" si="15"/>
        <v>-0.14472525177257012</v>
      </c>
    </row>
    <row r="113" spans="7:14" x14ac:dyDescent="0.4">
      <c r="G113" s="1">
        <v>24624</v>
      </c>
      <c r="H113">
        <f t="shared" si="11"/>
        <v>6</v>
      </c>
      <c r="I113" s="28">
        <v>324.08999999999997</v>
      </c>
      <c r="J113" s="28">
        <f t="shared" si="14"/>
        <v>-0.91000000000002501</v>
      </c>
      <c r="K113">
        <f t="shared" si="12"/>
        <v>2.3583796233572674</v>
      </c>
      <c r="L113" s="28">
        <f t="shared" si="13"/>
        <v>321.7316203766427</v>
      </c>
      <c r="M113">
        <f t="shared" si="16"/>
        <v>322.14208333333335</v>
      </c>
      <c r="N113" s="28">
        <f t="shared" si="15"/>
        <v>-0.41046295669065103</v>
      </c>
    </row>
    <row r="114" spans="7:14" x14ac:dyDescent="0.4">
      <c r="G114" s="1">
        <v>24654</v>
      </c>
      <c r="H114">
        <f t="shared" si="11"/>
        <v>7</v>
      </c>
      <c r="I114" s="28">
        <v>322.54000000000002</v>
      </c>
      <c r="J114" s="28">
        <f t="shared" si="14"/>
        <v>-1.5499999999999545</v>
      </c>
      <c r="K114">
        <f t="shared" si="12"/>
        <v>0.72791514248295042</v>
      </c>
      <c r="L114" s="28">
        <f t="shared" si="13"/>
        <v>321.81208485751705</v>
      </c>
      <c r="M114">
        <f t="shared" si="16"/>
        <v>322.19083333333327</v>
      </c>
      <c r="N114" s="28">
        <f t="shared" si="15"/>
        <v>-0.37874847581622362</v>
      </c>
    </row>
    <row r="115" spans="7:14" x14ac:dyDescent="0.4">
      <c r="G115" s="1">
        <v>24685</v>
      </c>
      <c r="H115">
        <f t="shared" si="11"/>
        <v>8</v>
      </c>
      <c r="I115" s="28">
        <v>320.92</v>
      </c>
      <c r="J115" s="28">
        <f t="shared" si="14"/>
        <v>-1.6200000000000045</v>
      </c>
      <c r="K115">
        <f t="shared" si="12"/>
        <v>-1.4099263875716923</v>
      </c>
      <c r="L115" s="28">
        <f t="shared" si="13"/>
        <v>322.32992638757173</v>
      </c>
      <c r="M115">
        <f t="shared" si="16"/>
        <v>322.22791666666666</v>
      </c>
      <c r="N115" s="28">
        <f t="shared" si="15"/>
        <v>0.10200972090507321</v>
      </c>
    </row>
    <row r="116" spans="7:14" x14ac:dyDescent="0.4">
      <c r="G116" s="1">
        <v>24716</v>
      </c>
      <c r="H116">
        <f t="shared" si="11"/>
        <v>9</v>
      </c>
      <c r="I116" s="28">
        <v>319.25</v>
      </c>
      <c r="J116" s="28">
        <f t="shared" si="14"/>
        <v>-1.6700000000000159</v>
      </c>
      <c r="K116">
        <f t="shared" si="12"/>
        <v>-3.204325294675523</v>
      </c>
      <c r="L116" s="28">
        <f t="shared" si="13"/>
        <v>322.45432529467553</v>
      </c>
      <c r="M116">
        <f t="shared" si="16"/>
        <v>322.29041666666666</v>
      </c>
      <c r="N116" s="28">
        <f t="shared" si="15"/>
        <v>0.16390862800886907</v>
      </c>
    </row>
    <row r="117" spans="7:14" x14ac:dyDescent="0.4">
      <c r="G117" s="1">
        <v>24746</v>
      </c>
      <c r="H117">
        <f t="shared" si="11"/>
        <v>10</v>
      </c>
      <c r="I117" s="28">
        <v>319.39</v>
      </c>
      <c r="J117" s="28">
        <f t="shared" si="14"/>
        <v>0.13999999999998636</v>
      </c>
      <c r="K117">
        <f t="shared" si="12"/>
        <v>-3.3270848575170473</v>
      </c>
      <c r="L117" s="28">
        <f t="shared" si="13"/>
        <v>322.71708485751702</v>
      </c>
      <c r="M117">
        <f t="shared" si="16"/>
        <v>322.3508333333333</v>
      </c>
      <c r="N117" s="28">
        <f t="shared" si="15"/>
        <v>0.36625152418372409</v>
      </c>
    </row>
    <row r="118" spans="7:14" x14ac:dyDescent="0.4">
      <c r="G118" s="1">
        <v>24777</v>
      </c>
      <c r="H118">
        <f t="shared" si="11"/>
        <v>11</v>
      </c>
      <c r="I118" s="28">
        <v>320.73</v>
      </c>
      <c r="J118" s="28">
        <f t="shared" si="14"/>
        <v>1.3400000000000318</v>
      </c>
      <c r="K118">
        <f t="shared" si="12"/>
        <v>-2.0516476990471002</v>
      </c>
      <c r="L118" s="28">
        <f t="shared" si="13"/>
        <v>322.78164769904714</v>
      </c>
      <c r="M118">
        <f t="shared" si="16"/>
        <v>322.39958333333334</v>
      </c>
      <c r="N118" s="28">
        <f t="shared" si="15"/>
        <v>0.38206436571380209</v>
      </c>
    </row>
    <row r="119" spans="7:14" x14ac:dyDescent="0.4">
      <c r="G119" s="1">
        <v>24807</v>
      </c>
      <c r="H119">
        <f t="shared" si="11"/>
        <v>12</v>
      </c>
      <c r="I119" s="28">
        <v>321.95999999999998</v>
      </c>
      <c r="J119" s="28">
        <f t="shared" si="14"/>
        <v>1.2299999999999613</v>
      </c>
      <c r="K119">
        <f t="shared" si="12"/>
        <v>-0.88768595041322573</v>
      </c>
      <c r="L119" s="28">
        <f t="shared" si="13"/>
        <v>322.84768595041322</v>
      </c>
      <c r="M119">
        <f t="shared" si="16"/>
        <v>322.47624999999994</v>
      </c>
      <c r="N119" s="28">
        <f t="shared" si="15"/>
        <v>0.37143595041328581</v>
      </c>
    </row>
    <row r="120" spans="7:14" x14ac:dyDescent="0.4">
      <c r="G120" s="1">
        <v>24838</v>
      </c>
      <c r="H120">
        <f t="shared" si="11"/>
        <v>1</v>
      </c>
      <c r="I120" s="28">
        <v>322.57</v>
      </c>
      <c r="J120" s="28">
        <f t="shared" si="14"/>
        <v>0.61000000000001364</v>
      </c>
      <c r="K120">
        <f t="shared" si="12"/>
        <v>5.8898749040328657E-2</v>
      </c>
      <c r="L120" s="28">
        <f t="shared" si="13"/>
        <v>322.51110125095965</v>
      </c>
      <c r="M120">
        <f t="shared" si="16"/>
        <v>322.59583333333325</v>
      </c>
      <c r="N120" s="28">
        <f t="shared" si="15"/>
        <v>-8.4732082373591311E-2</v>
      </c>
    </row>
    <row r="121" spans="7:14" x14ac:dyDescent="0.4">
      <c r="G121" s="1">
        <v>24869</v>
      </c>
      <c r="H121">
        <f t="shared" si="11"/>
        <v>2</v>
      </c>
      <c r="I121" s="28">
        <v>323.14999999999998</v>
      </c>
      <c r="J121" s="28">
        <f t="shared" si="14"/>
        <v>0.57999999999998408</v>
      </c>
      <c r="K121">
        <f t="shared" si="12"/>
        <v>0.6941584247843573</v>
      </c>
      <c r="L121" s="28">
        <f t="shared" si="13"/>
        <v>322.45584157521563</v>
      </c>
      <c r="M121">
        <f t="shared" si="16"/>
        <v>322.71208333333328</v>
      </c>
      <c r="N121" s="28">
        <f t="shared" si="15"/>
        <v>-0.25624175811765326</v>
      </c>
    </row>
    <row r="122" spans="7:14" x14ac:dyDescent="0.4">
      <c r="G122" s="1">
        <v>24898</v>
      </c>
      <c r="H122">
        <f t="shared" si="11"/>
        <v>3</v>
      </c>
      <c r="I122" s="28">
        <v>323.89</v>
      </c>
      <c r="J122" s="28">
        <f t="shared" si="14"/>
        <v>0.74000000000000909</v>
      </c>
      <c r="K122">
        <f t="shared" si="12"/>
        <v>1.3722957593821961</v>
      </c>
      <c r="L122" s="28">
        <f t="shared" si="13"/>
        <v>322.51770424061777</v>
      </c>
      <c r="M122">
        <f t="shared" si="16"/>
        <v>322.80666666666667</v>
      </c>
      <c r="N122" s="28">
        <f t="shared" si="15"/>
        <v>-0.28896242604889721</v>
      </c>
    </row>
    <row r="123" spans="7:14" x14ac:dyDescent="0.4">
      <c r="G123" s="1">
        <v>24929</v>
      </c>
      <c r="H123">
        <f t="shared" si="11"/>
        <v>4</v>
      </c>
      <c r="I123" s="28">
        <v>325.02</v>
      </c>
      <c r="J123" s="28">
        <f t="shared" si="14"/>
        <v>1.1299999999999955</v>
      </c>
      <c r="K123">
        <f t="shared" si="12"/>
        <v>2.5880472384049131</v>
      </c>
      <c r="L123" s="28">
        <f t="shared" si="13"/>
        <v>322.43195276159508</v>
      </c>
      <c r="M123">
        <f t="shared" si="16"/>
        <v>322.88749999999999</v>
      </c>
      <c r="N123" s="28">
        <f t="shared" si="15"/>
        <v>-0.45554723840490396</v>
      </c>
    </row>
    <row r="124" spans="7:14" x14ac:dyDescent="0.4">
      <c r="G124" s="1">
        <v>24959</v>
      </c>
      <c r="H124">
        <f t="shared" si="11"/>
        <v>5</v>
      </c>
      <c r="I124" s="28">
        <v>325.57</v>
      </c>
      <c r="J124" s="28">
        <f t="shared" si="14"/>
        <v>0.55000000000001137</v>
      </c>
      <c r="K124">
        <f t="shared" si="12"/>
        <v>3.0809752517725739</v>
      </c>
      <c r="L124" s="28">
        <f t="shared" si="13"/>
        <v>322.48902474822739</v>
      </c>
      <c r="M124">
        <f t="shared" si="16"/>
        <v>322.94791666666669</v>
      </c>
      <c r="N124" s="28">
        <f t="shared" si="15"/>
        <v>-0.45889191843929211</v>
      </c>
    </row>
    <row r="125" spans="7:14" x14ac:dyDescent="0.4">
      <c r="G125" s="1">
        <v>24990</v>
      </c>
      <c r="H125">
        <f t="shared" si="11"/>
        <v>6</v>
      </c>
      <c r="I125" s="28">
        <v>325.36</v>
      </c>
      <c r="J125" s="28">
        <f t="shared" si="14"/>
        <v>-0.20999999999997954</v>
      </c>
      <c r="K125">
        <f t="shared" si="12"/>
        <v>2.3583796233572674</v>
      </c>
      <c r="L125" s="28">
        <f t="shared" si="13"/>
        <v>323.00162037664273</v>
      </c>
      <c r="M125">
        <f t="shared" si="16"/>
        <v>323.01124999999996</v>
      </c>
      <c r="N125" s="28">
        <f t="shared" si="15"/>
        <v>-9.6296233572275014E-3</v>
      </c>
    </row>
    <row r="126" spans="7:14" x14ac:dyDescent="0.4">
      <c r="G126" s="1">
        <v>25020</v>
      </c>
      <c r="H126">
        <f t="shared" si="11"/>
        <v>7</v>
      </c>
      <c r="I126" s="28">
        <v>324.14</v>
      </c>
      <c r="J126" s="28">
        <f t="shared" si="14"/>
        <v>-1.2200000000000273</v>
      </c>
      <c r="K126">
        <f t="shared" si="12"/>
        <v>0.72791514248295042</v>
      </c>
      <c r="L126" s="28">
        <f t="shared" si="13"/>
        <v>323.41208485751702</v>
      </c>
      <c r="M126">
        <f t="shared" si="16"/>
        <v>323.10958333333332</v>
      </c>
      <c r="N126" s="28">
        <f t="shared" si="15"/>
        <v>0.3025015241836968</v>
      </c>
    </row>
    <row r="127" spans="7:14" x14ac:dyDescent="0.4">
      <c r="G127" s="1">
        <v>25051</v>
      </c>
      <c r="H127">
        <f t="shared" si="11"/>
        <v>8</v>
      </c>
      <c r="I127" s="28">
        <v>322.11</v>
      </c>
      <c r="J127" s="28">
        <f t="shared" si="14"/>
        <v>-2.0299999999999727</v>
      </c>
      <c r="K127">
        <f t="shared" si="12"/>
        <v>-1.4099263875716923</v>
      </c>
      <c r="L127" s="28">
        <f t="shared" si="13"/>
        <v>323.51992638757173</v>
      </c>
      <c r="M127">
        <f t="shared" si="16"/>
        <v>323.22166666666664</v>
      </c>
      <c r="N127" s="28">
        <f t="shared" si="15"/>
        <v>0.29825972090509367</v>
      </c>
    </row>
    <row r="128" spans="7:14" x14ac:dyDescent="0.4">
      <c r="G128" s="1">
        <v>25082</v>
      </c>
      <c r="H128">
        <f t="shared" si="11"/>
        <v>9</v>
      </c>
      <c r="I128" s="28">
        <v>320.33</v>
      </c>
      <c r="J128" s="28">
        <f t="shared" si="14"/>
        <v>-1.7800000000000296</v>
      </c>
      <c r="K128">
        <f t="shared" si="12"/>
        <v>-3.204325294675523</v>
      </c>
      <c r="L128" s="28">
        <f t="shared" si="13"/>
        <v>323.53432529467551</v>
      </c>
      <c r="M128">
        <f t="shared" si="16"/>
        <v>323.34666666666664</v>
      </c>
      <c r="N128" s="28">
        <f t="shared" si="15"/>
        <v>0.18765862800887589</v>
      </c>
    </row>
    <row r="129" spans="7:14" x14ac:dyDescent="0.4">
      <c r="G129" s="1">
        <v>25112</v>
      </c>
      <c r="H129">
        <f t="shared" si="11"/>
        <v>10</v>
      </c>
      <c r="I129" s="28">
        <v>320.25</v>
      </c>
      <c r="J129" s="28">
        <f t="shared" si="14"/>
        <v>-7.9999999999984084E-2</v>
      </c>
      <c r="K129">
        <f t="shared" si="12"/>
        <v>-3.3270848575170473</v>
      </c>
      <c r="L129" s="28">
        <f t="shared" si="13"/>
        <v>323.57708485751704</v>
      </c>
      <c r="M129">
        <f t="shared" si="16"/>
        <v>323.48750000000001</v>
      </c>
      <c r="N129" s="28">
        <f t="shared" si="15"/>
        <v>8.958485751702483E-2</v>
      </c>
    </row>
    <row r="130" spans="7:14" x14ac:dyDescent="0.4">
      <c r="G130" s="1">
        <v>25143</v>
      </c>
      <c r="H130">
        <f t="shared" si="11"/>
        <v>11</v>
      </c>
      <c r="I130" s="28">
        <v>321.32</v>
      </c>
      <c r="J130" s="28">
        <f t="shared" si="14"/>
        <v>1.0699999999999932</v>
      </c>
      <c r="K130">
        <f t="shared" si="12"/>
        <v>-2.0516476990471002</v>
      </c>
      <c r="L130" s="28">
        <f t="shared" si="13"/>
        <v>323.37164769904712</v>
      </c>
      <c r="M130">
        <f t="shared" si="16"/>
        <v>323.63124999999997</v>
      </c>
      <c r="N130" s="28">
        <f t="shared" si="15"/>
        <v>-0.25960230095284942</v>
      </c>
    </row>
    <row r="131" spans="7:14" x14ac:dyDescent="0.4">
      <c r="G131" s="1">
        <v>25173</v>
      </c>
      <c r="H131">
        <f t="shared" ref="H131:H194" si="17">MONTH(G131)</f>
        <v>12</v>
      </c>
      <c r="I131" s="28">
        <v>322.89</v>
      </c>
      <c r="J131" s="28">
        <f t="shared" si="14"/>
        <v>1.5699999999999932</v>
      </c>
      <c r="K131">
        <f t="shared" ref="K131:K194" si="18">INDEX($E$3:$E$14,H131)</f>
        <v>-0.88768595041322573</v>
      </c>
      <c r="L131" s="28">
        <f t="shared" ref="L131:L194" si="19">I131-K131</f>
        <v>323.77768595041323</v>
      </c>
      <c r="M131">
        <f t="shared" si="16"/>
        <v>323.76291666666668</v>
      </c>
      <c r="N131" s="28">
        <f t="shared" si="15"/>
        <v>1.4769283746545625E-2</v>
      </c>
    </row>
    <row r="132" spans="7:14" x14ac:dyDescent="0.4">
      <c r="G132" s="1">
        <v>25204</v>
      </c>
      <c r="H132">
        <f t="shared" si="17"/>
        <v>1</v>
      </c>
      <c r="I132" s="28">
        <v>324</v>
      </c>
      <c r="J132" s="28">
        <f t="shared" ref="J132:J195" si="20">I132-I131</f>
        <v>1.1100000000000136</v>
      </c>
      <c r="K132">
        <f t="shared" si="18"/>
        <v>5.8898749040328657E-2</v>
      </c>
      <c r="L132" s="28">
        <f t="shared" si="19"/>
        <v>323.94110125095966</v>
      </c>
      <c r="M132">
        <f t="shared" si="16"/>
        <v>323.89166666666671</v>
      </c>
      <c r="N132" s="28">
        <f t="shared" si="15"/>
        <v>4.9434584292953332E-2</v>
      </c>
    </row>
    <row r="133" spans="7:14" x14ac:dyDescent="0.4">
      <c r="G133" s="1">
        <v>25235</v>
      </c>
      <c r="H133">
        <f t="shared" si="17"/>
        <v>2</v>
      </c>
      <c r="I133" s="28">
        <v>324.41000000000003</v>
      </c>
      <c r="J133" s="28">
        <f t="shared" si="20"/>
        <v>0.41000000000002501</v>
      </c>
      <c r="K133">
        <f t="shared" si="18"/>
        <v>0.6941584247843573</v>
      </c>
      <c r="L133" s="28">
        <f t="shared" si="19"/>
        <v>323.71584157521568</v>
      </c>
      <c r="M133">
        <f t="shared" si="16"/>
        <v>324.02875</v>
      </c>
      <c r="N133" s="28">
        <f t="shared" si="15"/>
        <v>-0.31290842478432523</v>
      </c>
    </row>
    <row r="134" spans="7:14" x14ac:dyDescent="0.4">
      <c r="G134" s="1">
        <v>25263</v>
      </c>
      <c r="H134">
        <f t="shared" si="17"/>
        <v>3</v>
      </c>
      <c r="I134" s="28">
        <v>325.63</v>
      </c>
      <c r="J134" s="28">
        <f t="shared" si="20"/>
        <v>1.2199999999999704</v>
      </c>
      <c r="K134">
        <f t="shared" si="18"/>
        <v>1.3722957593821961</v>
      </c>
      <c r="L134" s="28">
        <f t="shared" si="19"/>
        <v>324.25770424061778</v>
      </c>
      <c r="M134">
        <f t="shared" si="16"/>
        <v>324.17874999999998</v>
      </c>
      <c r="N134" s="28">
        <f t="shared" si="15"/>
        <v>7.8954240617804317E-2</v>
      </c>
    </row>
    <row r="135" spans="7:14" x14ac:dyDescent="0.4">
      <c r="G135" s="1">
        <v>25294</v>
      </c>
      <c r="H135">
        <f t="shared" si="17"/>
        <v>4</v>
      </c>
      <c r="I135" s="28">
        <v>326.66000000000003</v>
      </c>
      <c r="J135" s="28">
        <f t="shared" si="20"/>
        <v>1.0300000000000296</v>
      </c>
      <c r="K135">
        <f t="shared" si="18"/>
        <v>2.5880472384049131</v>
      </c>
      <c r="L135" s="28">
        <f t="shared" si="19"/>
        <v>324.07195276159513</v>
      </c>
      <c r="M135">
        <f t="shared" si="16"/>
        <v>324.32791666666668</v>
      </c>
      <c r="N135" s="28">
        <f t="shared" si="15"/>
        <v>-0.2559639050715532</v>
      </c>
    </row>
    <row r="136" spans="7:14" x14ac:dyDescent="0.4">
      <c r="G136" s="1">
        <v>25324</v>
      </c>
      <c r="H136">
        <f t="shared" si="17"/>
        <v>5</v>
      </c>
      <c r="I136" s="28">
        <v>327.38</v>
      </c>
      <c r="J136" s="28">
        <f t="shared" si="20"/>
        <v>0.71999999999997044</v>
      </c>
      <c r="K136">
        <f t="shared" si="18"/>
        <v>3.0809752517725739</v>
      </c>
      <c r="L136" s="28">
        <f t="shared" si="19"/>
        <v>324.2990247482274</v>
      </c>
      <c r="M136">
        <f t="shared" si="16"/>
        <v>324.45541666666662</v>
      </c>
      <c r="N136" s="28">
        <f t="shared" si="15"/>
        <v>-0.15639191843922617</v>
      </c>
    </row>
    <row r="137" spans="7:14" x14ac:dyDescent="0.4">
      <c r="G137" s="1">
        <v>25355</v>
      </c>
      <c r="H137">
        <f t="shared" si="17"/>
        <v>6</v>
      </c>
      <c r="I137" s="28">
        <v>326.70999999999998</v>
      </c>
      <c r="J137" s="28">
        <f t="shared" si="20"/>
        <v>-0.67000000000001592</v>
      </c>
      <c r="K137">
        <f t="shared" si="18"/>
        <v>2.3583796233572674</v>
      </c>
      <c r="L137" s="28">
        <f t="shared" si="19"/>
        <v>324.3516203766427</v>
      </c>
      <c r="M137">
        <f t="shared" si="16"/>
        <v>324.57041666666663</v>
      </c>
      <c r="N137" s="28">
        <f t="shared" ref="N137:N200" si="21">L137-M137</f>
        <v>-0.21879629002393131</v>
      </c>
    </row>
    <row r="138" spans="7:14" x14ac:dyDescent="0.4">
      <c r="G138" s="1">
        <v>25385</v>
      </c>
      <c r="H138">
        <f t="shared" si="17"/>
        <v>7</v>
      </c>
      <c r="I138" s="28">
        <v>325.88</v>
      </c>
      <c r="J138" s="28">
        <f t="shared" si="20"/>
        <v>-0.82999999999998408</v>
      </c>
      <c r="K138">
        <f t="shared" si="18"/>
        <v>0.72791514248295042</v>
      </c>
      <c r="L138" s="28">
        <f t="shared" si="19"/>
        <v>325.15208485751702</v>
      </c>
      <c r="M138">
        <f t="shared" si="16"/>
        <v>324.66583333333335</v>
      </c>
      <c r="N138" s="28">
        <f t="shared" si="21"/>
        <v>0.48625152418367179</v>
      </c>
    </row>
    <row r="139" spans="7:14" x14ac:dyDescent="0.4">
      <c r="G139" s="1">
        <v>25416</v>
      </c>
      <c r="H139">
        <f t="shared" si="17"/>
        <v>8</v>
      </c>
      <c r="I139" s="28">
        <v>323.66000000000003</v>
      </c>
      <c r="J139" s="28">
        <f t="shared" si="20"/>
        <v>-2.2199999999999704</v>
      </c>
      <c r="K139">
        <f t="shared" si="18"/>
        <v>-1.4099263875716923</v>
      </c>
      <c r="L139" s="28">
        <f t="shared" si="19"/>
        <v>325.06992638757174</v>
      </c>
      <c r="M139">
        <f t="shared" si="16"/>
        <v>324.77541666666667</v>
      </c>
      <c r="N139" s="28">
        <f t="shared" si="21"/>
        <v>0.29450972090506866</v>
      </c>
    </row>
    <row r="140" spans="7:14" x14ac:dyDescent="0.4">
      <c r="G140" s="1">
        <v>25447</v>
      </c>
      <c r="H140">
        <f t="shared" si="17"/>
        <v>9</v>
      </c>
      <c r="I140" s="28">
        <v>322.38</v>
      </c>
      <c r="J140" s="28">
        <f t="shared" si="20"/>
        <v>-1.2800000000000296</v>
      </c>
      <c r="K140">
        <f t="shared" si="18"/>
        <v>-3.204325294675523</v>
      </c>
      <c r="L140" s="28">
        <f t="shared" si="19"/>
        <v>325.58432529467552</v>
      </c>
      <c r="M140">
        <f t="shared" si="16"/>
        <v>324.89500000000004</v>
      </c>
      <c r="N140" s="28">
        <f t="shared" si="21"/>
        <v>0.6893252946754842</v>
      </c>
    </row>
    <row r="141" spans="7:14" x14ac:dyDescent="0.4">
      <c r="G141" s="1">
        <v>25477</v>
      </c>
      <c r="H141">
        <f t="shared" si="17"/>
        <v>10</v>
      </c>
      <c r="I141" s="28">
        <v>321.77999999999997</v>
      </c>
      <c r="J141" s="28">
        <f t="shared" si="20"/>
        <v>-0.60000000000002274</v>
      </c>
      <c r="K141">
        <f t="shared" si="18"/>
        <v>-3.3270848575170473</v>
      </c>
      <c r="L141" s="28">
        <f t="shared" si="19"/>
        <v>325.10708485751701</v>
      </c>
      <c r="M141">
        <f t="shared" si="16"/>
        <v>325.01041666666674</v>
      </c>
      <c r="N141" s="28">
        <f t="shared" si="21"/>
        <v>9.6668190850266456E-2</v>
      </c>
    </row>
    <row r="142" spans="7:14" x14ac:dyDescent="0.4">
      <c r="G142" s="1">
        <v>25508</v>
      </c>
      <c r="H142">
        <f t="shared" si="17"/>
        <v>11</v>
      </c>
      <c r="I142" s="28">
        <v>322.85000000000002</v>
      </c>
      <c r="J142" s="28">
        <f t="shared" si="20"/>
        <v>1.07000000000005</v>
      </c>
      <c r="K142">
        <f t="shared" si="18"/>
        <v>-2.0516476990471002</v>
      </c>
      <c r="L142" s="28">
        <f t="shared" si="19"/>
        <v>324.90164769904715</v>
      </c>
      <c r="M142">
        <f t="shared" si="16"/>
        <v>325.10083333333336</v>
      </c>
      <c r="N142" s="28">
        <f t="shared" si="21"/>
        <v>-0.19918563428620928</v>
      </c>
    </row>
    <row r="143" spans="7:14" x14ac:dyDescent="0.4">
      <c r="G143" s="1">
        <v>25538</v>
      </c>
      <c r="H143">
        <f t="shared" si="17"/>
        <v>12</v>
      </c>
      <c r="I143" s="28">
        <v>324.12</v>
      </c>
      <c r="J143" s="28">
        <f t="shared" si="20"/>
        <v>1.2699999999999818</v>
      </c>
      <c r="K143">
        <f t="shared" si="18"/>
        <v>-0.88768595041322573</v>
      </c>
      <c r="L143" s="28">
        <f t="shared" si="19"/>
        <v>325.00768595041325</v>
      </c>
      <c r="M143">
        <f t="shared" ref="M143:M206" si="22">(SUM(L138:L148)+(L137+L149)/2)/12</f>
        <v>325.17</v>
      </c>
      <c r="N143" s="28">
        <f t="shared" si="21"/>
        <v>-0.16231404958676876</v>
      </c>
    </row>
    <row r="144" spans="7:14" x14ac:dyDescent="0.4">
      <c r="G144" s="1">
        <v>25569</v>
      </c>
      <c r="H144">
        <f t="shared" si="17"/>
        <v>1</v>
      </c>
      <c r="I144" s="28">
        <v>325.06</v>
      </c>
      <c r="J144" s="28">
        <f t="shared" si="20"/>
        <v>0.93999999999999773</v>
      </c>
      <c r="K144">
        <f t="shared" si="18"/>
        <v>5.8898749040328657E-2</v>
      </c>
      <c r="L144" s="28">
        <f t="shared" si="19"/>
        <v>325.00110125095966</v>
      </c>
      <c r="M144">
        <f t="shared" si="22"/>
        <v>325.22916666666663</v>
      </c>
      <c r="N144" s="28">
        <f t="shared" si="21"/>
        <v>-0.22806541570696481</v>
      </c>
    </row>
    <row r="145" spans="7:14" x14ac:dyDescent="0.4">
      <c r="G145" s="1">
        <v>25600</v>
      </c>
      <c r="H145">
        <f t="shared" si="17"/>
        <v>2</v>
      </c>
      <c r="I145" s="28">
        <v>325.98</v>
      </c>
      <c r="J145" s="28">
        <f t="shared" si="20"/>
        <v>0.92000000000001592</v>
      </c>
      <c r="K145">
        <f t="shared" si="18"/>
        <v>0.6941584247843573</v>
      </c>
      <c r="L145" s="28">
        <f t="shared" si="19"/>
        <v>325.28584157521567</v>
      </c>
      <c r="M145">
        <f t="shared" si="22"/>
        <v>325.29124999999993</v>
      </c>
      <c r="N145" s="28">
        <f t="shared" si="21"/>
        <v>-5.4084247842638433E-3</v>
      </c>
    </row>
    <row r="146" spans="7:14" x14ac:dyDescent="0.4">
      <c r="G146" s="1">
        <v>25628</v>
      </c>
      <c r="H146">
        <f t="shared" si="17"/>
        <v>3</v>
      </c>
      <c r="I146" s="28">
        <v>326.93</v>
      </c>
      <c r="J146" s="28">
        <f t="shared" si="20"/>
        <v>0.94999999999998863</v>
      </c>
      <c r="K146">
        <f t="shared" si="18"/>
        <v>1.3722957593821961</v>
      </c>
      <c r="L146" s="28">
        <f t="shared" si="19"/>
        <v>325.5577042406178</v>
      </c>
      <c r="M146">
        <f t="shared" si="22"/>
        <v>325.36416666666668</v>
      </c>
      <c r="N146" s="28">
        <f t="shared" si="21"/>
        <v>0.1935375739511187</v>
      </c>
    </row>
    <row r="147" spans="7:14" x14ac:dyDescent="0.4">
      <c r="G147" s="1">
        <v>25659</v>
      </c>
      <c r="H147">
        <f t="shared" si="17"/>
        <v>4</v>
      </c>
      <c r="I147" s="28">
        <v>328.13</v>
      </c>
      <c r="J147" s="28">
        <f t="shared" si="20"/>
        <v>1.1999999999999886</v>
      </c>
      <c r="K147">
        <f t="shared" si="18"/>
        <v>2.5880472384049131</v>
      </c>
      <c r="L147" s="28">
        <f t="shared" si="19"/>
        <v>325.5419527615951</v>
      </c>
      <c r="M147">
        <f t="shared" si="22"/>
        <v>325.44750000000005</v>
      </c>
      <c r="N147" s="28">
        <f t="shared" si="21"/>
        <v>9.4452761595050561E-2</v>
      </c>
    </row>
    <row r="148" spans="7:14" x14ac:dyDescent="0.4">
      <c r="G148" s="1">
        <v>25689</v>
      </c>
      <c r="H148">
        <f t="shared" si="17"/>
        <v>5</v>
      </c>
      <c r="I148" s="28">
        <v>328.08</v>
      </c>
      <c r="J148" s="28">
        <f t="shared" si="20"/>
        <v>-5.0000000000011369E-2</v>
      </c>
      <c r="K148">
        <f t="shared" si="18"/>
        <v>3.0809752517725739</v>
      </c>
      <c r="L148" s="28">
        <f t="shared" si="19"/>
        <v>324.99902474822738</v>
      </c>
      <c r="M148">
        <f t="shared" si="22"/>
        <v>325.54916666666668</v>
      </c>
      <c r="N148" s="28">
        <f t="shared" si="21"/>
        <v>-0.55014191843929439</v>
      </c>
    </row>
    <row r="149" spans="7:14" x14ac:dyDescent="0.4">
      <c r="G149" s="1">
        <v>25720</v>
      </c>
      <c r="H149">
        <f t="shared" si="17"/>
        <v>6</v>
      </c>
      <c r="I149" s="28">
        <v>327.67</v>
      </c>
      <c r="J149" s="28">
        <f t="shared" si="20"/>
        <v>-0.40999999999996817</v>
      </c>
      <c r="K149">
        <f t="shared" si="18"/>
        <v>2.3583796233572674</v>
      </c>
      <c r="L149" s="28">
        <f t="shared" si="19"/>
        <v>325.31162037664274</v>
      </c>
      <c r="M149">
        <f t="shared" si="22"/>
        <v>325.63958333333335</v>
      </c>
      <c r="N149" s="28">
        <f t="shared" si="21"/>
        <v>-0.32796295669061237</v>
      </c>
    </row>
    <row r="150" spans="7:14" x14ac:dyDescent="0.4">
      <c r="G150" s="1">
        <v>25750</v>
      </c>
      <c r="H150">
        <f t="shared" si="17"/>
        <v>7</v>
      </c>
      <c r="I150" s="28">
        <v>326.33999999999997</v>
      </c>
      <c r="J150" s="28">
        <f t="shared" si="20"/>
        <v>-1.3300000000000409</v>
      </c>
      <c r="K150">
        <f t="shared" si="18"/>
        <v>0.72791514248295042</v>
      </c>
      <c r="L150" s="28">
        <f t="shared" si="19"/>
        <v>325.612084857517</v>
      </c>
      <c r="M150">
        <f t="shared" si="22"/>
        <v>325.72791666666666</v>
      </c>
      <c r="N150" s="28">
        <f t="shared" si="21"/>
        <v>-0.11583180914965396</v>
      </c>
    </row>
    <row r="151" spans="7:14" x14ac:dyDescent="0.4">
      <c r="G151" s="1">
        <v>25781</v>
      </c>
      <c r="H151">
        <f t="shared" si="17"/>
        <v>8</v>
      </c>
      <c r="I151" s="28">
        <v>324.69</v>
      </c>
      <c r="J151" s="28">
        <f t="shared" si="20"/>
        <v>-1.6499999999999773</v>
      </c>
      <c r="K151">
        <f t="shared" si="18"/>
        <v>-1.4099263875716923</v>
      </c>
      <c r="L151" s="28">
        <f t="shared" si="19"/>
        <v>326.09992638757171</v>
      </c>
      <c r="M151">
        <f t="shared" si="22"/>
        <v>325.80333333333334</v>
      </c>
      <c r="N151" s="28">
        <f t="shared" si="21"/>
        <v>0.29659305423837168</v>
      </c>
    </row>
    <row r="152" spans="7:14" x14ac:dyDescent="0.4">
      <c r="G152" s="1">
        <v>25812</v>
      </c>
      <c r="H152">
        <f t="shared" si="17"/>
        <v>9</v>
      </c>
      <c r="I152" s="28">
        <v>323.10000000000002</v>
      </c>
      <c r="J152" s="28">
        <f t="shared" si="20"/>
        <v>-1.589999999999975</v>
      </c>
      <c r="K152">
        <f t="shared" si="18"/>
        <v>-3.204325294675523</v>
      </c>
      <c r="L152" s="28">
        <f t="shared" si="19"/>
        <v>326.30432529467555</v>
      </c>
      <c r="M152">
        <f t="shared" si="22"/>
        <v>325.84249999999997</v>
      </c>
      <c r="N152" s="28">
        <f t="shared" si="21"/>
        <v>0.46182529467557742</v>
      </c>
    </row>
    <row r="153" spans="7:14" x14ac:dyDescent="0.4">
      <c r="G153" s="1">
        <v>25842</v>
      </c>
      <c r="H153">
        <f t="shared" si="17"/>
        <v>10</v>
      </c>
      <c r="I153" s="28">
        <v>323.06</v>
      </c>
      <c r="J153" s="28">
        <f t="shared" si="20"/>
        <v>-4.0000000000020464E-2</v>
      </c>
      <c r="K153">
        <f t="shared" si="18"/>
        <v>-3.3270848575170473</v>
      </c>
      <c r="L153" s="28">
        <f t="shared" si="19"/>
        <v>326.38708485751704</v>
      </c>
      <c r="M153">
        <f t="shared" si="22"/>
        <v>325.83833333333331</v>
      </c>
      <c r="N153" s="28">
        <f t="shared" si="21"/>
        <v>0.54875152418372863</v>
      </c>
    </row>
    <row r="154" spans="7:14" x14ac:dyDescent="0.4">
      <c r="G154" s="1">
        <v>25873</v>
      </c>
      <c r="H154">
        <f t="shared" si="17"/>
        <v>11</v>
      </c>
      <c r="I154" s="28">
        <v>324.01</v>
      </c>
      <c r="J154" s="28">
        <f t="shared" si="20"/>
        <v>0.94999999999998863</v>
      </c>
      <c r="K154">
        <f t="shared" si="18"/>
        <v>-2.0516476990471002</v>
      </c>
      <c r="L154" s="28">
        <f t="shared" si="19"/>
        <v>326.06164769904711</v>
      </c>
      <c r="M154">
        <f t="shared" si="22"/>
        <v>325.85958333333332</v>
      </c>
      <c r="N154" s="28">
        <f t="shared" si="21"/>
        <v>0.20206436571379527</v>
      </c>
    </row>
    <row r="155" spans="7:14" x14ac:dyDescent="0.4">
      <c r="G155" s="1">
        <v>25903</v>
      </c>
      <c r="H155">
        <f t="shared" si="17"/>
        <v>12</v>
      </c>
      <c r="I155" s="28">
        <v>325.13</v>
      </c>
      <c r="J155" s="28">
        <f t="shared" si="20"/>
        <v>1.1200000000000045</v>
      </c>
      <c r="K155">
        <f t="shared" si="18"/>
        <v>-0.88768595041322573</v>
      </c>
      <c r="L155" s="28">
        <f t="shared" si="19"/>
        <v>326.01768595041324</v>
      </c>
      <c r="M155">
        <f t="shared" si="22"/>
        <v>325.9325</v>
      </c>
      <c r="N155" s="28">
        <f t="shared" si="21"/>
        <v>8.5185950413233513E-2</v>
      </c>
    </row>
    <row r="156" spans="7:14" x14ac:dyDescent="0.4">
      <c r="G156" s="1">
        <v>25934</v>
      </c>
      <c r="H156">
        <f t="shared" si="17"/>
        <v>1</v>
      </c>
      <c r="I156" s="28">
        <v>326.17</v>
      </c>
      <c r="J156" s="28">
        <f t="shared" si="20"/>
        <v>1.0400000000000205</v>
      </c>
      <c r="K156">
        <f t="shared" si="18"/>
        <v>5.8898749040328657E-2</v>
      </c>
      <c r="L156" s="28">
        <f t="shared" si="19"/>
        <v>326.11110125095968</v>
      </c>
      <c r="M156">
        <f t="shared" si="22"/>
        <v>326.01249999999999</v>
      </c>
      <c r="N156" s="28">
        <f t="shared" si="21"/>
        <v>9.8601250959688969E-2</v>
      </c>
    </row>
    <row r="157" spans="7:14" x14ac:dyDescent="0.4">
      <c r="G157" s="1">
        <v>25965</v>
      </c>
      <c r="H157">
        <f t="shared" si="17"/>
        <v>2</v>
      </c>
      <c r="I157" s="28">
        <v>326.68</v>
      </c>
      <c r="J157" s="28">
        <f t="shared" si="20"/>
        <v>0.50999999999999091</v>
      </c>
      <c r="K157">
        <f t="shared" si="18"/>
        <v>0.6941584247843573</v>
      </c>
      <c r="L157" s="28">
        <f t="shared" si="19"/>
        <v>325.98584157521566</v>
      </c>
      <c r="M157">
        <f t="shared" si="22"/>
        <v>326.08583333333331</v>
      </c>
      <c r="N157" s="28">
        <f t="shared" si="21"/>
        <v>-9.9991758117653262E-2</v>
      </c>
    </row>
    <row r="158" spans="7:14" x14ac:dyDescent="0.4">
      <c r="G158" s="1">
        <v>25993</v>
      </c>
      <c r="H158">
        <f t="shared" si="17"/>
        <v>3</v>
      </c>
      <c r="I158" s="28">
        <v>327.17</v>
      </c>
      <c r="J158" s="28">
        <f t="shared" si="20"/>
        <v>0.49000000000000909</v>
      </c>
      <c r="K158">
        <f t="shared" si="18"/>
        <v>1.3722957593821961</v>
      </c>
      <c r="L158" s="28">
        <f t="shared" si="19"/>
        <v>325.7977042406178</v>
      </c>
      <c r="M158">
        <f t="shared" si="22"/>
        <v>326.1275</v>
      </c>
      <c r="N158" s="28">
        <f t="shared" si="21"/>
        <v>-0.32979575938219341</v>
      </c>
    </row>
    <row r="159" spans="7:14" x14ac:dyDescent="0.4">
      <c r="G159" s="1">
        <v>26024</v>
      </c>
      <c r="H159">
        <f t="shared" si="17"/>
        <v>4</v>
      </c>
      <c r="I159" s="28">
        <v>327.79</v>
      </c>
      <c r="J159" s="28">
        <f t="shared" si="20"/>
        <v>0.62000000000000455</v>
      </c>
      <c r="K159">
        <f t="shared" si="18"/>
        <v>2.5880472384049131</v>
      </c>
      <c r="L159" s="28">
        <f t="shared" si="19"/>
        <v>325.20195276159512</v>
      </c>
      <c r="M159">
        <f t="shared" si="22"/>
        <v>326.15916666666664</v>
      </c>
      <c r="N159" s="28">
        <f t="shared" si="21"/>
        <v>-0.95721390507151227</v>
      </c>
    </row>
    <row r="160" spans="7:14" x14ac:dyDescent="0.4">
      <c r="G160" s="1">
        <v>26054</v>
      </c>
      <c r="H160">
        <f t="shared" si="17"/>
        <v>5</v>
      </c>
      <c r="I160" s="28">
        <v>328.93</v>
      </c>
      <c r="J160" s="28">
        <f t="shared" si="20"/>
        <v>1.1399999999999864</v>
      </c>
      <c r="K160">
        <f t="shared" si="18"/>
        <v>3.0809752517725739</v>
      </c>
      <c r="L160" s="28">
        <f t="shared" si="19"/>
        <v>325.84902474822741</v>
      </c>
      <c r="M160">
        <f t="shared" si="22"/>
        <v>326.21291666666667</v>
      </c>
      <c r="N160" s="28">
        <f t="shared" si="21"/>
        <v>-0.36389191843926483</v>
      </c>
    </row>
    <row r="161" spans="7:14" x14ac:dyDescent="0.4">
      <c r="G161" s="1">
        <v>26085</v>
      </c>
      <c r="H161">
        <f t="shared" si="17"/>
        <v>6</v>
      </c>
      <c r="I161" s="28">
        <v>328.57</v>
      </c>
      <c r="J161" s="28">
        <f t="shared" si="20"/>
        <v>-0.36000000000001364</v>
      </c>
      <c r="K161">
        <f t="shared" si="18"/>
        <v>2.3583796233572674</v>
      </c>
      <c r="L161" s="28">
        <f t="shared" si="19"/>
        <v>326.21162037664271</v>
      </c>
      <c r="M161">
        <f t="shared" si="22"/>
        <v>326.28249999999997</v>
      </c>
      <c r="N161" s="28">
        <f t="shared" si="21"/>
        <v>-7.087962335725706E-2</v>
      </c>
    </row>
    <row r="162" spans="7:14" x14ac:dyDescent="0.4">
      <c r="G162" s="1">
        <v>26115</v>
      </c>
      <c r="H162">
        <f t="shared" si="17"/>
        <v>7</v>
      </c>
      <c r="I162" s="28">
        <v>327.36</v>
      </c>
      <c r="J162" s="28">
        <f t="shared" si="20"/>
        <v>-1.2099999999999795</v>
      </c>
      <c r="K162">
        <f t="shared" si="18"/>
        <v>0.72791514248295042</v>
      </c>
      <c r="L162" s="28">
        <f t="shared" si="19"/>
        <v>326.63208485751704</v>
      </c>
      <c r="M162">
        <f t="shared" si="22"/>
        <v>326.34416666666669</v>
      </c>
      <c r="N162" s="28">
        <f t="shared" si="21"/>
        <v>0.28791819085034831</v>
      </c>
    </row>
    <row r="163" spans="7:14" x14ac:dyDescent="0.4">
      <c r="G163" s="1">
        <v>26146</v>
      </c>
      <c r="H163">
        <f t="shared" si="17"/>
        <v>8</v>
      </c>
      <c r="I163" s="28">
        <v>325.43</v>
      </c>
      <c r="J163" s="28">
        <f t="shared" si="20"/>
        <v>-1.9300000000000068</v>
      </c>
      <c r="K163">
        <f t="shared" si="18"/>
        <v>-1.4099263875716923</v>
      </c>
      <c r="L163" s="28">
        <f t="shared" si="19"/>
        <v>326.83992638757172</v>
      </c>
      <c r="M163">
        <f t="shared" si="22"/>
        <v>326.40875</v>
      </c>
      <c r="N163" s="28">
        <f t="shared" si="21"/>
        <v>0.43117638757172472</v>
      </c>
    </row>
    <row r="164" spans="7:14" x14ac:dyDescent="0.4">
      <c r="G164" s="1">
        <v>26177</v>
      </c>
      <c r="H164">
        <f t="shared" si="17"/>
        <v>9</v>
      </c>
      <c r="I164" s="28">
        <v>323.36</v>
      </c>
      <c r="J164" s="28">
        <f t="shared" si="20"/>
        <v>-2.0699999999999932</v>
      </c>
      <c r="K164">
        <f t="shared" si="18"/>
        <v>-3.204325294675523</v>
      </c>
      <c r="L164" s="28">
        <f t="shared" si="19"/>
        <v>326.56432529467554</v>
      </c>
      <c r="M164">
        <f t="shared" si="22"/>
        <v>326.47250000000003</v>
      </c>
      <c r="N164" s="28">
        <f t="shared" si="21"/>
        <v>9.1825294675516034E-2</v>
      </c>
    </row>
    <row r="165" spans="7:14" x14ac:dyDescent="0.4">
      <c r="G165" s="1">
        <v>26207</v>
      </c>
      <c r="H165">
        <f t="shared" si="17"/>
        <v>10</v>
      </c>
      <c r="I165" s="28">
        <v>323.56</v>
      </c>
      <c r="J165" s="28">
        <f t="shared" si="20"/>
        <v>0.19999999999998863</v>
      </c>
      <c r="K165">
        <f t="shared" si="18"/>
        <v>-3.3270848575170473</v>
      </c>
      <c r="L165" s="28">
        <f t="shared" si="19"/>
        <v>326.88708485751704</v>
      </c>
      <c r="M165">
        <f t="shared" si="22"/>
        <v>326.57708333333329</v>
      </c>
      <c r="N165" s="28">
        <f t="shared" si="21"/>
        <v>0.31000152418374682</v>
      </c>
    </row>
    <row r="166" spans="7:14" x14ac:dyDescent="0.4">
      <c r="G166" s="1">
        <v>26238</v>
      </c>
      <c r="H166">
        <f t="shared" si="17"/>
        <v>11</v>
      </c>
      <c r="I166" s="28">
        <v>324.8</v>
      </c>
      <c r="J166" s="28">
        <f t="shared" si="20"/>
        <v>1.2400000000000091</v>
      </c>
      <c r="K166">
        <f t="shared" si="18"/>
        <v>-2.0516476990471002</v>
      </c>
      <c r="L166" s="28">
        <f t="shared" si="19"/>
        <v>326.85164769904713</v>
      </c>
      <c r="M166">
        <f t="shared" si="22"/>
        <v>326.70499999999998</v>
      </c>
      <c r="N166" s="28">
        <f t="shared" si="21"/>
        <v>0.14664769904715058</v>
      </c>
    </row>
    <row r="167" spans="7:14" x14ac:dyDescent="0.4">
      <c r="G167" s="1">
        <v>26268</v>
      </c>
      <c r="H167">
        <f t="shared" si="17"/>
        <v>12</v>
      </c>
      <c r="I167" s="28">
        <v>326.01</v>
      </c>
      <c r="J167" s="28">
        <f t="shared" si="20"/>
        <v>1.2099999999999795</v>
      </c>
      <c r="K167">
        <f t="shared" si="18"/>
        <v>-0.88768595041322573</v>
      </c>
      <c r="L167" s="28">
        <f t="shared" si="19"/>
        <v>326.89768595041323</v>
      </c>
      <c r="M167">
        <f t="shared" si="22"/>
        <v>326.77416666666664</v>
      </c>
      <c r="N167" s="28">
        <f t="shared" si="21"/>
        <v>0.12351928374658883</v>
      </c>
    </row>
    <row r="168" spans="7:14" x14ac:dyDescent="0.4">
      <c r="G168" s="1">
        <v>26299</v>
      </c>
      <c r="H168">
        <f t="shared" si="17"/>
        <v>1</v>
      </c>
      <c r="I168" s="28">
        <v>326.77</v>
      </c>
      <c r="J168" s="28">
        <f t="shared" si="20"/>
        <v>0.75999999999999091</v>
      </c>
      <c r="K168">
        <f t="shared" si="18"/>
        <v>5.8898749040328657E-2</v>
      </c>
      <c r="L168" s="28">
        <f t="shared" si="19"/>
        <v>326.71110125095964</v>
      </c>
      <c r="M168">
        <f t="shared" si="22"/>
        <v>326.82416666666666</v>
      </c>
      <c r="N168" s="28">
        <f t="shared" si="21"/>
        <v>-0.11306541570701256</v>
      </c>
    </row>
    <row r="169" spans="7:14" x14ac:dyDescent="0.4">
      <c r="G169" s="1">
        <v>26330</v>
      </c>
      <c r="H169">
        <f t="shared" si="17"/>
        <v>2</v>
      </c>
      <c r="I169" s="28">
        <v>327.63</v>
      </c>
      <c r="J169" s="28">
        <f t="shared" si="20"/>
        <v>0.86000000000001364</v>
      </c>
      <c r="K169">
        <f t="shared" si="18"/>
        <v>0.6941584247843573</v>
      </c>
      <c r="L169" s="28">
        <f t="shared" si="19"/>
        <v>326.93584157521565</v>
      </c>
      <c r="M169">
        <f t="shared" si="22"/>
        <v>326.88958333333335</v>
      </c>
      <c r="N169" s="28">
        <f t="shared" si="21"/>
        <v>4.6258241882298989E-2</v>
      </c>
    </row>
    <row r="170" spans="7:14" x14ac:dyDescent="0.4">
      <c r="G170" s="1">
        <v>26359</v>
      </c>
      <c r="H170">
        <f t="shared" si="17"/>
        <v>3</v>
      </c>
      <c r="I170" s="28">
        <v>327.75</v>
      </c>
      <c r="J170" s="28">
        <f t="shared" si="20"/>
        <v>0.12000000000000455</v>
      </c>
      <c r="K170">
        <f t="shared" si="18"/>
        <v>1.3722957593821961</v>
      </c>
      <c r="L170" s="28">
        <f t="shared" si="19"/>
        <v>326.37770424061779</v>
      </c>
      <c r="M170">
        <f t="shared" si="22"/>
        <v>326.98833333333329</v>
      </c>
      <c r="N170" s="28">
        <f t="shared" si="21"/>
        <v>-0.6106290927154987</v>
      </c>
    </row>
    <row r="171" spans="7:14" x14ac:dyDescent="0.4">
      <c r="G171" s="1">
        <v>26390</v>
      </c>
      <c r="H171">
        <f t="shared" si="17"/>
        <v>4</v>
      </c>
      <c r="I171" s="28">
        <v>329.72</v>
      </c>
      <c r="J171" s="28">
        <f t="shared" si="20"/>
        <v>1.9700000000000273</v>
      </c>
      <c r="K171">
        <f t="shared" si="18"/>
        <v>2.5880472384049131</v>
      </c>
      <c r="L171" s="28">
        <f t="shared" si="19"/>
        <v>327.13195276159513</v>
      </c>
      <c r="M171">
        <f t="shared" si="22"/>
        <v>327.11833333333334</v>
      </c>
      <c r="N171" s="28">
        <f t="shared" si="21"/>
        <v>1.3619428261790745E-2</v>
      </c>
    </row>
    <row r="172" spans="7:14" x14ac:dyDescent="0.4">
      <c r="G172" s="1">
        <v>26420</v>
      </c>
      <c r="H172">
        <f t="shared" si="17"/>
        <v>5</v>
      </c>
      <c r="I172" s="28">
        <v>330.07</v>
      </c>
      <c r="J172" s="28">
        <f t="shared" si="20"/>
        <v>0.34999999999996589</v>
      </c>
      <c r="K172">
        <f t="shared" si="18"/>
        <v>3.0809752517725739</v>
      </c>
      <c r="L172" s="28">
        <f t="shared" si="19"/>
        <v>326.98902474822739</v>
      </c>
      <c r="M172">
        <f t="shared" si="22"/>
        <v>327.25749999999999</v>
      </c>
      <c r="N172" s="28">
        <f t="shared" si="21"/>
        <v>-0.26847525177259968</v>
      </c>
    </row>
    <row r="173" spans="7:14" x14ac:dyDescent="0.4">
      <c r="G173" s="1">
        <v>26451</v>
      </c>
      <c r="H173">
        <f t="shared" si="17"/>
        <v>6</v>
      </c>
      <c r="I173" s="28">
        <v>329.09</v>
      </c>
      <c r="J173" s="28">
        <f t="shared" si="20"/>
        <v>-0.98000000000001819</v>
      </c>
      <c r="K173">
        <f t="shared" si="18"/>
        <v>2.3583796233572674</v>
      </c>
      <c r="L173" s="28">
        <f t="shared" si="19"/>
        <v>326.7316203766427</v>
      </c>
      <c r="M173">
        <f t="shared" si="22"/>
        <v>327.39249999999998</v>
      </c>
      <c r="N173" s="28">
        <f t="shared" si="21"/>
        <v>-0.66087962335728889</v>
      </c>
    </row>
    <row r="174" spans="7:14" x14ac:dyDescent="0.4">
      <c r="G174" s="1">
        <v>26481</v>
      </c>
      <c r="H174">
        <f t="shared" si="17"/>
        <v>7</v>
      </c>
      <c r="I174" s="28">
        <v>328.04</v>
      </c>
      <c r="J174" s="28">
        <f t="shared" si="20"/>
        <v>-1.0499999999999545</v>
      </c>
      <c r="K174">
        <f t="shared" si="18"/>
        <v>0.72791514248295042</v>
      </c>
      <c r="L174" s="28">
        <f t="shared" si="19"/>
        <v>327.31208485751705</v>
      </c>
      <c r="M174">
        <f t="shared" si="22"/>
        <v>327.53083333333331</v>
      </c>
      <c r="N174" s="28">
        <f t="shared" si="21"/>
        <v>-0.21874847581625545</v>
      </c>
    </row>
    <row r="175" spans="7:14" x14ac:dyDescent="0.4">
      <c r="G175" s="1">
        <v>26512</v>
      </c>
      <c r="H175">
        <f t="shared" si="17"/>
        <v>8</v>
      </c>
      <c r="I175" s="28">
        <v>326.32</v>
      </c>
      <c r="J175" s="28">
        <f t="shared" si="20"/>
        <v>-1.7200000000000273</v>
      </c>
      <c r="K175">
        <f t="shared" si="18"/>
        <v>-1.4099263875716923</v>
      </c>
      <c r="L175" s="28">
        <f t="shared" si="19"/>
        <v>327.72992638757171</v>
      </c>
      <c r="M175">
        <f t="shared" si="22"/>
        <v>327.68541666666664</v>
      </c>
      <c r="N175" s="28">
        <f t="shared" si="21"/>
        <v>4.4509720905068662E-2</v>
      </c>
    </row>
    <row r="176" spans="7:14" x14ac:dyDescent="0.4">
      <c r="G176" s="1">
        <v>26543</v>
      </c>
      <c r="H176">
        <f t="shared" si="17"/>
        <v>9</v>
      </c>
      <c r="I176" s="28">
        <v>324.83999999999997</v>
      </c>
      <c r="J176" s="28">
        <f t="shared" si="20"/>
        <v>-1.4800000000000182</v>
      </c>
      <c r="K176">
        <f t="shared" si="18"/>
        <v>-3.204325294675523</v>
      </c>
      <c r="L176" s="28">
        <f t="shared" si="19"/>
        <v>328.0443252946755</v>
      </c>
      <c r="M176">
        <f t="shared" si="22"/>
        <v>327.87208333333331</v>
      </c>
      <c r="N176" s="28">
        <f t="shared" si="21"/>
        <v>0.17224196134219483</v>
      </c>
    </row>
    <row r="177" spans="7:14" x14ac:dyDescent="0.4">
      <c r="G177" s="1">
        <v>26573</v>
      </c>
      <c r="H177">
        <f t="shared" si="17"/>
        <v>10</v>
      </c>
      <c r="I177" s="28">
        <v>325.2</v>
      </c>
      <c r="J177" s="28">
        <f t="shared" si="20"/>
        <v>0.36000000000001364</v>
      </c>
      <c r="K177">
        <f t="shared" si="18"/>
        <v>-3.3270848575170473</v>
      </c>
      <c r="L177" s="28">
        <f t="shared" si="19"/>
        <v>328.52708485751702</v>
      </c>
      <c r="M177">
        <f t="shared" si="22"/>
        <v>328.05249999999995</v>
      </c>
      <c r="N177" s="28">
        <f t="shared" si="21"/>
        <v>0.47458485751707258</v>
      </c>
    </row>
    <row r="178" spans="7:14" x14ac:dyDescent="0.4">
      <c r="G178" s="1">
        <v>26604</v>
      </c>
      <c r="H178">
        <f t="shared" si="17"/>
        <v>11</v>
      </c>
      <c r="I178" s="28">
        <v>326.5</v>
      </c>
      <c r="J178" s="28">
        <f t="shared" si="20"/>
        <v>1.3000000000000114</v>
      </c>
      <c r="K178">
        <f t="shared" si="18"/>
        <v>-2.0516476990471002</v>
      </c>
      <c r="L178" s="28">
        <f t="shared" si="19"/>
        <v>328.55164769904712</v>
      </c>
      <c r="M178">
        <f t="shared" si="22"/>
        <v>328.22708333333338</v>
      </c>
      <c r="N178" s="28">
        <f t="shared" si="21"/>
        <v>0.3245643657137407</v>
      </c>
    </row>
    <row r="179" spans="7:14" x14ac:dyDescent="0.4">
      <c r="G179" s="1">
        <v>26634</v>
      </c>
      <c r="H179">
        <f t="shared" si="17"/>
        <v>12</v>
      </c>
      <c r="I179" s="28">
        <v>327.55</v>
      </c>
      <c r="J179" s="28">
        <f t="shared" si="20"/>
        <v>1.0500000000000114</v>
      </c>
      <c r="K179">
        <f t="shared" si="18"/>
        <v>-0.88768595041322573</v>
      </c>
      <c r="L179" s="28">
        <f t="shared" si="19"/>
        <v>328.43768595041325</v>
      </c>
      <c r="M179">
        <f t="shared" si="22"/>
        <v>328.45166666666665</v>
      </c>
      <c r="N179" s="28">
        <f t="shared" si="21"/>
        <v>-1.3980716253399805E-2</v>
      </c>
    </row>
    <row r="180" spans="7:14" x14ac:dyDescent="0.4">
      <c r="G180" s="1">
        <v>26665</v>
      </c>
      <c r="H180">
        <f t="shared" si="17"/>
        <v>1</v>
      </c>
      <c r="I180" s="28">
        <v>328.55</v>
      </c>
      <c r="J180" s="28">
        <f t="shared" si="20"/>
        <v>1</v>
      </c>
      <c r="K180">
        <f t="shared" si="18"/>
        <v>5.8898749040328657E-2</v>
      </c>
      <c r="L180" s="28">
        <f t="shared" si="19"/>
        <v>328.49110125095967</v>
      </c>
      <c r="M180">
        <f t="shared" si="22"/>
        <v>328.69375000000002</v>
      </c>
      <c r="N180" s="28">
        <f t="shared" si="21"/>
        <v>-0.20264874904034968</v>
      </c>
    </row>
    <row r="181" spans="7:14" x14ac:dyDescent="0.4">
      <c r="G181" s="1">
        <v>26696</v>
      </c>
      <c r="H181">
        <f t="shared" si="17"/>
        <v>2</v>
      </c>
      <c r="I181" s="28">
        <v>329.56</v>
      </c>
      <c r="J181" s="28">
        <f t="shared" si="20"/>
        <v>1.0099999999999909</v>
      </c>
      <c r="K181">
        <f t="shared" si="18"/>
        <v>0.6941584247843573</v>
      </c>
      <c r="L181" s="28">
        <f t="shared" si="19"/>
        <v>328.86584157521565</v>
      </c>
      <c r="M181">
        <f t="shared" si="22"/>
        <v>328.93624999999997</v>
      </c>
      <c r="N181" s="28">
        <f t="shared" si="21"/>
        <v>-7.0408424784318413E-2</v>
      </c>
    </row>
    <row r="182" spans="7:14" x14ac:dyDescent="0.4">
      <c r="G182" s="1">
        <v>26724</v>
      </c>
      <c r="H182">
        <f t="shared" si="17"/>
        <v>3</v>
      </c>
      <c r="I182" s="28">
        <v>330.3</v>
      </c>
      <c r="J182" s="28">
        <f t="shared" si="20"/>
        <v>0.74000000000000909</v>
      </c>
      <c r="K182">
        <f t="shared" si="18"/>
        <v>1.3722957593821961</v>
      </c>
      <c r="L182" s="28">
        <f t="shared" si="19"/>
        <v>328.9277042406178</v>
      </c>
      <c r="M182">
        <f t="shared" si="22"/>
        <v>329.17208333333338</v>
      </c>
      <c r="N182" s="28">
        <f t="shared" si="21"/>
        <v>-0.24437909271557601</v>
      </c>
    </row>
    <row r="183" spans="7:14" x14ac:dyDescent="0.4">
      <c r="G183" s="1">
        <v>26755</v>
      </c>
      <c r="H183">
        <f t="shared" si="17"/>
        <v>4</v>
      </c>
      <c r="I183" s="28">
        <v>331.5</v>
      </c>
      <c r="J183" s="28">
        <f t="shared" si="20"/>
        <v>1.1999999999999886</v>
      </c>
      <c r="K183">
        <f t="shared" si="18"/>
        <v>2.5880472384049131</v>
      </c>
      <c r="L183" s="28">
        <f t="shared" si="19"/>
        <v>328.9119527615951</v>
      </c>
      <c r="M183">
        <f t="shared" si="22"/>
        <v>329.36583333333334</v>
      </c>
      <c r="N183" s="28">
        <f t="shared" si="21"/>
        <v>-0.45388057173823881</v>
      </c>
    </row>
    <row r="184" spans="7:14" x14ac:dyDescent="0.4">
      <c r="G184" s="1">
        <v>26785</v>
      </c>
      <c r="H184">
        <f t="shared" si="17"/>
        <v>5</v>
      </c>
      <c r="I184" s="28">
        <v>332.48</v>
      </c>
      <c r="J184" s="28">
        <f t="shared" si="20"/>
        <v>0.98000000000001819</v>
      </c>
      <c r="K184">
        <f t="shared" si="18"/>
        <v>3.0809752517725739</v>
      </c>
      <c r="L184" s="28">
        <f t="shared" si="19"/>
        <v>329.39902474822742</v>
      </c>
      <c r="M184">
        <f t="shared" si="22"/>
        <v>329.51749999999998</v>
      </c>
      <c r="N184" s="28">
        <f t="shared" si="21"/>
        <v>-0.11847525177256557</v>
      </c>
    </row>
    <row r="185" spans="7:14" x14ac:dyDescent="0.4">
      <c r="G185" s="1">
        <v>26816</v>
      </c>
      <c r="H185">
        <f t="shared" si="17"/>
        <v>6</v>
      </c>
      <c r="I185" s="28">
        <v>332.07</v>
      </c>
      <c r="J185" s="28">
        <f t="shared" si="20"/>
        <v>-0.41000000000002501</v>
      </c>
      <c r="K185">
        <f t="shared" si="18"/>
        <v>2.3583796233572674</v>
      </c>
      <c r="L185" s="28">
        <f t="shared" si="19"/>
        <v>329.71162037664271</v>
      </c>
      <c r="M185">
        <f t="shared" si="22"/>
        <v>329.63208333333336</v>
      </c>
      <c r="N185" s="28">
        <f t="shared" si="21"/>
        <v>7.9537043309358069E-2</v>
      </c>
    </row>
    <row r="186" spans="7:14" x14ac:dyDescent="0.4">
      <c r="G186" s="1">
        <v>26846</v>
      </c>
      <c r="H186">
        <f t="shared" si="17"/>
        <v>7</v>
      </c>
      <c r="I186" s="28">
        <v>330.87</v>
      </c>
      <c r="J186" s="28">
        <f t="shared" si="20"/>
        <v>-1.1999999999999886</v>
      </c>
      <c r="K186">
        <f t="shared" si="18"/>
        <v>0.72791514248295042</v>
      </c>
      <c r="L186" s="28">
        <f t="shared" si="19"/>
        <v>330.14208485751703</v>
      </c>
      <c r="M186">
        <f t="shared" si="22"/>
        <v>329.71083333333337</v>
      </c>
      <c r="N186" s="28">
        <f t="shared" si="21"/>
        <v>0.43125152418366497</v>
      </c>
    </row>
    <row r="187" spans="7:14" x14ac:dyDescent="0.4">
      <c r="G187" s="1">
        <v>26877</v>
      </c>
      <c r="H187">
        <f t="shared" si="17"/>
        <v>8</v>
      </c>
      <c r="I187" s="28">
        <v>329.31</v>
      </c>
      <c r="J187" s="28">
        <f t="shared" si="20"/>
        <v>-1.5600000000000023</v>
      </c>
      <c r="K187">
        <f t="shared" si="18"/>
        <v>-1.4099263875716923</v>
      </c>
      <c r="L187" s="28">
        <f t="shared" si="19"/>
        <v>330.71992638757172</v>
      </c>
      <c r="M187">
        <f t="shared" si="22"/>
        <v>329.79208333333332</v>
      </c>
      <c r="N187" s="28">
        <f t="shared" si="21"/>
        <v>0.92784305423839442</v>
      </c>
    </row>
    <row r="188" spans="7:14" x14ac:dyDescent="0.4">
      <c r="G188" s="1">
        <v>26908</v>
      </c>
      <c r="H188">
        <f t="shared" si="17"/>
        <v>9</v>
      </c>
      <c r="I188" s="28">
        <v>327.51</v>
      </c>
      <c r="J188" s="28">
        <f t="shared" si="20"/>
        <v>-1.8000000000000114</v>
      </c>
      <c r="K188">
        <f t="shared" si="18"/>
        <v>-3.204325294675523</v>
      </c>
      <c r="L188" s="28">
        <f t="shared" si="19"/>
        <v>330.71432529467552</v>
      </c>
      <c r="M188">
        <f t="shared" si="22"/>
        <v>329.88916666666677</v>
      </c>
      <c r="N188" s="28">
        <f t="shared" si="21"/>
        <v>0.82515862800875084</v>
      </c>
    </row>
    <row r="189" spans="7:14" x14ac:dyDescent="0.4">
      <c r="G189" s="1">
        <v>26938</v>
      </c>
      <c r="H189">
        <f t="shared" si="17"/>
        <v>10</v>
      </c>
      <c r="I189" s="28">
        <v>327.18</v>
      </c>
      <c r="J189" s="28">
        <f t="shared" si="20"/>
        <v>-0.32999999999998408</v>
      </c>
      <c r="K189">
        <f t="shared" si="18"/>
        <v>-3.3270848575170473</v>
      </c>
      <c r="L189" s="28">
        <f t="shared" si="19"/>
        <v>330.50708485751704</v>
      </c>
      <c r="M189">
        <f t="shared" si="22"/>
        <v>329.98625000000004</v>
      </c>
      <c r="N189" s="28">
        <f t="shared" si="21"/>
        <v>0.52083485751700209</v>
      </c>
    </row>
    <row r="190" spans="7:14" x14ac:dyDescent="0.4">
      <c r="G190" s="1">
        <v>26969</v>
      </c>
      <c r="H190">
        <f t="shared" si="17"/>
        <v>11</v>
      </c>
      <c r="I190" s="28">
        <v>328.16</v>
      </c>
      <c r="J190" s="28">
        <f t="shared" si="20"/>
        <v>0.98000000000001819</v>
      </c>
      <c r="K190">
        <f t="shared" si="18"/>
        <v>-2.0516476990471002</v>
      </c>
      <c r="L190" s="28">
        <f t="shared" si="19"/>
        <v>330.21164769904715</v>
      </c>
      <c r="M190">
        <f t="shared" si="22"/>
        <v>330.05958333333336</v>
      </c>
      <c r="N190" s="28">
        <f t="shared" si="21"/>
        <v>0.1520643657137839</v>
      </c>
    </row>
    <row r="191" spans="7:14" x14ac:dyDescent="0.4">
      <c r="G191" s="1">
        <v>26999</v>
      </c>
      <c r="H191">
        <f t="shared" si="17"/>
        <v>12</v>
      </c>
      <c r="I191" s="28">
        <v>328.64</v>
      </c>
      <c r="J191" s="28">
        <f t="shared" si="20"/>
        <v>0.47999999999996135</v>
      </c>
      <c r="K191">
        <f t="shared" si="18"/>
        <v>-0.88768595041322573</v>
      </c>
      <c r="L191" s="28">
        <f t="shared" si="19"/>
        <v>329.52768595041323</v>
      </c>
      <c r="M191">
        <f t="shared" si="22"/>
        <v>330.09250000000003</v>
      </c>
      <c r="N191" s="28">
        <f t="shared" si="21"/>
        <v>-0.56481404958680059</v>
      </c>
    </row>
    <row r="192" spans="7:14" x14ac:dyDescent="0.4">
      <c r="G192" s="1">
        <v>27030</v>
      </c>
      <c r="H192">
        <f t="shared" si="17"/>
        <v>1</v>
      </c>
      <c r="I192" s="28">
        <v>329.35</v>
      </c>
      <c r="J192" s="28">
        <f t="shared" si="20"/>
        <v>0.71000000000003638</v>
      </c>
      <c r="K192">
        <f t="shared" si="18"/>
        <v>5.8898749040328657E-2</v>
      </c>
      <c r="L192" s="28">
        <f t="shared" si="19"/>
        <v>329.29110125095968</v>
      </c>
      <c r="M192">
        <f t="shared" si="22"/>
        <v>330.11291666666659</v>
      </c>
      <c r="N192" s="28">
        <f t="shared" si="21"/>
        <v>-0.82181541570690797</v>
      </c>
    </row>
    <row r="193" spans="7:14" x14ac:dyDescent="0.4">
      <c r="G193" s="1">
        <v>27061</v>
      </c>
      <c r="H193">
        <f t="shared" si="17"/>
        <v>2</v>
      </c>
      <c r="I193" s="28">
        <v>330.71</v>
      </c>
      <c r="J193" s="28">
        <f t="shared" si="20"/>
        <v>1.3599999999999568</v>
      </c>
      <c r="K193">
        <f t="shared" si="18"/>
        <v>0.6941584247843573</v>
      </c>
      <c r="L193" s="28">
        <f t="shared" si="19"/>
        <v>330.01584157521563</v>
      </c>
      <c r="M193">
        <f t="shared" si="22"/>
        <v>330.12916666666661</v>
      </c>
      <c r="N193" s="28">
        <f t="shared" si="21"/>
        <v>-0.11332509145097447</v>
      </c>
    </row>
    <row r="194" spans="7:14" x14ac:dyDescent="0.4">
      <c r="G194" s="1">
        <v>27089</v>
      </c>
      <c r="H194">
        <f t="shared" si="17"/>
        <v>3</v>
      </c>
      <c r="I194" s="28">
        <v>331.48</v>
      </c>
      <c r="J194" s="28">
        <f t="shared" si="20"/>
        <v>0.77000000000003865</v>
      </c>
      <c r="K194">
        <f t="shared" si="18"/>
        <v>1.3722957593821961</v>
      </c>
      <c r="L194" s="28">
        <f t="shared" si="19"/>
        <v>330.10770424061781</v>
      </c>
      <c r="M194">
        <f t="shared" si="22"/>
        <v>330.12916666666661</v>
      </c>
      <c r="N194" s="28">
        <f t="shared" si="21"/>
        <v>-2.1462426048799443E-2</v>
      </c>
    </row>
    <row r="195" spans="7:14" x14ac:dyDescent="0.4">
      <c r="G195" s="1">
        <v>27120</v>
      </c>
      <c r="H195">
        <f t="shared" ref="H195:H258" si="23">MONTH(G195)</f>
        <v>4</v>
      </c>
      <c r="I195" s="28">
        <v>332.65</v>
      </c>
      <c r="J195" s="28">
        <f t="shared" si="20"/>
        <v>1.1699999999999591</v>
      </c>
      <c r="K195">
        <f t="shared" ref="K195:K258" si="24">INDEX($E$3:$E$14,H195)</f>
        <v>2.5880472384049131</v>
      </c>
      <c r="L195" s="28">
        <f t="shared" ref="L195:L258" si="25">I195-K195</f>
        <v>330.06195276159508</v>
      </c>
      <c r="M195">
        <f t="shared" si="22"/>
        <v>330.13374999999996</v>
      </c>
      <c r="N195" s="28">
        <f t="shared" si="21"/>
        <v>-7.1797238404883501E-2</v>
      </c>
    </row>
    <row r="196" spans="7:14" x14ac:dyDescent="0.4">
      <c r="G196" s="1">
        <v>27150</v>
      </c>
      <c r="H196">
        <f t="shared" si="23"/>
        <v>5</v>
      </c>
      <c r="I196" s="28">
        <v>333.09</v>
      </c>
      <c r="J196" s="28">
        <f t="shared" ref="J196:J259" si="26">I196-I195</f>
        <v>0.43999999999999773</v>
      </c>
      <c r="K196">
        <f t="shared" si="24"/>
        <v>3.0809752517725739</v>
      </c>
      <c r="L196" s="28">
        <f t="shared" si="25"/>
        <v>330.00902474822738</v>
      </c>
      <c r="M196">
        <f t="shared" si="22"/>
        <v>330.1541666666667</v>
      </c>
      <c r="N196" s="28">
        <f t="shared" si="21"/>
        <v>-0.14514191843932167</v>
      </c>
    </row>
    <row r="197" spans="7:14" x14ac:dyDescent="0.4">
      <c r="G197" s="1">
        <v>27181</v>
      </c>
      <c r="H197">
        <f t="shared" si="23"/>
        <v>6</v>
      </c>
      <c r="I197" s="28">
        <v>332.25</v>
      </c>
      <c r="J197" s="28">
        <f t="shared" si="26"/>
        <v>-0.83999999999997499</v>
      </c>
      <c r="K197">
        <f t="shared" si="24"/>
        <v>2.3583796233572674</v>
      </c>
      <c r="L197" s="28">
        <f t="shared" si="25"/>
        <v>329.89162037664272</v>
      </c>
      <c r="M197">
        <f t="shared" si="22"/>
        <v>330.20541666666668</v>
      </c>
      <c r="N197" s="28">
        <f t="shared" si="21"/>
        <v>-0.31379629002395859</v>
      </c>
    </row>
    <row r="198" spans="7:14" x14ac:dyDescent="0.4">
      <c r="G198" s="1">
        <v>27211</v>
      </c>
      <c r="H198">
        <f t="shared" si="23"/>
        <v>7</v>
      </c>
      <c r="I198" s="28">
        <v>331.18</v>
      </c>
      <c r="J198" s="28">
        <f t="shared" si="26"/>
        <v>-1.0699999999999932</v>
      </c>
      <c r="K198">
        <f t="shared" si="24"/>
        <v>0.72791514248295042</v>
      </c>
      <c r="L198" s="28">
        <f t="shared" si="25"/>
        <v>330.45208485751704</v>
      </c>
      <c r="M198">
        <f t="shared" si="22"/>
        <v>330.2879166666666</v>
      </c>
      <c r="N198" s="28">
        <f t="shared" si="21"/>
        <v>0.16416819085043244</v>
      </c>
    </row>
    <row r="199" spans="7:14" x14ac:dyDescent="0.4">
      <c r="G199" s="1">
        <v>27242</v>
      </c>
      <c r="H199">
        <f t="shared" si="23"/>
        <v>8</v>
      </c>
      <c r="I199" s="28">
        <v>329.39</v>
      </c>
      <c r="J199" s="28">
        <f t="shared" si="26"/>
        <v>-1.7900000000000205</v>
      </c>
      <c r="K199">
        <f t="shared" si="24"/>
        <v>-1.4099263875716923</v>
      </c>
      <c r="L199" s="28">
        <f t="shared" si="25"/>
        <v>330.7999263875717</v>
      </c>
      <c r="M199">
        <f t="shared" si="22"/>
        <v>330.36041666666665</v>
      </c>
      <c r="N199" s="28">
        <f t="shared" si="21"/>
        <v>0.43950972090505047</v>
      </c>
    </row>
    <row r="200" spans="7:14" x14ac:dyDescent="0.4">
      <c r="G200" s="1">
        <v>27273</v>
      </c>
      <c r="H200">
        <f t="shared" si="23"/>
        <v>9</v>
      </c>
      <c r="I200" s="28">
        <v>327.43</v>
      </c>
      <c r="J200" s="28">
        <f t="shared" si="26"/>
        <v>-1.9599999999999795</v>
      </c>
      <c r="K200">
        <f t="shared" si="24"/>
        <v>-3.204325294675523</v>
      </c>
      <c r="L200" s="28">
        <f t="shared" si="25"/>
        <v>330.63432529467553</v>
      </c>
      <c r="M200">
        <f t="shared" si="22"/>
        <v>330.41250000000002</v>
      </c>
      <c r="N200" s="28">
        <f t="shared" si="21"/>
        <v>0.22182529467551149</v>
      </c>
    </row>
    <row r="201" spans="7:14" x14ac:dyDescent="0.4">
      <c r="G201" s="1">
        <v>27303</v>
      </c>
      <c r="H201">
        <f t="shared" si="23"/>
        <v>10</v>
      </c>
      <c r="I201" s="28">
        <v>327.37</v>
      </c>
      <c r="J201" s="28">
        <f t="shared" si="26"/>
        <v>-6.0000000000002274E-2</v>
      </c>
      <c r="K201">
        <f t="shared" si="24"/>
        <v>-3.3270848575170473</v>
      </c>
      <c r="L201" s="28">
        <f t="shared" si="25"/>
        <v>330.69708485751704</v>
      </c>
      <c r="M201">
        <f t="shared" si="22"/>
        <v>330.46333333333337</v>
      </c>
      <c r="N201" s="28">
        <f t="shared" ref="N201:N264" si="27">L201-M201</f>
        <v>0.23375152418367406</v>
      </c>
    </row>
    <row r="202" spans="7:14" x14ac:dyDescent="0.4">
      <c r="G202" s="1">
        <v>27334</v>
      </c>
      <c r="H202">
        <f t="shared" si="23"/>
        <v>11</v>
      </c>
      <c r="I202" s="28">
        <v>328.46</v>
      </c>
      <c r="J202" s="28">
        <f t="shared" si="26"/>
        <v>1.089999999999975</v>
      </c>
      <c r="K202">
        <f t="shared" si="24"/>
        <v>-2.0516476990471002</v>
      </c>
      <c r="L202" s="28">
        <f t="shared" si="25"/>
        <v>330.5116476990471</v>
      </c>
      <c r="M202">
        <f t="shared" si="22"/>
        <v>330.52749999999997</v>
      </c>
      <c r="N202" s="28">
        <f t="shared" si="27"/>
        <v>-1.5852300952872156E-2</v>
      </c>
    </row>
    <row r="203" spans="7:14" x14ac:dyDescent="0.4">
      <c r="G203" s="1">
        <v>27364</v>
      </c>
      <c r="H203">
        <f t="shared" si="23"/>
        <v>12</v>
      </c>
      <c r="I203" s="28">
        <v>329.57</v>
      </c>
      <c r="J203" s="28">
        <f t="shared" si="26"/>
        <v>1.1100000000000136</v>
      </c>
      <c r="K203">
        <f t="shared" si="24"/>
        <v>-0.88768595041322573</v>
      </c>
      <c r="L203" s="28">
        <f t="shared" si="25"/>
        <v>330.45768595041324</v>
      </c>
      <c r="M203">
        <f t="shared" si="22"/>
        <v>330.62041666666664</v>
      </c>
      <c r="N203" s="28">
        <f t="shared" si="27"/>
        <v>-0.16273071625340663</v>
      </c>
    </row>
    <row r="204" spans="7:14" x14ac:dyDescent="0.4">
      <c r="G204" s="1">
        <v>27395</v>
      </c>
      <c r="H204">
        <f t="shared" si="23"/>
        <v>1</v>
      </c>
      <c r="I204" s="28">
        <v>330.4</v>
      </c>
      <c r="J204" s="28">
        <f t="shared" si="26"/>
        <v>0.82999999999998408</v>
      </c>
      <c r="K204">
        <f t="shared" si="24"/>
        <v>5.8898749040328657E-2</v>
      </c>
      <c r="L204" s="28">
        <f t="shared" si="25"/>
        <v>330.34110125095964</v>
      </c>
      <c r="M204">
        <f t="shared" si="22"/>
        <v>330.70666666666671</v>
      </c>
      <c r="N204" s="28">
        <f t="shared" si="27"/>
        <v>-0.36556541570706713</v>
      </c>
    </row>
    <row r="205" spans="7:14" x14ac:dyDescent="0.4">
      <c r="G205" s="1">
        <v>27426</v>
      </c>
      <c r="H205">
        <f t="shared" si="23"/>
        <v>2</v>
      </c>
      <c r="I205" s="28">
        <v>331.4</v>
      </c>
      <c r="J205" s="28">
        <f t="shared" si="26"/>
        <v>1</v>
      </c>
      <c r="K205">
        <f t="shared" si="24"/>
        <v>0.6941584247843573</v>
      </c>
      <c r="L205" s="28">
        <f t="shared" si="25"/>
        <v>330.70584157521563</v>
      </c>
      <c r="M205">
        <f t="shared" si="22"/>
        <v>330.76458333333335</v>
      </c>
      <c r="N205" s="28">
        <f t="shared" si="27"/>
        <v>-5.8741758117719201E-2</v>
      </c>
    </row>
    <row r="206" spans="7:14" x14ac:dyDescent="0.4">
      <c r="G206" s="1">
        <v>27454</v>
      </c>
      <c r="H206">
        <f t="shared" si="23"/>
        <v>3</v>
      </c>
      <c r="I206" s="28">
        <v>332.04</v>
      </c>
      <c r="J206" s="28">
        <f t="shared" si="26"/>
        <v>0.6400000000000432</v>
      </c>
      <c r="K206">
        <f t="shared" si="24"/>
        <v>1.3722957593821961</v>
      </c>
      <c r="L206" s="28">
        <f t="shared" si="25"/>
        <v>330.66770424061781</v>
      </c>
      <c r="M206">
        <f t="shared" si="22"/>
        <v>330.83958333333334</v>
      </c>
      <c r="N206" s="28">
        <f t="shared" si="27"/>
        <v>-0.17187909271552826</v>
      </c>
    </row>
    <row r="207" spans="7:14" x14ac:dyDescent="0.4">
      <c r="G207" s="1">
        <v>27485</v>
      </c>
      <c r="H207">
        <f t="shared" si="23"/>
        <v>4</v>
      </c>
      <c r="I207" s="28">
        <v>333.31</v>
      </c>
      <c r="J207" s="28">
        <f t="shared" si="26"/>
        <v>1.2699999999999818</v>
      </c>
      <c r="K207">
        <f t="shared" si="24"/>
        <v>2.5880472384049131</v>
      </c>
      <c r="L207" s="28">
        <f t="shared" si="25"/>
        <v>330.72195276159511</v>
      </c>
      <c r="M207">
        <f t="shared" ref="M207:M270" si="28">(SUM(L202:L212)+(L201+L213)/2)/12</f>
        <v>330.92708333333331</v>
      </c>
      <c r="N207" s="28">
        <f t="shared" si="27"/>
        <v>-0.20513057173820926</v>
      </c>
    </row>
    <row r="208" spans="7:14" x14ac:dyDescent="0.4">
      <c r="G208" s="1">
        <v>27515</v>
      </c>
      <c r="H208">
        <f t="shared" si="23"/>
        <v>5</v>
      </c>
      <c r="I208" s="28">
        <v>333.97</v>
      </c>
      <c r="J208" s="28">
        <f t="shared" si="26"/>
        <v>0.66000000000002501</v>
      </c>
      <c r="K208">
        <f t="shared" si="24"/>
        <v>3.0809752517725739</v>
      </c>
      <c r="L208" s="28">
        <f t="shared" si="25"/>
        <v>330.88902474822743</v>
      </c>
      <c r="M208">
        <f t="shared" si="28"/>
        <v>331.01041666666669</v>
      </c>
      <c r="N208" s="28">
        <f t="shared" si="27"/>
        <v>-0.12139191843925801</v>
      </c>
    </row>
    <row r="209" spans="7:14" x14ac:dyDescent="0.4">
      <c r="G209" s="1">
        <v>27546</v>
      </c>
      <c r="H209">
        <f t="shared" si="23"/>
        <v>6</v>
      </c>
      <c r="I209" s="28">
        <v>333.6</v>
      </c>
      <c r="J209" s="28">
        <f t="shared" si="26"/>
        <v>-0.37000000000000455</v>
      </c>
      <c r="K209">
        <f t="shared" si="24"/>
        <v>2.3583796233572674</v>
      </c>
      <c r="L209" s="28">
        <f t="shared" si="25"/>
        <v>331.24162037664274</v>
      </c>
      <c r="M209">
        <f t="shared" si="28"/>
        <v>331.10291666666666</v>
      </c>
      <c r="N209" s="28">
        <f t="shared" si="27"/>
        <v>0.13870370997608461</v>
      </c>
    </row>
    <row r="210" spans="7:14" x14ac:dyDescent="0.4">
      <c r="G210" s="1">
        <v>27576</v>
      </c>
      <c r="H210">
        <f t="shared" si="23"/>
        <v>7</v>
      </c>
      <c r="I210" s="28">
        <v>331.9</v>
      </c>
      <c r="J210" s="28">
        <f t="shared" si="26"/>
        <v>-1.7000000000000455</v>
      </c>
      <c r="K210">
        <f t="shared" si="24"/>
        <v>0.72791514248295042</v>
      </c>
      <c r="L210" s="28">
        <f t="shared" si="25"/>
        <v>331.17208485751701</v>
      </c>
      <c r="M210">
        <f t="shared" si="28"/>
        <v>331.20875000000001</v>
      </c>
      <c r="N210" s="28">
        <f t="shared" si="27"/>
        <v>-3.6665142483002455E-2</v>
      </c>
    </row>
    <row r="211" spans="7:14" x14ac:dyDescent="0.4">
      <c r="G211" s="1">
        <v>27607</v>
      </c>
      <c r="H211">
        <f t="shared" si="23"/>
        <v>8</v>
      </c>
      <c r="I211" s="28">
        <v>330.06</v>
      </c>
      <c r="J211" s="28">
        <f t="shared" si="26"/>
        <v>-1.839999999999975</v>
      </c>
      <c r="K211">
        <f t="shared" si="24"/>
        <v>-1.4099263875716923</v>
      </c>
      <c r="L211" s="28">
        <f t="shared" si="25"/>
        <v>331.46992638757172</v>
      </c>
      <c r="M211">
        <f t="shared" si="28"/>
        <v>331.31375000000003</v>
      </c>
      <c r="N211" s="28">
        <f t="shared" si="27"/>
        <v>0.15617638757169061</v>
      </c>
    </row>
    <row r="212" spans="7:14" x14ac:dyDescent="0.4">
      <c r="G212" s="1">
        <v>27638</v>
      </c>
      <c r="H212">
        <f t="shared" si="23"/>
        <v>9</v>
      </c>
      <c r="I212" s="28">
        <v>328.56</v>
      </c>
      <c r="J212" s="28">
        <f t="shared" si="26"/>
        <v>-1.5</v>
      </c>
      <c r="K212">
        <f t="shared" si="24"/>
        <v>-3.204325294675523</v>
      </c>
      <c r="L212" s="28">
        <f t="shared" si="25"/>
        <v>331.76432529467553</v>
      </c>
      <c r="M212">
        <f t="shared" si="28"/>
        <v>331.42333333333335</v>
      </c>
      <c r="N212" s="28">
        <f t="shared" si="27"/>
        <v>0.34099196134218346</v>
      </c>
    </row>
    <row r="213" spans="7:14" x14ac:dyDescent="0.4">
      <c r="G213" s="1">
        <v>27668</v>
      </c>
      <c r="H213">
        <f t="shared" si="23"/>
        <v>10</v>
      </c>
      <c r="I213" s="28">
        <v>328.34</v>
      </c>
      <c r="J213" s="28">
        <f t="shared" si="26"/>
        <v>-0.22000000000002728</v>
      </c>
      <c r="K213">
        <f t="shared" si="24"/>
        <v>-3.3270848575170473</v>
      </c>
      <c r="L213" s="28">
        <f t="shared" si="25"/>
        <v>331.66708485751701</v>
      </c>
      <c r="M213">
        <f t="shared" si="28"/>
        <v>331.53708333333333</v>
      </c>
      <c r="N213" s="28">
        <f t="shared" si="27"/>
        <v>0.13000152418368316</v>
      </c>
    </row>
    <row r="214" spans="7:14" x14ac:dyDescent="0.4">
      <c r="G214" s="1">
        <v>27699</v>
      </c>
      <c r="H214">
        <f t="shared" si="23"/>
        <v>11</v>
      </c>
      <c r="I214" s="28">
        <v>329.49</v>
      </c>
      <c r="J214" s="28">
        <f t="shared" si="26"/>
        <v>1.1500000000000341</v>
      </c>
      <c r="K214">
        <f t="shared" si="24"/>
        <v>-2.0516476990471002</v>
      </c>
      <c r="L214" s="28">
        <f t="shared" si="25"/>
        <v>331.54164769904713</v>
      </c>
      <c r="M214">
        <f t="shared" si="28"/>
        <v>331.62791666666675</v>
      </c>
      <c r="N214" s="28">
        <f t="shared" si="27"/>
        <v>-8.6268967619616888E-2</v>
      </c>
    </row>
    <row r="215" spans="7:14" x14ac:dyDescent="0.4">
      <c r="G215" s="1">
        <v>27729</v>
      </c>
      <c r="H215">
        <f t="shared" si="23"/>
        <v>12</v>
      </c>
      <c r="I215" s="28">
        <v>330.76</v>
      </c>
      <c r="J215" s="28">
        <f t="shared" si="26"/>
        <v>1.2699999999999818</v>
      </c>
      <c r="K215">
        <f t="shared" si="24"/>
        <v>-0.88768595041322573</v>
      </c>
      <c r="L215" s="28">
        <f t="shared" si="25"/>
        <v>331.64768595041323</v>
      </c>
      <c r="M215">
        <f t="shared" si="28"/>
        <v>331.69625000000002</v>
      </c>
      <c r="N215" s="28">
        <f t="shared" si="27"/>
        <v>-4.856404958678695E-2</v>
      </c>
    </row>
    <row r="216" spans="7:14" x14ac:dyDescent="0.4">
      <c r="G216" s="1">
        <v>27760</v>
      </c>
      <c r="H216">
        <f t="shared" si="23"/>
        <v>1</v>
      </c>
      <c r="I216" s="28">
        <v>331.75</v>
      </c>
      <c r="J216" s="28">
        <f t="shared" si="26"/>
        <v>0.99000000000000909</v>
      </c>
      <c r="K216">
        <f t="shared" si="24"/>
        <v>5.8898749040328657E-2</v>
      </c>
      <c r="L216" s="28">
        <f t="shared" si="25"/>
        <v>331.69110125095966</v>
      </c>
      <c r="M216">
        <f t="shared" si="28"/>
        <v>331.7745833333334</v>
      </c>
      <c r="N216" s="28">
        <f t="shared" si="27"/>
        <v>-8.3482082373734556E-2</v>
      </c>
    </row>
    <row r="217" spans="7:14" x14ac:dyDescent="0.4">
      <c r="G217" s="1">
        <v>27791</v>
      </c>
      <c r="H217">
        <f t="shared" si="23"/>
        <v>2</v>
      </c>
      <c r="I217" s="28">
        <v>332.57</v>
      </c>
      <c r="J217" s="28">
        <f t="shared" si="26"/>
        <v>0.81999999999999318</v>
      </c>
      <c r="K217">
        <f t="shared" si="24"/>
        <v>0.6941584247843573</v>
      </c>
      <c r="L217" s="28">
        <f t="shared" si="25"/>
        <v>331.87584157521565</v>
      </c>
      <c r="M217">
        <f t="shared" si="28"/>
        <v>331.85916666666668</v>
      </c>
      <c r="N217" s="28">
        <f t="shared" si="27"/>
        <v>1.667490854896414E-2</v>
      </c>
    </row>
    <row r="218" spans="7:14" x14ac:dyDescent="0.4">
      <c r="G218" s="1">
        <v>27820</v>
      </c>
      <c r="H218">
        <f t="shared" si="23"/>
        <v>3</v>
      </c>
      <c r="I218" s="28">
        <v>333.5</v>
      </c>
      <c r="J218" s="28">
        <f t="shared" si="26"/>
        <v>0.93000000000000682</v>
      </c>
      <c r="K218">
        <f t="shared" si="24"/>
        <v>1.3722957593821961</v>
      </c>
      <c r="L218" s="28">
        <f t="shared" si="25"/>
        <v>332.12770424061779</v>
      </c>
      <c r="M218">
        <f t="shared" si="28"/>
        <v>331.92666666666668</v>
      </c>
      <c r="N218" s="28">
        <f t="shared" si="27"/>
        <v>0.20103757395111188</v>
      </c>
    </row>
    <row r="219" spans="7:14" x14ac:dyDescent="0.4">
      <c r="G219" s="1">
        <v>27851</v>
      </c>
      <c r="H219">
        <f t="shared" si="23"/>
        <v>4</v>
      </c>
      <c r="I219" s="28">
        <v>334.58</v>
      </c>
      <c r="J219" s="28">
        <f t="shared" si="26"/>
        <v>1.0799999999999841</v>
      </c>
      <c r="K219">
        <f t="shared" si="24"/>
        <v>2.5880472384049131</v>
      </c>
      <c r="L219" s="28">
        <f t="shared" si="25"/>
        <v>331.99195276159509</v>
      </c>
      <c r="M219">
        <f t="shared" si="28"/>
        <v>331.98249999999996</v>
      </c>
      <c r="N219" s="28">
        <f t="shared" si="27"/>
        <v>9.4527615951278676E-3</v>
      </c>
    </row>
    <row r="220" spans="7:14" x14ac:dyDescent="0.4">
      <c r="G220" s="1">
        <v>27881</v>
      </c>
      <c r="H220">
        <f t="shared" si="23"/>
        <v>5</v>
      </c>
      <c r="I220" s="28">
        <v>334.88</v>
      </c>
      <c r="J220" s="28">
        <f t="shared" si="26"/>
        <v>0.30000000000001137</v>
      </c>
      <c r="K220">
        <f t="shared" si="24"/>
        <v>3.0809752517725739</v>
      </c>
      <c r="L220" s="28">
        <f t="shared" si="25"/>
        <v>331.7990247482274</v>
      </c>
      <c r="M220">
        <f t="shared" si="28"/>
        <v>332.04166666666669</v>
      </c>
      <c r="N220" s="28">
        <f t="shared" si="27"/>
        <v>-0.24264191843928984</v>
      </c>
    </row>
    <row r="221" spans="7:14" x14ac:dyDescent="0.4">
      <c r="G221" s="1">
        <v>27912</v>
      </c>
      <c r="H221">
        <f t="shared" si="23"/>
        <v>6</v>
      </c>
      <c r="I221" s="28">
        <v>334.33</v>
      </c>
      <c r="J221" s="28">
        <f t="shared" si="26"/>
        <v>-0.55000000000001137</v>
      </c>
      <c r="K221">
        <f t="shared" si="24"/>
        <v>2.3583796233572674</v>
      </c>
      <c r="L221" s="28">
        <f t="shared" si="25"/>
        <v>331.9716203766427</v>
      </c>
      <c r="M221">
        <f t="shared" si="28"/>
        <v>332.11416666666668</v>
      </c>
      <c r="N221" s="28">
        <f t="shared" si="27"/>
        <v>-0.14254629002397223</v>
      </c>
    </row>
    <row r="222" spans="7:14" x14ac:dyDescent="0.4">
      <c r="G222" s="1">
        <v>27942</v>
      </c>
      <c r="H222">
        <f t="shared" si="23"/>
        <v>7</v>
      </c>
      <c r="I222" s="28">
        <v>333.05</v>
      </c>
      <c r="J222" s="28">
        <f t="shared" si="26"/>
        <v>-1.2799999999999727</v>
      </c>
      <c r="K222">
        <f t="shared" si="24"/>
        <v>0.72791514248295042</v>
      </c>
      <c r="L222" s="28">
        <f t="shared" si="25"/>
        <v>332.32208485751704</v>
      </c>
      <c r="M222">
        <f t="shared" si="28"/>
        <v>332.20166666666665</v>
      </c>
      <c r="N222" s="28">
        <f t="shared" si="27"/>
        <v>0.12041819085038696</v>
      </c>
    </row>
    <row r="223" spans="7:14" x14ac:dyDescent="0.4">
      <c r="G223" s="1">
        <v>27973</v>
      </c>
      <c r="H223">
        <f t="shared" si="23"/>
        <v>8</v>
      </c>
      <c r="I223" s="28">
        <v>330.94</v>
      </c>
      <c r="J223" s="28">
        <f t="shared" si="26"/>
        <v>-2.1100000000000136</v>
      </c>
      <c r="K223">
        <f t="shared" si="24"/>
        <v>-1.4099263875716923</v>
      </c>
      <c r="L223" s="28">
        <f t="shared" si="25"/>
        <v>332.34992638757171</v>
      </c>
      <c r="M223">
        <f t="shared" si="28"/>
        <v>332.28625000000005</v>
      </c>
      <c r="N223" s="28">
        <f t="shared" si="27"/>
        <v>6.3676387571661053E-2</v>
      </c>
    </row>
    <row r="224" spans="7:14" x14ac:dyDescent="0.4">
      <c r="G224" s="1">
        <v>28004</v>
      </c>
      <c r="H224">
        <f t="shared" si="23"/>
        <v>9</v>
      </c>
      <c r="I224" s="28">
        <v>329.3</v>
      </c>
      <c r="J224" s="28">
        <f t="shared" si="26"/>
        <v>-1.6399999999999864</v>
      </c>
      <c r="K224">
        <f t="shared" si="24"/>
        <v>-3.204325294675523</v>
      </c>
      <c r="L224" s="28">
        <f t="shared" si="25"/>
        <v>332.50432529467554</v>
      </c>
      <c r="M224">
        <f t="shared" si="28"/>
        <v>332.37166666666667</v>
      </c>
      <c r="N224" s="28">
        <f t="shared" si="27"/>
        <v>0.13265862800886907</v>
      </c>
    </row>
    <row r="225" spans="7:14" x14ac:dyDescent="0.4">
      <c r="G225" s="1">
        <v>28034</v>
      </c>
      <c r="H225">
        <f t="shared" si="23"/>
        <v>10</v>
      </c>
      <c r="I225" s="28">
        <v>328.94</v>
      </c>
      <c r="J225" s="28">
        <f t="shared" si="26"/>
        <v>-0.36000000000001364</v>
      </c>
      <c r="K225">
        <f t="shared" si="24"/>
        <v>-3.3270848575170473</v>
      </c>
      <c r="L225" s="28">
        <f t="shared" si="25"/>
        <v>332.26708485751703</v>
      </c>
      <c r="M225">
        <f t="shared" si="28"/>
        <v>332.48375000000004</v>
      </c>
      <c r="N225" s="28">
        <f t="shared" si="27"/>
        <v>-0.21666514248300928</v>
      </c>
    </row>
    <row r="226" spans="7:14" x14ac:dyDescent="0.4">
      <c r="G226" s="1">
        <v>28065</v>
      </c>
      <c r="H226">
        <f t="shared" si="23"/>
        <v>11</v>
      </c>
      <c r="I226" s="28">
        <v>330.31</v>
      </c>
      <c r="J226" s="28">
        <f t="shared" si="26"/>
        <v>1.3700000000000045</v>
      </c>
      <c r="K226">
        <f t="shared" si="24"/>
        <v>-2.0516476990471002</v>
      </c>
      <c r="L226" s="28">
        <f t="shared" si="25"/>
        <v>332.36164769904713</v>
      </c>
      <c r="M226">
        <f t="shared" si="28"/>
        <v>332.62374999999997</v>
      </c>
      <c r="N226" s="28">
        <f t="shared" si="27"/>
        <v>-0.26210230095284714</v>
      </c>
    </row>
    <row r="227" spans="7:14" x14ac:dyDescent="0.4">
      <c r="G227" s="1">
        <v>28095</v>
      </c>
      <c r="H227">
        <f t="shared" si="23"/>
        <v>12</v>
      </c>
      <c r="I227" s="28">
        <v>331.68</v>
      </c>
      <c r="J227" s="28">
        <f t="shared" si="26"/>
        <v>1.3700000000000045</v>
      </c>
      <c r="K227">
        <f t="shared" si="24"/>
        <v>-0.88768595041322573</v>
      </c>
      <c r="L227" s="28">
        <f t="shared" si="25"/>
        <v>332.56768595041325</v>
      </c>
      <c r="M227">
        <f t="shared" si="28"/>
        <v>332.78250000000003</v>
      </c>
      <c r="N227" s="28">
        <f t="shared" si="27"/>
        <v>-0.21481404958677786</v>
      </c>
    </row>
    <row r="228" spans="7:14" x14ac:dyDescent="0.4">
      <c r="G228" s="1">
        <v>28126</v>
      </c>
      <c r="H228">
        <f t="shared" si="23"/>
        <v>1</v>
      </c>
      <c r="I228" s="28">
        <v>332.93</v>
      </c>
      <c r="J228" s="28">
        <f t="shared" si="26"/>
        <v>1.25</v>
      </c>
      <c r="K228">
        <f t="shared" si="24"/>
        <v>5.8898749040328657E-2</v>
      </c>
      <c r="L228" s="28">
        <f t="shared" si="25"/>
        <v>332.87110125095967</v>
      </c>
      <c r="M228">
        <f t="shared" si="28"/>
        <v>332.94124999999997</v>
      </c>
      <c r="N228" s="28">
        <f t="shared" si="27"/>
        <v>-7.0148749040299663E-2</v>
      </c>
    </row>
    <row r="229" spans="7:14" x14ac:dyDescent="0.4">
      <c r="G229" s="1">
        <v>28157</v>
      </c>
      <c r="H229">
        <f t="shared" si="23"/>
        <v>2</v>
      </c>
      <c r="I229" s="28">
        <v>333.42</v>
      </c>
      <c r="J229" s="28">
        <f t="shared" si="26"/>
        <v>0.49000000000000909</v>
      </c>
      <c r="K229">
        <f t="shared" si="24"/>
        <v>0.6941584247843573</v>
      </c>
      <c r="L229" s="28">
        <f t="shared" si="25"/>
        <v>332.72584157521567</v>
      </c>
      <c r="M229">
        <f t="shared" si="28"/>
        <v>333.09458333333333</v>
      </c>
      <c r="N229" s="28">
        <f t="shared" si="27"/>
        <v>-0.36874175811766463</v>
      </c>
    </row>
    <row r="230" spans="7:14" x14ac:dyDescent="0.4">
      <c r="G230" s="1">
        <v>28185</v>
      </c>
      <c r="H230">
        <f t="shared" si="23"/>
        <v>3</v>
      </c>
      <c r="I230" s="28">
        <v>334.7</v>
      </c>
      <c r="J230" s="28">
        <f t="shared" si="26"/>
        <v>1.2799999999999727</v>
      </c>
      <c r="K230">
        <f t="shared" si="24"/>
        <v>1.3722957593821961</v>
      </c>
      <c r="L230" s="28">
        <f t="shared" si="25"/>
        <v>333.32770424061778</v>
      </c>
      <c r="M230">
        <f t="shared" si="28"/>
        <v>333.26541666666668</v>
      </c>
      <c r="N230" s="28">
        <f t="shared" si="27"/>
        <v>6.2287573951095965E-2</v>
      </c>
    </row>
    <row r="231" spans="7:14" x14ac:dyDescent="0.4">
      <c r="G231" s="1">
        <v>28216</v>
      </c>
      <c r="H231">
        <f t="shared" si="23"/>
        <v>4</v>
      </c>
      <c r="I231" s="28">
        <v>336.07</v>
      </c>
      <c r="J231" s="28">
        <f t="shared" si="26"/>
        <v>1.3700000000000045</v>
      </c>
      <c r="K231">
        <f t="shared" si="24"/>
        <v>2.5880472384049131</v>
      </c>
      <c r="L231" s="28">
        <f t="shared" si="25"/>
        <v>333.4819527615951</v>
      </c>
      <c r="M231">
        <f t="shared" si="28"/>
        <v>333.45333333333332</v>
      </c>
      <c r="N231" s="28">
        <f t="shared" si="27"/>
        <v>2.8619428261777102E-2</v>
      </c>
    </row>
    <row r="232" spans="7:14" x14ac:dyDescent="0.4">
      <c r="G232" s="1">
        <v>28246</v>
      </c>
      <c r="H232">
        <f t="shared" si="23"/>
        <v>5</v>
      </c>
      <c r="I232" s="28">
        <v>336.75</v>
      </c>
      <c r="J232" s="28">
        <f t="shared" si="26"/>
        <v>0.68000000000000682</v>
      </c>
      <c r="K232">
        <f t="shared" si="24"/>
        <v>3.0809752517725739</v>
      </c>
      <c r="L232" s="28">
        <f t="shared" si="25"/>
        <v>333.6690247482274</v>
      </c>
      <c r="M232">
        <f t="shared" si="28"/>
        <v>333.63291666666663</v>
      </c>
      <c r="N232" s="28">
        <f t="shared" si="27"/>
        <v>3.6108081560769278E-2</v>
      </c>
    </row>
    <row r="233" spans="7:14" x14ac:dyDescent="0.4">
      <c r="G233" s="1">
        <v>28277</v>
      </c>
      <c r="H233">
        <f t="shared" si="23"/>
        <v>6</v>
      </c>
      <c r="I233" s="28">
        <v>336.27</v>
      </c>
      <c r="J233" s="28">
        <f t="shared" si="26"/>
        <v>-0.48000000000001819</v>
      </c>
      <c r="K233">
        <f t="shared" si="24"/>
        <v>2.3583796233572674</v>
      </c>
      <c r="L233" s="28">
        <f t="shared" si="25"/>
        <v>333.9116203766427</v>
      </c>
      <c r="M233">
        <f t="shared" si="28"/>
        <v>333.8104166666667</v>
      </c>
      <c r="N233" s="28">
        <f t="shared" si="27"/>
        <v>0.10120370997600503</v>
      </c>
    </row>
    <row r="234" spans="7:14" x14ac:dyDescent="0.4">
      <c r="G234" s="1">
        <v>28307</v>
      </c>
      <c r="H234">
        <f t="shared" si="23"/>
        <v>7</v>
      </c>
      <c r="I234" s="28">
        <v>334.92</v>
      </c>
      <c r="J234" s="28">
        <f t="shared" si="26"/>
        <v>-1.3499999999999659</v>
      </c>
      <c r="K234">
        <f t="shared" si="24"/>
        <v>0.72791514248295042</v>
      </c>
      <c r="L234" s="28">
        <f t="shared" si="25"/>
        <v>334.19208485751705</v>
      </c>
      <c r="M234">
        <f t="shared" si="28"/>
        <v>333.98583333333335</v>
      </c>
      <c r="N234" s="28">
        <f t="shared" si="27"/>
        <v>0.20625152418369908</v>
      </c>
    </row>
    <row r="235" spans="7:14" x14ac:dyDescent="0.4">
      <c r="G235" s="1">
        <v>28338</v>
      </c>
      <c r="H235">
        <f t="shared" si="23"/>
        <v>8</v>
      </c>
      <c r="I235" s="28">
        <v>332.75</v>
      </c>
      <c r="J235" s="28">
        <f t="shared" si="26"/>
        <v>-2.1700000000000159</v>
      </c>
      <c r="K235">
        <f t="shared" si="24"/>
        <v>-1.4099263875716923</v>
      </c>
      <c r="L235" s="28">
        <f t="shared" si="25"/>
        <v>334.15992638757172</v>
      </c>
      <c r="M235">
        <f t="shared" si="28"/>
        <v>334.15291666666667</v>
      </c>
      <c r="N235" s="28">
        <f t="shared" si="27"/>
        <v>7.0097209050459242E-3</v>
      </c>
    </row>
    <row r="236" spans="7:14" x14ac:dyDescent="0.4">
      <c r="G236" s="1">
        <v>28369</v>
      </c>
      <c r="H236">
        <f t="shared" si="23"/>
        <v>9</v>
      </c>
      <c r="I236" s="28">
        <v>331.59</v>
      </c>
      <c r="J236" s="28">
        <f t="shared" si="26"/>
        <v>-1.160000000000025</v>
      </c>
      <c r="K236">
        <f t="shared" si="24"/>
        <v>-3.204325294675523</v>
      </c>
      <c r="L236" s="28">
        <f t="shared" si="25"/>
        <v>334.7943252946755</v>
      </c>
      <c r="M236">
        <f t="shared" si="28"/>
        <v>334.31583333333333</v>
      </c>
      <c r="N236" s="28">
        <f t="shared" si="27"/>
        <v>0.47849196134217209</v>
      </c>
    </row>
    <row r="237" spans="7:14" x14ac:dyDescent="0.4">
      <c r="G237" s="1">
        <v>28399</v>
      </c>
      <c r="H237">
        <f t="shared" si="23"/>
        <v>10</v>
      </c>
      <c r="I237" s="28">
        <v>331.16</v>
      </c>
      <c r="J237" s="28">
        <f t="shared" si="26"/>
        <v>-0.42999999999994998</v>
      </c>
      <c r="K237">
        <f t="shared" si="24"/>
        <v>-3.3270848575170473</v>
      </c>
      <c r="L237" s="28">
        <f t="shared" si="25"/>
        <v>334.48708485751706</v>
      </c>
      <c r="M237">
        <f t="shared" si="28"/>
        <v>334.46708333333328</v>
      </c>
      <c r="N237" s="28">
        <f t="shared" si="27"/>
        <v>2.0001524183783204E-2</v>
      </c>
    </row>
    <row r="238" spans="7:14" x14ac:dyDescent="0.4">
      <c r="G238" s="1">
        <v>28430</v>
      </c>
      <c r="H238">
        <f t="shared" si="23"/>
        <v>11</v>
      </c>
      <c r="I238" s="28">
        <v>332.4</v>
      </c>
      <c r="J238" s="28">
        <f t="shared" si="26"/>
        <v>1.2399999999999523</v>
      </c>
      <c r="K238">
        <f t="shared" si="24"/>
        <v>-2.0516476990471002</v>
      </c>
      <c r="L238" s="28">
        <f t="shared" si="25"/>
        <v>334.4516476990471</v>
      </c>
      <c r="M238">
        <f t="shared" si="28"/>
        <v>334.59</v>
      </c>
      <c r="N238" s="28">
        <f t="shared" si="27"/>
        <v>-0.13835230095287443</v>
      </c>
    </row>
    <row r="239" spans="7:14" x14ac:dyDescent="0.4">
      <c r="G239" s="1">
        <v>28460</v>
      </c>
      <c r="H239">
        <f t="shared" si="23"/>
        <v>12</v>
      </c>
      <c r="I239" s="28">
        <v>333.85</v>
      </c>
      <c r="J239" s="28">
        <f t="shared" si="26"/>
        <v>1.4500000000000455</v>
      </c>
      <c r="K239">
        <f t="shared" si="24"/>
        <v>-0.88768595041322573</v>
      </c>
      <c r="L239" s="28">
        <f t="shared" si="25"/>
        <v>334.73768595041327</v>
      </c>
      <c r="M239">
        <f t="shared" si="28"/>
        <v>334.71041666666662</v>
      </c>
      <c r="N239" s="28">
        <f t="shared" si="27"/>
        <v>2.7269283746647943E-2</v>
      </c>
    </row>
    <row r="240" spans="7:14" x14ac:dyDescent="0.4">
      <c r="G240" s="1">
        <v>28491</v>
      </c>
      <c r="H240">
        <f t="shared" si="23"/>
        <v>1</v>
      </c>
      <c r="I240" s="28">
        <v>334.97</v>
      </c>
      <c r="J240" s="28">
        <f t="shared" si="26"/>
        <v>1.1200000000000045</v>
      </c>
      <c r="K240">
        <f t="shared" si="24"/>
        <v>5.8898749040328657E-2</v>
      </c>
      <c r="L240" s="28">
        <f t="shared" si="25"/>
        <v>334.91110125095969</v>
      </c>
      <c r="M240">
        <f t="shared" si="28"/>
        <v>334.8458333333333</v>
      </c>
      <c r="N240" s="28">
        <f t="shared" si="27"/>
        <v>6.5267917626385952E-2</v>
      </c>
    </row>
    <row r="241" spans="7:14" x14ac:dyDescent="0.4">
      <c r="G241" s="1">
        <v>28522</v>
      </c>
      <c r="H241">
        <f t="shared" si="23"/>
        <v>2</v>
      </c>
      <c r="I241" s="28">
        <v>335.39</v>
      </c>
      <c r="J241" s="28">
        <f t="shared" si="26"/>
        <v>0.41999999999995907</v>
      </c>
      <c r="K241">
        <f t="shared" si="24"/>
        <v>0.6941584247843573</v>
      </c>
      <c r="L241" s="28">
        <f t="shared" si="25"/>
        <v>334.69584157521564</v>
      </c>
      <c r="M241">
        <f t="shared" si="28"/>
        <v>334.99374999999998</v>
      </c>
      <c r="N241" s="28">
        <f t="shared" si="27"/>
        <v>-0.29790842478433888</v>
      </c>
    </row>
    <row r="242" spans="7:14" x14ac:dyDescent="0.4">
      <c r="G242" s="1">
        <v>28550</v>
      </c>
      <c r="H242">
        <f t="shared" si="23"/>
        <v>3</v>
      </c>
      <c r="I242" s="28">
        <v>336.64</v>
      </c>
      <c r="J242" s="28">
        <f t="shared" si="26"/>
        <v>1.25</v>
      </c>
      <c r="K242">
        <f t="shared" si="24"/>
        <v>1.3722957593821961</v>
      </c>
      <c r="L242" s="28">
        <f t="shared" si="25"/>
        <v>335.26770424061777</v>
      </c>
      <c r="M242">
        <f t="shared" si="28"/>
        <v>335.1229166666667</v>
      </c>
      <c r="N242" s="28">
        <f t="shared" si="27"/>
        <v>0.14478757395107777</v>
      </c>
    </row>
    <row r="243" spans="7:14" x14ac:dyDescent="0.4">
      <c r="G243" s="1">
        <v>28581</v>
      </c>
      <c r="H243">
        <f t="shared" si="23"/>
        <v>4</v>
      </c>
      <c r="I243" s="28">
        <v>337.76</v>
      </c>
      <c r="J243" s="28">
        <f t="shared" si="26"/>
        <v>1.1200000000000045</v>
      </c>
      <c r="K243">
        <f t="shared" si="24"/>
        <v>2.5880472384049131</v>
      </c>
      <c r="L243" s="28">
        <f t="shared" si="25"/>
        <v>335.17195276159509</v>
      </c>
      <c r="M243">
        <f t="shared" si="28"/>
        <v>335.22958333333332</v>
      </c>
      <c r="N243" s="28">
        <f t="shared" si="27"/>
        <v>-5.7630571738229719E-2</v>
      </c>
    </row>
    <row r="244" spans="7:14" x14ac:dyDescent="0.4">
      <c r="G244" s="1">
        <v>28611</v>
      </c>
      <c r="H244">
        <f t="shared" si="23"/>
        <v>5</v>
      </c>
      <c r="I244" s="28">
        <v>338.01</v>
      </c>
      <c r="J244" s="28">
        <f t="shared" si="26"/>
        <v>0.25</v>
      </c>
      <c r="K244">
        <f t="shared" si="24"/>
        <v>3.0809752517725739</v>
      </c>
      <c r="L244" s="28">
        <f t="shared" si="25"/>
        <v>334.92902474822739</v>
      </c>
      <c r="M244">
        <f t="shared" si="28"/>
        <v>335.35083333333336</v>
      </c>
      <c r="N244" s="28">
        <f t="shared" si="27"/>
        <v>-0.42180858510596408</v>
      </c>
    </row>
    <row r="245" spans="7:14" x14ac:dyDescent="0.4">
      <c r="G245" s="1">
        <v>28642</v>
      </c>
      <c r="H245">
        <f t="shared" si="23"/>
        <v>6</v>
      </c>
      <c r="I245" s="28">
        <v>337.9</v>
      </c>
      <c r="J245" s="28">
        <f t="shared" si="26"/>
        <v>-0.11000000000001364</v>
      </c>
      <c r="K245">
        <f t="shared" si="24"/>
        <v>2.3583796233572674</v>
      </c>
      <c r="L245" s="28">
        <f t="shared" si="25"/>
        <v>335.5416203766427</v>
      </c>
      <c r="M245">
        <f t="shared" si="28"/>
        <v>335.46</v>
      </c>
      <c r="N245" s="28">
        <f t="shared" si="27"/>
        <v>8.1620376642717929E-2</v>
      </c>
    </row>
    <row r="246" spans="7:14" x14ac:dyDescent="0.4">
      <c r="G246" s="1">
        <v>28672</v>
      </c>
      <c r="H246">
        <f t="shared" si="23"/>
        <v>7</v>
      </c>
      <c r="I246" s="28">
        <v>336.54</v>
      </c>
      <c r="J246" s="28">
        <f t="shared" si="26"/>
        <v>-1.3599999999999568</v>
      </c>
      <c r="K246">
        <f t="shared" si="24"/>
        <v>0.72791514248295042</v>
      </c>
      <c r="L246" s="28">
        <f t="shared" si="25"/>
        <v>335.81208485751705</v>
      </c>
      <c r="M246">
        <f t="shared" si="28"/>
        <v>335.55833333333328</v>
      </c>
      <c r="N246" s="28">
        <f t="shared" si="27"/>
        <v>0.25375152418376956</v>
      </c>
    </row>
    <row r="247" spans="7:14" x14ac:dyDescent="0.4">
      <c r="G247" s="1">
        <v>28703</v>
      </c>
      <c r="H247">
        <f t="shared" si="23"/>
        <v>8</v>
      </c>
      <c r="I247" s="28">
        <v>334.68</v>
      </c>
      <c r="J247" s="28">
        <f t="shared" si="26"/>
        <v>-1.8600000000000136</v>
      </c>
      <c r="K247">
        <f t="shared" si="24"/>
        <v>-1.4099263875716923</v>
      </c>
      <c r="L247" s="28">
        <f t="shared" si="25"/>
        <v>336.08992638757172</v>
      </c>
      <c r="M247">
        <f t="shared" si="28"/>
        <v>335.6679166666666</v>
      </c>
      <c r="N247" s="28">
        <f t="shared" si="27"/>
        <v>0.42200972090512323</v>
      </c>
    </row>
    <row r="248" spans="7:14" x14ac:dyDescent="0.4">
      <c r="G248" s="1">
        <v>28734</v>
      </c>
      <c r="H248">
        <f t="shared" si="23"/>
        <v>9</v>
      </c>
      <c r="I248" s="28">
        <v>332.76</v>
      </c>
      <c r="J248" s="28">
        <f t="shared" si="26"/>
        <v>-1.9200000000000159</v>
      </c>
      <c r="K248">
        <f t="shared" si="24"/>
        <v>-3.204325294675523</v>
      </c>
      <c r="L248" s="28">
        <f t="shared" si="25"/>
        <v>335.96432529467552</v>
      </c>
      <c r="M248">
        <f t="shared" si="28"/>
        <v>335.78</v>
      </c>
      <c r="N248" s="28">
        <f t="shared" si="27"/>
        <v>0.18432529467554559</v>
      </c>
    </row>
    <row r="249" spans="7:14" x14ac:dyDescent="0.4">
      <c r="G249" s="1">
        <v>28764</v>
      </c>
      <c r="H249">
        <f t="shared" si="23"/>
        <v>10</v>
      </c>
      <c r="I249" s="28">
        <v>332.55</v>
      </c>
      <c r="J249" s="28">
        <f t="shared" si="26"/>
        <v>-0.20999999999997954</v>
      </c>
      <c r="K249">
        <f t="shared" si="24"/>
        <v>-3.3270848575170473</v>
      </c>
      <c r="L249" s="28">
        <f t="shared" si="25"/>
        <v>335.87708485751705</v>
      </c>
      <c r="M249">
        <f t="shared" si="28"/>
        <v>335.8816666666666</v>
      </c>
      <c r="N249" s="28">
        <f t="shared" si="27"/>
        <v>-4.581809149556193E-3</v>
      </c>
    </row>
    <row r="250" spans="7:14" x14ac:dyDescent="0.4">
      <c r="G250" s="1">
        <v>28795</v>
      </c>
      <c r="H250">
        <f t="shared" si="23"/>
        <v>11</v>
      </c>
      <c r="I250" s="28">
        <v>333.92</v>
      </c>
      <c r="J250" s="28">
        <f t="shared" si="26"/>
        <v>1.3700000000000045</v>
      </c>
      <c r="K250">
        <f t="shared" si="24"/>
        <v>-2.0516476990471002</v>
      </c>
      <c r="L250" s="28">
        <f t="shared" si="25"/>
        <v>335.97164769904714</v>
      </c>
      <c r="M250">
        <f t="shared" si="28"/>
        <v>335.98916666666662</v>
      </c>
      <c r="N250" s="28">
        <f t="shared" si="27"/>
        <v>-1.7518967619480463E-2</v>
      </c>
    </row>
    <row r="251" spans="7:14" x14ac:dyDescent="0.4">
      <c r="G251" s="1">
        <v>28825</v>
      </c>
      <c r="H251">
        <f t="shared" si="23"/>
        <v>12</v>
      </c>
      <c r="I251" s="28">
        <v>334.95</v>
      </c>
      <c r="J251" s="28">
        <f t="shared" si="26"/>
        <v>1.0299999999999727</v>
      </c>
      <c r="K251">
        <f t="shared" si="24"/>
        <v>-0.88768595041322573</v>
      </c>
      <c r="L251" s="28">
        <f t="shared" si="25"/>
        <v>335.83768595041323</v>
      </c>
      <c r="M251">
        <f t="shared" si="28"/>
        <v>336.10791666666665</v>
      </c>
      <c r="N251" s="28">
        <f t="shared" si="27"/>
        <v>-0.27023071625342254</v>
      </c>
    </row>
    <row r="252" spans="7:14" x14ac:dyDescent="0.4">
      <c r="G252" s="1">
        <v>28856</v>
      </c>
      <c r="H252">
        <f t="shared" si="23"/>
        <v>1</v>
      </c>
      <c r="I252" s="28">
        <v>336.23</v>
      </c>
      <c r="J252" s="28">
        <f t="shared" si="26"/>
        <v>1.2800000000000296</v>
      </c>
      <c r="K252">
        <f t="shared" si="24"/>
        <v>5.8898749040328657E-2</v>
      </c>
      <c r="L252" s="28">
        <f t="shared" si="25"/>
        <v>336.17110125095968</v>
      </c>
      <c r="M252">
        <f t="shared" si="28"/>
        <v>336.21541666666661</v>
      </c>
      <c r="N252" s="28">
        <f t="shared" si="27"/>
        <v>-4.4315415706932981E-2</v>
      </c>
    </row>
    <row r="253" spans="7:14" x14ac:dyDescent="0.4">
      <c r="G253" s="1">
        <v>28887</v>
      </c>
      <c r="H253">
        <f t="shared" si="23"/>
        <v>2</v>
      </c>
      <c r="I253" s="28">
        <v>336.76</v>
      </c>
      <c r="J253" s="28">
        <f t="shared" si="26"/>
        <v>0.52999999999997272</v>
      </c>
      <c r="K253">
        <f t="shared" si="24"/>
        <v>0.6941584247843573</v>
      </c>
      <c r="L253" s="28">
        <f t="shared" si="25"/>
        <v>336.06584157521564</v>
      </c>
      <c r="M253">
        <f t="shared" si="28"/>
        <v>336.32374999999996</v>
      </c>
      <c r="N253" s="28">
        <f t="shared" si="27"/>
        <v>-0.25790842478431841</v>
      </c>
    </row>
    <row r="254" spans="7:14" x14ac:dyDescent="0.4">
      <c r="G254" s="1">
        <v>28915</v>
      </c>
      <c r="H254">
        <f t="shared" si="23"/>
        <v>3</v>
      </c>
      <c r="I254" s="28">
        <v>337.96</v>
      </c>
      <c r="J254" s="28">
        <f t="shared" si="26"/>
        <v>1.1999999999999886</v>
      </c>
      <c r="K254">
        <f t="shared" si="24"/>
        <v>1.3722957593821961</v>
      </c>
      <c r="L254" s="28">
        <f t="shared" si="25"/>
        <v>336.58770424061777</v>
      </c>
      <c r="M254">
        <f t="shared" si="28"/>
        <v>336.43083333333328</v>
      </c>
      <c r="N254" s="28">
        <f t="shared" si="27"/>
        <v>0.15687090728448538</v>
      </c>
    </row>
    <row r="255" spans="7:14" x14ac:dyDescent="0.4">
      <c r="G255" s="1">
        <v>28946</v>
      </c>
      <c r="H255">
        <f t="shared" si="23"/>
        <v>4</v>
      </c>
      <c r="I255" s="28">
        <v>338.88</v>
      </c>
      <c r="J255" s="28">
        <f t="shared" si="26"/>
        <v>0.92000000000001592</v>
      </c>
      <c r="K255">
        <f t="shared" si="24"/>
        <v>2.5880472384049131</v>
      </c>
      <c r="L255" s="28">
        <f t="shared" si="25"/>
        <v>336.2919527615951</v>
      </c>
      <c r="M255">
        <f t="shared" si="28"/>
        <v>336.53375</v>
      </c>
      <c r="N255" s="28">
        <f t="shared" si="27"/>
        <v>-0.24179723840489942</v>
      </c>
    </row>
    <row r="256" spans="7:14" x14ac:dyDescent="0.4">
      <c r="G256" s="1">
        <v>28976</v>
      </c>
      <c r="H256">
        <f t="shared" si="23"/>
        <v>5</v>
      </c>
      <c r="I256" s="28">
        <v>339.47</v>
      </c>
      <c r="J256" s="28">
        <f t="shared" si="26"/>
        <v>0.59000000000003183</v>
      </c>
      <c r="K256">
        <f t="shared" si="24"/>
        <v>3.0809752517725739</v>
      </c>
      <c r="L256" s="28">
        <f t="shared" si="25"/>
        <v>336.38902474822743</v>
      </c>
      <c r="M256">
        <f t="shared" si="28"/>
        <v>336.64541666666668</v>
      </c>
      <c r="N256" s="28">
        <f t="shared" si="27"/>
        <v>-0.25639191843924891</v>
      </c>
    </row>
    <row r="257" spans="7:14" x14ac:dyDescent="0.4">
      <c r="G257" s="1">
        <v>29007</v>
      </c>
      <c r="H257">
        <f t="shared" si="23"/>
        <v>6</v>
      </c>
      <c r="I257" s="28">
        <v>339.29</v>
      </c>
      <c r="J257" s="28">
        <f t="shared" si="26"/>
        <v>-0.18000000000000682</v>
      </c>
      <c r="K257">
        <f t="shared" si="24"/>
        <v>2.3583796233572674</v>
      </c>
      <c r="L257" s="28">
        <f t="shared" si="25"/>
        <v>336.93162037664274</v>
      </c>
      <c r="M257">
        <f t="shared" si="28"/>
        <v>336.7766666666667</v>
      </c>
      <c r="N257" s="28">
        <f t="shared" si="27"/>
        <v>0.15495370997604141</v>
      </c>
    </row>
    <row r="258" spans="7:14" x14ac:dyDescent="0.4">
      <c r="G258" s="1">
        <v>29037</v>
      </c>
      <c r="H258">
        <f t="shared" si="23"/>
        <v>7</v>
      </c>
      <c r="I258" s="28">
        <v>337.73</v>
      </c>
      <c r="J258" s="28">
        <f t="shared" si="26"/>
        <v>-1.5600000000000023</v>
      </c>
      <c r="K258">
        <f t="shared" si="24"/>
        <v>0.72791514248295042</v>
      </c>
      <c r="L258" s="28">
        <f t="shared" si="25"/>
        <v>337.00208485751705</v>
      </c>
      <c r="M258">
        <f t="shared" si="28"/>
        <v>336.92500000000001</v>
      </c>
      <c r="N258" s="28">
        <f t="shared" si="27"/>
        <v>7.7084857517036198E-2</v>
      </c>
    </row>
    <row r="259" spans="7:14" x14ac:dyDescent="0.4">
      <c r="G259" s="1">
        <v>29068</v>
      </c>
      <c r="H259">
        <f t="shared" ref="H259:H322" si="29">MONTH(G259)</f>
        <v>8</v>
      </c>
      <c r="I259" s="28">
        <v>336.09</v>
      </c>
      <c r="J259" s="28">
        <f t="shared" si="26"/>
        <v>-1.6400000000000432</v>
      </c>
      <c r="K259">
        <f t="shared" ref="K259:K322" si="30">INDEX($E$3:$E$14,H259)</f>
        <v>-1.4099263875716923</v>
      </c>
      <c r="L259" s="28">
        <f t="shared" ref="L259:L322" si="31">I259-K259</f>
        <v>337.49992638757169</v>
      </c>
      <c r="M259">
        <f t="shared" si="28"/>
        <v>337.06583333333333</v>
      </c>
      <c r="N259" s="28">
        <f t="shared" si="27"/>
        <v>0.43409305423836031</v>
      </c>
    </row>
    <row r="260" spans="7:14" x14ac:dyDescent="0.4">
      <c r="G260" s="1">
        <v>29099</v>
      </c>
      <c r="H260">
        <f t="shared" si="29"/>
        <v>9</v>
      </c>
      <c r="I260" s="28">
        <v>333.92</v>
      </c>
      <c r="J260" s="28">
        <f t="shared" ref="J260:J323" si="32">I260-I259</f>
        <v>-2.1699999999999591</v>
      </c>
      <c r="K260">
        <f t="shared" si="30"/>
        <v>-3.204325294675523</v>
      </c>
      <c r="L260" s="28">
        <f t="shared" si="31"/>
        <v>337.12432529467554</v>
      </c>
      <c r="M260">
        <f t="shared" si="28"/>
        <v>337.22041666666672</v>
      </c>
      <c r="N260" s="28">
        <f t="shared" si="27"/>
        <v>-9.6091371991178676E-2</v>
      </c>
    </row>
    <row r="261" spans="7:14" x14ac:dyDescent="0.4">
      <c r="G261" s="1">
        <v>29129</v>
      </c>
      <c r="H261">
        <f t="shared" si="29"/>
        <v>10</v>
      </c>
      <c r="I261" s="28">
        <v>333.86</v>
      </c>
      <c r="J261" s="28">
        <f t="shared" si="32"/>
        <v>-6.0000000000002274E-2</v>
      </c>
      <c r="K261">
        <f t="shared" si="30"/>
        <v>-3.3270848575170473</v>
      </c>
      <c r="L261" s="28">
        <f t="shared" si="31"/>
        <v>337.18708485751705</v>
      </c>
      <c r="M261">
        <f t="shared" si="28"/>
        <v>337.38666666666671</v>
      </c>
      <c r="N261" s="28">
        <f t="shared" si="27"/>
        <v>-0.19958180914966306</v>
      </c>
    </row>
    <row r="262" spans="7:14" x14ac:dyDescent="0.4">
      <c r="G262" s="1">
        <v>29160</v>
      </c>
      <c r="H262">
        <f t="shared" si="29"/>
        <v>11</v>
      </c>
      <c r="I262" s="28">
        <v>335.29</v>
      </c>
      <c r="J262" s="28">
        <f t="shared" si="32"/>
        <v>1.4300000000000068</v>
      </c>
      <c r="K262">
        <f t="shared" si="30"/>
        <v>-2.0516476990471002</v>
      </c>
      <c r="L262" s="28">
        <f t="shared" si="31"/>
        <v>337.34164769904714</v>
      </c>
      <c r="M262">
        <f t="shared" si="28"/>
        <v>337.54833333333335</v>
      </c>
      <c r="N262" s="28">
        <f t="shared" si="27"/>
        <v>-0.20668563428620246</v>
      </c>
    </row>
    <row r="263" spans="7:14" x14ac:dyDescent="0.4">
      <c r="G263" s="1">
        <v>29190</v>
      </c>
      <c r="H263">
        <f t="shared" si="29"/>
        <v>12</v>
      </c>
      <c r="I263" s="28">
        <v>336.73</v>
      </c>
      <c r="J263" s="28">
        <f t="shared" si="32"/>
        <v>1.4399999999999977</v>
      </c>
      <c r="K263">
        <f t="shared" si="30"/>
        <v>-0.88768595041322573</v>
      </c>
      <c r="L263" s="28">
        <f t="shared" si="31"/>
        <v>337.61768595041326</v>
      </c>
      <c r="M263">
        <f t="shared" si="28"/>
        <v>337.71</v>
      </c>
      <c r="N263" s="28">
        <f t="shared" si="27"/>
        <v>-9.2314049586718738E-2</v>
      </c>
    </row>
    <row r="264" spans="7:14" x14ac:dyDescent="0.4">
      <c r="G264" s="1">
        <v>29221</v>
      </c>
      <c r="H264">
        <f t="shared" si="29"/>
        <v>1</v>
      </c>
      <c r="I264" s="28">
        <v>338.01</v>
      </c>
      <c r="J264" s="28">
        <f t="shared" si="32"/>
        <v>1.2799999999999727</v>
      </c>
      <c r="K264">
        <f t="shared" si="30"/>
        <v>5.8898749040328657E-2</v>
      </c>
      <c r="L264" s="28">
        <f t="shared" si="31"/>
        <v>337.95110125095965</v>
      </c>
      <c r="M264">
        <f t="shared" si="28"/>
        <v>337.86458333333331</v>
      </c>
      <c r="N264" s="28">
        <f t="shared" si="27"/>
        <v>8.6517917626338203E-2</v>
      </c>
    </row>
    <row r="265" spans="7:14" x14ac:dyDescent="0.4">
      <c r="G265" s="1">
        <v>29252</v>
      </c>
      <c r="H265">
        <f t="shared" si="29"/>
        <v>2</v>
      </c>
      <c r="I265" s="28">
        <v>338.36</v>
      </c>
      <c r="J265" s="28">
        <f t="shared" si="32"/>
        <v>0.35000000000002274</v>
      </c>
      <c r="K265">
        <f t="shared" si="30"/>
        <v>0.6941584247843573</v>
      </c>
      <c r="L265" s="28">
        <f t="shared" si="31"/>
        <v>337.66584157521567</v>
      </c>
      <c r="M265">
        <f t="shared" si="28"/>
        <v>338.00375000000003</v>
      </c>
      <c r="N265" s="28">
        <f t="shared" ref="N265:N328" si="33">L265-M265</f>
        <v>-0.33790842478435934</v>
      </c>
    </row>
    <row r="266" spans="7:14" x14ac:dyDescent="0.4">
      <c r="G266" s="1">
        <v>29281</v>
      </c>
      <c r="H266">
        <f t="shared" si="29"/>
        <v>3</v>
      </c>
      <c r="I266" s="28">
        <v>340.07</v>
      </c>
      <c r="J266" s="28">
        <f t="shared" si="32"/>
        <v>1.7099999999999795</v>
      </c>
      <c r="K266">
        <f t="shared" si="30"/>
        <v>1.3722957593821961</v>
      </c>
      <c r="L266" s="28">
        <f t="shared" si="31"/>
        <v>338.69770424061778</v>
      </c>
      <c r="M266">
        <f t="shared" si="28"/>
        <v>338.14833333333337</v>
      </c>
      <c r="N266" s="28">
        <f t="shared" si="33"/>
        <v>0.54937090728441262</v>
      </c>
    </row>
    <row r="267" spans="7:14" x14ac:dyDescent="0.4">
      <c r="G267" s="1">
        <v>29312</v>
      </c>
      <c r="H267">
        <f t="shared" si="29"/>
        <v>4</v>
      </c>
      <c r="I267" s="28">
        <v>340.76</v>
      </c>
      <c r="J267" s="28">
        <f t="shared" si="32"/>
        <v>0.68999999999999773</v>
      </c>
      <c r="K267">
        <f t="shared" si="30"/>
        <v>2.5880472384049131</v>
      </c>
      <c r="L267" s="28">
        <f t="shared" si="31"/>
        <v>338.17195276159509</v>
      </c>
      <c r="M267">
        <f t="shared" si="28"/>
        <v>338.32</v>
      </c>
      <c r="N267" s="28">
        <f t="shared" si="33"/>
        <v>-0.14804723840489942</v>
      </c>
    </row>
    <row r="268" spans="7:14" x14ac:dyDescent="0.4">
      <c r="G268" s="1">
        <v>29342</v>
      </c>
      <c r="H268">
        <f t="shared" si="29"/>
        <v>5</v>
      </c>
      <c r="I268" s="28">
        <v>341.47</v>
      </c>
      <c r="J268" s="28">
        <f t="shared" si="32"/>
        <v>0.71000000000003638</v>
      </c>
      <c r="K268">
        <f t="shared" si="30"/>
        <v>3.0809752517725739</v>
      </c>
      <c r="L268" s="28">
        <f t="shared" si="31"/>
        <v>338.38902474822743</v>
      </c>
      <c r="M268">
        <f t="shared" si="28"/>
        <v>338.48541666666671</v>
      </c>
      <c r="N268" s="28">
        <f t="shared" si="33"/>
        <v>-9.6391918439280744E-2</v>
      </c>
    </row>
    <row r="269" spans="7:14" x14ac:dyDescent="0.4">
      <c r="G269" s="1">
        <v>29373</v>
      </c>
      <c r="H269">
        <f t="shared" si="29"/>
        <v>6</v>
      </c>
      <c r="I269" s="28">
        <v>341.17</v>
      </c>
      <c r="J269" s="28">
        <f t="shared" si="32"/>
        <v>-0.30000000000001137</v>
      </c>
      <c r="K269">
        <f t="shared" si="30"/>
        <v>2.3583796233572674</v>
      </c>
      <c r="L269" s="28">
        <f t="shared" si="31"/>
        <v>338.81162037664274</v>
      </c>
      <c r="M269">
        <f t="shared" si="28"/>
        <v>338.62250000000006</v>
      </c>
      <c r="N269" s="28">
        <f t="shared" si="33"/>
        <v>0.189120376642677</v>
      </c>
    </row>
    <row r="270" spans="7:14" x14ac:dyDescent="0.4">
      <c r="G270" s="1">
        <v>29403</v>
      </c>
      <c r="H270">
        <f t="shared" si="29"/>
        <v>7</v>
      </c>
      <c r="I270" s="28">
        <v>339.56</v>
      </c>
      <c r="J270" s="28">
        <f t="shared" si="32"/>
        <v>-1.6100000000000136</v>
      </c>
      <c r="K270">
        <f t="shared" si="30"/>
        <v>0.72791514248295042</v>
      </c>
      <c r="L270" s="28">
        <f t="shared" si="31"/>
        <v>338.83208485751703</v>
      </c>
      <c r="M270">
        <f t="shared" si="28"/>
        <v>338.73541666666665</v>
      </c>
      <c r="N270" s="28">
        <f t="shared" si="33"/>
        <v>9.6668190850380142E-2</v>
      </c>
    </row>
    <row r="271" spans="7:14" x14ac:dyDescent="0.4">
      <c r="G271" s="1">
        <v>29434</v>
      </c>
      <c r="H271">
        <f t="shared" si="29"/>
        <v>8</v>
      </c>
      <c r="I271" s="28">
        <v>337.6</v>
      </c>
      <c r="J271" s="28">
        <f t="shared" si="32"/>
        <v>-1.9599999999999795</v>
      </c>
      <c r="K271">
        <f t="shared" si="30"/>
        <v>-1.4099263875716923</v>
      </c>
      <c r="L271" s="28">
        <f t="shared" si="31"/>
        <v>339.00992638757174</v>
      </c>
      <c r="M271">
        <f t="shared" ref="M271:M334" si="34">(SUM(L266:L276)+(L265+L277)/2)/12</f>
        <v>338.875</v>
      </c>
      <c r="N271" s="28">
        <f t="shared" si="33"/>
        <v>0.13492638757173836</v>
      </c>
    </row>
    <row r="272" spans="7:14" x14ac:dyDescent="0.4">
      <c r="G272" s="1">
        <v>29465</v>
      </c>
      <c r="H272">
        <f t="shared" si="29"/>
        <v>9</v>
      </c>
      <c r="I272" s="28">
        <v>335.88</v>
      </c>
      <c r="J272" s="28">
        <f t="shared" si="32"/>
        <v>-1.7200000000000273</v>
      </c>
      <c r="K272">
        <f t="shared" si="30"/>
        <v>-3.204325294675523</v>
      </c>
      <c r="L272" s="28">
        <f t="shared" si="31"/>
        <v>339.08432529467552</v>
      </c>
      <c r="M272">
        <f t="shared" si="34"/>
        <v>339.01791666666668</v>
      </c>
      <c r="N272" s="28">
        <f t="shared" si="33"/>
        <v>6.6408628008844062E-2</v>
      </c>
    </row>
    <row r="273" spans="7:14" x14ac:dyDescent="0.4">
      <c r="G273" s="1">
        <v>29495</v>
      </c>
      <c r="H273">
        <f t="shared" si="29"/>
        <v>10</v>
      </c>
      <c r="I273" s="28">
        <v>336.02</v>
      </c>
      <c r="J273" s="28">
        <f t="shared" si="32"/>
        <v>0.13999999999998636</v>
      </c>
      <c r="K273">
        <f t="shared" si="30"/>
        <v>-3.3270848575170473</v>
      </c>
      <c r="L273" s="28">
        <f t="shared" si="31"/>
        <v>339.34708485751702</v>
      </c>
      <c r="M273">
        <f t="shared" si="34"/>
        <v>339.14500000000004</v>
      </c>
      <c r="N273" s="28">
        <f t="shared" si="33"/>
        <v>0.20208485751697935</v>
      </c>
    </row>
    <row r="274" spans="7:14" x14ac:dyDescent="0.4">
      <c r="G274" s="1">
        <v>29526</v>
      </c>
      <c r="H274">
        <f t="shared" si="29"/>
        <v>11</v>
      </c>
      <c r="I274" s="28">
        <v>337.1</v>
      </c>
      <c r="J274" s="28">
        <f t="shared" si="32"/>
        <v>1.0800000000000409</v>
      </c>
      <c r="K274">
        <f t="shared" si="30"/>
        <v>-2.0516476990471002</v>
      </c>
      <c r="L274" s="28">
        <f t="shared" si="31"/>
        <v>339.15164769904715</v>
      </c>
      <c r="M274">
        <f t="shared" si="34"/>
        <v>339.27750000000003</v>
      </c>
      <c r="N274" s="28">
        <f t="shared" si="33"/>
        <v>-0.1258523009528858</v>
      </c>
    </row>
    <row r="275" spans="7:14" x14ac:dyDescent="0.4">
      <c r="G275" s="1">
        <v>29556</v>
      </c>
      <c r="H275">
        <f t="shared" si="29"/>
        <v>12</v>
      </c>
      <c r="I275" s="28">
        <v>338.21</v>
      </c>
      <c r="J275" s="28">
        <f t="shared" si="32"/>
        <v>1.1099999999999568</v>
      </c>
      <c r="K275">
        <f t="shared" si="30"/>
        <v>-0.88768595041322573</v>
      </c>
      <c r="L275" s="28">
        <f t="shared" si="31"/>
        <v>339.09768595041322</v>
      </c>
      <c r="M275">
        <f t="shared" si="34"/>
        <v>339.38249999999999</v>
      </c>
      <c r="N275" s="28">
        <f t="shared" si="33"/>
        <v>-0.28481404958677103</v>
      </c>
    </row>
    <row r="276" spans="7:14" x14ac:dyDescent="0.4">
      <c r="G276" s="1">
        <v>29587</v>
      </c>
      <c r="H276">
        <f t="shared" si="29"/>
        <v>1</v>
      </c>
      <c r="I276" s="28">
        <v>339.24</v>
      </c>
      <c r="J276" s="28">
        <f t="shared" si="32"/>
        <v>1.0300000000000296</v>
      </c>
      <c r="K276">
        <f t="shared" si="30"/>
        <v>5.8898749040328657E-2</v>
      </c>
      <c r="L276" s="28">
        <f t="shared" si="31"/>
        <v>339.18110125095967</v>
      </c>
      <c r="M276">
        <f t="shared" si="34"/>
        <v>339.46625</v>
      </c>
      <c r="N276" s="28">
        <f t="shared" si="33"/>
        <v>-0.2851487490403315</v>
      </c>
    </row>
    <row r="277" spans="7:14" x14ac:dyDescent="0.4">
      <c r="G277" s="1">
        <v>29618</v>
      </c>
      <c r="H277">
        <f t="shared" si="29"/>
        <v>2</v>
      </c>
      <c r="I277" s="28">
        <v>340.48</v>
      </c>
      <c r="J277" s="28">
        <f t="shared" si="32"/>
        <v>1.2400000000000091</v>
      </c>
      <c r="K277">
        <f t="shared" si="30"/>
        <v>0.6941584247843573</v>
      </c>
      <c r="L277" s="28">
        <f t="shared" si="31"/>
        <v>339.78584157521567</v>
      </c>
      <c r="M277">
        <f t="shared" si="34"/>
        <v>339.53958333333333</v>
      </c>
      <c r="N277" s="28">
        <f t="shared" si="33"/>
        <v>0.24625824188234446</v>
      </c>
    </row>
    <row r="278" spans="7:14" x14ac:dyDescent="0.4">
      <c r="G278" s="1">
        <v>29646</v>
      </c>
      <c r="H278">
        <f t="shared" si="29"/>
        <v>3</v>
      </c>
      <c r="I278" s="28">
        <v>341.38</v>
      </c>
      <c r="J278" s="28">
        <f t="shared" si="32"/>
        <v>0.89999999999997726</v>
      </c>
      <c r="K278">
        <f t="shared" si="30"/>
        <v>1.3722957593821961</v>
      </c>
      <c r="L278" s="28">
        <f t="shared" si="31"/>
        <v>340.00770424061778</v>
      </c>
      <c r="M278">
        <f t="shared" si="34"/>
        <v>339.60791666666665</v>
      </c>
      <c r="N278" s="28">
        <f t="shared" si="33"/>
        <v>0.39978757395113007</v>
      </c>
    </row>
    <row r="279" spans="7:14" x14ac:dyDescent="0.4">
      <c r="G279" s="1">
        <v>29677</v>
      </c>
      <c r="H279">
        <f t="shared" si="29"/>
        <v>4</v>
      </c>
      <c r="I279" s="28">
        <v>342.5</v>
      </c>
      <c r="J279" s="28">
        <f t="shared" si="32"/>
        <v>1.1200000000000045</v>
      </c>
      <c r="K279">
        <f t="shared" si="30"/>
        <v>2.5880472384049131</v>
      </c>
      <c r="L279" s="28">
        <f t="shared" si="31"/>
        <v>339.9119527615951</v>
      </c>
      <c r="M279">
        <f t="shared" si="34"/>
        <v>339.67666666666668</v>
      </c>
      <c r="N279" s="28">
        <f t="shared" si="33"/>
        <v>0.23528609492842634</v>
      </c>
    </row>
    <row r="280" spans="7:14" x14ac:dyDescent="0.4">
      <c r="G280" s="1">
        <v>29707</v>
      </c>
      <c r="H280">
        <f t="shared" si="29"/>
        <v>5</v>
      </c>
      <c r="I280" s="28">
        <v>342.91</v>
      </c>
      <c r="J280" s="28">
        <f t="shared" si="32"/>
        <v>0.41000000000002501</v>
      </c>
      <c r="K280">
        <f t="shared" si="30"/>
        <v>3.0809752517725739</v>
      </c>
      <c r="L280" s="28">
        <f t="shared" si="31"/>
        <v>339.82902474822743</v>
      </c>
      <c r="M280">
        <f t="shared" si="34"/>
        <v>339.76416666666665</v>
      </c>
      <c r="N280" s="28">
        <f t="shared" si="33"/>
        <v>6.4858081560771552E-2</v>
      </c>
    </row>
    <row r="281" spans="7:14" x14ac:dyDescent="0.4">
      <c r="G281" s="1">
        <v>29738</v>
      </c>
      <c r="H281">
        <f t="shared" si="29"/>
        <v>6</v>
      </c>
      <c r="I281" s="28">
        <v>342.25</v>
      </c>
      <c r="J281" s="28">
        <f t="shared" si="32"/>
        <v>-0.66000000000002501</v>
      </c>
      <c r="K281">
        <f t="shared" si="30"/>
        <v>2.3583796233572674</v>
      </c>
      <c r="L281" s="28">
        <f t="shared" si="31"/>
        <v>339.89162037664272</v>
      </c>
      <c r="M281">
        <f t="shared" si="34"/>
        <v>339.87500000000006</v>
      </c>
      <c r="N281" s="28">
        <f t="shared" si="33"/>
        <v>1.6620376642663359E-2</v>
      </c>
    </row>
    <row r="282" spans="7:14" x14ac:dyDescent="0.4">
      <c r="G282" s="1">
        <v>29768</v>
      </c>
      <c r="H282">
        <f t="shared" si="29"/>
        <v>7</v>
      </c>
      <c r="I282" s="28">
        <v>340.49</v>
      </c>
      <c r="J282" s="28">
        <f t="shared" si="32"/>
        <v>-1.7599999999999909</v>
      </c>
      <c r="K282">
        <f t="shared" si="30"/>
        <v>0.72791514248295042</v>
      </c>
      <c r="L282" s="28">
        <f t="shared" si="31"/>
        <v>339.76208485751704</v>
      </c>
      <c r="M282">
        <f t="shared" si="34"/>
        <v>339.99625000000003</v>
      </c>
      <c r="N282" s="28">
        <f t="shared" si="33"/>
        <v>-0.23416514248299336</v>
      </c>
    </row>
    <row r="283" spans="7:14" x14ac:dyDescent="0.4">
      <c r="G283" s="1">
        <v>29799</v>
      </c>
      <c r="H283">
        <f t="shared" si="29"/>
        <v>8</v>
      </c>
      <c r="I283" s="28">
        <v>338.43</v>
      </c>
      <c r="J283" s="28">
        <f t="shared" si="32"/>
        <v>-2.0600000000000023</v>
      </c>
      <c r="K283">
        <f t="shared" si="30"/>
        <v>-1.4099263875716923</v>
      </c>
      <c r="L283" s="28">
        <f t="shared" si="31"/>
        <v>339.83992638757172</v>
      </c>
      <c r="M283">
        <f t="shared" si="34"/>
        <v>340.10624999999999</v>
      </c>
      <c r="N283" s="28">
        <f t="shared" si="33"/>
        <v>-0.26632361242826619</v>
      </c>
    </row>
    <row r="284" spans="7:14" x14ac:dyDescent="0.4">
      <c r="G284" s="1">
        <v>29830</v>
      </c>
      <c r="H284">
        <f t="shared" si="29"/>
        <v>9</v>
      </c>
      <c r="I284" s="28">
        <v>336.69</v>
      </c>
      <c r="J284" s="28">
        <f t="shared" si="32"/>
        <v>-1.7400000000000091</v>
      </c>
      <c r="K284">
        <f t="shared" si="30"/>
        <v>-3.204325294675523</v>
      </c>
      <c r="L284" s="28">
        <f t="shared" si="31"/>
        <v>339.89432529467553</v>
      </c>
      <c r="M284">
        <f t="shared" si="34"/>
        <v>340.20833333333331</v>
      </c>
      <c r="N284" s="28">
        <f t="shared" si="33"/>
        <v>-0.31400803865778926</v>
      </c>
    </row>
    <row r="285" spans="7:14" x14ac:dyDescent="0.4">
      <c r="G285" s="1">
        <v>29860</v>
      </c>
      <c r="H285">
        <f t="shared" si="29"/>
        <v>10</v>
      </c>
      <c r="I285" s="28">
        <v>336.86</v>
      </c>
      <c r="J285" s="28">
        <f t="shared" si="32"/>
        <v>0.17000000000001592</v>
      </c>
      <c r="K285">
        <f t="shared" si="30"/>
        <v>-3.3270848575170473</v>
      </c>
      <c r="L285" s="28">
        <f t="shared" si="31"/>
        <v>340.18708485751705</v>
      </c>
      <c r="M285">
        <f t="shared" si="34"/>
        <v>340.3079166666667</v>
      </c>
      <c r="N285" s="28">
        <f t="shared" si="33"/>
        <v>-0.12083180914964942</v>
      </c>
    </row>
    <row r="286" spans="7:14" x14ac:dyDescent="0.4">
      <c r="G286" s="1">
        <v>29891</v>
      </c>
      <c r="H286">
        <f t="shared" si="29"/>
        <v>11</v>
      </c>
      <c r="I286" s="28">
        <v>338.36</v>
      </c>
      <c r="J286" s="28">
        <f t="shared" si="32"/>
        <v>1.5</v>
      </c>
      <c r="K286">
        <f t="shared" si="30"/>
        <v>-2.0516476990471002</v>
      </c>
      <c r="L286" s="28">
        <f t="shared" si="31"/>
        <v>340.41164769904714</v>
      </c>
      <c r="M286">
        <f t="shared" si="34"/>
        <v>340.40375</v>
      </c>
      <c r="N286" s="28">
        <f t="shared" si="33"/>
        <v>7.8976990471346653E-3</v>
      </c>
    </row>
    <row r="287" spans="7:14" x14ac:dyDescent="0.4">
      <c r="G287" s="1">
        <v>29921</v>
      </c>
      <c r="H287">
        <f t="shared" si="29"/>
        <v>12</v>
      </c>
      <c r="I287" s="28">
        <v>339.61</v>
      </c>
      <c r="J287" s="28">
        <f t="shared" si="32"/>
        <v>1.25</v>
      </c>
      <c r="K287">
        <f t="shared" si="30"/>
        <v>-0.88768595041322573</v>
      </c>
      <c r="L287" s="28">
        <f t="shared" si="31"/>
        <v>340.49768595041326</v>
      </c>
      <c r="M287">
        <f t="shared" si="34"/>
        <v>340.50083333333333</v>
      </c>
      <c r="N287" s="28">
        <f t="shared" si="33"/>
        <v>-3.1473829200763248E-3</v>
      </c>
    </row>
    <row r="288" spans="7:14" x14ac:dyDescent="0.4">
      <c r="G288" s="1">
        <v>29952</v>
      </c>
      <c r="H288">
        <f t="shared" si="29"/>
        <v>1</v>
      </c>
      <c r="I288" s="28">
        <v>340.75</v>
      </c>
      <c r="J288" s="28">
        <f t="shared" si="32"/>
        <v>1.1399999999999864</v>
      </c>
      <c r="K288">
        <f t="shared" si="30"/>
        <v>5.8898749040328657E-2</v>
      </c>
      <c r="L288" s="28">
        <f t="shared" si="31"/>
        <v>340.69110125095966</v>
      </c>
      <c r="M288">
        <f t="shared" si="34"/>
        <v>340.61208333333332</v>
      </c>
      <c r="N288" s="28">
        <f t="shared" si="33"/>
        <v>7.9017917626345024E-2</v>
      </c>
    </row>
    <row r="289" spans="7:14" x14ac:dyDescent="0.4">
      <c r="G289" s="1">
        <v>29983</v>
      </c>
      <c r="H289">
        <f t="shared" si="29"/>
        <v>2</v>
      </c>
      <c r="I289" s="28">
        <v>341.61</v>
      </c>
      <c r="J289" s="28">
        <f t="shared" si="32"/>
        <v>0.86000000000001364</v>
      </c>
      <c r="K289">
        <f t="shared" si="30"/>
        <v>0.6941584247843573</v>
      </c>
      <c r="L289" s="28">
        <f t="shared" si="31"/>
        <v>340.91584157521567</v>
      </c>
      <c r="M289">
        <f t="shared" si="34"/>
        <v>340.73500000000001</v>
      </c>
      <c r="N289" s="28">
        <f t="shared" si="33"/>
        <v>0.18084157521565203</v>
      </c>
    </row>
    <row r="290" spans="7:14" x14ac:dyDescent="0.4">
      <c r="G290" s="1">
        <v>30011</v>
      </c>
      <c r="H290">
        <f t="shared" si="29"/>
        <v>3</v>
      </c>
      <c r="I290" s="28">
        <v>342.7</v>
      </c>
      <c r="J290" s="28">
        <f t="shared" si="32"/>
        <v>1.089999999999975</v>
      </c>
      <c r="K290">
        <f t="shared" si="30"/>
        <v>1.3722957593821961</v>
      </c>
      <c r="L290" s="28">
        <f t="shared" si="31"/>
        <v>341.32770424061778</v>
      </c>
      <c r="M290">
        <f t="shared" si="34"/>
        <v>340.84625000000005</v>
      </c>
      <c r="N290" s="28">
        <f t="shared" si="33"/>
        <v>0.48145424061772246</v>
      </c>
    </row>
    <row r="291" spans="7:14" x14ac:dyDescent="0.4">
      <c r="G291" s="1">
        <v>30042</v>
      </c>
      <c r="H291">
        <f t="shared" si="29"/>
        <v>4</v>
      </c>
      <c r="I291" s="28">
        <v>343.57</v>
      </c>
      <c r="J291" s="28">
        <f t="shared" si="32"/>
        <v>0.87000000000000455</v>
      </c>
      <c r="K291">
        <f t="shared" si="30"/>
        <v>2.5880472384049131</v>
      </c>
      <c r="L291" s="28">
        <f t="shared" si="31"/>
        <v>340.9819527615951</v>
      </c>
      <c r="M291">
        <f t="shared" si="34"/>
        <v>340.94166666666672</v>
      </c>
      <c r="N291" s="28">
        <f t="shared" si="33"/>
        <v>4.0286094928376315E-2</v>
      </c>
    </row>
    <row r="292" spans="7:14" x14ac:dyDescent="0.4">
      <c r="G292" s="1">
        <v>30072</v>
      </c>
      <c r="H292">
        <f t="shared" si="29"/>
        <v>5</v>
      </c>
      <c r="I292" s="28">
        <v>344.14</v>
      </c>
      <c r="J292" s="28">
        <f t="shared" si="32"/>
        <v>0.56999999999999318</v>
      </c>
      <c r="K292">
        <f t="shared" si="30"/>
        <v>3.0809752517725739</v>
      </c>
      <c r="L292" s="28">
        <f t="shared" si="31"/>
        <v>341.05902474822739</v>
      </c>
      <c r="M292">
        <f t="shared" si="34"/>
        <v>341.02083333333331</v>
      </c>
      <c r="N292" s="28">
        <f t="shared" si="33"/>
        <v>3.8191414894072295E-2</v>
      </c>
    </row>
    <row r="293" spans="7:14" x14ac:dyDescent="0.4">
      <c r="G293" s="1">
        <v>30103</v>
      </c>
      <c r="H293">
        <f t="shared" si="29"/>
        <v>6</v>
      </c>
      <c r="I293" s="28">
        <v>343.35</v>
      </c>
      <c r="J293" s="28">
        <f t="shared" si="32"/>
        <v>-0.78999999999996362</v>
      </c>
      <c r="K293">
        <f t="shared" si="30"/>
        <v>2.3583796233572674</v>
      </c>
      <c r="L293" s="28">
        <f t="shared" si="31"/>
        <v>340.99162037664274</v>
      </c>
      <c r="M293">
        <f t="shared" si="34"/>
        <v>341.09500000000003</v>
      </c>
      <c r="N293" s="28">
        <f t="shared" si="33"/>
        <v>-0.10337962335728434</v>
      </c>
    </row>
    <row r="294" spans="7:14" x14ac:dyDescent="0.4">
      <c r="G294" s="1">
        <v>30133</v>
      </c>
      <c r="H294">
        <f t="shared" si="29"/>
        <v>7</v>
      </c>
      <c r="I294" s="28">
        <v>342.06</v>
      </c>
      <c r="J294" s="28">
        <f t="shared" si="32"/>
        <v>-1.2900000000000205</v>
      </c>
      <c r="K294">
        <f t="shared" si="30"/>
        <v>0.72791514248295042</v>
      </c>
      <c r="L294" s="28">
        <f t="shared" si="31"/>
        <v>341.33208485751703</v>
      </c>
      <c r="M294">
        <f t="shared" si="34"/>
        <v>341.15791666666667</v>
      </c>
      <c r="N294" s="28">
        <f t="shared" si="33"/>
        <v>0.1741681908503665</v>
      </c>
    </row>
    <row r="295" spans="7:14" x14ac:dyDescent="0.4">
      <c r="G295" s="1">
        <v>30164</v>
      </c>
      <c r="H295">
        <f t="shared" si="29"/>
        <v>8</v>
      </c>
      <c r="I295" s="28">
        <v>339.81</v>
      </c>
      <c r="J295" s="28">
        <f t="shared" si="32"/>
        <v>-2.25</v>
      </c>
      <c r="K295">
        <f t="shared" si="30"/>
        <v>-1.4099263875716923</v>
      </c>
      <c r="L295" s="28">
        <f t="shared" si="31"/>
        <v>341.21992638757172</v>
      </c>
      <c r="M295">
        <f t="shared" si="34"/>
        <v>341.22208333333333</v>
      </c>
      <c r="N295" s="28">
        <f t="shared" si="33"/>
        <v>-2.1569457616124055E-3</v>
      </c>
    </row>
    <row r="296" spans="7:14" x14ac:dyDescent="0.4">
      <c r="G296" s="1">
        <v>30195</v>
      </c>
      <c r="H296">
        <f t="shared" si="29"/>
        <v>9</v>
      </c>
      <c r="I296" s="28">
        <v>337.98</v>
      </c>
      <c r="J296" s="28">
        <f t="shared" si="32"/>
        <v>-1.8299999999999841</v>
      </c>
      <c r="K296">
        <f t="shared" si="30"/>
        <v>-3.204325294675523</v>
      </c>
      <c r="L296" s="28">
        <f t="shared" si="31"/>
        <v>341.18432529467555</v>
      </c>
      <c r="M296">
        <f t="shared" si="34"/>
        <v>341.2766666666667</v>
      </c>
      <c r="N296" s="28">
        <f t="shared" si="33"/>
        <v>-9.2341371991153665E-2</v>
      </c>
    </row>
    <row r="297" spans="7:14" x14ac:dyDescent="0.4">
      <c r="G297" s="1">
        <v>30225</v>
      </c>
      <c r="H297">
        <f t="shared" si="29"/>
        <v>10</v>
      </c>
      <c r="I297" s="28">
        <v>337.86</v>
      </c>
      <c r="J297" s="28">
        <f t="shared" si="32"/>
        <v>-0.12000000000000455</v>
      </c>
      <c r="K297">
        <f t="shared" si="30"/>
        <v>-3.3270848575170473</v>
      </c>
      <c r="L297" s="28">
        <f t="shared" si="31"/>
        <v>341.18708485751705</v>
      </c>
      <c r="M297">
        <f t="shared" si="34"/>
        <v>341.35041666666666</v>
      </c>
      <c r="N297" s="28">
        <f t="shared" si="33"/>
        <v>-0.16333180914961076</v>
      </c>
    </row>
    <row r="298" spans="7:14" x14ac:dyDescent="0.4">
      <c r="G298" s="1">
        <v>30256</v>
      </c>
      <c r="H298">
        <f t="shared" si="29"/>
        <v>11</v>
      </c>
      <c r="I298" s="28">
        <v>339.26</v>
      </c>
      <c r="J298" s="28">
        <f t="shared" si="32"/>
        <v>1.3999999999999773</v>
      </c>
      <c r="K298">
        <f t="shared" si="30"/>
        <v>-2.0516476990471002</v>
      </c>
      <c r="L298" s="28">
        <f t="shared" si="31"/>
        <v>341.31164769904711</v>
      </c>
      <c r="M298">
        <f t="shared" si="34"/>
        <v>341.47499999999997</v>
      </c>
      <c r="N298" s="28">
        <f t="shared" si="33"/>
        <v>-0.16335230095285169</v>
      </c>
    </row>
    <row r="299" spans="7:14" x14ac:dyDescent="0.4">
      <c r="G299" s="1">
        <v>30286</v>
      </c>
      <c r="H299">
        <f t="shared" si="29"/>
        <v>12</v>
      </c>
      <c r="I299" s="28">
        <v>340.49</v>
      </c>
      <c r="J299" s="28">
        <f t="shared" si="32"/>
        <v>1.2300000000000182</v>
      </c>
      <c r="K299">
        <f t="shared" si="30"/>
        <v>-0.88768595041322573</v>
      </c>
      <c r="L299" s="28">
        <f t="shared" si="31"/>
        <v>341.37768595041325</v>
      </c>
      <c r="M299">
        <f t="shared" si="34"/>
        <v>341.62458333333331</v>
      </c>
      <c r="N299" s="28">
        <f t="shared" si="33"/>
        <v>-0.24689738292005359</v>
      </c>
    </row>
    <row r="300" spans="7:14" x14ac:dyDescent="0.4">
      <c r="G300" s="1">
        <v>30317</v>
      </c>
      <c r="H300">
        <f t="shared" si="29"/>
        <v>1</v>
      </c>
      <c r="I300" s="28">
        <v>341.38</v>
      </c>
      <c r="J300" s="28">
        <f t="shared" si="32"/>
        <v>0.88999999999998636</v>
      </c>
      <c r="K300">
        <f t="shared" si="30"/>
        <v>5.8898749040328657E-2</v>
      </c>
      <c r="L300" s="28">
        <f t="shared" si="31"/>
        <v>341.32110125095966</v>
      </c>
      <c r="M300">
        <f t="shared" si="34"/>
        <v>341.78666666666663</v>
      </c>
      <c r="N300" s="28">
        <f t="shared" si="33"/>
        <v>-0.46556541570697618</v>
      </c>
    </row>
    <row r="301" spans="7:14" x14ac:dyDescent="0.4">
      <c r="G301" s="1">
        <v>30348</v>
      </c>
      <c r="H301">
        <f t="shared" si="29"/>
        <v>2</v>
      </c>
      <c r="I301" s="28">
        <v>342.52</v>
      </c>
      <c r="J301" s="28">
        <f t="shared" si="32"/>
        <v>1.1399999999999864</v>
      </c>
      <c r="K301">
        <f t="shared" si="30"/>
        <v>0.6941584247843573</v>
      </c>
      <c r="L301" s="28">
        <f t="shared" si="31"/>
        <v>341.82584157521563</v>
      </c>
      <c r="M301">
        <f t="shared" si="34"/>
        <v>341.97374999999994</v>
      </c>
      <c r="N301" s="28">
        <f t="shared" si="33"/>
        <v>-0.14790842478430477</v>
      </c>
    </row>
    <row r="302" spans="7:14" x14ac:dyDescent="0.4">
      <c r="G302" s="1">
        <v>30376</v>
      </c>
      <c r="H302">
        <f t="shared" si="29"/>
        <v>3</v>
      </c>
      <c r="I302" s="28">
        <v>343.1</v>
      </c>
      <c r="J302" s="28">
        <f t="shared" si="32"/>
        <v>0.58000000000004093</v>
      </c>
      <c r="K302">
        <f t="shared" si="30"/>
        <v>1.3722957593821961</v>
      </c>
      <c r="L302" s="28">
        <f t="shared" si="31"/>
        <v>341.72770424061781</v>
      </c>
      <c r="M302">
        <f t="shared" si="34"/>
        <v>342.15958333333327</v>
      </c>
      <c r="N302" s="28">
        <f t="shared" si="33"/>
        <v>-0.43187909271546232</v>
      </c>
    </row>
    <row r="303" spans="7:14" x14ac:dyDescent="0.4">
      <c r="G303" s="1">
        <v>30407</v>
      </c>
      <c r="H303">
        <f t="shared" si="29"/>
        <v>4</v>
      </c>
      <c r="I303" s="28">
        <v>344.94</v>
      </c>
      <c r="J303" s="28">
        <f t="shared" si="32"/>
        <v>1.839999999999975</v>
      </c>
      <c r="K303">
        <f t="shared" si="30"/>
        <v>2.5880472384049131</v>
      </c>
      <c r="L303" s="28">
        <f t="shared" si="31"/>
        <v>342.3519527615951</v>
      </c>
      <c r="M303">
        <f t="shared" si="34"/>
        <v>342.32708333333335</v>
      </c>
      <c r="N303" s="28">
        <f t="shared" si="33"/>
        <v>2.4869428261752091E-2</v>
      </c>
    </row>
    <row r="304" spans="7:14" x14ac:dyDescent="0.4">
      <c r="G304" s="1">
        <v>30437</v>
      </c>
      <c r="H304">
        <f t="shared" si="29"/>
        <v>5</v>
      </c>
      <c r="I304" s="28">
        <v>345.76</v>
      </c>
      <c r="J304" s="28">
        <f t="shared" si="32"/>
        <v>0.81999999999999318</v>
      </c>
      <c r="K304">
        <f t="shared" si="30"/>
        <v>3.0809752517725739</v>
      </c>
      <c r="L304" s="28">
        <f t="shared" si="31"/>
        <v>342.67902474822739</v>
      </c>
      <c r="M304">
        <f t="shared" si="34"/>
        <v>342.49458333333331</v>
      </c>
      <c r="N304" s="28">
        <f t="shared" si="33"/>
        <v>0.18444141489408139</v>
      </c>
    </row>
    <row r="305" spans="7:14" x14ac:dyDescent="0.4">
      <c r="G305" s="1">
        <v>30468</v>
      </c>
      <c r="H305">
        <f t="shared" si="29"/>
        <v>6</v>
      </c>
      <c r="I305" s="28">
        <v>345.32</v>
      </c>
      <c r="J305" s="28">
        <f t="shared" si="32"/>
        <v>-0.43999999999999773</v>
      </c>
      <c r="K305">
        <f t="shared" si="30"/>
        <v>2.3583796233572674</v>
      </c>
      <c r="L305" s="28">
        <f t="shared" si="31"/>
        <v>342.96162037664271</v>
      </c>
      <c r="M305">
        <f t="shared" si="34"/>
        <v>342.67749999999995</v>
      </c>
      <c r="N305" s="28">
        <f t="shared" si="33"/>
        <v>0.28412037664276113</v>
      </c>
    </row>
    <row r="306" spans="7:14" x14ac:dyDescent="0.4">
      <c r="G306" s="1">
        <v>30498</v>
      </c>
      <c r="H306">
        <f t="shared" si="29"/>
        <v>7</v>
      </c>
      <c r="I306" s="28">
        <v>343.98</v>
      </c>
      <c r="J306" s="28">
        <f t="shared" si="32"/>
        <v>-1.339999999999975</v>
      </c>
      <c r="K306">
        <f t="shared" si="30"/>
        <v>0.72791514248295042</v>
      </c>
      <c r="L306" s="28">
        <f t="shared" si="31"/>
        <v>343.25208485751705</v>
      </c>
      <c r="M306">
        <f t="shared" si="34"/>
        <v>342.87833333333327</v>
      </c>
      <c r="N306" s="28">
        <f t="shared" si="33"/>
        <v>0.37375152418377411</v>
      </c>
    </row>
    <row r="307" spans="7:14" x14ac:dyDescent="0.4">
      <c r="G307" s="1">
        <v>30529</v>
      </c>
      <c r="H307">
        <f t="shared" si="29"/>
        <v>8</v>
      </c>
      <c r="I307" s="28">
        <v>342.38</v>
      </c>
      <c r="J307" s="28">
        <f t="shared" si="32"/>
        <v>-1.6000000000000227</v>
      </c>
      <c r="K307">
        <f t="shared" si="30"/>
        <v>-1.4099263875716923</v>
      </c>
      <c r="L307" s="28">
        <f t="shared" si="31"/>
        <v>343.78992638757171</v>
      </c>
      <c r="M307">
        <f t="shared" si="34"/>
        <v>343.05749999999995</v>
      </c>
      <c r="N307" s="28">
        <f t="shared" si="33"/>
        <v>0.73242638757176337</v>
      </c>
    </row>
    <row r="308" spans="7:14" x14ac:dyDescent="0.4">
      <c r="G308" s="1">
        <v>30560</v>
      </c>
      <c r="H308">
        <f t="shared" si="29"/>
        <v>9</v>
      </c>
      <c r="I308" s="28">
        <v>339.87</v>
      </c>
      <c r="J308" s="28">
        <f t="shared" si="32"/>
        <v>-2.5099999999999909</v>
      </c>
      <c r="K308">
        <f t="shared" si="30"/>
        <v>-3.204325294675523</v>
      </c>
      <c r="L308" s="28">
        <f t="shared" si="31"/>
        <v>343.07432529467553</v>
      </c>
      <c r="M308">
        <f t="shared" si="34"/>
        <v>343.23083333333335</v>
      </c>
      <c r="N308" s="28">
        <f t="shared" si="33"/>
        <v>-0.15650803865781882</v>
      </c>
    </row>
    <row r="309" spans="7:14" x14ac:dyDescent="0.4">
      <c r="G309" s="1">
        <v>30590</v>
      </c>
      <c r="H309">
        <f t="shared" si="29"/>
        <v>10</v>
      </c>
      <c r="I309" s="28">
        <v>339.99</v>
      </c>
      <c r="J309" s="28">
        <f t="shared" si="32"/>
        <v>0.12000000000000455</v>
      </c>
      <c r="K309">
        <f t="shared" si="30"/>
        <v>-3.3270848575170473</v>
      </c>
      <c r="L309" s="28">
        <f t="shared" si="31"/>
        <v>343.31708485751705</v>
      </c>
      <c r="M309">
        <f t="shared" si="34"/>
        <v>343.40958333333333</v>
      </c>
      <c r="N309" s="28">
        <f t="shared" si="33"/>
        <v>-9.2498475816285008E-2</v>
      </c>
    </row>
    <row r="310" spans="7:14" x14ac:dyDescent="0.4">
      <c r="G310" s="1">
        <v>30621</v>
      </c>
      <c r="H310">
        <f t="shared" si="29"/>
        <v>11</v>
      </c>
      <c r="I310" s="28">
        <v>341.15</v>
      </c>
      <c r="J310" s="28">
        <f t="shared" si="32"/>
        <v>1.1599999999999682</v>
      </c>
      <c r="K310">
        <f t="shared" si="30"/>
        <v>-2.0516476990471002</v>
      </c>
      <c r="L310" s="28">
        <f t="shared" si="31"/>
        <v>343.2016476990471</v>
      </c>
      <c r="M310">
        <f t="shared" si="34"/>
        <v>343.56708333333336</v>
      </c>
      <c r="N310" s="28">
        <f t="shared" si="33"/>
        <v>-0.36543563428625703</v>
      </c>
    </row>
    <row r="311" spans="7:14" x14ac:dyDescent="0.4">
      <c r="G311" s="1">
        <v>30651</v>
      </c>
      <c r="H311">
        <f t="shared" si="29"/>
        <v>12</v>
      </c>
      <c r="I311" s="28">
        <v>342.99</v>
      </c>
      <c r="J311" s="28">
        <f t="shared" si="32"/>
        <v>1.8400000000000318</v>
      </c>
      <c r="K311">
        <f t="shared" si="30"/>
        <v>-0.88768595041322573</v>
      </c>
      <c r="L311" s="28">
        <f t="shared" si="31"/>
        <v>343.87768595041325</v>
      </c>
      <c r="M311">
        <f t="shared" si="34"/>
        <v>343.69833333333332</v>
      </c>
      <c r="N311" s="28">
        <f t="shared" si="33"/>
        <v>0.17935261707992822</v>
      </c>
    </row>
    <row r="312" spans="7:14" x14ac:dyDescent="0.4">
      <c r="G312" s="1">
        <v>30682</v>
      </c>
      <c r="H312">
        <f t="shared" si="29"/>
        <v>1</v>
      </c>
      <c r="I312" s="28">
        <v>343.7</v>
      </c>
      <c r="J312" s="28">
        <f t="shared" si="32"/>
        <v>0.70999999999997954</v>
      </c>
      <c r="K312">
        <f t="shared" si="30"/>
        <v>5.8898749040328657E-2</v>
      </c>
      <c r="L312" s="28">
        <f t="shared" si="31"/>
        <v>343.64110125095965</v>
      </c>
      <c r="M312">
        <f t="shared" si="34"/>
        <v>343.81874999999997</v>
      </c>
      <c r="N312" s="28">
        <f t="shared" si="33"/>
        <v>-0.17764874904031558</v>
      </c>
    </row>
    <row r="313" spans="7:14" x14ac:dyDescent="0.4">
      <c r="G313" s="1">
        <v>30713</v>
      </c>
      <c r="H313">
        <f t="shared" si="29"/>
        <v>2</v>
      </c>
      <c r="I313" s="28">
        <v>344.5</v>
      </c>
      <c r="J313" s="28">
        <f t="shared" si="32"/>
        <v>0.80000000000001137</v>
      </c>
      <c r="K313">
        <f t="shared" si="30"/>
        <v>0.6941584247843573</v>
      </c>
      <c r="L313" s="28">
        <f t="shared" si="31"/>
        <v>343.80584157521565</v>
      </c>
      <c r="M313">
        <f t="shared" si="34"/>
        <v>343.91499999999996</v>
      </c>
      <c r="N313" s="28">
        <f t="shared" si="33"/>
        <v>-0.10915842478431159</v>
      </c>
    </row>
    <row r="314" spans="7:14" x14ac:dyDescent="0.4">
      <c r="G314" s="1">
        <v>30742</v>
      </c>
      <c r="H314">
        <f t="shared" si="29"/>
        <v>3</v>
      </c>
      <c r="I314" s="28">
        <v>345.28</v>
      </c>
      <c r="J314" s="28">
        <f t="shared" si="32"/>
        <v>0.77999999999997272</v>
      </c>
      <c r="K314">
        <f t="shared" si="30"/>
        <v>1.3722957593821961</v>
      </c>
      <c r="L314" s="28">
        <f t="shared" si="31"/>
        <v>343.90770424061776</v>
      </c>
      <c r="M314">
        <f t="shared" si="34"/>
        <v>344.0025</v>
      </c>
      <c r="N314" s="28">
        <f t="shared" si="33"/>
        <v>-9.4795759382236611E-2</v>
      </c>
    </row>
    <row r="315" spans="7:14" x14ac:dyDescent="0.4">
      <c r="G315" s="1">
        <v>30773</v>
      </c>
      <c r="H315">
        <f t="shared" si="29"/>
        <v>4</v>
      </c>
      <c r="I315" s="28">
        <v>347.05</v>
      </c>
      <c r="J315" s="28">
        <f t="shared" si="32"/>
        <v>1.7700000000000387</v>
      </c>
      <c r="K315">
        <f t="shared" si="30"/>
        <v>2.5880472384049131</v>
      </c>
      <c r="L315" s="28">
        <f t="shared" si="31"/>
        <v>344.46195276159511</v>
      </c>
      <c r="M315">
        <f t="shared" si="34"/>
        <v>344.10916666666668</v>
      </c>
      <c r="N315" s="28">
        <f t="shared" si="33"/>
        <v>0.35278609492843316</v>
      </c>
    </row>
    <row r="316" spans="7:14" x14ac:dyDescent="0.4">
      <c r="G316" s="1">
        <v>30803</v>
      </c>
      <c r="H316">
        <f t="shared" si="29"/>
        <v>5</v>
      </c>
      <c r="I316" s="28">
        <v>347.43</v>
      </c>
      <c r="J316" s="28">
        <f t="shared" si="32"/>
        <v>0.37999999999999545</v>
      </c>
      <c r="K316">
        <f t="shared" si="30"/>
        <v>3.0809752517725739</v>
      </c>
      <c r="L316" s="28">
        <f t="shared" si="31"/>
        <v>344.34902474822741</v>
      </c>
      <c r="M316">
        <f t="shared" si="34"/>
        <v>344.24208333333331</v>
      </c>
      <c r="N316" s="28">
        <f t="shared" si="33"/>
        <v>0.10694141489409503</v>
      </c>
    </row>
    <row r="317" spans="7:14" x14ac:dyDescent="0.4">
      <c r="G317" s="1">
        <v>30834</v>
      </c>
      <c r="H317">
        <f t="shared" si="29"/>
        <v>6</v>
      </c>
      <c r="I317" s="28">
        <v>346.8</v>
      </c>
      <c r="J317" s="28">
        <f t="shared" si="32"/>
        <v>-0.62999999999999545</v>
      </c>
      <c r="K317">
        <f t="shared" si="30"/>
        <v>2.3583796233572674</v>
      </c>
      <c r="L317" s="28">
        <f t="shared" si="31"/>
        <v>344.44162037664273</v>
      </c>
      <c r="M317">
        <f t="shared" si="34"/>
        <v>344.36958333333331</v>
      </c>
      <c r="N317" s="28">
        <f t="shared" si="33"/>
        <v>7.2037043309421733E-2</v>
      </c>
    </row>
    <row r="318" spans="7:14" x14ac:dyDescent="0.4">
      <c r="G318" s="1">
        <v>30864</v>
      </c>
      <c r="H318">
        <f t="shared" si="29"/>
        <v>7</v>
      </c>
      <c r="I318" s="28">
        <v>345.39</v>
      </c>
      <c r="J318" s="28">
        <f t="shared" si="32"/>
        <v>-1.410000000000025</v>
      </c>
      <c r="K318">
        <f t="shared" si="30"/>
        <v>0.72791514248295042</v>
      </c>
      <c r="L318" s="28">
        <f t="shared" si="31"/>
        <v>344.66208485751702</v>
      </c>
      <c r="M318">
        <f t="shared" si="34"/>
        <v>344.47375000000005</v>
      </c>
      <c r="N318" s="28">
        <f t="shared" si="33"/>
        <v>0.18833485751696344</v>
      </c>
    </row>
    <row r="319" spans="7:14" x14ac:dyDescent="0.4">
      <c r="G319" s="1">
        <v>30895</v>
      </c>
      <c r="H319">
        <f t="shared" si="29"/>
        <v>8</v>
      </c>
      <c r="I319" s="28">
        <v>343.28</v>
      </c>
      <c r="J319" s="28">
        <f t="shared" si="32"/>
        <v>-2.1100000000000136</v>
      </c>
      <c r="K319">
        <f t="shared" si="30"/>
        <v>-1.4099263875716923</v>
      </c>
      <c r="L319" s="28">
        <f t="shared" si="31"/>
        <v>344.68992638757169</v>
      </c>
      <c r="M319">
        <f t="shared" si="34"/>
        <v>344.58875000000006</v>
      </c>
      <c r="N319" s="28">
        <f t="shared" si="33"/>
        <v>0.10117638757162695</v>
      </c>
    </row>
    <row r="320" spans="7:14" x14ac:dyDescent="0.4">
      <c r="G320" s="1">
        <v>30926</v>
      </c>
      <c r="H320">
        <f t="shared" si="29"/>
        <v>9</v>
      </c>
      <c r="I320" s="28">
        <v>341.07</v>
      </c>
      <c r="J320" s="28">
        <f t="shared" si="32"/>
        <v>-2.2099999999999795</v>
      </c>
      <c r="K320">
        <f t="shared" si="30"/>
        <v>-3.204325294675523</v>
      </c>
      <c r="L320" s="28">
        <f t="shared" si="31"/>
        <v>344.27432529467552</v>
      </c>
      <c r="M320">
        <f t="shared" si="34"/>
        <v>344.74</v>
      </c>
      <c r="N320" s="28">
        <f t="shared" si="33"/>
        <v>-0.46567470532448851</v>
      </c>
    </row>
    <row r="321" spans="7:14" x14ac:dyDescent="0.4">
      <c r="G321" s="1">
        <v>30956</v>
      </c>
      <c r="H321">
        <f t="shared" si="29"/>
        <v>10</v>
      </c>
      <c r="I321" s="28">
        <v>341.35</v>
      </c>
      <c r="J321" s="28">
        <f t="shared" si="32"/>
        <v>0.28000000000002956</v>
      </c>
      <c r="K321">
        <f t="shared" si="30"/>
        <v>-3.3270848575170473</v>
      </c>
      <c r="L321" s="28">
        <f t="shared" si="31"/>
        <v>344.67708485751706</v>
      </c>
      <c r="M321">
        <f t="shared" si="34"/>
        <v>344.88333333333338</v>
      </c>
      <c r="N321" s="28">
        <f t="shared" si="33"/>
        <v>-0.20624847581632366</v>
      </c>
    </row>
    <row r="322" spans="7:14" x14ac:dyDescent="0.4">
      <c r="G322" s="1">
        <v>30987</v>
      </c>
      <c r="H322">
        <f t="shared" si="29"/>
        <v>11</v>
      </c>
      <c r="I322" s="28">
        <v>342.98</v>
      </c>
      <c r="J322" s="28">
        <f t="shared" si="32"/>
        <v>1.6299999999999955</v>
      </c>
      <c r="K322">
        <f t="shared" si="30"/>
        <v>-2.0516476990471002</v>
      </c>
      <c r="L322" s="28">
        <f t="shared" si="31"/>
        <v>345.03164769904714</v>
      </c>
      <c r="M322">
        <f t="shared" si="34"/>
        <v>345</v>
      </c>
      <c r="N322" s="28">
        <f t="shared" si="33"/>
        <v>3.1647699047141487E-2</v>
      </c>
    </row>
    <row r="323" spans="7:14" x14ac:dyDescent="0.4">
      <c r="G323" s="1">
        <v>31017</v>
      </c>
      <c r="H323">
        <f t="shared" ref="H323:H386" si="35">MONTH(G323)</f>
        <v>12</v>
      </c>
      <c r="I323" s="28">
        <v>344.22</v>
      </c>
      <c r="J323" s="28">
        <f t="shared" si="32"/>
        <v>1.2400000000000091</v>
      </c>
      <c r="K323">
        <f t="shared" ref="K323:K386" si="36">INDEX($E$3:$E$14,H323)</f>
        <v>-0.88768595041322573</v>
      </c>
      <c r="L323" s="28">
        <f t="shared" ref="L323:L386" si="37">I323-K323</f>
        <v>345.10768595041327</v>
      </c>
      <c r="M323">
        <f t="shared" si="34"/>
        <v>345.1229166666667</v>
      </c>
      <c r="N323" s="28">
        <f t="shared" si="33"/>
        <v>-1.523071625342709E-2</v>
      </c>
    </row>
    <row r="324" spans="7:14" x14ac:dyDescent="0.4">
      <c r="G324" s="1">
        <v>31048</v>
      </c>
      <c r="H324">
        <f t="shared" si="35"/>
        <v>1</v>
      </c>
      <c r="I324" s="28">
        <v>344.97</v>
      </c>
      <c r="J324" s="28">
        <f t="shared" ref="J324:J387" si="38">I324-I323</f>
        <v>0.75</v>
      </c>
      <c r="K324">
        <f t="shared" si="36"/>
        <v>5.8898749040328657E-2</v>
      </c>
      <c r="L324" s="28">
        <f t="shared" si="37"/>
        <v>344.91110125095969</v>
      </c>
      <c r="M324">
        <f t="shared" si="34"/>
        <v>345.23208333333332</v>
      </c>
      <c r="N324" s="28">
        <f t="shared" si="33"/>
        <v>-0.32098208237363224</v>
      </c>
    </row>
    <row r="325" spans="7:14" x14ac:dyDescent="0.4">
      <c r="G325" s="1">
        <v>31079</v>
      </c>
      <c r="H325">
        <f t="shared" si="35"/>
        <v>2</v>
      </c>
      <c r="I325" s="28">
        <v>345.99</v>
      </c>
      <c r="J325" s="28">
        <f t="shared" si="38"/>
        <v>1.0199999999999818</v>
      </c>
      <c r="K325">
        <f t="shared" si="36"/>
        <v>0.6941584247843573</v>
      </c>
      <c r="L325" s="28">
        <f t="shared" si="37"/>
        <v>345.29584157521566</v>
      </c>
      <c r="M325">
        <f t="shared" si="34"/>
        <v>345.33874999999995</v>
      </c>
      <c r="N325" s="28">
        <f t="shared" si="33"/>
        <v>-4.2908424784286581E-2</v>
      </c>
    </row>
    <row r="326" spans="7:14" x14ac:dyDescent="0.4">
      <c r="G326" s="1">
        <v>31107</v>
      </c>
      <c r="H326">
        <f t="shared" si="35"/>
        <v>3</v>
      </c>
      <c r="I326" s="28">
        <v>347.42</v>
      </c>
      <c r="J326" s="28">
        <f t="shared" si="38"/>
        <v>1.4300000000000068</v>
      </c>
      <c r="K326">
        <f t="shared" si="36"/>
        <v>1.3722957593821961</v>
      </c>
      <c r="L326" s="28">
        <f t="shared" si="37"/>
        <v>346.0477042406178</v>
      </c>
      <c r="M326">
        <f t="shared" si="34"/>
        <v>345.48083333333335</v>
      </c>
      <c r="N326" s="28">
        <f t="shared" si="33"/>
        <v>0.56687090728445355</v>
      </c>
    </row>
    <row r="327" spans="7:14" x14ac:dyDescent="0.4">
      <c r="G327" s="1">
        <v>31138</v>
      </c>
      <c r="H327">
        <f t="shared" si="35"/>
        <v>4</v>
      </c>
      <c r="I327" s="28">
        <v>348.35</v>
      </c>
      <c r="J327" s="28">
        <f t="shared" si="38"/>
        <v>0.93000000000000682</v>
      </c>
      <c r="K327">
        <f t="shared" si="36"/>
        <v>2.5880472384049131</v>
      </c>
      <c r="L327" s="28">
        <f t="shared" si="37"/>
        <v>345.76195276159513</v>
      </c>
      <c r="M327">
        <f t="shared" si="34"/>
        <v>345.62541666666669</v>
      </c>
      <c r="N327" s="28">
        <f t="shared" si="33"/>
        <v>0.13653609492843088</v>
      </c>
    </row>
    <row r="328" spans="7:14" x14ac:dyDescent="0.4">
      <c r="G328" s="1">
        <v>31168</v>
      </c>
      <c r="H328">
        <f t="shared" si="35"/>
        <v>5</v>
      </c>
      <c r="I328" s="28">
        <v>348.93</v>
      </c>
      <c r="J328" s="28">
        <f t="shared" si="38"/>
        <v>0.57999999999998408</v>
      </c>
      <c r="K328">
        <f t="shared" si="36"/>
        <v>3.0809752517725739</v>
      </c>
      <c r="L328" s="28">
        <f t="shared" si="37"/>
        <v>345.84902474822741</v>
      </c>
      <c r="M328">
        <f t="shared" si="34"/>
        <v>345.7383333333334</v>
      </c>
      <c r="N328" s="28">
        <f t="shared" si="33"/>
        <v>0.11069141489400636</v>
      </c>
    </row>
    <row r="329" spans="7:14" x14ac:dyDescent="0.4">
      <c r="G329" s="1">
        <v>31199</v>
      </c>
      <c r="H329">
        <f t="shared" si="35"/>
        <v>6</v>
      </c>
      <c r="I329" s="28">
        <v>348.25</v>
      </c>
      <c r="J329" s="28">
        <f t="shared" si="38"/>
        <v>-0.68000000000000682</v>
      </c>
      <c r="K329">
        <f t="shared" si="36"/>
        <v>2.3583796233572674</v>
      </c>
      <c r="L329" s="28">
        <f t="shared" si="37"/>
        <v>345.89162037664272</v>
      </c>
      <c r="M329">
        <f t="shared" si="34"/>
        <v>345.84666666666675</v>
      </c>
      <c r="N329" s="28">
        <f t="shared" ref="N329:N392" si="39">L329-M329</f>
        <v>4.4953709975970924E-2</v>
      </c>
    </row>
    <row r="330" spans="7:14" x14ac:dyDescent="0.4">
      <c r="G330" s="1">
        <v>31229</v>
      </c>
      <c r="H330">
        <f t="shared" si="35"/>
        <v>7</v>
      </c>
      <c r="I330" s="28">
        <v>346.56</v>
      </c>
      <c r="J330" s="28">
        <f t="shared" si="38"/>
        <v>-1.6899999999999977</v>
      </c>
      <c r="K330">
        <f t="shared" si="36"/>
        <v>0.72791514248295042</v>
      </c>
      <c r="L330" s="28">
        <f t="shared" si="37"/>
        <v>345.83208485751703</v>
      </c>
      <c r="M330">
        <f t="shared" si="34"/>
        <v>345.95791666666673</v>
      </c>
      <c r="N330" s="28">
        <f t="shared" si="39"/>
        <v>-0.12583180914970171</v>
      </c>
    </row>
    <row r="331" spans="7:14" x14ac:dyDescent="0.4">
      <c r="G331" s="1">
        <v>31260</v>
      </c>
      <c r="H331">
        <f t="shared" si="35"/>
        <v>8</v>
      </c>
      <c r="I331" s="28">
        <v>344.67</v>
      </c>
      <c r="J331" s="28">
        <f t="shared" si="38"/>
        <v>-1.8899999999999864</v>
      </c>
      <c r="K331">
        <f t="shared" si="36"/>
        <v>-1.4099263875716923</v>
      </c>
      <c r="L331" s="28">
        <f t="shared" si="37"/>
        <v>346.07992638757173</v>
      </c>
      <c r="M331">
        <f t="shared" si="34"/>
        <v>346.05333333333334</v>
      </c>
      <c r="N331" s="28">
        <f t="shared" si="39"/>
        <v>2.6593054238389868E-2</v>
      </c>
    </row>
    <row r="332" spans="7:14" x14ac:dyDescent="0.4">
      <c r="G332" s="1">
        <v>31291</v>
      </c>
      <c r="H332">
        <f t="shared" si="35"/>
        <v>9</v>
      </c>
      <c r="I332" s="28">
        <v>343.09</v>
      </c>
      <c r="J332" s="28">
        <f t="shared" si="38"/>
        <v>-1.5800000000000409</v>
      </c>
      <c r="K332">
        <f t="shared" si="36"/>
        <v>-3.204325294675523</v>
      </c>
      <c r="L332" s="28">
        <f t="shared" si="37"/>
        <v>346.2943252946755</v>
      </c>
      <c r="M332">
        <f t="shared" si="34"/>
        <v>346.11124999999998</v>
      </c>
      <c r="N332" s="28">
        <f t="shared" si="39"/>
        <v>0.18307529467551831</v>
      </c>
    </row>
    <row r="333" spans="7:14" x14ac:dyDescent="0.4">
      <c r="G333" s="1">
        <v>31321</v>
      </c>
      <c r="H333">
        <f t="shared" si="35"/>
        <v>10</v>
      </c>
      <c r="I333" s="28">
        <v>342.8</v>
      </c>
      <c r="J333" s="28">
        <f t="shared" si="38"/>
        <v>-0.28999999999996362</v>
      </c>
      <c r="K333">
        <f t="shared" si="36"/>
        <v>-3.3270848575170473</v>
      </c>
      <c r="L333" s="28">
        <f t="shared" si="37"/>
        <v>346.12708485751705</v>
      </c>
      <c r="M333">
        <f t="shared" si="34"/>
        <v>346.17916666666662</v>
      </c>
      <c r="N333" s="28">
        <f t="shared" si="39"/>
        <v>-5.2081809149569835E-2</v>
      </c>
    </row>
    <row r="334" spans="7:14" x14ac:dyDescent="0.4">
      <c r="G334" s="1">
        <v>31352</v>
      </c>
      <c r="H334">
        <f t="shared" si="35"/>
        <v>11</v>
      </c>
      <c r="I334" s="28">
        <v>344.24</v>
      </c>
      <c r="J334" s="28">
        <f t="shared" si="38"/>
        <v>1.4399999999999977</v>
      </c>
      <c r="K334">
        <f t="shared" si="36"/>
        <v>-2.0516476990471002</v>
      </c>
      <c r="L334" s="28">
        <f t="shared" si="37"/>
        <v>346.29164769904713</v>
      </c>
      <c r="M334">
        <f t="shared" si="34"/>
        <v>346.28291666666661</v>
      </c>
      <c r="N334" s="28">
        <f t="shared" si="39"/>
        <v>8.7310323805240841E-3</v>
      </c>
    </row>
    <row r="335" spans="7:14" x14ac:dyDescent="0.4">
      <c r="G335" s="1">
        <v>31382</v>
      </c>
      <c r="H335">
        <f t="shared" si="35"/>
        <v>12</v>
      </c>
      <c r="I335" s="28">
        <v>345.56</v>
      </c>
      <c r="J335" s="28">
        <f t="shared" si="38"/>
        <v>1.3199999999999932</v>
      </c>
      <c r="K335">
        <f t="shared" si="36"/>
        <v>-0.88768595041322573</v>
      </c>
      <c r="L335" s="28">
        <f t="shared" si="37"/>
        <v>346.44768595041324</v>
      </c>
      <c r="M335">
        <f t="shared" ref="M335:M398" si="40">(SUM(L330:L340)+(L329+L341)/2)/12</f>
        <v>346.39083333333332</v>
      </c>
      <c r="N335" s="28">
        <f t="shared" si="39"/>
        <v>5.6852617079925949E-2</v>
      </c>
    </row>
    <row r="336" spans="7:14" x14ac:dyDescent="0.4">
      <c r="G336" s="1">
        <v>31413</v>
      </c>
      <c r="H336">
        <f t="shared" si="35"/>
        <v>1</v>
      </c>
      <c r="I336" s="28">
        <v>346.3</v>
      </c>
      <c r="J336" s="28">
        <f t="shared" si="38"/>
        <v>0.74000000000000909</v>
      </c>
      <c r="K336">
        <f t="shared" si="36"/>
        <v>5.8898749040328657E-2</v>
      </c>
      <c r="L336" s="28">
        <f t="shared" si="37"/>
        <v>346.24110125095967</v>
      </c>
      <c r="M336">
        <f t="shared" si="40"/>
        <v>346.5025</v>
      </c>
      <c r="N336" s="28">
        <f t="shared" si="39"/>
        <v>-0.26139874904032467</v>
      </c>
    </row>
    <row r="337" spans="7:14" x14ac:dyDescent="0.4">
      <c r="G337" s="1">
        <v>31444</v>
      </c>
      <c r="H337">
        <f t="shared" si="35"/>
        <v>2</v>
      </c>
      <c r="I337" s="28">
        <v>346.95</v>
      </c>
      <c r="J337" s="28">
        <f t="shared" si="38"/>
        <v>0.64999999999997726</v>
      </c>
      <c r="K337">
        <f t="shared" si="36"/>
        <v>0.6941584247843573</v>
      </c>
      <c r="L337" s="28">
        <f t="shared" si="37"/>
        <v>346.25584157521564</v>
      </c>
      <c r="M337">
        <f t="shared" si="40"/>
        <v>346.61124999999993</v>
      </c>
      <c r="N337" s="28">
        <f t="shared" si="39"/>
        <v>-0.35540842478428658</v>
      </c>
    </row>
    <row r="338" spans="7:14" x14ac:dyDescent="0.4">
      <c r="G338" s="1">
        <v>31472</v>
      </c>
      <c r="H338">
        <f t="shared" si="35"/>
        <v>3</v>
      </c>
      <c r="I338" s="28">
        <v>347.85</v>
      </c>
      <c r="J338" s="28">
        <f t="shared" si="38"/>
        <v>0.90000000000003411</v>
      </c>
      <c r="K338">
        <f t="shared" si="36"/>
        <v>1.3722957593821961</v>
      </c>
      <c r="L338" s="28">
        <f t="shared" si="37"/>
        <v>346.47770424061781</v>
      </c>
      <c r="M338">
        <f t="shared" si="40"/>
        <v>346.73583333333323</v>
      </c>
      <c r="N338" s="28">
        <f t="shared" si="39"/>
        <v>-0.25812909271542139</v>
      </c>
    </row>
    <row r="339" spans="7:14" x14ac:dyDescent="0.4">
      <c r="G339" s="1">
        <v>31503</v>
      </c>
      <c r="H339">
        <f t="shared" si="35"/>
        <v>4</v>
      </c>
      <c r="I339" s="28">
        <v>349.55</v>
      </c>
      <c r="J339" s="28">
        <f t="shared" si="38"/>
        <v>1.6999999999999886</v>
      </c>
      <c r="K339">
        <f t="shared" si="36"/>
        <v>2.5880472384049131</v>
      </c>
      <c r="L339" s="28">
        <f t="shared" si="37"/>
        <v>346.96195276159511</v>
      </c>
      <c r="M339">
        <f t="shared" si="40"/>
        <v>346.86624999999998</v>
      </c>
      <c r="N339" s="28">
        <f t="shared" si="39"/>
        <v>9.5702761595134689E-2</v>
      </c>
    </row>
    <row r="340" spans="7:14" x14ac:dyDescent="0.4">
      <c r="G340" s="1">
        <v>31533</v>
      </c>
      <c r="H340">
        <f t="shared" si="35"/>
        <v>5</v>
      </c>
      <c r="I340" s="28">
        <v>350.22</v>
      </c>
      <c r="J340" s="28">
        <f t="shared" si="38"/>
        <v>0.67000000000001592</v>
      </c>
      <c r="K340">
        <f t="shared" si="36"/>
        <v>3.0809752517725739</v>
      </c>
      <c r="L340" s="28">
        <f t="shared" si="37"/>
        <v>347.13902474822743</v>
      </c>
      <c r="M340">
        <f t="shared" si="40"/>
        <v>346.98250000000002</v>
      </c>
      <c r="N340" s="28">
        <f t="shared" si="39"/>
        <v>0.15652474822741169</v>
      </c>
    </row>
    <row r="341" spans="7:14" x14ac:dyDescent="0.4">
      <c r="G341" s="1">
        <v>31564</v>
      </c>
      <c r="H341">
        <f t="shared" si="35"/>
        <v>6</v>
      </c>
      <c r="I341" s="28">
        <v>349.55</v>
      </c>
      <c r="J341" s="28">
        <f t="shared" si="38"/>
        <v>-0.67000000000001592</v>
      </c>
      <c r="K341">
        <f t="shared" si="36"/>
        <v>2.3583796233572674</v>
      </c>
      <c r="L341" s="28">
        <f t="shared" si="37"/>
        <v>347.19162037664273</v>
      </c>
      <c r="M341">
        <f t="shared" si="40"/>
        <v>347.09750000000003</v>
      </c>
      <c r="N341" s="28">
        <f t="shared" si="39"/>
        <v>9.412037664270656E-2</v>
      </c>
    </row>
    <row r="342" spans="7:14" x14ac:dyDescent="0.4">
      <c r="G342" s="1">
        <v>31594</v>
      </c>
      <c r="H342">
        <f t="shared" si="35"/>
        <v>7</v>
      </c>
      <c r="I342" s="28">
        <v>347.94</v>
      </c>
      <c r="J342" s="28">
        <f t="shared" si="38"/>
        <v>-1.6100000000000136</v>
      </c>
      <c r="K342">
        <f t="shared" si="36"/>
        <v>0.72791514248295042</v>
      </c>
      <c r="L342" s="28">
        <f t="shared" si="37"/>
        <v>347.21208485751703</v>
      </c>
      <c r="M342">
        <f t="shared" si="40"/>
        <v>347.22499999999997</v>
      </c>
      <c r="N342" s="28">
        <f t="shared" si="39"/>
        <v>-1.2915142482938791E-2</v>
      </c>
    </row>
    <row r="343" spans="7:14" x14ac:dyDescent="0.4">
      <c r="G343" s="1">
        <v>31625</v>
      </c>
      <c r="H343">
        <f t="shared" si="35"/>
        <v>8</v>
      </c>
      <c r="I343" s="28">
        <v>345.9</v>
      </c>
      <c r="J343" s="28">
        <f t="shared" si="38"/>
        <v>-2.0400000000000205</v>
      </c>
      <c r="K343">
        <f t="shared" si="36"/>
        <v>-1.4099263875716923</v>
      </c>
      <c r="L343" s="28">
        <f t="shared" si="37"/>
        <v>347.30992638757169</v>
      </c>
      <c r="M343">
        <f t="shared" si="40"/>
        <v>347.36041666666665</v>
      </c>
      <c r="N343" s="28">
        <f t="shared" si="39"/>
        <v>-5.0490279094958623E-2</v>
      </c>
    </row>
    <row r="344" spans="7:14" x14ac:dyDescent="0.4">
      <c r="G344" s="1">
        <v>31656</v>
      </c>
      <c r="H344">
        <f t="shared" si="35"/>
        <v>9</v>
      </c>
      <c r="I344" s="28">
        <v>344.85</v>
      </c>
      <c r="J344" s="28">
        <f t="shared" si="38"/>
        <v>-1.0499999999999545</v>
      </c>
      <c r="K344">
        <f t="shared" si="36"/>
        <v>-3.204325294675523</v>
      </c>
      <c r="L344" s="28">
        <f t="shared" si="37"/>
        <v>348.05432529467555</v>
      </c>
      <c r="M344">
        <f t="shared" si="40"/>
        <v>347.48958333333331</v>
      </c>
      <c r="N344" s="28">
        <f t="shared" si="39"/>
        <v>0.56474196134223575</v>
      </c>
    </row>
    <row r="345" spans="7:14" x14ac:dyDescent="0.4">
      <c r="G345" s="1">
        <v>31686</v>
      </c>
      <c r="H345">
        <f t="shared" si="35"/>
        <v>10</v>
      </c>
      <c r="I345" s="28">
        <v>344.17</v>
      </c>
      <c r="J345" s="28">
        <f t="shared" si="38"/>
        <v>-0.68000000000000682</v>
      </c>
      <c r="K345">
        <f t="shared" si="36"/>
        <v>-3.3270848575170473</v>
      </c>
      <c r="L345" s="28">
        <f t="shared" si="37"/>
        <v>347.49708485751705</v>
      </c>
      <c r="M345">
        <f t="shared" si="40"/>
        <v>347.61458333333331</v>
      </c>
      <c r="N345" s="28">
        <f t="shared" si="39"/>
        <v>-0.11749847581626227</v>
      </c>
    </row>
    <row r="346" spans="7:14" x14ac:dyDescent="0.4">
      <c r="G346" s="1">
        <v>31717</v>
      </c>
      <c r="H346">
        <f t="shared" si="35"/>
        <v>11</v>
      </c>
      <c r="I346" s="28">
        <v>345.66</v>
      </c>
      <c r="J346" s="28">
        <f t="shared" si="38"/>
        <v>1.4900000000000091</v>
      </c>
      <c r="K346">
        <f t="shared" si="36"/>
        <v>-2.0516476990471002</v>
      </c>
      <c r="L346" s="28">
        <f t="shared" si="37"/>
        <v>347.71164769904715</v>
      </c>
      <c r="M346">
        <f t="shared" si="40"/>
        <v>347.74208333333331</v>
      </c>
      <c r="N346" s="28">
        <f t="shared" si="39"/>
        <v>-3.0435634286163804E-2</v>
      </c>
    </row>
    <row r="347" spans="7:14" x14ac:dyDescent="0.4">
      <c r="G347" s="1">
        <v>31747</v>
      </c>
      <c r="H347">
        <f t="shared" si="35"/>
        <v>12</v>
      </c>
      <c r="I347" s="28">
        <v>346.9</v>
      </c>
      <c r="J347" s="28">
        <f t="shared" si="38"/>
        <v>1.2399999999999523</v>
      </c>
      <c r="K347">
        <f t="shared" si="36"/>
        <v>-0.88768595041322573</v>
      </c>
      <c r="L347" s="28">
        <f t="shared" si="37"/>
        <v>347.78768595041322</v>
      </c>
      <c r="M347">
        <f t="shared" si="40"/>
        <v>347.88125000000008</v>
      </c>
      <c r="N347" s="28">
        <f t="shared" si="39"/>
        <v>-9.356404958685971E-2</v>
      </c>
    </row>
    <row r="348" spans="7:14" x14ac:dyDescent="0.4">
      <c r="G348" s="1">
        <v>31778</v>
      </c>
      <c r="H348">
        <f t="shared" si="35"/>
        <v>1</v>
      </c>
      <c r="I348" s="28">
        <v>348.02</v>
      </c>
      <c r="J348" s="28">
        <f t="shared" si="38"/>
        <v>1.1200000000000045</v>
      </c>
      <c r="K348">
        <f t="shared" si="36"/>
        <v>5.8898749040328657E-2</v>
      </c>
      <c r="L348" s="28">
        <f t="shared" si="37"/>
        <v>347.96110125095964</v>
      </c>
      <c r="M348">
        <f t="shared" si="40"/>
        <v>348.01791666666662</v>
      </c>
      <c r="N348" s="28">
        <f t="shared" si="39"/>
        <v>-5.6815415706978456E-2</v>
      </c>
    </row>
    <row r="349" spans="7:14" x14ac:dyDescent="0.4">
      <c r="G349" s="1">
        <v>31809</v>
      </c>
      <c r="H349">
        <f t="shared" si="35"/>
        <v>2</v>
      </c>
      <c r="I349" s="28">
        <v>348.48</v>
      </c>
      <c r="J349" s="28">
        <f t="shared" si="38"/>
        <v>0.46000000000003638</v>
      </c>
      <c r="K349">
        <f t="shared" si="36"/>
        <v>0.6941584247843573</v>
      </c>
      <c r="L349" s="28">
        <f t="shared" si="37"/>
        <v>347.78584157521567</v>
      </c>
      <c r="M349">
        <f t="shared" si="40"/>
        <v>348.17500000000001</v>
      </c>
      <c r="N349" s="28">
        <f t="shared" si="39"/>
        <v>-0.38915842478434115</v>
      </c>
    </row>
    <row r="350" spans="7:14" x14ac:dyDescent="0.4">
      <c r="G350" s="1">
        <v>31837</v>
      </c>
      <c r="H350">
        <f t="shared" si="35"/>
        <v>3</v>
      </c>
      <c r="I350" s="28">
        <v>349.42</v>
      </c>
      <c r="J350" s="28">
        <f t="shared" si="38"/>
        <v>0.93999999999999773</v>
      </c>
      <c r="K350">
        <f t="shared" si="36"/>
        <v>1.3722957593821961</v>
      </c>
      <c r="L350" s="28">
        <f t="shared" si="37"/>
        <v>348.0477042406178</v>
      </c>
      <c r="M350">
        <f t="shared" si="40"/>
        <v>348.33333333333331</v>
      </c>
      <c r="N350" s="28">
        <f t="shared" si="39"/>
        <v>-0.28562909271551007</v>
      </c>
    </row>
    <row r="351" spans="7:14" x14ac:dyDescent="0.4">
      <c r="G351" s="1">
        <v>31868</v>
      </c>
      <c r="H351">
        <f t="shared" si="35"/>
        <v>4</v>
      </c>
      <c r="I351" s="28">
        <v>350.98</v>
      </c>
      <c r="J351" s="28">
        <f t="shared" si="38"/>
        <v>1.5600000000000023</v>
      </c>
      <c r="K351">
        <f t="shared" si="36"/>
        <v>2.5880472384049131</v>
      </c>
      <c r="L351" s="28">
        <f t="shared" si="37"/>
        <v>348.39195276159512</v>
      </c>
      <c r="M351">
        <f t="shared" si="40"/>
        <v>348.49125000000004</v>
      </c>
      <c r="N351" s="28">
        <f t="shared" si="39"/>
        <v>-9.9297238404915333E-2</v>
      </c>
    </row>
    <row r="352" spans="7:14" x14ac:dyDescent="0.4">
      <c r="G352" s="1">
        <v>31898</v>
      </c>
      <c r="H352">
        <f t="shared" si="35"/>
        <v>5</v>
      </c>
      <c r="I352" s="28">
        <v>351.85</v>
      </c>
      <c r="J352" s="28">
        <f t="shared" si="38"/>
        <v>0.87000000000000455</v>
      </c>
      <c r="K352">
        <f t="shared" si="36"/>
        <v>3.0809752517725739</v>
      </c>
      <c r="L352" s="28">
        <f t="shared" si="37"/>
        <v>348.76902474822742</v>
      </c>
      <c r="M352">
        <f t="shared" si="40"/>
        <v>348.67208333333338</v>
      </c>
      <c r="N352" s="28">
        <f t="shared" si="39"/>
        <v>9.6941414894047284E-2</v>
      </c>
    </row>
    <row r="353" spans="7:14" x14ac:dyDescent="0.4">
      <c r="G353" s="1">
        <v>31929</v>
      </c>
      <c r="H353">
        <f t="shared" si="35"/>
        <v>6</v>
      </c>
      <c r="I353" s="28">
        <v>351.26</v>
      </c>
      <c r="J353" s="28">
        <f t="shared" si="38"/>
        <v>-0.59000000000003183</v>
      </c>
      <c r="K353">
        <f t="shared" si="36"/>
        <v>2.3583796233572674</v>
      </c>
      <c r="L353" s="28">
        <f t="shared" si="37"/>
        <v>348.90162037664271</v>
      </c>
      <c r="M353">
        <f t="shared" si="40"/>
        <v>348.84749999999991</v>
      </c>
      <c r="N353" s="28">
        <f t="shared" si="39"/>
        <v>5.4120376642799783E-2</v>
      </c>
    </row>
    <row r="354" spans="7:14" x14ac:dyDescent="0.4">
      <c r="G354" s="1">
        <v>31959</v>
      </c>
      <c r="H354">
        <f t="shared" si="35"/>
        <v>7</v>
      </c>
      <c r="I354" s="28">
        <v>349.51</v>
      </c>
      <c r="J354" s="28">
        <f t="shared" si="38"/>
        <v>-1.75</v>
      </c>
      <c r="K354">
        <f t="shared" si="36"/>
        <v>0.72791514248295042</v>
      </c>
      <c r="L354" s="28">
        <f t="shared" si="37"/>
        <v>348.78208485751702</v>
      </c>
      <c r="M354">
        <f t="shared" si="40"/>
        <v>349.03375</v>
      </c>
      <c r="N354" s="28">
        <f t="shared" si="39"/>
        <v>-0.25166514248297744</v>
      </c>
    </row>
    <row r="355" spans="7:14" x14ac:dyDescent="0.4">
      <c r="G355" s="1">
        <v>31990</v>
      </c>
      <c r="H355">
        <f t="shared" si="35"/>
        <v>8</v>
      </c>
      <c r="I355" s="28">
        <v>348.1</v>
      </c>
      <c r="J355" s="28">
        <f t="shared" si="38"/>
        <v>-1.4099999999999682</v>
      </c>
      <c r="K355">
        <f t="shared" si="36"/>
        <v>-1.4099263875716923</v>
      </c>
      <c r="L355" s="28">
        <f t="shared" si="37"/>
        <v>349.50992638757174</v>
      </c>
      <c r="M355">
        <f t="shared" si="40"/>
        <v>349.26958333333329</v>
      </c>
      <c r="N355" s="28">
        <f t="shared" si="39"/>
        <v>0.24034305423845126</v>
      </c>
    </row>
    <row r="356" spans="7:14" x14ac:dyDescent="0.4">
      <c r="G356" s="1">
        <v>32021</v>
      </c>
      <c r="H356">
        <f t="shared" si="35"/>
        <v>9</v>
      </c>
      <c r="I356" s="28">
        <v>346.45</v>
      </c>
      <c r="J356" s="28">
        <f t="shared" si="38"/>
        <v>-1.6500000000000341</v>
      </c>
      <c r="K356">
        <f t="shared" si="36"/>
        <v>-3.204325294675523</v>
      </c>
      <c r="L356" s="28">
        <f t="shared" si="37"/>
        <v>349.65432529467552</v>
      </c>
      <c r="M356">
        <f t="shared" si="40"/>
        <v>349.5216666666667</v>
      </c>
      <c r="N356" s="28">
        <f t="shared" si="39"/>
        <v>0.13265862800881223</v>
      </c>
    </row>
    <row r="357" spans="7:14" x14ac:dyDescent="0.4">
      <c r="G357" s="1">
        <v>32051</v>
      </c>
      <c r="H357">
        <f t="shared" si="35"/>
        <v>10</v>
      </c>
      <c r="I357" s="28">
        <v>346.36</v>
      </c>
      <c r="J357" s="28">
        <f t="shared" si="38"/>
        <v>-8.9999999999974989E-2</v>
      </c>
      <c r="K357">
        <f t="shared" si="36"/>
        <v>-3.3270848575170473</v>
      </c>
      <c r="L357" s="28">
        <f t="shared" si="37"/>
        <v>349.68708485751705</v>
      </c>
      <c r="M357">
        <f t="shared" si="40"/>
        <v>349.74708333333336</v>
      </c>
      <c r="N357" s="28">
        <f t="shared" si="39"/>
        <v>-5.9998475816314567E-2</v>
      </c>
    </row>
    <row r="358" spans="7:14" x14ac:dyDescent="0.4">
      <c r="G358" s="1">
        <v>32082</v>
      </c>
      <c r="H358">
        <f t="shared" si="35"/>
        <v>11</v>
      </c>
      <c r="I358" s="28">
        <v>347.81</v>
      </c>
      <c r="J358" s="28">
        <f t="shared" si="38"/>
        <v>1.4499999999999886</v>
      </c>
      <c r="K358">
        <f t="shared" si="36"/>
        <v>-2.0516476990471002</v>
      </c>
      <c r="L358" s="28">
        <f t="shared" si="37"/>
        <v>349.86164769904713</v>
      </c>
      <c r="M358">
        <f t="shared" si="40"/>
        <v>349.95458333333335</v>
      </c>
      <c r="N358" s="28">
        <f t="shared" si="39"/>
        <v>-9.2935634286220647E-2</v>
      </c>
    </row>
    <row r="359" spans="7:14" x14ac:dyDescent="0.4">
      <c r="G359" s="1">
        <v>32112</v>
      </c>
      <c r="H359">
        <f t="shared" si="35"/>
        <v>12</v>
      </c>
      <c r="I359" s="28">
        <v>348.96</v>
      </c>
      <c r="J359" s="28">
        <f t="shared" si="38"/>
        <v>1.1499999999999773</v>
      </c>
      <c r="K359">
        <f t="shared" si="36"/>
        <v>-0.88768595041322573</v>
      </c>
      <c r="L359" s="28">
        <f t="shared" si="37"/>
        <v>349.84768595041322</v>
      </c>
      <c r="M359">
        <f t="shared" si="40"/>
        <v>350.15916666666664</v>
      </c>
      <c r="N359" s="28">
        <f t="shared" si="39"/>
        <v>-0.31148071625341345</v>
      </c>
    </row>
    <row r="360" spans="7:14" x14ac:dyDescent="0.4">
      <c r="G360" s="1">
        <v>32143</v>
      </c>
      <c r="H360">
        <f t="shared" si="35"/>
        <v>1</v>
      </c>
      <c r="I360" s="28">
        <v>350.43</v>
      </c>
      <c r="J360" s="28">
        <f t="shared" si="38"/>
        <v>1.4700000000000273</v>
      </c>
      <c r="K360">
        <f t="shared" si="36"/>
        <v>5.8898749040328657E-2</v>
      </c>
      <c r="L360" s="28">
        <f t="shared" si="37"/>
        <v>350.37110125095967</v>
      </c>
      <c r="M360">
        <f t="shared" si="40"/>
        <v>350.38458333333341</v>
      </c>
      <c r="N360" s="28">
        <f t="shared" si="39"/>
        <v>-1.3482082373741378E-2</v>
      </c>
    </row>
    <row r="361" spans="7:14" x14ac:dyDescent="0.4">
      <c r="G361" s="1">
        <v>32174</v>
      </c>
      <c r="H361">
        <f t="shared" si="35"/>
        <v>2</v>
      </c>
      <c r="I361" s="28">
        <v>351.73</v>
      </c>
      <c r="J361" s="28">
        <f t="shared" si="38"/>
        <v>1.3000000000000114</v>
      </c>
      <c r="K361">
        <f t="shared" si="36"/>
        <v>0.6941584247843573</v>
      </c>
      <c r="L361" s="28">
        <f t="shared" si="37"/>
        <v>351.03584157521567</v>
      </c>
      <c r="M361">
        <f t="shared" si="40"/>
        <v>350.60124999999999</v>
      </c>
      <c r="N361" s="28">
        <f t="shared" si="39"/>
        <v>0.43459157521567704</v>
      </c>
    </row>
    <row r="362" spans="7:14" x14ac:dyDescent="0.4">
      <c r="G362" s="1">
        <v>32203</v>
      </c>
      <c r="H362">
        <f t="shared" si="35"/>
        <v>3</v>
      </c>
      <c r="I362" s="28">
        <v>352.22</v>
      </c>
      <c r="J362" s="28">
        <f t="shared" si="38"/>
        <v>0.49000000000000909</v>
      </c>
      <c r="K362">
        <f t="shared" si="36"/>
        <v>1.3722957593821961</v>
      </c>
      <c r="L362" s="28">
        <f t="shared" si="37"/>
        <v>350.84770424061782</v>
      </c>
      <c r="M362">
        <f t="shared" si="40"/>
        <v>350.79333333333329</v>
      </c>
      <c r="N362" s="28">
        <f t="shared" si="39"/>
        <v>5.4370907284521763E-2</v>
      </c>
    </row>
    <row r="363" spans="7:14" x14ac:dyDescent="0.4">
      <c r="G363" s="1">
        <v>32234</v>
      </c>
      <c r="H363">
        <f t="shared" si="35"/>
        <v>4</v>
      </c>
      <c r="I363" s="28">
        <v>353.59</v>
      </c>
      <c r="J363" s="28">
        <f t="shared" si="38"/>
        <v>1.3699999999999477</v>
      </c>
      <c r="K363">
        <f t="shared" si="36"/>
        <v>2.5880472384049131</v>
      </c>
      <c r="L363" s="28">
        <f t="shared" si="37"/>
        <v>351.00195276159508</v>
      </c>
      <c r="M363">
        <f t="shared" si="40"/>
        <v>350.99333333333334</v>
      </c>
      <c r="N363" s="28">
        <f t="shared" si="39"/>
        <v>8.6194282617384488E-3</v>
      </c>
    </row>
    <row r="364" spans="7:14" x14ac:dyDescent="0.4">
      <c r="G364" s="1">
        <v>32264</v>
      </c>
      <c r="H364">
        <f t="shared" si="35"/>
        <v>5</v>
      </c>
      <c r="I364" s="28">
        <v>354.22</v>
      </c>
      <c r="J364" s="28">
        <f t="shared" si="38"/>
        <v>0.6300000000000523</v>
      </c>
      <c r="K364">
        <f t="shared" si="36"/>
        <v>3.0809752517725739</v>
      </c>
      <c r="L364" s="28">
        <f t="shared" si="37"/>
        <v>351.13902474822743</v>
      </c>
      <c r="M364">
        <f t="shared" si="40"/>
        <v>351.19250000000005</v>
      </c>
      <c r="N364" s="28">
        <f t="shared" si="39"/>
        <v>-5.3475251772624688E-2</v>
      </c>
    </row>
    <row r="365" spans="7:14" x14ac:dyDescent="0.4">
      <c r="G365" s="1">
        <v>32295</v>
      </c>
      <c r="H365">
        <f t="shared" si="35"/>
        <v>6</v>
      </c>
      <c r="I365" s="28">
        <v>353.8</v>
      </c>
      <c r="J365" s="28">
        <f t="shared" si="38"/>
        <v>-0.42000000000001592</v>
      </c>
      <c r="K365">
        <f t="shared" si="36"/>
        <v>2.3583796233572674</v>
      </c>
      <c r="L365" s="28">
        <f t="shared" si="37"/>
        <v>351.44162037664273</v>
      </c>
      <c r="M365">
        <f t="shared" si="40"/>
        <v>351.38583333333332</v>
      </c>
      <c r="N365" s="28">
        <f t="shared" si="39"/>
        <v>5.5787043309408091E-2</v>
      </c>
    </row>
    <row r="366" spans="7:14" x14ac:dyDescent="0.4">
      <c r="G366" s="1">
        <v>32325</v>
      </c>
      <c r="H366">
        <f t="shared" si="35"/>
        <v>7</v>
      </c>
      <c r="I366" s="28">
        <v>352.38</v>
      </c>
      <c r="J366" s="28">
        <f t="shared" si="38"/>
        <v>-1.4200000000000159</v>
      </c>
      <c r="K366">
        <f t="shared" si="36"/>
        <v>0.72791514248295042</v>
      </c>
      <c r="L366" s="28">
        <f t="shared" si="37"/>
        <v>351.65208485751702</v>
      </c>
      <c r="M366">
        <f t="shared" si="40"/>
        <v>351.58208333333329</v>
      </c>
      <c r="N366" s="28">
        <f t="shared" si="39"/>
        <v>7.0001524183737729E-2</v>
      </c>
    </row>
    <row r="367" spans="7:14" x14ac:dyDescent="0.4">
      <c r="G367" s="1">
        <v>32356</v>
      </c>
      <c r="H367">
        <f t="shared" si="35"/>
        <v>8</v>
      </c>
      <c r="I367" s="28">
        <v>350.43</v>
      </c>
      <c r="J367" s="28">
        <f t="shared" si="38"/>
        <v>-1.9499999999999886</v>
      </c>
      <c r="K367">
        <f t="shared" si="36"/>
        <v>-1.4099263875716923</v>
      </c>
      <c r="L367" s="28">
        <f t="shared" si="37"/>
        <v>351.83992638757172</v>
      </c>
      <c r="M367">
        <f t="shared" si="40"/>
        <v>351.73499999999996</v>
      </c>
      <c r="N367" s="28">
        <f t="shared" si="39"/>
        <v>0.10492638757176564</v>
      </c>
    </row>
    <row r="368" spans="7:14" x14ac:dyDescent="0.4">
      <c r="G368" s="1">
        <v>32387</v>
      </c>
      <c r="H368">
        <f t="shared" si="35"/>
        <v>9</v>
      </c>
      <c r="I368" s="28">
        <v>348.73</v>
      </c>
      <c r="J368" s="28">
        <f t="shared" si="38"/>
        <v>-1.6999999999999886</v>
      </c>
      <c r="K368">
        <f t="shared" si="36"/>
        <v>-3.204325294675523</v>
      </c>
      <c r="L368" s="28">
        <f t="shared" si="37"/>
        <v>351.93432529467555</v>
      </c>
      <c r="M368">
        <f t="shared" si="40"/>
        <v>351.85166666666669</v>
      </c>
      <c r="N368" s="28">
        <f t="shared" si="39"/>
        <v>8.2658628008857704E-2</v>
      </c>
    </row>
    <row r="369" spans="7:14" x14ac:dyDescent="0.4">
      <c r="G369" s="1">
        <v>32417</v>
      </c>
      <c r="H369">
        <f t="shared" si="35"/>
        <v>10</v>
      </c>
      <c r="I369" s="28">
        <v>348.88</v>
      </c>
      <c r="J369" s="28">
        <f t="shared" si="38"/>
        <v>0.14999999999997726</v>
      </c>
      <c r="K369">
        <f t="shared" si="36"/>
        <v>-3.3270848575170473</v>
      </c>
      <c r="L369" s="28">
        <f t="shared" si="37"/>
        <v>352.20708485751703</v>
      </c>
      <c r="M369">
        <f t="shared" si="40"/>
        <v>351.98874999999998</v>
      </c>
      <c r="N369" s="28">
        <f t="shared" si="39"/>
        <v>0.21833485751704984</v>
      </c>
    </row>
    <row r="370" spans="7:14" x14ac:dyDescent="0.4">
      <c r="G370" s="1">
        <v>32448</v>
      </c>
      <c r="H370">
        <f t="shared" si="35"/>
        <v>11</v>
      </c>
      <c r="I370" s="28">
        <v>350.07</v>
      </c>
      <c r="J370" s="28">
        <f t="shared" si="38"/>
        <v>1.1899999999999977</v>
      </c>
      <c r="K370">
        <f t="shared" si="36"/>
        <v>-2.0516476990471002</v>
      </c>
      <c r="L370" s="28">
        <f t="shared" si="37"/>
        <v>352.12164769904712</v>
      </c>
      <c r="M370">
        <f t="shared" si="40"/>
        <v>352.12541666666658</v>
      </c>
      <c r="N370" s="28">
        <f t="shared" si="39"/>
        <v>-3.7689676194645472E-3</v>
      </c>
    </row>
    <row r="371" spans="7:14" x14ac:dyDescent="0.4">
      <c r="G371" s="1">
        <v>32478</v>
      </c>
      <c r="H371">
        <f t="shared" si="35"/>
        <v>12</v>
      </c>
      <c r="I371" s="28">
        <v>351.34</v>
      </c>
      <c r="J371" s="28">
        <f t="shared" si="38"/>
        <v>1.2699999999999818</v>
      </c>
      <c r="K371">
        <f t="shared" si="36"/>
        <v>-0.88768595041322573</v>
      </c>
      <c r="L371" s="28">
        <f t="shared" si="37"/>
        <v>352.22768595041322</v>
      </c>
      <c r="M371">
        <f t="shared" si="40"/>
        <v>352.24083333333334</v>
      </c>
      <c r="N371" s="28">
        <f t="shared" si="39"/>
        <v>-1.3147382920124073E-2</v>
      </c>
    </row>
    <row r="372" spans="7:14" x14ac:dyDescent="0.4">
      <c r="G372" s="1">
        <v>32509</v>
      </c>
      <c r="H372">
        <f t="shared" si="35"/>
        <v>1</v>
      </c>
      <c r="I372" s="28">
        <v>352.76</v>
      </c>
      <c r="J372" s="28">
        <f t="shared" si="38"/>
        <v>1.4200000000000159</v>
      </c>
      <c r="K372">
        <f t="shared" si="36"/>
        <v>5.8898749040328657E-2</v>
      </c>
      <c r="L372" s="28">
        <f t="shared" si="37"/>
        <v>352.70110125095965</v>
      </c>
      <c r="M372">
        <f t="shared" si="40"/>
        <v>352.35916666666662</v>
      </c>
      <c r="N372" s="28">
        <f t="shared" si="39"/>
        <v>0.34193458429302837</v>
      </c>
    </row>
    <row r="373" spans="7:14" x14ac:dyDescent="0.4">
      <c r="G373" s="1">
        <v>32540</v>
      </c>
      <c r="H373">
        <f t="shared" si="35"/>
        <v>2</v>
      </c>
      <c r="I373" s="28">
        <v>353.07</v>
      </c>
      <c r="J373" s="28">
        <f t="shared" si="38"/>
        <v>0.31000000000000227</v>
      </c>
      <c r="K373">
        <f t="shared" si="36"/>
        <v>0.6941584247843573</v>
      </c>
      <c r="L373" s="28">
        <f t="shared" si="37"/>
        <v>352.37584157521565</v>
      </c>
      <c r="M373">
        <f t="shared" si="40"/>
        <v>352.47416666666663</v>
      </c>
      <c r="N373" s="28">
        <f t="shared" si="39"/>
        <v>-9.8325091450988111E-2</v>
      </c>
    </row>
    <row r="374" spans="7:14" x14ac:dyDescent="0.4">
      <c r="G374" s="1">
        <v>32568</v>
      </c>
      <c r="H374">
        <f t="shared" si="35"/>
        <v>3</v>
      </c>
      <c r="I374" s="28">
        <v>353.68</v>
      </c>
      <c r="J374" s="28">
        <f t="shared" si="38"/>
        <v>0.61000000000001364</v>
      </c>
      <c r="K374">
        <f t="shared" si="36"/>
        <v>1.3722957593821961</v>
      </c>
      <c r="L374" s="28">
        <f t="shared" si="37"/>
        <v>352.3077042406178</v>
      </c>
      <c r="M374">
        <f t="shared" si="40"/>
        <v>352.57083333333327</v>
      </c>
      <c r="N374" s="28">
        <f t="shared" si="39"/>
        <v>-0.26312909271547369</v>
      </c>
    </row>
    <row r="375" spans="7:14" x14ac:dyDescent="0.4">
      <c r="G375" s="1">
        <v>32599</v>
      </c>
      <c r="H375">
        <f t="shared" si="35"/>
        <v>4</v>
      </c>
      <c r="I375" s="28">
        <v>355.42</v>
      </c>
      <c r="J375" s="28">
        <f t="shared" si="38"/>
        <v>1.7400000000000091</v>
      </c>
      <c r="K375">
        <f t="shared" si="36"/>
        <v>2.5880472384049131</v>
      </c>
      <c r="L375" s="28">
        <f t="shared" si="37"/>
        <v>352.83195276159512</v>
      </c>
      <c r="M375">
        <f t="shared" si="40"/>
        <v>352.66208333333333</v>
      </c>
      <c r="N375" s="28">
        <f t="shared" si="39"/>
        <v>0.16986942826179074</v>
      </c>
    </row>
    <row r="376" spans="7:14" x14ac:dyDescent="0.4">
      <c r="G376" s="1">
        <v>32629</v>
      </c>
      <c r="H376">
        <f t="shared" si="35"/>
        <v>5</v>
      </c>
      <c r="I376" s="28">
        <v>355.67</v>
      </c>
      <c r="J376" s="28">
        <f t="shared" si="38"/>
        <v>0.25</v>
      </c>
      <c r="K376">
        <f t="shared" si="36"/>
        <v>3.0809752517725739</v>
      </c>
      <c r="L376" s="28">
        <f t="shared" si="37"/>
        <v>352.58902474822742</v>
      </c>
      <c r="M376">
        <f t="shared" si="40"/>
        <v>352.7595833333333</v>
      </c>
      <c r="N376" s="28">
        <f t="shared" si="39"/>
        <v>-0.17055858510587996</v>
      </c>
    </row>
    <row r="377" spans="7:14" x14ac:dyDescent="0.4">
      <c r="G377" s="1">
        <v>32660</v>
      </c>
      <c r="H377">
        <f t="shared" si="35"/>
        <v>6</v>
      </c>
      <c r="I377" s="28">
        <v>355.12</v>
      </c>
      <c r="J377" s="28">
        <f t="shared" si="38"/>
        <v>-0.55000000000001137</v>
      </c>
      <c r="K377">
        <f t="shared" si="36"/>
        <v>2.3583796233572674</v>
      </c>
      <c r="L377" s="28">
        <f t="shared" si="37"/>
        <v>352.76162037664272</v>
      </c>
      <c r="M377">
        <f t="shared" si="40"/>
        <v>352.85999999999996</v>
      </c>
      <c r="N377" s="28">
        <f t="shared" si="39"/>
        <v>-9.8379623357232049E-2</v>
      </c>
    </row>
    <row r="378" spans="7:14" x14ac:dyDescent="0.4">
      <c r="G378" s="1">
        <v>32690</v>
      </c>
      <c r="H378">
        <f t="shared" si="35"/>
        <v>7</v>
      </c>
      <c r="I378" s="28">
        <v>353.9</v>
      </c>
      <c r="J378" s="28">
        <f t="shared" si="38"/>
        <v>-1.2200000000000273</v>
      </c>
      <c r="K378">
        <f t="shared" si="36"/>
        <v>0.72791514248295042</v>
      </c>
      <c r="L378" s="28">
        <f t="shared" si="37"/>
        <v>353.17208485751701</v>
      </c>
      <c r="M378">
        <f t="shared" si="40"/>
        <v>352.94666666666672</v>
      </c>
      <c r="N378" s="28">
        <f t="shared" si="39"/>
        <v>0.22541819085029147</v>
      </c>
    </row>
    <row r="379" spans="7:14" x14ac:dyDescent="0.4">
      <c r="G379" s="1">
        <v>32721</v>
      </c>
      <c r="H379">
        <f t="shared" si="35"/>
        <v>8</v>
      </c>
      <c r="I379" s="28">
        <v>351.67</v>
      </c>
      <c r="J379" s="28">
        <f t="shared" si="38"/>
        <v>-2.2299999999999613</v>
      </c>
      <c r="K379">
        <f t="shared" si="36"/>
        <v>-1.4099263875716923</v>
      </c>
      <c r="L379" s="28">
        <f t="shared" si="37"/>
        <v>353.07992638757173</v>
      </c>
      <c r="M379">
        <f t="shared" si="40"/>
        <v>353.05208333333343</v>
      </c>
      <c r="N379" s="28">
        <f t="shared" si="39"/>
        <v>2.7843054238303466E-2</v>
      </c>
    </row>
    <row r="380" spans="7:14" x14ac:dyDescent="0.4">
      <c r="G380" s="1">
        <v>32752</v>
      </c>
      <c r="H380">
        <f t="shared" si="35"/>
        <v>9</v>
      </c>
      <c r="I380" s="28">
        <v>349.81</v>
      </c>
      <c r="J380" s="28">
        <f t="shared" si="38"/>
        <v>-1.8600000000000136</v>
      </c>
      <c r="K380">
        <f t="shared" si="36"/>
        <v>-3.204325294675523</v>
      </c>
      <c r="L380" s="28">
        <f t="shared" si="37"/>
        <v>353.01432529467553</v>
      </c>
      <c r="M380">
        <f t="shared" si="40"/>
        <v>353.19083333333333</v>
      </c>
      <c r="N380" s="28">
        <f t="shared" si="39"/>
        <v>-0.17650803865780063</v>
      </c>
    </row>
    <row r="381" spans="7:14" x14ac:dyDescent="0.4">
      <c r="G381" s="1">
        <v>32782</v>
      </c>
      <c r="H381">
        <f t="shared" si="35"/>
        <v>10</v>
      </c>
      <c r="I381" s="28">
        <v>349.99</v>
      </c>
      <c r="J381" s="28">
        <f t="shared" si="38"/>
        <v>0.18000000000000682</v>
      </c>
      <c r="K381">
        <f t="shared" si="36"/>
        <v>-3.3270848575170473</v>
      </c>
      <c r="L381" s="28">
        <f t="shared" si="37"/>
        <v>353.31708485751705</v>
      </c>
      <c r="M381">
        <f t="shared" si="40"/>
        <v>353.29416666666663</v>
      </c>
      <c r="N381" s="28">
        <f t="shared" si="39"/>
        <v>2.2918190850418796E-2</v>
      </c>
    </row>
    <row r="382" spans="7:14" x14ac:dyDescent="0.4">
      <c r="G382" s="1">
        <v>32813</v>
      </c>
      <c r="H382">
        <f t="shared" si="35"/>
        <v>11</v>
      </c>
      <c r="I382" s="28">
        <v>351.3</v>
      </c>
      <c r="J382" s="28">
        <f t="shared" si="38"/>
        <v>1.3100000000000023</v>
      </c>
      <c r="K382">
        <f t="shared" si="36"/>
        <v>-2.0516476990471002</v>
      </c>
      <c r="L382" s="28">
        <f t="shared" si="37"/>
        <v>353.35164769904713</v>
      </c>
      <c r="M382">
        <f t="shared" si="40"/>
        <v>353.38875000000002</v>
      </c>
      <c r="N382" s="28">
        <f t="shared" si="39"/>
        <v>-3.7102300952881251E-2</v>
      </c>
    </row>
    <row r="383" spans="7:14" x14ac:dyDescent="0.4">
      <c r="G383" s="1">
        <v>32843</v>
      </c>
      <c r="H383">
        <f t="shared" si="35"/>
        <v>12</v>
      </c>
      <c r="I383" s="28">
        <v>352.52</v>
      </c>
      <c r="J383" s="28">
        <f t="shared" si="38"/>
        <v>1.2199999999999704</v>
      </c>
      <c r="K383">
        <f t="shared" si="36"/>
        <v>-0.88768595041322573</v>
      </c>
      <c r="L383" s="28">
        <f t="shared" si="37"/>
        <v>353.40768595041322</v>
      </c>
      <c r="M383">
        <f t="shared" si="40"/>
        <v>353.49708333333336</v>
      </c>
      <c r="N383" s="28">
        <f t="shared" si="39"/>
        <v>-8.9397382920139989E-2</v>
      </c>
    </row>
    <row r="384" spans="7:14" x14ac:dyDescent="0.4">
      <c r="G384" s="1">
        <v>32874</v>
      </c>
      <c r="H384">
        <f t="shared" si="35"/>
        <v>1</v>
      </c>
      <c r="I384" s="28">
        <v>353.66</v>
      </c>
      <c r="J384" s="28">
        <f t="shared" si="38"/>
        <v>1.1400000000000432</v>
      </c>
      <c r="K384">
        <f t="shared" si="36"/>
        <v>5.8898749040328657E-2</v>
      </c>
      <c r="L384" s="28">
        <f t="shared" si="37"/>
        <v>353.60110125095969</v>
      </c>
      <c r="M384">
        <f t="shared" si="40"/>
        <v>353.58124999999995</v>
      </c>
      <c r="N384" s="28">
        <f t="shared" si="39"/>
        <v>1.985125095973217E-2</v>
      </c>
    </row>
    <row r="385" spans="7:14" x14ac:dyDescent="0.4">
      <c r="G385" s="1">
        <v>32905</v>
      </c>
      <c r="H385">
        <f t="shared" si="35"/>
        <v>2</v>
      </c>
      <c r="I385" s="28">
        <v>354.7</v>
      </c>
      <c r="J385" s="28">
        <f t="shared" si="38"/>
        <v>1.0399999999999636</v>
      </c>
      <c r="K385">
        <f t="shared" si="36"/>
        <v>0.6941584247843573</v>
      </c>
      <c r="L385" s="28">
        <f t="shared" si="37"/>
        <v>354.00584157521564</v>
      </c>
      <c r="M385">
        <f t="shared" si="40"/>
        <v>353.67083333333335</v>
      </c>
      <c r="N385" s="28">
        <f t="shared" si="39"/>
        <v>0.33500824188229217</v>
      </c>
    </row>
    <row r="386" spans="7:14" x14ac:dyDescent="0.4">
      <c r="G386" s="1">
        <v>32933</v>
      </c>
      <c r="H386">
        <f t="shared" si="35"/>
        <v>3</v>
      </c>
      <c r="I386" s="28">
        <v>355.38</v>
      </c>
      <c r="J386" s="28">
        <f t="shared" si="38"/>
        <v>0.68000000000000682</v>
      </c>
      <c r="K386">
        <f t="shared" si="36"/>
        <v>1.3722957593821961</v>
      </c>
      <c r="L386" s="28">
        <f t="shared" si="37"/>
        <v>354.00770424061778</v>
      </c>
      <c r="M386">
        <f t="shared" si="40"/>
        <v>353.77041666666668</v>
      </c>
      <c r="N386" s="28">
        <f t="shared" si="39"/>
        <v>0.23728757395110733</v>
      </c>
    </row>
    <row r="387" spans="7:14" x14ac:dyDescent="0.4">
      <c r="G387" s="1">
        <v>32964</v>
      </c>
      <c r="H387">
        <f t="shared" ref="H387:H450" si="41">MONTH(G387)</f>
        <v>4</v>
      </c>
      <c r="I387" s="28">
        <v>356.2</v>
      </c>
      <c r="J387" s="28">
        <f t="shared" si="38"/>
        <v>0.81999999999999318</v>
      </c>
      <c r="K387">
        <f t="shared" ref="K387:K450" si="42">INDEX($E$3:$E$14,H387)</f>
        <v>2.5880472384049131</v>
      </c>
      <c r="L387" s="28">
        <f t="shared" ref="L387:L450" si="43">I387-K387</f>
        <v>353.61195276159509</v>
      </c>
      <c r="M387">
        <f t="shared" si="40"/>
        <v>353.86791666666664</v>
      </c>
      <c r="N387" s="28">
        <f t="shared" si="39"/>
        <v>-0.2559639050715532</v>
      </c>
    </row>
    <row r="388" spans="7:14" x14ac:dyDescent="0.4">
      <c r="G388" s="1">
        <v>32994</v>
      </c>
      <c r="H388">
        <f t="shared" si="41"/>
        <v>5</v>
      </c>
      <c r="I388" s="28">
        <v>357.16</v>
      </c>
      <c r="J388" s="28">
        <f t="shared" ref="J388:J451" si="44">I388-I387</f>
        <v>0.96000000000003638</v>
      </c>
      <c r="K388">
        <f t="shared" si="42"/>
        <v>3.0809752517725739</v>
      </c>
      <c r="L388" s="28">
        <f t="shared" si="43"/>
        <v>354.07902474822743</v>
      </c>
      <c r="M388">
        <f t="shared" si="40"/>
        <v>353.98125000000005</v>
      </c>
      <c r="N388" s="28">
        <f t="shared" si="39"/>
        <v>9.777474822737986E-2</v>
      </c>
    </row>
    <row r="389" spans="7:14" x14ac:dyDescent="0.4">
      <c r="G389" s="1">
        <v>33025</v>
      </c>
      <c r="H389">
        <f t="shared" si="41"/>
        <v>6</v>
      </c>
      <c r="I389" s="28">
        <v>356.23</v>
      </c>
      <c r="J389" s="28">
        <f t="shared" si="44"/>
        <v>-0.93000000000000682</v>
      </c>
      <c r="K389">
        <f t="shared" si="42"/>
        <v>2.3583796233572674</v>
      </c>
      <c r="L389" s="28">
        <f t="shared" si="43"/>
        <v>353.87162037664274</v>
      </c>
      <c r="M389">
        <f t="shared" si="40"/>
        <v>354.1154166666667</v>
      </c>
      <c r="N389" s="28">
        <f t="shared" si="39"/>
        <v>-0.24379629002396541</v>
      </c>
    </row>
    <row r="390" spans="7:14" x14ac:dyDescent="0.4">
      <c r="G390" s="1">
        <v>33055</v>
      </c>
      <c r="H390">
        <f t="shared" si="41"/>
        <v>7</v>
      </c>
      <c r="I390" s="28">
        <v>354.81</v>
      </c>
      <c r="J390" s="28">
        <f t="shared" si="44"/>
        <v>-1.4200000000000159</v>
      </c>
      <c r="K390">
        <f t="shared" si="42"/>
        <v>0.72791514248295042</v>
      </c>
      <c r="L390" s="28">
        <f t="shared" si="43"/>
        <v>354.08208485751703</v>
      </c>
      <c r="M390">
        <f t="shared" si="40"/>
        <v>354.23</v>
      </c>
      <c r="N390" s="28">
        <f t="shared" si="39"/>
        <v>-0.14791514248298654</v>
      </c>
    </row>
    <row r="391" spans="7:14" x14ac:dyDescent="0.4">
      <c r="G391" s="1">
        <v>33086</v>
      </c>
      <c r="H391">
        <f t="shared" si="41"/>
        <v>8</v>
      </c>
      <c r="I391" s="28">
        <v>352.91</v>
      </c>
      <c r="J391" s="28">
        <f t="shared" si="44"/>
        <v>-1.8999999999999773</v>
      </c>
      <c r="K391">
        <f t="shared" si="42"/>
        <v>-1.4099263875716923</v>
      </c>
      <c r="L391" s="28">
        <f t="shared" si="43"/>
        <v>354.31992638757174</v>
      </c>
      <c r="M391">
        <f t="shared" si="40"/>
        <v>354.31791666666669</v>
      </c>
      <c r="N391" s="28">
        <f t="shared" si="39"/>
        <v>2.0097209050504716E-3</v>
      </c>
    </row>
    <row r="392" spans="7:14" x14ac:dyDescent="0.4">
      <c r="G392" s="1">
        <v>33117</v>
      </c>
      <c r="H392">
        <f t="shared" si="41"/>
        <v>9</v>
      </c>
      <c r="I392" s="28">
        <v>350.96</v>
      </c>
      <c r="J392" s="28">
        <f t="shared" si="44"/>
        <v>-1.9500000000000455</v>
      </c>
      <c r="K392">
        <f t="shared" si="42"/>
        <v>-3.204325294675523</v>
      </c>
      <c r="L392" s="28">
        <f t="shared" si="43"/>
        <v>354.16432529467551</v>
      </c>
      <c r="M392">
        <f t="shared" si="40"/>
        <v>354.43583333333328</v>
      </c>
      <c r="N392" s="28">
        <f t="shared" si="39"/>
        <v>-0.27150803865777107</v>
      </c>
    </row>
    <row r="393" spans="7:14" x14ac:dyDescent="0.4">
      <c r="G393" s="1">
        <v>33147</v>
      </c>
      <c r="H393">
        <f t="shared" si="41"/>
        <v>10</v>
      </c>
      <c r="I393" s="28">
        <v>351.18</v>
      </c>
      <c r="J393" s="28">
        <f t="shared" si="44"/>
        <v>0.22000000000002728</v>
      </c>
      <c r="K393">
        <f t="shared" si="42"/>
        <v>-3.3270848575170473</v>
      </c>
      <c r="L393" s="28">
        <f t="shared" si="43"/>
        <v>354.50708485751704</v>
      </c>
      <c r="M393">
        <f t="shared" si="40"/>
        <v>354.61000000000007</v>
      </c>
      <c r="N393" s="28">
        <f t="shared" ref="N393:N456" si="45">L393-M393</f>
        <v>-0.10291514248302747</v>
      </c>
    </row>
    <row r="394" spans="7:14" x14ac:dyDescent="0.4">
      <c r="G394" s="1">
        <v>33178</v>
      </c>
      <c r="H394">
        <f t="shared" si="41"/>
        <v>11</v>
      </c>
      <c r="I394" s="28">
        <v>352.83</v>
      </c>
      <c r="J394" s="28">
        <f t="shared" si="44"/>
        <v>1.6499999999999773</v>
      </c>
      <c r="K394">
        <f t="shared" si="42"/>
        <v>-2.0516476990471002</v>
      </c>
      <c r="L394" s="28">
        <f t="shared" si="43"/>
        <v>354.88164769904711</v>
      </c>
      <c r="M394">
        <f t="shared" si="40"/>
        <v>354.8008333333334</v>
      </c>
      <c r="N394" s="28">
        <f t="shared" si="45"/>
        <v>8.0814365713706593E-2</v>
      </c>
    </row>
    <row r="395" spans="7:14" x14ac:dyDescent="0.4">
      <c r="G395" s="1">
        <v>33208</v>
      </c>
      <c r="H395">
        <f t="shared" si="41"/>
        <v>12</v>
      </c>
      <c r="I395" s="28">
        <v>354.21</v>
      </c>
      <c r="J395" s="28">
        <f t="shared" si="44"/>
        <v>1.3799999999999955</v>
      </c>
      <c r="K395">
        <f t="shared" si="42"/>
        <v>-0.88768595041322573</v>
      </c>
      <c r="L395" s="28">
        <f t="shared" si="43"/>
        <v>355.09768595041322</v>
      </c>
      <c r="M395">
        <f t="shared" si="40"/>
        <v>354.97541666666672</v>
      </c>
      <c r="N395" s="28">
        <f t="shared" si="45"/>
        <v>0.1222692837465047</v>
      </c>
    </row>
    <row r="396" spans="7:14" x14ac:dyDescent="0.4">
      <c r="G396" s="1">
        <v>33239</v>
      </c>
      <c r="H396">
        <f t="shared" si="41"/>
        <v>1</v>
      </c>
      <c r="I396" s="28">
        <v>354.72</v>
      </c>
      <c r="J396" s="28">
        <f t="shared" si="44"/>
        <v>0.51000000000004775</v>
      </c>
      <c r="K396">
        <f t="shared" si="42"/>
        <v>5.8898749040328657E-2</v>
      </c>
      <c r="L396" s="28">
        <f t="shared" si="43"/>
        <v>354.66110125095969</v>
      </c>
      <c r="M396">
        <f t="shared" si="40"/>
        <v>355.11583333333334</v>
      </c>
      <c r="N396" s="28">
        <f t="shared" si="45"/>
        <v>-0.4547320823736527</v>
      </c>
    </row>
    <row r="397" spans="7:14" x14ac:dyDescent="0.4">
      <c r="G397" s="1">
        <v>33270</v>
      </c>
      <c r="H397">
        <f t="shared" si="41"/>
        <v>2</v>
      </c>
      <c r="I397" s="28">
        <v>355.75</v>
      </c>
      <c r="J397" s="28">
        <f t="shared" si="44"/>
        <v>1.0299999999999727</v>
      </c>
      <c r="K397">
        <f t="shared" si="42"/>
        <v>0.6941584247843573</v>
      </c>
      <c r="L397" s="28">
        <f t="shared" si="43"/>
        <v>355.05584157521565</v>
      </c>
      <c r="M397">
        <f t="shared" si="40"/>
        <v>355.21833333333342</v>
      </c>
      <c r="N397" s="28">
        <f t="shared" si="45"/>
        <v>-0.16249175811776695</v>
      </c>
    </row>
    <row r="398" spans="7:14" x14ac:dyDescent="0.4">
      <c r="G398" s="1">
        <v>33298</v>
      </c>
      <c r="H398">
        <f t="shared" si="41"/>
        <v>3</v>
      </c>
      <c r="I398" s="28">
        <v>357.16</v>
      </c>
      <c r="J398" s="28">
        <f t="shared" si="44"/>
        <v>1.410000000000025</v>
      </c>
      <c r="K398">
        <f t="shared" si="42"/>
        <v>1.3722957593821961</v>
      </c>
      <c r="L398" s="28">
        <f t="shared" si="43"/>
        <v>355.78770424061781</v>
      </c>
      <c r="M398">
        <f t="shared" si="40"/>
        <v>355.31375000000003</v>
      </c>
      <c r="N398" s="28">
        <f t="shared" si="45"/>
        <v>0.47395424061778613</v>
      </c>
    </row>
    <row r="399" spans="7:14" x14ac:dyDescent="0.4">
      <c r="G399" s="1">
        <v>33329</v>
      </c>
      <c r="H399">
        <f t="shared" si="41"/>
        <v>4</v>
      </c>
      <c r="I399" s="28">
        <v>358.6</v>
      </c>
      <c r="J399" s="28">
        <f t="shared" si="44"/>
        <v>1.4399999999999977</v>
      </c>
      <c r="K399">
        <f t="shared" si="42"/>
        <v>2.5880472384049131</v>
      </c>
      <c r="L399" s="28">
        <f t="shared" si="43"/>
        <v>356.01195276159513</v>
      </c>
      <c r="M399">
        <f t="shared" ref="M399:M462" si="46">(SUM(L394:L404)+(L393+L405)/2)/12</f>
        <v>355.40625</v>
      </c>
      <c r="N399" s="28">
        <f t="shared" si="45"/>
        <v>0.60570276159512559</v>
      </c>
    </row>
    <row r="400" spans="7:14" x14ac:dyDescent="0.4">
      <c r="G400" s="1">
        <v>33359</v>
      </c>
      <c r="H400">
        <f t="shared" si="41"/>
        <v>5</v>
      </c>
      <c r="I400" s="28">
        <v>359.34</v>
      </c>
      <c r="J400" s="28">
        <f t="shared" si="44"/>
        <v>0.73999999999995225</v>
      </c>
      <c r="K400">
        <f t="shared" si="42"/>
        <v>3.0809752517725739</v>
      </c>
      <c r="L400" s="28">
        <f t="shared" si="43"/>
        <v>356.25902474822738</v>
      </c>
      <c r="M400">
        <f t="shared" si="46"/>
        <v>355.48749999999995</v>
      </c>
      <c r="N400" s="28">
        <f t="shared" si="45"/>
        <v>0.77152474822742079</v>
      </c>
    </row>
    <row r="401" spans="7:14" x14ac:dyDescent="0.4">
      <c r="G401" s="1">
        <v>33390</v>
      </c>
      <c r="H401">
        <f t="shared" si="41"/>
        <v>6</v>
      </c>
      <c r="I401" s="28">
        <v>358.24</v>
      </c>
      <c r="J401" s="28">
        <f t="shared" si="44"/>
        <v>-1.0999999999999659</v>
      </c>
      <c r="K401">
        <f t="shared" si="42"/>
        <v>2.3583796233572674</v>
      </c>
      <c r="L401" s="28">
        <f t="shared" si="43"/>
        <v>355.88162037664273</v>
      </c>
      <c r="M401">
        <f t="shared" si="46"/>
        <v>355.55833333333334</v>
      </c>
      <c r="N401" s="28">
        <f t="shared" si="45"/>
        <v>0.32328704330939217</v>
      </c>
    </row>
    <row r="402" spans="7:14" x14ac:dyDescent="0.4">
      <c r="G402" s="1">
        <v>33420</v>
      </c>
      <c r="H402">
        <f t="shared" si="41"/>
        <v>7</v>
      </c>
      <c r="I402" s="28">
        <v>356.17</v>
      </c>
      <c r="J402" s="28">
        <f t="shared" si="44"/>
        <v>-2.0699999999999932</v>
      </c>
      <c r="K402">
        <f t="shared" si="42"/>
        <v>0.72791514248295042</v>
      </c>
      <c r="L402" s="28">
        <f t="shared" si="43"/>
        <v>355.44208485751705</v>
      </c>
      <c r="M402">
        <f t="shared" si="46"/>
        <v>355.64375000000001</v>
      </c>
      <c r="N402" s="28">
        <f t="shared" si="45"/>
        <v>-0.20166514248296608</v>
      </c>
    </row>
    <row r="403" spans="7:14" x14ac:dyDescent="0.4">
      <c r="G403" s="1">
        <v>33451</v>
      </c>
      <c r="H403">
        <f t="shared" si="41"/>
        <v>8</v>
      </c>
      <c r="I403" s="28">
        <v>354.01</v>
      </c>
      <c r="J403" s="28">
        <f t="shared" si="44"/>
        <v>-2.160000000000025</v>
      </c>
      <c r="K403">
        <f t="shared" si="42"/>
        <v>-1.4099263875716923</v>
      </c>
      <c r="L403" s="28">
        <f t="shared" si="43"/>
        <v>355.41992638757171</v>
      </c>
      <c r="M403">
        <f t="shared" si="46"/>
        <v>355.73708333333337</v>
      </c>
      <c r="N403" s="28">
        <f t="shared" si="45"/>
        <v>-0.31715694576166698</v>
      </c>
    </row>
    <row r="404" spans="7:14" x14ac:dyDescent="0.4">
      <c r="G404" s="1">
        <v>33482</v>
      </c>
      <c r="H404">
        <f t="shared" si="41"/>
        <v>9</v>
      </c>
      <c r="I404" s="28">
        <v>352.15</v>
      </c>
      <c r="J404" s="28">
        <f t="shared" si="44"/>
        <v>-1.8600000000000136</v>
      </c>
      <c r="K404">
        <f t="shared" si="42"/>
        <v>-3.204325294675523</v>
      </c>
      <c r="L404" s="28">
        <f t="shared" si="43"/>
        <v>355.3543252946755</v>
      </c>
      <c r="M404">
        <f t="shared" si="46"/>
        <v>355.80458333333331</v>
      </c>
      <c r="N404" s="28">
        <f t="shared" si="45"/>
        <v>-0.45025803865780745</v>
      </c>
    </row>
    <row r="405" spans="7:14" x14ac:dyDescent="0.4">
      <c r="G405" s="1">
        <v>33512</v>
      </c>
      <c r="H405">
        <f t="shared" si="41"/>
        <v>10</v>
      </c>
      <c r="I405" s="28">
        <v>352.21</v>
      </c>
      <c r="J405" s="28">
        <f t="shared" si="44"/>
        <v>6.0000000000002274E-2</v>
      </c>
      <c r="K405">
        <f t="shared" si="42"/>
        <v>-3.3270848575170473</v>
      </c>
      <c r="L405" s="28">
        <f t="shared" si="43"/>
        <v>355.53708485751702</v>
      </c>
      <c r="M405">
        <f t="shared" si="46"/>
        <v>355.85458333333332</v>
      </c>
      <c r="N405" s="28">
        <f t="shared" si="45"/>
        <v>-0.31749847581630775</v>
      </c>
    </row>
    <row r="406" spans="7:14" x14ac:dyDescent="0.4">
      <c r="G406" s="1">
        <v>33543</v>
      </c>
      <c r="H406">
        <f t="shared" si="41"/>
        <v>11</v>
      </c>
      <c r="I406" s="28">
        <v>353.75</v>
      </c>
      <c r="J406" s="28">
        <f t="shared" si="44"/>
        <v>1.5400000000000205</v>
      </c>
      <c r="K406">
        <f t="shared" si="42"/>
        <v>-2.0516476990471002</v>
      </c>
      <c r="L406" s="28">
        <f t="shared" si="43"/>
        <v>355.80164769904712</v>
      </c>
      <c r="M406">
        <f t="shared" si="46"/>
        <v>355.89083333333332</v>
      </c>
      <c r="N406" s="28">
        <f t="shared" si="45"/>
        <v>-8.9185634286195636E-2</v>
      </c>
    </row>
    <row r="407" spans="7:14" x14ac:dyDescent="0.4">
      <c r="G407" s="1">
        <v>33573</v>
      </c>
      <c r="H407">
        <f t="shared" si="41"/>
        <v>12</v>
      </c>
      <c r="I407" s="28">
        <v>354.99</v>
      </c>
      <c r="J407" s="28">
        <f t="shared" si="44"/>
        <v>1.2400000000000091</v>
      </c>
      <c r="K407">
        <f t="shared" si="42"/>
        <v>-0.88768595041322573</v>
      </c>
      <c r="L407" s="28">
        <f t="shared" si="43"/>
        <v>355.87768595041325</v>
      </c>
      <c r="M407">
        <f t="shared" si="46"/>
        <v>355.94624999999996</v>
      </c>
      <c r="N407" s="28">
        <f t="shared" si="45"/>
        <v>-6.8564049586711917E-2</v>
      </c>
    </row>
    <row r="408" spans="7:14" x14ac:dyDescent="0.4">
      <c r="G408" s="1">
        <v>33604</v>
      </c>
      <c r="H408">
        <f t="shared" si="41"/>
        <v>1</v>
      </c>
      <c r="I408" s="28">
        <v>355.99</v>
      </c>
      <c r="J408" s="28">
        <f t="shared" si="44"/>
        <v>1</v>
      </c>
      <c r="K408">
        <f t="shared" si="42"/>
        <v>5.8898749040328657E-2</v>
      </c>
      <c r="L408" s="28">
        <f t="shared" si="43"/>
        <v>355.93110125095967</v>
      </c>
      <c r="M408">
        <f t="shared" si="46"/>
        <v>356.02375000000001</v>
      </c>
      <c r="N408" s="28">
        <f t="shared" si="45"/>
        <v>-9.2648749040336043E-2</v>
      </c>
    </row>
    <row r="409" spans="7:14" x14ac:dyDescent="0.4">
      <c r="G409" s="1">
        <v>33635</v>
      </c>
      <c r="H409">
        <f t="shared" si="41"/>
        <v>2</v>
      </c>
      <c r="I409" s="28">
        <v>356.72</v>
      </c>
      <c r="J409" s="28">
        <f t="shared" si="44"/>
        <v>0.73000000000001819</v>
      </c>
      <c r="K409">
        <f t="shared" si="42"/>
        <v>0.6941584247843573</v>
      </c>
      <c r="L409" s="28">
        <f t="shared" si="43"/>
        <v>356.02584157521568</v>
      </c>
      <c r="M409">
        <f t="shared" si="46"/>
        <v>356.1004166666666</v>
      </c>
      <c r="N409" s="28">
        <f t="shared" si="45"/>
        <v>-7.4575091450924447E-2</v>
      </c>
    </row>
    <row r="410" spans="7:14" x14ac:dyDescent="0.4">
      <c r="G410" s="1">
        <v>33664</v>
      </c>
      <c r="H410">
        <f t="shared" si="41"/>
        <v>3</v>
      </c>
      <c r="I410" s="28">
        <v>357.81</v>
      </c>
      <c r="J410" s="28">
        <f t="shared" si="44"/>
        <v>1.089999999999975</v>
      </c>
      <c r="K410">
        <f t="shared" si="42"/>
        <v>1.3722957593821961</v>
      </c>
      <c r="L410" s="28">
        <f t="shared" si="43"/>
        <v>356.43770424061779</v>
      </c>
      <c r="M410">
        <f t="shared" si="46"/>
        <v>356.17750000000001</v>
      </c>
      <c r="N410" s="28">
        <f t="shared" si="45"/>
        <v>0.26020424061778158</v>
      </c>
    </row>
    <row r="411" spans="7:14" x14ac:dyDescent="0.4">
      <c r="G411" s="1">
        <v>33695</v>
      </c>
      <c r="H411">
        <f t="shared" si="41"/>
        <v>4</v>
      </c>
      <c r="I411" s="28">
        <v>359.15</v>
      </c>
      <c r="J411" s="28">
        <f t="shared" si="44"/>
        <v>1.339999999999975</v>
      </c>
      <c r="K411">
        <f t="shared" si="42"/>
        <v>2.5880472384049131</v>
      </c>
      <c r="L411" s="28">
        <f t="shared" si="43"/>
        <v>356.56195276159508</v>
      </c>
      <c r="M411">
        <f t="shared" si="46"/>
        <v>356.25916666666666</v>
      </c>
      <c r="N411" s="28">
        <f t="shared" si="45"/>
        <v>0.30278609492842179</v>
      </c>
    </row>
    <row r="412" spans="7:14" x14ac:dyDescent="0.4">
      <c r="G412" s="1">
        <v>33725</v>
      </c>
      <c r="H412">
        <f t="shared" si="41"/>
        <v>5</v>
      </c>
      <c r="I412" s="28">
        <v>359.66</v>
      </c>
      <c r="J412" s="28">
        <f t="shared" si="44"/>
        <v>0.51000000000004775</v>
      </c>
      <c r="K412">
        <f t="shared" si="42"/>
        <v>3.0809752517725739</v>
      </c>
      <c r="L412" s="28">
        <f t="shared" si="43"/>
        <v>356.57902474822743</v>
      </c>
      <c r="M412">
        <f t="shared" si="46"/>
        <v>356.3220833333333</v>
      </c>
      <c r="N412" s="28">
        <f t="shared" si="45"/>
        <v>0.25694141489412914</v>
      </c>
    </row>
    <row r="413" spans="7:14" x14ac:dyDescent="0.4">
      <c r="G413" s="1">
        <v>33756</v>
      </c>
      <c r="H413">
        <f t="shared" si="41"/>
        <v>6</v>
      </c>
      <c r="I413" s="28">
        <v>359.25</v>
      </c>
      <c r="J413" s="28">
        <f t="shared" si="44"/>
        <v>-0.41000000000002501</v>
      </c>
      <c r="K413">
        <f t="shared" si="42"/>
        <v>2.3583796233572674</v>
      </c>
      <c r="L413" s="28">
        <f t="shared" si="43"/>
        <v>356.89162037664272</v>
      </c>
      <c r="M413">
        <f t="shared" si="46"/>
        <v>356.35625000000005</v>
      </c>
      <c r="N413" s="28">
        <f t="shared" si="45"/>
        <v>0.53537037664267473</v>
      </c>
    </row>
    <row r="414" spans="7:14" x14ac:dyDescent="0.4">
      <c r="G414" s="1">
        <v>33786</v>
      </c>
      <c r="H414">
        <f t="shared" si="41"/>
        <v>7</v>
      </c>
      <c r="I414" s="28">
        <v>357.02</v>
      </c>
      <c r="J414" s="28">
        <f t="shared" si="44"/>
        <v>-2.2300000000000182</v>
      </c>
      <c r="K414">
        <f t="shared" si="42"/>
        <v>0.72791514248295042</v>
      </c>
      <c r="L414" s="28">
        <f t="shared" si="43"/>
        <v>356.29208485751701</v>
      </c>
      <c r="M414">
        <f t="shared" si="46"/>
        <v>356.40291666666667</v>
      </c>
      <c r="N414" s="28">
        <f t="shared" si="45"/>
        <v>-0.11083180914965851</v>
      </c>
    </row>
    <row r="415" spans="7:14" x14ac:dyDescent="0.4">
      <c r="G415" s="1">
        <v>33817</v>
      </c>
      <c r="H415">
        <f t="shared" si="41"/>
        <v>8</v>
      </c>
      <c r="I415" s="28">
        <v>355</v>
      </c>
      <c r="J415" s="28">
        <f t="shared" si="44"/>
        <v>-2.0199999999999818</v>
      </c>
      <c r="K415">
        <f t="shared" si="42"/>
        <v>-1.4099263875716923</v>
      </c>
      <c r="L415" s="28">
        <f t="shared" si="43"/>
        <v>356.40992638757172</v>
      </c>
      <c r="M415">
        <f t="shared" si="46"/>
        <v>356.45125000000007</v>
      </c>
      <c r="N415" s="28">
        <f t="shared" si="45"/>
        <v>-4.1323612428357137E-2</v>
      </c>
    </row>
    <row r="416" spans="7:14" x14ac:dyDescent="0.4">
      <c r="G416" s="1">
        <v>33848</v>
      </c>
      <c r="H416">
        <f t="shared" si="41"/>
        <v>9</v>
      </c>
      <c r="I416" s="28">
        <v>353.01</v>
      </c>
      <c r="J416" s="28">
        <f t="shared" si="44"/>
        <v>-1.9900000000000091</v>
      </c>
      <c r="K416">
        <f t="shared" si="42"/>
        <v>-3.204325294675523</v>
      </c>
      <c r="L416" s="28">
        <f t="shared" si="43"/>
        <v>356.21432529467552</v>
      </c>
      <c r="M416">
        <f t="shared" si="46"/>
        <v>356.49375000000003</v>
      </c>
      <c r="N416" s="28">
        <f t="shared" si="45"/>
        <v>-0.2794247053245158</v>
      </c>
    </row>
    <row r="417" spans="7:14" x14ac:dyDescent="0.4">
      <c r="G417" s="1">
        <v>33878</v>
      </c>
      <c r="H417">
        <f t="shared" si="41"/>
        <v>10</v>
      </c>
      <c r="I417" s="28">
        <v>353.31</v>
      </c>
      <c r="J417" s="28">
        <f t="shared" si="44"/>
        <v>0.30000000000001137</v>
      </c>
      <c r="K417">
        <f t="shared" si="42"/>
        <v>-3.3270848575170473</v>
      </c>
      <c r="L417" s="28">
        <f t="shared" si="43"/>
        <v>356.63708485751704</v>
      </c>
      <c r="M417">
        <f t="shared" si="46"/>
        <v>356.53041666666667</v>
      </c>
      <c r="N417" s="28">
        <f t="shared" si="45"/>
        <v>0.10666819085037105</v>
      </c>
    </row>
    <row r="418" spans="7:14" x14ac:dyDescent="0.4">
      <c r="G418" s="1">
        <v>33909</v>
      </c>
      <c r="H418">
        <f t="shared" si="41"/>
        <v>11</v>
      </c>
      <c r="I418" s="28">
        <v>354.16</v>
      </c>
      <c r="J418" s="28">
        <f t="shared" si="44"/>
        <v>0.85000000000002274</v>
      </c>
      <c r="K418">
        <f t="shared" si="42"/>
        <v>-2.0516476990471002</v>
      </c>
      <c r="L418" s="28">
        <f t="shared" si="43"/>
        <v>356.21164769904715</v>
      </c>
      <c r="M418">
        <f t="shared" si="46"/>
        <v>356.56916666666666</v>
      </c>
      <c r="N418" s="28">
        <f t="shared" si="45"/>
        <v>-0.3575189676195123</v>
      </c>
    </row>
    <row r="419" spans="7:14" x14ac:dyDescent="0.4">
      <c r="G419" s="1">
        <v>33939</v>
      </c>
      <c r="H419">
        <f t="shared" si="41"/>
        <v>12</v>
      </c>
      <c r="I419" s="28">
        <v>355.4</v>
      </c>
      <c r="J419" s="28">
        <f t="shared" si="44"/>
        <v>1.2399999999999523</v>
      </c>
      <c r="K419">
        <f t="shared" si="42"/>
        <v>-0.88768595041322573</v>
      </c>
      <c r="L419" s="28">
        <f t="shared" si="43"/>
        <v>356.28768595041322</v>
      </c>
      <c r="M419">
        <f t="shared" si="46"/>
        <v>356.60958333333332</v>
      </c>
      <c r="N419" s="28">
        <f t="shared" si="45"/>
        <v>-0.32189738292009906</v>
      </c>
    </row>
    <row r="420" spans="7:14" x14ac:dyDescent="0.4">
      <c r="G420" s="1">
        <v>33970</v>
      </c>
      <c r="H420">
        <f t="shared" si="41"/>
        <v>1</v>
      </c>
      <c r="I420" s="28">
        <v>356.7</v>
      </c>
      <c r="J420" s="28">
        <f t="shared" si="44"/>
        <v>1.3000000000000114</v>
      </c>
      <c r="K420">
        <f t="shared" si="42"/>
        <v>5.8898749040328657E-2</v>
      </c>
      <c r="L420" s="28">
        <f t="shared" si="43"/>
        <v>356.64110125095965</v>
      </c>
      <c r="M420">
        <f t="shared" si="46"/>
        <v>356.64708333333334</v>
      </c>
      <c r="N420" s="28">
        <f t="shared" si="45"/>
        <v>-5.9820823736913553E-3</v>
      </c>
    </row>
    <row r="421" spans="7:14" x14ac:dyDescent="0.4">
      <c r="G421" s="1">
        <v>34001</v>
      </c>
      <c r="H421">
        <f t="shared" si="41"/>
        <v>2</v>
      </c>
      <c r="I421" s="28">
        <v>357.17</v>
      </c>
      <c r="J421" s="28">
        <f t="shared" si="44"/>
        <v>0.47000000000002728</v>
      </c>
      <c r="K421">
        <f t="shared" si="42"/>
        <v>0.6941584247843573</v>
      </c>
      <c r="L421" s="28">
        <f t="shared" si="43"/>
        <v>356.47584157521567</v>
      </c>
      <c r="M421">
        <f t="shared" si="46"/>
        <v>356.69166666666666</v>
      </c>
      <c r="N421" s="28">
        <f t="shared" si="45"/>
        <v>-0.21582509145099493</v>
      </c>
    </row>
    <row r="422" spans="7:14" x14ac:dyDescent="0.4">
      <c r="G422" s="1">
        <v>34029</v>
      </c>
      <c r="H422">
        <f t="shared" si="41"/>
        <v>3</v>
      </c>
      <c r="I422" s="28">
        <v>358.38</v>
      </c>
      <c r="J422" s="28">
        <f t="shared" si="44"/>
        <v>1.2099999999999795</v>
      </c>
      <c r="K422">
        <f t="shared" si="42"/>
        <v>1.3722957593821961</v>
      </c>
      <c r="L422" s="28">
        <f t="shared" si="43"/>
        <v>357.00770424061778</v>
      </c>
      <c r="M422">
        <f t="shared" si="46"/>
        <v>356.74166666666673</v>
      </c>
      <c r="N422" s="28">
        <f t="shared" si="45"/>
        <v>0.26603757395105276</v>
      </c>
    </row>
    <row r="423" spans="7:14" x14ac:dyDescent="0.4">
      <c r="G423" s="1">
        <v>34060</v>
      </c>
      <c r="H423">
        <f t="shared" si="41"/>
        <v>4</v>
      </c>
      <c r="I423" s="28">
        <v>359.46</v>
      </c>
      <c r="J423" s="28">
        <f t="shared" si="44"/>
        <v>1.0799999999999841</v>
      </c>
      <c r="K423">
        <f t="shared" si="42"/>
        <v>2.5880472384049131</v>
      </c>
      <c r="L423" s="28">
        <f t="shared" si="43"/>
        <v>356.87195276159508</v>
      </c>
      <c r="M423">
        <f t="shared" si="46"/>
        <v>356.79833333333335</v>
      </c>
      <c r="N423" s="28">
        <f t="shared" si="45"/>
        <v>7.3619428261736175E-2</v>
      </c>
    </row>
    <row r="424" spans="7:14" x14ac:dyDescent="0.4">
      <c r="G424" s="1">
        <v>34090</v>
      </c>
      <c r="H424">
        <f t="shared" si="41"/>
        <v>5</v>
      </c>
      <c r="I424" s="28">
        <v>360.28</v>
      </c>
      <c r="J424" s="28">
        <f t="shared" si="44"/>
        <v>0.81999999999999318</v>
      </c>
      <c r="K424">
        <f t="shared" si="42"/>
        <v>3.0809752517725739</v>
      </c>
      <c r="L424" s="28">
        <f t="shared" si="43"/>
        <v>357.19902474822737</v>
      </c>
      <c r="M424">
        <f t="shared" si="46"/>
        <v>356.87583333333333</v>
      </c>
      <c r="N424" s="28">
        <f t="shared" si="45"/>
        <v>0.32319141489404046</v>
      </c>
    </row>
    <row r="425" spans="7:14" x14ac:dyDescent="0.4">
      <c r="G425" s="1">
        <v>34121</v>
      </c>
      <c r="H425">
        <f t="shared" si="41"/>
        <v>6</v>
      </c>
      <c r="I425" s="28">
        <v>359.6</v>
      </c>
      <c r="J425" s="28">
        <f t="shared" si="44"/>
        <v>-0.67999999999994998</v>
      </c>
      <c r="K425">
        <f t="shared" si="42"/>
        <v>2.3583796233572674</v>
      </c>
      <c r="L425" s="28">
        <f t="shared" si="43"/>
        <v>357.24162037664274</v>
      </c>
      <c r="M425">
        <f t="shared" si="46"/>
        <v>356.98333333333335</v>
      </c>
      <c r="N425" s="28">
        <f t="shared" si="45"/>
        <v>0.25828704330939445</v>
      </c>
    </row>
    <row r="426" spans="7:14" x14ac:dyDescent="0.4">
      <c r="G426" s="1">
        <v>34151</v>
      </c>
      <c r="H426">
        <f t="shared" si="41"/>
        <v>7</v>
      </c>
      <c r="I426" s="28">
        <v>357.57</v>
      </c>
      <c r="J426" s="28">
        <f t="shared" si="44"/>
        <v>-2.0300000000000296</v>
      </c>
      <c r="K426">
        <f t="shared" si="42"/>
        <v>0.72791514248295042</v>
      </c>
      <c r="L426" s="28">
        <f t="shared" si="43"/>
        <v>356.84208485751702</v>
      </c>
      <c r="M426">
        <f t="shared" si="46"/>
        <v>357.11124999999998</v>
      </c>
      <c r="N426" s="28">
        <f t="shared" si="45"/>
        <v>-0.26916514248296153</v>
      </c>
    </row>
    <row r="427" spans="7:14" x14ac:dyDescent="0.4">
      <c r="G427" s="1">
        <v>34182</v>
      </c>
      <c r="H427">
        <f t="shared" si="41"/>
        <v>8</v>
      </c>
      <c r="I427" s="28">
        <v>355.52</v>
      </c>
      <c r="J427" s="28">
        <f t="shared" si="44"/>
        <v>-2.0500000000000114</v>
      </c>
      <c r="K427">
        <f t="shared" si="42"/>
        <v>-1.4099263875716923</v>
      </c>
      <c r="L427" s="28">
        <f t="shared" si="43"/>
        <v>356.9299263875717</v>
      </c>
      <c r="M427">
        <f t="shared" si="46"/>
        <v>357.25333333333333</v>
      </c>
      <c r="N427" s="28">
        <f t="shared" si="45"/>
        <v>-0.32340694576163287</v>
      </c>
    </row>
    <row r="428" spans="7:14" x14ac:dyDescent="0.4">
      <c r="G428" s="1">
        <v>34213</v>
      </c>
      <c r="H428">
        <f t="shared" si="41"/>
        <v>9</v>
      </c>
      <c r="I428" s="28">
        <v>353.69</v>
      </c>
      <c r="J428" s="28">
        <f t="shared" si="44"/>
        <v>-1.8299999999999841</v>
      </c>
      <c r="K428">
        <f t="shared" si="42"/>
        <v>-3.204325294675523</v>
      </c>
      <c r="L428" s="28">
        <f t="shared" si="43"/>
        <v>356.89432529467553</v>
      </c>
      <c r="M428">
        <f t="shared" si="46"/>
        <v>357.39208333333335</v>
      </c>
      <c r="N428" s="28">
        <f t="shared" si="45"/>
        <v>-0.49775803865782109</v>
      </c>
    </row>
    <row r="429" spans="7:14" x14ac:dyDescent="0.4">
      <c r="G429" s="1">
        <v>34243</v>
      </c>
      <c r="H429">
        <f t="shared" si="41"/>
        <v>10</v>
      </c>
      <c r="I429" s="28">
        <v>353.99</v>
      </c>
      <c r="J429" s="28">
        <f t="shared" si="44"/>
        <v>0.30000000000001137</v>
      </c>
      <c r="K429">
        <f t="shared" si="42"/>
        <v>-3.3270848575170473</v>
      </c>
      <c r="L429" s="28">
        <f t="shared" si="43"/>
        <v>357.31708485751705</v>
      </c>
      <c r="M429">
        <f t="shared" si="46"/>
        <v>357.53333333333336</v>
      </c>
      <c r="N429" s="28">
        <f t="shared" si="45"/>
        <v>-0.21624847581631457</v>
      </c>
    </row>
    <row r="430" spans="7:14" x14ac:dyDescent="0.4">
      <c r="G430" s="1">
        <v>34274</v>
      </c>
      <c r="H430">
        <f t="shared" si="41"/>
        <v>11</v>
      </c>
      <c r="I430" s="28">
        <v>355.34</v>
      </c>
      <c r="J430" s="28">
        <f t="shared" si="44"/>
        <v>1.3499999999999659</v>
      </c>
      <c r="K430">
        <f t="shared" si="42"/>
        <v>-2.0516476990471002</v>
      </c>
      <c r="L430" s="28">
        <f t="shared" si="43"/>
        <v>357.3916476990471</v>
      </c>
      <c r="M430">
        <f t="shared" si="46"/>
        <v>357.66708333333332</v>
      </c>
      <c r="N430" s="28">
        <f t="shared" si="45"/>
        <v>-0.27543563428622519</v>
      </c>
    </row>
    <row r="431" spans="7:14" x14ac:dyDescent="0.4">
      <c r="G431" s="1">
        <v>34304</v>
      </c>
      <c r="H431">
        <f t="shared" si="41"/>
        <v>12</v>
      </c>
      <c r="I431" s="28">
        <v>356.8</v>
      </c>
      <c r="J431" s="28">
        <f t="shared" si="44"/>
        <v>1.4600000000000364</v>
      </c>
      <c r="K431">
        <f t="shared" si="42"/>
        <v>-0.88768595041322573</v>
      </c>
      <c r="L431" s="28">
        <f t="shared" si="43"/>
        <v>357.68768595041325</v>
      </c>
      <c r="M431">
        <f t="shared" si="46"/>
        <v>357.78166666666669</v>
      </c>
      <c r="N431" s="28">
        <f t="shared" si="45"/>
        <v>-9.3980716253440733E-2</v>
      </c>
    </row>
    <row r="432" spans="7:14" x14ac:dyDescent="0.4">
      <c r="G432" s="1">
        <v>34335</v>
      </c>
      <c r="H432">
        <f t="shared" si="41"/>
        <v>1</v>
      </c>
      <c r="I432" s="28">
        <v>358.37</v>
      </c>
      <c r="J432" s="28">
        <f t="shared" si="44"/>
        <v>1.5699999999999932</v>
      </c>
      <c r="K432">
        <f t="shared" si="42"/>
        <v>5.8898749040328657E-2</v>
      </c>
      <c r="L432" s="28">
        <f t="shared" si="43"/>
        <v>358.31110125095967</v>
      </c>
      <c r="M432">
        <f t="shared" si="46"/>
        <v>357.92</v>
      </c>
      <c r="N432" s="28">
        <f t="shared" si="45"/>
        <v>0.39110125095965032</v>
      </c>
    </row>
    <row r="433" spans="7:14" x14ac:dyDescent="0.4">
      <c r="G433" s="1">
        <v>34366</v>
      </c>
      <c r="H433">
        <f t="shared" si="41"/>
        <v>2</v>
      </c>
      <c r="I433" s="28">
        <v>358.91</v>
      </c>
      <c r="J433" s="28">
        <f t="shared" si="44"/>
        <v>0.54000000000002046</v>
      </c>
      <c r="K433">
        <f t="shared" si="42"/>
        <v>0.6941584247843573</v>
      </c>
      <c r="L433" s="28">
        <f t="shared" si="43"/>
        <v>358.21584157521568</v>
      </c>
      <c r="M433">
        <f t="shared" si="46"/>
        <v>358.0841666666667</v>
      </c>
      <c r="N433" s="28">
        <f t="shared" si="45"/>
        <v>0.13167490854897324</v>
      </c>
    </row>
    <row r="434" spans="7:14" x14ac:dyDescent="0.4">
      <c r="G434" s="1">
        <v>34394</v>
      </c>
      <c r="H434">
        <f t="shared" si="41"/>
        <v>3</v>
      </c>
      <c r="I434" s="28">
        <v>359.97</v>
      </c>
      <c r="J434" s="28">
        <f t="shared" si="44"/>
        <v>1.0600000000000023</v>
      </c>
      <c r="K434">
        <f t="shared" si="42"/>
        <v>1.3722957593821961</v>
      </c>
      <c r="L434" s="28">
        <f t="shared" si="43"/>
        <v>358.59770424061782</v>
      </c>
      <c r="M434">
        <f t="shared" si="46"/>
        <v>358.25541666666669</v>
      </c>
      <c r="N434" s="28">
        <f t="shared" si="45"/>
        <v>0.34228757395112552</v>
      </c>
    </row>
    <row r="435" spans="7:14" x14ac:dyDescent="0.4">
      <c r="G435" s="1">
        <v>34425</v>
      </c>
      <c r="H435">
        <f t="shared" si="41"/>
        <v>4</v>
      </c>
      <c r="I435" s="28">
        <v>361.26</v>
      </c>
      <c r="J435" s="28">
        <f t="shared" si="44"/>
        <v>1.2899999999999636</v>
      </c>
      <c r="K435">
        <f t="shared" si="42"/>
        <v>2.5880472384049131</v>
      </c>
      <c r="L435" s="28">
        <f t="shared" si="43"/>
        <v>358.67195276159509</v>
      </c>
      <c r="M435">
        <f t="shared" si="46"/>
        <v>358.42875000000004</v>
      </c>
      <c r="N435" s="28">
        <f t="shared" si="45"/>
        <v>0.24320276159505738</v>
      </c>
    </row>
    <row r="436" spans="7:14" x14ac:dyDescent="0.4">
      <c r="G436" s="1">
        <v>34455</v>
      </c>
      <c r="H436">
        <f t="shared" si="41"/>
        <v>5</v>
      </c>
      <c r="I436" s="28">
        <v>361.69</v>
      </c>
      <c r="J436" s="28">
        <f t="shared" si="44"/>
        <v>0.43000000000000682</v>
      </c>
      <c r="K436">
        <f t="shared" si="42"/>
        <v>3.0809752517725739</v>
      </c>
      <c r="L436" s="28">
        <f t="shared" si="43"/>
        <v>358.6090247482274</v>
      </c>
      <c r="M436">
        <f t="shared" si="46"/>
        <v>358.60583333333335</v>
      </c>
      <c r="N436" s="28">
        <f t="shared" si="45"/>
        <v>3.1914148940472842E-3</v>
      </c>
    </row>
    <row r="437" spans="7:14" x14ac:dyDescent="0.4">
      <c r="G437" s="1">
        <v>34486</v>
      </c>
      <c r="H437">
        <f t="shared" si="41"/>
        <v>6</v>
      </c>
      <c r="I437" s="28">
        <v>360.94</v>
      </c>
      <c r="J437" s="28">
        <f t="shared" si="44"/>
        <v>-0.75</v>
      </c>
      <c r="K437">
        <f t="shared" si="42"/>
        <v>2.3583796233572674</v>
      </c>
      <c r="L437" s="28">
        <f t="shared" si="43"/>
        <v>358.58162037664272</v>
      </c>
      <c r="M437">
        <f t="shared" si="46"/>
        <v>358.79250000000002</v>
      </c>
      <c r="N437" s="28">
        <f t="shared" si="45"/>
        <v>-0.21087962335730026</v>
      </c>
    </row>
    <row r="438" spans="7:14" x14ac:dyDescent="0.4">
      <c r="G438" s="1">
        <v>34516</v>
      </c>
      <c r="H438">
        <f t="shared" si="41"/>
        <v>7</v>
      </c>
      <c r="I438" s="28">
        <v>359.55</v>
      </c>
      <c r="J438" s="28">
        <f t="shared" si="44"/>
        <v>-1.3899999999999864</v>
      </c>
      <c r="K438">
        <f t="shared" si="42"/>
        <v>0.72791514248295042</v>
      </c>
      <c r="L438" s="28">
        <f t="shared" si="43"/>
        <v>358.82208485751704</v>
      </c>
      <c r="M438">
        <f t="shared" si="46"/>
        <v>358.9525000000001</v>
      </c>
      <c r="N438" s="28">
        <f t="shared" si="45"/>
        <v>-0.1304151424830593</v>
      </c>
    </row>
    <row r="439" spans="7:14" x14ac:dyDescent="0.4">
      <c r="G439" s="1">
        <v>34547</v>
      </c>
      <c r="H439">
        <f t="shared" si="41"/>
        <v>8</v>
      </c>
      <c r="I439" s="28">
        <v>357.48</v>
      </c>
      <c r="J439" s="28">
        <f t="shared" si="44"/>
        <v>-2.0699999999999932</v>
      </c>
      <c r="K439">
        <f t="shared" si="42"/>
        <v>-1.4099263875716923</v>
      </c>
      <c r="L439" s="28">
        <f t="shared" si="43"/>
        <v>358.88992638757173</v>
      </c>
      <c r="M439">
        <f t="shared" si="46"/>
        <v>359.10624999999999</v>
      </c>
      <c r="N439" s="28">
        <f t="shared" si="45"/>
        <v>-0.21632361242825482</v>
      </c>
    </row>
    <row r="440" spans="7:14" x14ac:dyDescent="0.4">
      <c r="G440" s="1">
        <v>34578</v>
      </c>
      <c r="H440">
        <f t="shared" si="41"/>
        <v>9</v>
      </c>
      <c r="I440" s="28">
        <v>355.84</v>
      </c>
      <c r="J440" s="28">
        <f t="shared" si="44"/>
        <v>-1.6400000000000432</v>
      </c>
      <c r="K440">
        <f t="shared" si="42"/>
        <v>-3.204325294675523</v>
      </c>
      <c r="L440" s="28">
        <f t="shared" si="43"/>
        <v>359.0443252946755</v>
      </c>
      <c r="M440">
        <f t="shared" si="46"/>
        <v>359.26250000000005</v>
      </c>
      <c r="N440" s="28">
        <f t="shared" si="45"/>
        <v>-0.21817470532454308</v>
      </c>
    </row>
    <row r="441" spans="7:14" x14ac:dyDescent="0.4">
      <c r="G441" s="1">
        <v>34608</v>
      </c>
      <c r="H441">
        <f t="shared" si="41"/>
        <v>10</v>
      </c>
      <c r="I441" s="28">
        <v>356</v>
      </c>
      <c r="J441" s="28">
        <f t="shared" si="44"/>
        <v>0.16000000000002501</v>
      </c>
      <c r="K441">
        <f t="shared" si="42"/>
        <v>-3.3270848575170473</v>
      </c>
      <c r="L441" s="28">
        <f t="shared" si="43"/>
        <v>359.32708485751704</v>
      </c>
      <c r="M441">
        <f t="shared" si="46"/>
        <v>359.42291666666671</v>
      </c>
      <c r="N441" s="28">
        <f t="shared" si="45"/>
        <v>-9.5831809149672154E-2</v>
      </c>
    </row>
    <row r="442" spans="7:14" x14ac:dyDescent="0.4">
      <c r="G442" s="1">
        <v>34639</v>
      </c>
      <c r="H442">
        <f t="shared" si="41"/>
        <v>11</v>
      </c>
      <c r="I442" s="28">
        <v>357.58</v>
      </c>
      <c r="J442" s="28">
        <f t="shared" si="44"/>
        <v>1.5799999999999841</v>
      </c>
      <c r="K442">
        <f t="shared" si="42"/>
        <v>-2.0516476990471002</v>
      </c>
      <c r="L442" s="28">
        <f t="shared" si="43"/>
        <v>359.63164769904711</v>
      </c>
      <c r="M442">
        <f t="shared" si="46"/>
        <v>359.60208333333338</v>
      </c>
      <c r="N442" s="28">
        <f t="shared" si="45"/>
        <v>2.9564365713724783E-2</v>
      </c>
    </row>
    <row r="443" spans="7:14" x14ac:dyDescent="0.4">
      <c r="G443" s="1">
        <v>34669</v>
      </c>
      <c r="H443">
        <f t="shared" si="41"/>
        <v>12</v>
      </c>
      <c r="I443" s="28">
        <v>359.04</v>
      </c>
      <c r="J443" s="28">
        <f t="shared" si="44"/>
        <v>1.4600000000000364</v>
      </c>
      <c r="K443">
        <f t="shared" si="42"/>
        <v>-0.88768595041322573</v>
      </c>
      <c r="L443" s="28">
        <f t="shared" si="43"/>
        <v>359.92768595041326</v>
      </c>
      <c r="M443">
        <f t="shared" si="46"/>
        <v>359.78666666666669</v>
      </c>
      <c r="N443" s="28">
        <f t="shared" si="45"/>
        <v>0.14101928374657291</v>
      </c>
    </row>
    <row r="444" spans="7:14" x14ac:dyDescent="0.4">
      <c r="G444" s="1">
        <v>34700</v>
      </c>
      <c r="H444">
        <f t="shared" si="41"/>
        <v>1</v>
      </c>
      <c r="I444" s="28">
        <v>359.97</v>
      </c>
      <c r="J444" s="28">
        <f t="shared" si="44"/>
        <v>0.93000000000000682</v>
      </c>
      <c r="K444">
        <f t="shared" si="42"/>
        <v>5.8898749040328657E-2</v>
      </c>
      <c r="L444" s="28">
        <f t="shared" si="43"/>
        <v>359.91110125095969</v>
      </c>
      <c r="M444">
        <f t="shared" si="46"/>
        <v>359.98083333333335</v>
      </c>
      <c r="N444" s="28">
        <f t="shared" si="45"/>
        <v>-6.9732082373661797E-2</v>
      </c>
    </row>
    <row r="445" spans="7:14" x14ac:dyDescent="0.4">
      <c r="G445" s="1">
        <v>34731</v>
      </c>
      <c r="H445">
        <f t="shared" si="41"/>
        <v>2</v>
      </c>
      <c r="I445" s="28">
        <v>361</v>
      </c>
      <c r="J445" s="28">
        <f t="shared" si="44"/>
        <v>1.0299999999999727</v>
      </c>
      <c r="K445">
        <f t="shared" si="42"/>
        <v>0.6941584247843573</v>
      </c>
      <c r="L445" s="28">
        <f t="shared" si="43"/>
        <v>360.30584157521565</v>
      </c>
      <c r="M445">
        <f t="shared" si="46"/>
        <v>360.16041666666666</v>
      </c>
      <c r="N445" s="28">
        <f t="shared" si="45"/>
        <v>0.14542490854898915</v>
      </c>
    </row>
    <row r="446" spans="7:14" x14ac:dyDescent="0.4">
      <c r="G446" s="1">
        <v>34759</v>
      </c>
      <c r="H446">
        <f t="shared" si="41"/>
        <v>3</v>
      </c>
      <c r="I446" s="28">
        <v>361.63</v>
      </c>
      <c r="J446" s="28">
        <f t="shared" si="44"/>
        <v>0.62999999999999545</v>
      </c>
      <c r="K446">
        <f t="shared" si="42"/>
        <v>1.3722957593821961</v>
      </c>
      <c r="L446" s="28">
        <f t="shared" si="43"/>
        <v>360.25770424061778</v>
      </c>
      <c r="M446">
        <f t="shared" si="46"/>
        <v>360.33458333333334</v>
      </c>
      <c r="N446" s="28">
        <f t="shared" si="45"/>
        <v>-7.6879092715557817E-2</v>
      </c>
    </row>
    <row r="447" spans="7:14" x14ac:dyDescent="0.4">
      <c r="G447" s="1">
        <v>34790</v>
      </c>
      <c r="H447">
        <f t="shared" si="41"/>
        <v>4</v>
      </c>
      <c r="I447" s="28">
        <v>363.45</v>
      </c>
      <c r="J447" s="28">
        <f t="shared" si="44"/>
        <v>1.8199999999999932</v>
      </c>
      <c r="K447">
        <f t="shared" si="42"/>
        <v>2.5880472384049131</v>
      </c>
      <c r="L447" s="28">
        <f t="shared" si="43"/>
        <v>360.86195276159509</v>
      </c>
      <c r="M447">
        <f t="shared" si="46"/>
        <v>360.49958333333331</v>
      </c>
      <c r="N447" s="28">
        <f t="shared" si="45"/>
        <v>0.3623694282617862</v>
      </c>
    </row>
    <row r="448" spans="7:14" x14ac:dyDescent="0.4">
      <c r="G448" s="1">
        <v>34820</v>
      </c>
      <c r="H448">
        <f t="shared" si="41"/>
        <v>5</v>
      </c>
      <c r="I448" s="28">
        <v>363.8</v>
      </c>
      <c r="J448" s="28">
        <f t="shared" si="44"/>
        <v>0.35000000000002274</v>
      </c>
      <c r="K448">
        <f t="shared" si="42"/>
        <v>3.0809752517725739</v>
      </c>
      <c r="L448" s="28">
        <f t="shared" si="43"/>
        <v>360.71902474822741</v>
      </c>
      <c r="M448">
        <f t="shared" si="46"/>
        <v>360.65500000000003</v>
      </c>
      <c r="N448" s="28">
        <f t="shared" si="45"/>
        <v>6.4024748227382133E-2</v>
      </c>
    </row>
    <row r="449" spans="7:14" x14ac:dyDescent="0.4">
      <c r="G449" s="1">
        <v>34851</v>
      </c>
      <c r="H449">
        <f t="shared" si="41"/>
        <v>6</v>
      </c>
      <c r="I449" s="28">
        <v>363.26</v>
      </c>
      <c r="J449" s="28">
        <f t="shared" si="44"/>
        <v>-0.54000000000002046</v>
      </c>
      <c r="K449">
        <f t="shared" si="42"/>
        <v>2.3583796233572674</v>
      </c>
      <c r="L449" s="28">
        <f t="shared" si="43"/>
        <v>360.90162037664271</v>
      </c>
      <c r="M449">
        <f t="shared" si="46"/>
        <v>360.80666666666667</v>
      </c>
      <c r="N449" s="28">
        <f t="shared" si="45"/>
        <v>9.4953709976039136E-2</v>
      </c>
    </row>
    <row r="450" spans="7:14" x14ac:dyDescent="0.4">
      <c r="G450" s="1">
        <v>34881</v>
      </c>
      <c r="H450">
        <f t="shared" si="41"/>
        <v>7</v>
      </c>
      <c r="I450" s="28">
        <v>361.89</v>
      </c>
      <c r="J450" s="28">
        <f t="shared" si="44"/>
        <v>-1.3700000000000045</v>
      </c>
      <c r="K450">
        <f t="shared" si="42"/>
        <v>0.72791514248295042</v>
      </c>
      <c r="L450" s="28">
        <f t="shared" si="43"/>
        <v>361.16208485751702</v>
      </c>
      <c r="M450">
        <f t="shared" si="46"/>
        <v>360.96250000000009</v>
      </c>
      <c r="N450" s="28">
        <f t="shared" si="45"/>
        <v>0.19958485751692479</v>
      </c>
    </row>
    <row r="451" spans="7:14" x14ac:dyDescent="0.4">
      <c r="G451" s="1">
        <v>34912</v>
      </c>
      <c r="H451">
        <f t="shared" ref="H451:H514" si="47">MONTH(G451)</f>
        <v>8</v>
      </c>
      <c r="I451" s="28">
        <v>359.45</v>
      </c>
      <c r="J451" s="28">
        <f t="shared" si="44"/>
        <v>-2.4399999999999977</v>
      </c>
      <c r="K451">
        <f t="shared" ref="K451:K514" si="48">INDEX($E$3:$E$14,H451)</f>
        <v>-1.4099263875716923</v>
      </c>
      <c r="L451" s="28">
        <f t="shared" ref="L451:L514" si="49">I451-K451</f>
        <v>360.8599263875717</v>
      </c>
      <c r="M451">
        <f t="shared" si="46"/>
        <v>361.1425000000001</v>
      </c>
      <c r="N451" s="28">
        <f t="shared" si="45"/>
        <v>-0.28257361242839352</v>
      </c>
    </row>
    <row r="452" spans="7:14" x14ac:dyDescent="0.4">
      <c r="G452" s="1">
        <v>34943</v>
      </c>
      <c r="H452">
        <f t="shared" si="47"/>
        <v>9</v>
      </c>
      <c r="I452" s="28">
        <v>358.05</v>
      </c>
      <c r="J452" s="28">
        <f t="shared" ref="J452:J515" si="50">I452-I451</f>
        <v>-1.3999999999999773</v>
      </c>
      <c r="K452">
        <f t="shared" si="48"/>
        <v>-3.204325294675523</v>
      </c>
      <c r="L452" s="28">
        <f t="shared" si="49"/>
        <v>361.25432529467554</v>
      </c>
      <c r="M452">
        <f t="shared" si="46"/>
        <v>361.33541666666662</v>
      </c>
      <c r="N452" s="28">
        <f t="shared" si="45"/>
        <v>-8.1091371991078631E-2</v>
      </c>
    </row>
    <row r="453" spans="7:14" x14ac:dyDescent="0.4">
      <c r="G453" s="1">
        <v>34973</v>
      </c>
      <c r="H453">
        <f t="shared" si="47"/>
        <v>10</v>
      </c>
      <c r="I453" s="28">
        <v>357.75</v>
      </c>
      <c r="J453" s="28">
        <f t="shared" si="50"/>
        <v>-0.30000000000001137</v>
      </c>
      <c r="K453">
        <f t="shared" si="48"/>
        <v>-3.3270848575170473</v>
      </c>
      <c r="L453" s="28">
        <f t="shared" si="49"/>
        <v>361.07708485751704</v>
      </c>
      <c r="M453">
        <f t="shared" si="46"/>
        <v>361.48749999999995</v>
      </c>
      <c r="N453" s="28">
        <f t="shared" si="45"/>
        <v>-0.41041514248291833</v>
      </c>
    </row>
    <row r="454" spans="7:14" x14ac:dyDescent="0.4">
      <c r="G454" s="1">
        <v>35004</v>
      </c>
      <c r="H454">
        <f t="shared" si="47"/>
        <v>11</v>
      </c>
      <c r="I454" s="28">
        <v>359.56</v>
      </c>
      <c r="J454" s="28">
        <f t="shared" si="50"/>
        <v>1.8100000000000023</v>
      </c>
      <c r="K454">
        <f t="shared" si="48"/>
        <v>-2.0516476990471002</v>
      </c>
      <c r="L454" s="28">
        <f t="shared" si="49"/>
        <v>361.61164769904713</v>
      </c>
      <c r="M454">
        <f t="shared" si="46"/>
        <v>361.60750000000002</v>
      </c>
      <c r="N454" s="28">
        <f t="shared" si="45"/>
        <v>4.1476990471096542E-3</v>
      </c>
    </row>
    <row r="455" spans="7:14" x14ac:dyDescent="0.4">
      <c r="G455" s="1">
        <v>35034</v>
      </c>
      <c r="H455">
        <f t="shared" si="47"/>
        <v>12</v>
      </c>
      <c r="I455" s="28">
        <v>360.7</v>
      </c>
      <c r="J455" s="28">
        <f t="shared" si="50"/>
        <v>1.1399999999999864</v>
      </c>
      <c r="K455">
        <f t="shared" si="48"/>
        <v>-0.88768595041322573</v>
      </c>
      <c r="L455" s="28">
        <f t="shared" si="49"/>
        <v>361.58768595041323</v>
      </c>
      <c r="M455">
        <f t="shared" si="46"/>
        <v>361.74624999999997</v>
      </c>
      <c r="N455" s="28">
        <f t="shared" si="45"/>
        <v>-0.15856404958674375</v>
      </c>
    </row>
    <row r="456" spans="7:14" x14ac:dyDescent="0.4">
      <c r="G456" s="1">
        <v>35065</v>
      </c>
      <c r="H456">
        <f t="shared" si="47"/>
        <v>1</v>
      </c>
      <c r="I456" s="28">
        <v>362.05</v>
      </c>
      <c r="J456" s="28">
        <f t="shared" si="50"/>
        <v>1.3500000000000227</v>
      </c>
      <c r="K456">
        <f t="shared" si="48"/>
        <v>5.8898749040328657E-2</v>
      </c>
      <c r="L456" s="28">
        <f t="shared" si="49"/>
        <v>361.99110125095967</v>
      </c>
      <c r="M456">
        <f t="shared" si="46"/>
        <v>361.89083333333332</v>
      </c>
      <c r="N456" s="28">
        <f t="shared" si="45"/>
        <v>0.10026791762635412</v>
      </c>
    </row>
    <row r="457" spans="7:14" x14ac:dyDescent="0.4">
      <c r="G457" s="1">
        <v>35096</v>
      </c>
      <c r="H457">
        <f t="shared" si="47"/>
        <v>2</v>
      </c>
      <c r="I457" s="28">
        <v>363.24</v>
      </c>
      <c r="J457" s="28">
        <f t="shared" si="50"/>
        <v>1.1899999999999977</v>
      </c>
      <c r="K457">
        <f t="shared" si="48"/>
        <v>0.6941584247843573</v>
      </c>
      <c r="L457" s="28">
        <f t="shared" si="49"/>
        <v>362.54584157521566</v>
      </c>
      <c r="M457">
        <f t="shared" si="46"/>
        <v>362.04874999999998</v>
      </c>
      <c r="N457" s="28">
        <f t="shared" ref="N457:N520" si="51">L457-M457</f>
        <v>0.49709157521567704</v>
      </c>
    </row>
    <row r="458" spans="7:14" x14ac:dyDescent="0.4">
      <c r="G458" s="1">
        <v>35125</v>
      </c>
      <c r="H458">
        <f t="shared" si="47"/>
        <v>3</v>
      </c>
      <c r="I458" s="28">
        <v>364.02</v>
      </c>
      <c r="J458" s="28">
        <f t="shared" si="50"/>
        <v>0.77999999999997272</v>
      </c>
      <c r="K458">
        <f t="shared" si="48"/>
        <v>1.3722957593821961</v>
      </c>
      <c r="L458" s="28">
        <f t="shared" si="49"/>
        <v>362.64770424061777</v>
      </c>
      <c r="M458">
        <f t="shared" si="46"/>
        <v>362.19166666666666</v>
      </c>
      <c r="N458" s="28">
        <f t="shared" si="51"/>
        <v>0.45603757395110733</v>
      </c>
    </row>
    <row r="459" spans="7:14" x14ac:dyDescent="0.4">
      <c r="G459" s="1">
        <v>35156</v>
      </c>
      <c r="H459">
        <f t="shared" si="47"/>
        <v>4</v>
      </c>
      <c r="I459" s="28">
        <v>364.71</v>
      </c>
      <c r="J459" s="28">
        <f t="shared" si="50"/>
        <v>0.68999999999999773</v>
      </c>
      <c r="K459">
        <f t="shared" si="48"/>
        <v>2.5880472384049131</v>
      </c>
      <c r="L459" s="28">
        <f t="shared" si="49"/>
        <v>362.12195276159508</v>
      </c>
      <c r="M459">
        <f t="shared" si="46"/>
        <v>362.32750000000004</v>
      </c>
      <c r="N459" s="28">
        <f t="shared" si="51"/>
        <v>-0.20554723840496081</v>
      </c>
    </row>
    <row r="460" spans="7:14" x14ac:dyDescent="0.4">
      <c r="G460" s="1">
        <v>35186</v>
      </c>
      <c r="H460">
        <f t="shared" si="47"/>
        <v>5</v>
      </c>
      <c r="I460" s="28">
        <v>365.42</v>
      </c>
      <c r="J460" s="28">
        <f t="shared" si="50"/>
        <v>0.71000000000003638</v>
      </c>
      <c r="K460">
        <f t="shared" si="48"/>
        <v>3.0809752517725739</v>
      </c>
      <c r="L460" s="28">
        <f t="shared" si="49"/>
        <v>362.33902474822742</v>
      </c>
      <c r="M460">
        <f t="shared" si="46"/>
        <v>362.45499999999998</v>
      </c>
      <c r="N460" s="28">
        <f t="shared" si="51"/>
        <v>-0.11597525177256784</v>
      </c>
    </row>
    <row r="461" spans="7:14" x14ac:dyDescent="0.4">
      <c r="G461" s="1">
        <v>35217</v>
      </c>
      <c r="H461">
        <f t="shared" si="47"/>
        <v>6</v>
      </c>
      <c r="I461" s="28">
        <v>364.97</v>
      </c>
      <c r="J461" s="28">
        <f t="shared" si="50"/>
        <v>-0.44999999999998863</v>
      </c>
      <c r="K461">
        <f t="shared" si="48"/>
        <v>2.3583796233572674</v>
      </c>
      <c r="L461" s="28">
        <f t="shared" si="49"/>
        <v>362.61162037664275</v>
      </c>
      <c r="M461">
        <f t="shared" si="46"/>
        <v>362.57291666666669</v>
      </c>
      <c r="N461" s="28">
        <f t="shared" si="51"/>
        <v>3.8703709976061873E-2</v>
      </c>
    </row>
    <row r="462" spans="7:14" x14ac:dyDescent="0.4">
      <c r="G462" s="1">
        <v>35247</v>
      </c>
      <c r="H462">
        <f t="shared" si="47"/>
        <v>7</v>
      </c>
      <c r="I462" s="28">
        <v>363.65</v>
      </c>
      <c r="J462" s="28">
        <f t="shared" si="50"/>
        <v>-1.32000000000005</v>
      </c>
      <c r="K462">
        <f t="shared" si="48"/>
        <v>0.72791514248295042</v>
      </c>
      <c r="L462" s="28">
        <f t="shared" si="49"/>
        <v>362.92208485751701</v>
      </c>
      <c r="M462">
        <f t="shared" si="46"/>
        <v>362.68833333333333</v>
      </c>
      <c r="N462" s="28">
        <f t="shared" si="51"/>
        <v>0.23375152418367406</v>
      </c>
    </row>
    <row r="463" spans="7:14" x14ac:dyDescent="0.4">
      <c r="G463" s="1">
        <v>35278</v>
      </c>
      <c r="H463">
        <f t="shared" si="47"/>
        <v>8</v>
      </c>
      <c r="I463" s="28">
        <v>361.48</v>
      </c>
      <c r="J463" s="28">
        <f t="shared" si="50"/>
        <v>-2.1699999999999591</v>
      </c>
      <c r="K463">
        <f t="shared" si="48"/>
        <v>-1.4099263875716923</v>
      </c>
      <c r="L463" s="28">
        <f t="shared" si="49"/>
        <v>362.88992638757173</v>
      </c>
      <c r="M463">
        <f t="shared" ref="M463:M526" si="52">(SUM(L458:L468)+(L457+L469)/2)/12</f>
        <v>362.76708333333335</v>
      </c>
      <c r="N463" s="28">
        <f t="shared" si="51"/>
        <v>0.12284305423838759</v>
      </c>
    </row>
    <row r="464" spans="7:14" x14ac:dyDescent="0.4">
      <c r="G464" s="1">
        <v>35309</v>
      </c>
      <c r="H464">
        <f t="shared" si="47"/>
        <v>9</v>
      </c>
      <c r="I464" s="28">
        <v>359.45</v>
      </c>
      <c r="J464" s="28">
        <f t="shared" si="50"/>
        <v>-2.0300000000000296</v>
      </c>
      <c r="K464">
        <f t="shared" si="48"/>
        <v>-3.204325294675523</v>
      </c>
      <c r="L464" s="28">
        <f t="shared" si="49"/>
        <v>362.65432529467552</v>
      </c>
      <c r="M464">
        <f t="shared" si="52"/>
        <v>362.82083333333338</v>
      </c>
      <c r="N464" s="28">
        <f t="shared" si="51"/>
        <v>-0.16650803865786656</v>
      </c>
    </row>
    <row r="465" spans="7:14" x14ac:dyDescent="0.4">
      <c r="G465" s="1">
        <v>35339</v>
      </c>
      <c r="H465">
        <f t="shared" si="47"/>
        <v>10</v>
      </c>
      <c r="I465" s="28">
        <v>359.61</v>
      </c>
      <c r="J465" s="28">
        <f t="shared" si="50"/>
        <v>0.16000000000002501</v>
      </c>
      <c r="K465">
        <f t="shared" si="48"/>
        <v>-3.3270848575170473</v>
      </c>
      <c r="L465" s="28">
        <f t="shared" si="49"/>
        <v>362.93708485751705</v>
      </c>
      <c r="M465">
        <f t="shared" si="52"/>
        <v>362.91208333333333</v>
      </c>
      <c r="N465" s="28">
        <f t="shared" si="51"/>
        <v>2.5001524183721813E-2</v>
      </c>
    </row>
    <row r="466" spans="7:14" x14ac:dyDescent="0.4">
      <c r="G466" s="1">
        <v>35370</v>
      </c>
      <c r="H466">
        <f t="shared" si="47"/>
        <v>11</v>
      </c>
      <c r="I466" s="28">
        <v>360.76</v>
      </c>
      <c r="J466" s="28">
        <f t="shared" si="50"/>
        <v>1.1499999999999773</v>
      </c>
      <c r="K466">
        <f t="shared" si="48"/>
        <v>-2.0516476990471002</v>
      </c>
      <c r="L466" s="28">
        <f t="shared" si="49"/>
        <v>362.81164769904711</v>
      </c>
      <c r="M466">
        <f t="shared" si="52"/>
        <v>363.03833333333324</v>
      </c>
      <c r="N466" s="28">
        <f t="shared" si="51"/>
        <v>-0.22668563428612742</v>
      </c>
    </row>
    <row r="467" spans="7:14" x14ac:dyDescent="0.4">
      <c r="G467" s="1">
        <v>35400</v>
      </c>
      <c r="H467">
        <f t="shared" si="47"/>
        <v>12</v>
      </c>
      <c r="I467" s="28">
        <v>362.33</v>
      </c>
      <c r="J467" s="28">
        <f t="shared" si="50"/>
        <v>1.5699999999999932</v>
      </c>
      <c r="K467">
        <f t="shared" si="48"/>
        <v>-0.88768595041322573</v>
      </c>
      <c r="L467" s="28">
        <f t="shared" si="49"/>
        <v>363.21768595041323</v>
      </c>
      <c r="M467">
        <f t="shared" si="52"/>
        <v>363.12333333333328</v>
      </c>
      <c r="N467" s="28">
        <f t="shared" si="51"/>
        <v>9.4352617079948686E-2</v>
      </c>
    </row>
    <row r="468" spans="7:14" x14ac:dyDescent="0.4">
      <c r="G468" s="1">
        <v>35431</v>
      </c>
      <c r="H468">
        <f t="shared" si="47"/>
        <v>1</v>
      </c>
      <c r="I468" s="28">
        <v>363.19</v>
      </c>
      <c r="J468" s="28">
        <f t="shared" si="50"/>
        <v>0.86000000000001364</v>
      </c>
      <c r="K468">
        <f t="shared" si="48"/>
        <v>5.8898749040328657E-2</v>
      </c>
      <c r="L468" s="28">
        <f t="shared" si="49"/>
        <v>363.13110125095966</v>
      </c>
      <c r="M468">
        <f t="shared" si="52"/>
        <v>363.18499999999995</v>
      </c>
      <c r="N468" s="28">
        <f t="shared" si="51"/>
        <v>-5.389874904028602E-2</v>
      </c>
    </row>
    <row r="469" spans="7:14" x14ac:dyDescent="0.4">
      <c r="G469" s="1">
        <v>35462</v>
      </c>
      <c r="H469">
        <f t="shared" si="47"/>
        <v>2</v>
      </c>
      <c r="I469" s="28">
        <v>363.99</v>
      </c>
      <c r="J469" s="28">
        <f t="shared" si="50"/>
        <v>0.80000000000001137</v>
      </c>
      <c r="K469">
        <f t="shared" si="48"/>
        <v>0.6941584247843573</v>
      </c>
      <c r="L469" s="28">
        <f t="shared" si="49"/>
        <v>363.29584157521566</v>
      </c>
      <c r="M469">
        <f t="shared" si="52"/>
        <v>363.26166666666671</v>
      </c>
      <c r="N469" s="28">
        <f t="shared" si="51"/>
        <v>3.4174908548948224E-2</v>
      </c>
    </row>
    <row r="470" spans="7:14" x14ac:dyDescent="0.4">
      <c r="G470" s="1">
        <v>35490</v>
      </c>
      <c r="H470">
        <f t="shared" si="47"/>
        <v>3</v>
      </c>
      <c r="I470" s="28">
        <v>364.56</v>
      </c>
      <c r="J470" s="28">
        <f t="shared" si="50"/>
        <v>0.56999999999999318</v>
      </c>
      <c r="K470">
        <f t="shared" si="48"/>
        <v>1.3722957593821961</v>
      </c>
      <c r="L470" s="28">
        <f t="shared" si="49"/>
        <v>363.18770424061779</v>
      </c>
      <c r="M470">
        <f t="shared" si="52"/>
        <v>363.33499999999998</v>
      </c>
      <c r="N470" s="28">
        <f t="shared" si="51"/>
        <v>-0.14729575938218886</v>
      </c>
    </row>
    <row r="471" spans="7:14" x14ac:dyDescent="0.4">
      <c r="G471" s="1">
        <v>35521</v>
      </c>
      <c r="H471">
        <f t="shared" si="47"/>
        <v>4</v>
      </c>
      <c r="I471" s="28">
        <v>366.36</v>
      </c>
      <c r="J471" s="28">
        <f t="shared" si="50"/>
        <v>1.8000000000000114</v>
      </c>
      <c r="K471">
        <f t="shared" si="48"/>
        <v>2.5880472384049131</v>
      </c>
      <c r="L471" s="28">
        <f t="shared" si="49"/>
        <v>363.77195276159512</v>
      </c>
      <c r="M471">
        <f t="shared" si="52"/>
        <v>363.41458333333338</v>
      </c>
      <c r="N471" s="28">
        <f t="shared" si="51"/>
        <v>0.3573694282617339</v>
      </c>
    </row>
    <row r="472" spans="7:14" x14ac:dyDescent="0.4">
      <c r="G472" s="1">
        <v>35551</v>
      </c>
      <c r="H472">
        <f t="shared" si="47"/>
        <v>5</v>
      </c>
      <c r="I472" s="28">
        <v>366.8</v>
      </c>
      <c r="J472" s="28">
        <f t="shared" si="50"/>
        <v>0.43999999999999773</v>
      </c>
      <c r="K472">
        <f t="shared" si="48"/>
        <v>3.0809752517725739</v>
      </c>
      <c r="L472" s="28">
        <f t="shared" si="49"/>
        <v>363.71902474822741</v>
      </c>
      <c r="M472">
        <f t="shared" si="52"/>
        <v>363.53291666666672</v>
      </c>
      <c r="N472" s="28">
        <f t="shared" si="51"/>
        <v>0.1861080815606897</v>
      </c>
    </row>
    <row r="473" spans="7:14" x14ac:dyDescent="0.4">
      <c r="G473" s="1">
        <v>35582</v>
      </c>
      <c r="H473">
        <f t="shared" si="47"/>
        <v>6</v>
      </c>
      <c r="I473" s="28">
        <v>365.63</v>
      </c>
      <c r="J473" s="28">
        <f t="shared" si="50"/>
        <v>-1.1700000000000159</v>
      </c>
      <c r="K473">
        <f t="shared" si="48"/>
        <v>2.3583796233572674</v>
      </c>
      <c r="L473" s="28">
        <f t="shared" si="49"/>
        <v>363.27162037664272</v>
      </c>
      <c r="M473">
        <f t="shared" si="52"/>
        <v>363.68374999999997</v>
      </c>
      <c r="N473" s="28">
        <f t="shared" si="51"/>
        <v>-0.41212962335725933</v>
      </c>
    </row>
    <row r="474" spans="7:14" x14ac:dyDescent="0.4">
      <c r="G474" s="1">
        <v>35612</v>
      </c>
      <c r="H474">
        <f t="shared" si="47"/>
        <v>7</v>
      </c>
      <c r="I474" s="28">
        <v>364.47</v>
      </c>
      <c r="J474" s="28">
        <f t="shared" si="50"/>
        <v>-1.1599999999999682</v>
      </c>
      <c r="K474">
        <f t="shared" si="48"/>
        <v>0.72791514248295042</v>
      </c>
      <c r="L474" s="28">
        <f t="shared" si="49"/>
        <v>363.74208485751706</v>
      </c>
      <c r="M474">
        <f t="shared" si="52"/>
        <v>363.85416666666669</v>
      </c>
      <c r="N474" s="28">
        <f t="shared" si="51"/>
        <v>-0.11208180914962895</v>
      </c>
    </row>
    <row r="475" spans="7:14" x14ac:dyDescent="0.4">
      <c r="G475" s="1">
        <v>35643</v>
      </c>
      <c r="H475">
        <f t="shared" si="47"/>
        <v>8</v>
      </c>
      <c r="I475" s="28">
        <v>362.5</v>
      </c>
      <c r="J475" s="28">
        <f t="shared" si="50"/>
        <v>-1.9700000000000273</v>
      </c>
      <c r="K475">
        <f t="shared" si="48"/>
        <v>-1.4099263875716923</v>
      </c>
      <c r="L475" s="28">
        <f t="shared" si="49"/>
        <v>363.90992638757172</v>
      </c>
      <c r="M475">
        <f t="shared" si="52"/>
        <v>364.0333333333333</v>
      </c>
      <c r="N475" s="28">
        <f t="shared" si="51"/>
        <v>-0.12340694576158739</v>
      </c>
    </row>
    <row r="476" spans="7:14" x14ac:dyDescent="0.4">
      <c r="G476" s="1">
        <v>35674</v>
      </c>
      <c r="H476">
        <f t="shared" si="47"/>
        <v>9</v>
      </c>
      <c r="I476" s="28">
        <v>360.19</v>
      </c>
      <c r="J476" s="28">
        <f t="shared" si="50"/>
        <v>-2.3100000000000023</v>
      </c>
      <c r="K476">
        <f t="shared" si="48"/>
        <v>-3.204325294675523</v>
      </c>
      <c r="L476" s="28">
        <f t="shared" si="49"/>
        <v>363.39432529467553</v>
      </c>
      <c r="M476">
        <f t="shared" si="52"/>
        <v>364.23791666666671</v>
      </c>
      <c r="N476" s="28">
        <f t="shared" si="51"/>
        <v>-0.84359137199118095</v>
      </c>
    </row>
    <row r="477" spans="7:14" x14ac:dyDescent="0.4">
      <c r="G477" s="1">
        <v>35704</v>
      </c>
      <c r="H477">
        <f t="shared" si="47"/>
        <v>10</v>
      </c>
      <c r="I477" s="28">
        <v>360.78</v>
      </c>
      <c r="J477" s="28">
        <f t="shared" si="50"/>
        <v>0.58999999999997499</v>
      </c>
      <c r="K477">
        <f t="shared" si="48"/>
        <v>-3.3270848575170473</v>
      </c>
      <c r="L477" s="28">
        <f t="shared" si="49"/>
        <v>364.10708485751701</v>
      </c>
      <c r="M477">
        <f t="shared" si="52"/>
        <v>364.44624999999996</v>
      </c>
      <c r="N477" s="28">
        <f t="shared" si="51"/>
        <v>-0.33916514248295471</v>
      </c>
    </row>
    <row r="478" spans="7:14" x14ac:dyDescent="0.4">
      <c r="G478" s="1">
        <v>35735</v>
      </c>
      <c r="H478">
        <f t="shared" si="47"/>
        <v>11</v>
      </c>
      <c r="I478" s="28">
        <v>362.43</v>
      </c>
      <c r="J478" s="28">
        <f t="shared" si="50"/>
        <v>1.6500000000000341</v>
      </c>
      <c r="K478">
        <f t="shared" si="48"/>
        <v>-2.0516476990471002</v>
      </c>
      <c r="L478" s="28">
        <f t="shared" si="49"/>
        <v>364.48164769904713</v>
      </c>
      <c r="M478">
        <f t="shared" si="52"/>
        <v>364.64416666666671</v>
      </c>
      <c r="N478" s="28">
        <f t="shared" si="51"/>
        <v>-0.16251896761957596</v>
      </c>
    </row>
    <row r="479" spans="7:14" x14ac:dyDescent="0.4">
      <c r="G479" s="1">
        <v>35765</v>
      </c>
      <c r="H479">
        <f t="shared" si="47"/>
        <v>12</v>
      </c>
      <c r="I479" s="28">
        <v>364.28</v>
      </c>
      <c r="J479" s="28">
        <f t="shared" si="50"/>
        <v>1.8499999999999659</v>
      </c>
      <c r="K479">
        <f t="shared" si="48"/>
        <v>-0.88768595041322573</v>
      </c>
      <c r="L479" s="28">
        <f t="shared" si="49"/>
        <v>365.16768595041322</v>
      </c>
      <c r="M479">
        <f t="shared" si="52"/>
        <v>364.88375000000002</v>
      </c>
      <c r="N479" s="28">
        <f t="shared" si="51"/>
        <v>0.28393595041319486</v>
      </c>
    </row>
    <row r="480" spans="7:14" x14ac:dyDescent="0.4">
      <c r="G480" s="1">
        <v>35796</v>
      </c>
      <c r="H480">
        <f t="shared" si="47"/>
        <v>1</v>
      </c>
      <c r="I480" s="28">
        <v>365.33</v>
      </c>
      <c r="J480" s="28">
        <f t="shared" si="50"/>
        <v>1.0500000000000114</v>
      </c>
      <c r="K480">
        <f t="shared" si="48"/>
        <v>5.8898749040328657E-2</v>
      </c>
      <c r="L480" s="28">
        <f t="shared" si="49"/>
        <v>365.27110125095965</v>
      </c>
      <c r="M480">
        <f t="shared" si="52"/>
        <v>365.15125000000006</v>
      </c>
      <c r="N480" s="28">
        <f t="shared" si="51"/>
        <v>0.11985125095958438</v>
      </c>
    </row>
    <row r="481" spans="7:14" x14ac:dyDescent="0.4">
      <c r="G481" s="1">
        <v>35827</v>
      </c>
      <c r="H481">
        <f t="shared" si="47"/>
        <v>2</v>
      </c>
      <c r="I481" s="28">
        <v>366.15</v>
      </c>
      <c r="J481" s="28">
        <f t="shared" si="50"/>
        <v>0.81999999999999318</v>
      </c>
      <c r="K481">
        <f t="shared" si="48"/>
        <v>0.6941584247843573</v>
      </c>
      <c r="L481" s="28">
        <f t="shared" si="49"/>
        <v>365.45584157521563</v>
      </c>
      <c r="M481">
        <f t="shared" si="52"/>
        <v>365.42</v>
      </c>
      <c r="N481" s="28">
        <f t="shared" si="51"/>
        <v>3.5841575215613375E-2</v>
      </c>
    </row>
    <row r="482" spans="7:14" x14ac:dyDescent="0.4">
      <c r="G482" s="1">
        <v>35855</v>
      </c>
      <c r="H482">
        <f t="shared" si="47"/>
        <v>3</v>
      </c>
      <c r="I482" s="28">
        <v>367.31</v>
      </c>
      <c r="J482" s="28">
        <f t="shared" si="50"/>
        <v>1.160000000000025</v>
      </c>
      <c r="K482">
        <f t="shared" si="48"/>
        <v>1.3722957593821961</v>
      </c>
      <c r="L482" s="28">
        <f t="shared" si="49"/>
        <v>365.93770424061779</v>
      </c>
      <c r="M482">
        <f t="shared" si="52"/>
        <v>365.71125000000001</v>
      </c>
      <c r="N482" s="28">
        <f t="shared" si="51"/>
        <v>0.22645424061778385</v>
      </c>
    </row>
    <row r="483" spans="7:14" x14ac:dyDescent="0.4">
      <c r="G483" s="1">
        <v>35886</v>
      </c>
      <c r="H483">
        <f t="shared" si="47"/>
        <v>4</v>
      </c>
      <c r="I483" s="28">
        <v>368.61</v>
      </c>
      <c r="J483" s="28">
        <f t="shared" si="50"/>
        <v>1.3000000000000114</v>
      </c>
      <c r="K483">
        <f t="shared" si="48"/>
        <v>2.5880472384049131</v>
      </c>
      <c r="L483" s="28">
        <f t="shared" si="49"/>
        <v>366.02195276159512</v>
      </c>
      <c r="M483">
        <f t="shared" si="52"/>
        <v>366.0095833333333</v>
      </c>
      <c r="N483" s="28">
        <f t="shared" si="51"/>
        <v>1.2369428261820303E-2</v>
      </c>
    </row>
    <row r="484" spans="7:14" x14ac:dyDescent="0.4">
      <c r="G484" s="1">
        <v>35916</v>
      </c>
      <c r="H484">
        <f t="shared" si="47"/>
        <v>5</v>
      </c>
      <c r="I484" s="28">
        <v>369.3</v>
      </c>
      <c r="J484" s="28">
        <f t="shared" si="50"/>
        <v>0.68999999999999773</v>
      </c>
      <c r="K484">
        <f t="shared" si="48"/>
        <v>3.0809752517725739</v>
      </c>
      <c r="L484" s="28">
        <f t="shared" si="49"/>
        <v>366.21902474822741</v>
      </c>
      <c r="M484">
        <f t="shared" si="52"/>
        <v>366.27958333333328</v>
      </c>
      <c r="N484" s="28">
        <f t="shared" si="51"/>
        <v>-6.0558585105866314E-2</v>
      </c>
    </row>
    <row r="485" spans="7:14" x14ac:dyDescent="0.4">
      <c r="G485" s="1">
        <v>35947</v>
      </c>
      <c r="H485">
        <f t="shared" si="47"/>
        <v>6</v>
      </c>
      <c r="I485" s="28">
        <v>368.88</v>
      </c>
      <c r="J485" s="28">
        <f t="shared" si="50"/>
        <v>-0.42000000000001592</v>
      </c>
      <c r="K485">
        <f t="shared" si="48"/>
        <v>2.3583796233572674</v>
      </c>
      <c r="L485" s="28">
        <f t="shared" si="49"/>
        <v>366.52162037664272</v>
      </c>
      <c r="M485">
        <f t="shared" si="52"/>
        <v>366.51791666666668</v>
      </c>
      <c r="N485" s="28">
        <f t="shared" si="51"/>
        <v>3.7037099760368619E-3</v>
      </c>
    </row>
    <row r="486" spans="7:14" x14ac:dyDescent="0.4">
      <c r="G486" s="1">
        <v>35977</v>
      </c>
      <c r="H486">
        <f t="shared" si="47"/>
        <v>7</v>
      </c>
      <c r="I486" s="28">
        <v>367.64</v>
      </c>
      <c r="J486" s="28">
        <f t="shared" si="50"/>
        <v>-1.2400000000000091</v>
      </c>
      <c r="K486">
        <f t="shared" si="48"/>
        <v>0.72791514248295042</v>
      </c>
      <c r="L486" s="28">
        <f t="shared" si="49"/>
        <v>366.91208485751702</v>
      </c>
      <c r="M486">
        <f t="shared" si="52"/>
        <v>366.74749999999995</v>
      </c>
      <c r="N486" s="28">
        <f t="shared" si="51"/>
        <v>0.1645848575170703</v>
      </c>
    </row>
    <row r="487" spans="7:14" x14ac:dyDescent="0.4">
      <c r="G487" s="1">
        <v>36008</v>
      </c>
      <c r="H487">
        <f t="shared" si="47"/>
        <v>8</v>
      </c>
      <c r="I487" s="28">
        <v>365.78</v>
      </c>
      <c r="J487" s="28">
        <f t="shared" si="50"/>
        <v>-1.8600000000000136</v>
      </c>
      <c r="K487">
        <f t="shared" si="48"/>
        <v>-1.4099263875716923</v>
      </c>
      <c r="L487" s="28">
        <f t="shared" si="49"/>
        <v>367.18992638757169</v>
      </c>
      <c r="M487">
        <f t="shared" si="52"/>
        <v>366.9783333333333</v>
      </c>
      <c r="N487" s="28">
        <f t="shared" si="51"/>
        <v>0.21159305423839214</v>
      </c>
    </row>
    <row r="488" spans="7:14" x14ac:dyDescent="0.4">
      <c r="G488" s="1">
        <v>36039</v>
      </c>
      <c r="H488">
        <f t="shared" si="47"/>
        <v>9</v>
      </c>
      <c r="I488" s="28">
        <v>363.9</v>
      </c>
      <c r="J488" s="28">
        <f t="shared" si="50"/>
        <v>-1.8799999999999955</v>
      </c>
      <c r="K488">
        <f t="shared" si="48"/>
        <v>-3.204325294675523</v>
      </c>
      <c r="L488" s="28">
        <f t="shared" si="49"/>
        <v>367.1043252946755</v>
      </c>
      <c r="M488">
        <f t="shared" si="52"/>
        <v>367.18666666666667</v>
      </c>
      <c r="N488" s="28">
        <f t="shared" si="51"/>
        <v>-8.234137199116276E-2</v>
      </c>
    </row>
    <row r="489" spans="7:14" x14ac:dyDescent="0.4">
      <c r="G489" s="1">
        <v>36069</v>
      </c>
      <c r="H489">
        <f t="shared" si="47"/>
        <v>10</v>
      </c>
      <c r="I489" s="28">
        <v>364.23</v>
      </c>
      <c r="J489" s="28">
        <f t="shared" si="50"/>
        <v>0.33000000000004093</v>
      </c>
      <c r="K489">
        <f t="shared" si="48"/>
        <v>-3.3270848575170473</v>
      </c>
      <c r="L489" s="28">
        <f t="shared" si="49"/>
        <v>367.55708485751705</v>
      </c>
      <c r="M489">
        <f t="shared" si="52"/>
        <v>367.38708333333329</v>
      </c>
      <c r="N489" s="28">
        <f t="shared" si="51"/>
        <v>0.17000152418376047</v>
      </c>
    </row>
    <row r="490" spans="7:14" x14ac:dyDescent="0.4">
      <c r="G490" s="1">
        <v>36100</v>
      </c>
      <c r="H490">
        <f t="shared" si="47"/>
        <v>11</v>
      </c>
      <c r="I490" s="28">
        <v>365.46</v>
      </c>
      <c r="J490" s="28">
        <f t="shared" si="50"/>
        <v>1.2299999999999613</v>
      </c>
      <c r="K490">
        <f t="shared" si="48"/>
        <v>-2.0516476990471002</v>
      </c>
      <c r="L490" s="28">
        <f t="shared" si="49"/>
        <v>367.5116476990471</v>
      </c>
      <c r="M490">
        <f t="shared" si="52"/>
        <v>367.56333333333333</v>
      </c>
      <c r="N490" s="28">
        <f t="shared" si="51"/>
        <v>-5.1685634286229742E-2</v>
      </c>
    </row>
    <row r="491" spans="7:14" x14ac:dyDescent="0.4">
      <c r="G491" s="1">
        <v>36130</v>
      </c>
      <c r="H491">
        <f t="shared" si="47"/>
        <v>12</v>
      </c>
      <c r="I491" s="28">
        <v>366.97</v>
      </c>
      <c r="J491" s="28">
        <f t="shared" si="50"/>
        <v>1.5100000000000477</v>
      </c>
      <c r="K491">
        <f t="shared" si="48"/>
        <v>-0.88768595041322573</v>
      </c>
      <c r="L491" s="28">
        <f t="shared" si="49"/>
        <v>367.85768595041327</v>
      </c>
      <c r="M491">
        <f t="shared" si="52"/>
        <v>367.69541666666669</v>
      </c>
      <c r="N491" s="28">
        <f t="shared" si="51"/>
        <v>0.162269283746582</v>
      </c>
    </row>
    <row r="492" spans="7:14" x14ac:dyDescent="0.4">
      <c r="G492" s="1">
        <v>36161</v>
      </c>
      <c r="H492">
        <f t="shared" si="47"/>
        <v>1</v>
      </c>
      <c r="I492" s="28">
        <v>368.15</v>
      </c>
      <c r="J492" s="28">
        <f t="shared" si="50"/>
        <v>1.17999999999995</v>
      </c>
      <c r="K492">
        <f t="shared" si="48"/>
        <v>5.8898749040328657E-2</v>
      </c>
      <c r="L492" s="28">
        <f t="shared" si="49"/>
        <v>368.09110125095964</v>
      </c>
      <c r="M492">
        <f t="shared" si="52"/>
        <v>367.82458333333335</v>
      </c>
      <c r="N492" s="28">
        <f t="shared" si="51"/>
        <v>0.26651791762628818</v>
      </c>
    </row>
    <row r="493" spans="7:14" x14ac:dyDescent="0.4">
      <c r="G493" s="1">
        <v>36192</v>
      </c>
      <c r="H493">
        <f t="shared" si="47"/>
        <v>2</v>
      </c>
      <c r="I493" s="28">
        <v>368.87</v>
      </c>
      <c r="J493" s="28">
        <f t="shared" si="50"/>
        <v>0.72000000000002728</v>
      </c>
      <c r="K493">
        <f t="shared" si="48"/>
        <v>0.6941584247843573</v>
      </c>
      <c r="L493" s="28">
        <f t="shared" si="49"/>
        <v>368.17584157521566</v>
      </c>
      <c r="M493">
        <f t="shared" si="52"/>
        <v>367.94041666666675</v>
      </c>
      <c r="N493" s="28">
        <f t="shared" si="51"/>
        <v>0.2354249085489073</v>
      </c>
    </row>
    <row r="494" spans="7:14" x14ac:dyDescent="0.4">
      <c r="G494" s="1">
        <v>36220</v>
      </c>
      <c r="H494">
        <f t="shared" si="47"/>
        <v>3</v>
      </c>
      <c r="I494" s="28">
        <v>369.59</v>
      </c>
      <c r="J494" s="28">
        <f t="shared" si="50"/>
        <v>0.71999999999997044</v>
      </c>
      <c r="K494">
        <f t="shared" si="48"/>
        <v>1.3722957593821961</v>
      </c>
      <c r="L494" s="28">
        <f t="shared" si="49"/>
        <v>368.21770424061776</v>
      </c>
      <c r="M494">
        <f t="shared" si="52"/>
        <v>368.01916666666671</v>
      </c>
      <c r="N494" s="28">
        <f t="shared" si="51"/>
        <v>0.19853757395105731</v>
      </c>
    </row>
    <row r="495" spans="7:14" x14ac:dyDescent="0.4">
      <c r="G495" s="1">
        <v>36251</v>
      </c>
      <c r="H495">
        <f t="shared" si="47"/>
        <v>4</v>
      </c>
      <c r="I495" s="28">
        <v>371.14</v>
      </c>
      <c r="J495" s="28">
        <f t="shared" si="50"/>
        <v>1.5500000000000114</v>
      </c>
      <c r="K495">
        <f t="shared" si="48"/>
        <v>2.5880472384049131</v>
      </c>
      <c r="L495" s="28">
        <f t="shared" si="49"/>
        <v>368.55195276159509</v>
      </c>
      <c r="M495">
        <f t="shared" si="52"/>
        <v>368.08750000000003</v>
      </c>
      <c r="N495" s="28">
        <f t="shared" si="51"/>
        <v>0.46445276159505511</v>
      </c>
    </row>
    <row r="496" spans="7:14" x14ac:dyDescent="0.4">
      <c r="G496" s="1">
        <v>36281</v>
      </c>
      <c r="H496">
        <f t="shared" si="47"/>
        <v>5</v>
      </c>
      <c r="I496" s="28">
        <v>371</v>
      </c>
      <c r="J496" s="28">
        <f t="shared" si="50"/>
        <v>-0.13999999999998636</v>
      </c>
      <c r="K496">
        <f t="shared" si="48"/>
        <v>3.0809752517725739</v>
      </c>
      <c r="L496" s="28">
        <f t="shared" si="49"/>
        <v>367.9190247482274</v>
      </c>
      <c r="M496">
        <f t="shared" si="52"/>
        <v>368.1758333333334</v>
      </c>
      <c r="N496" s="28">
        <f t="shared" si="51"/>
        <v>-0.25680858510600046</v>
      </c>
    </row>
    <row r="497" spans="7:14" x14ac:dyDescent="0.4">
      <c r="G497" s="1">
        <v>36312</v>
      </c>
      <c r="H497">
        <f t="shared" si="47"/>
        <v>6</v>
      </c>
      <c r="I497" s="28">
        <v>370.35</v>
      </c>
      <c r="J497" s="28">
        <f t="shared" si="50"/>
        <v>-0.64999999999997726</v>
      </c>
      <c r="K497">
        <f t="shared" si="48"/>
        <v>2.3583796233572674</v>
      </c>
      <c r="L497" s="28">
        <f t="shared" si="49"/>
        <v>367.99162037664274</v>
      </c>
      <c r="M497">
        <f t="shared" si="52"/>
        <v>368.2695833333334</v>
      </c>
      <c r="N497" s="28">
        <f t="shared" si="51"/>
        <v>-0.27796295669065785</v>
      </c>
    </row>
    <row r="498" spans="7:14" x14ac:dyDescent="0.4">
      <c r="G498" s="1">
        <v>36342</v>
      </c>
      <c r="H498">
        <f t="shared" si="47"/>
        <v>7</v>
      </c>
      <c r="I498" s="28">
        <v>369.27</v>
      </c>
      <c r="J498" s="28">
        <f t="shared" si="50"/>
        <v>-1.0800000000000409</v>
      </c>
      <c r="K498">
        <f t="shared" si="48"/>
        <v>0.72791514248295042</v>
      </c>
      <c r="L498" s="28">
        <f t="shared" si="49"/>
        <v>368.54208485751701</v>
      </c>
      <c r="M498">
        <f t="shared" si="52"/>
        <v>368.35374999999999</v>
      </c>
      <c r="N498" s="28">
        <f t="shared" si="51"/>
        <v>0.18833485751702028</v>
      </c>
    </row>
    <row r="499" spans="7:14" x14ac:dyDescent="0.4">
      <c r="G499" s="1">
        <v>36373</v>
      </c>
      <c r="H499">
        <f t="shared" si="47"/>
        <v>8</v>
      </c>
      <c r="I499" s="28">
        <v>366.93</v>
      </c>
      <c r="J499" s="28">
        <f t="shared" si="50"/>
        <v>-2.339999999999975</v>
      </c>
      <c r="K499">
        <f t="shared" si="48"/>
        <v>-1.4099263875716923</v>
      </c>
      <c r="L499" s="28">
        <f t="shared" si="49"/>
        <v>368.33992638757172</v>
      </c>
      <c r="M499">
        <f t="shared" si="52"/>
        <v>368.41958333333332</v>
      </c>
      <c r="N499" s="28">
        <f t="shared" si="51"/>
        <v>-7.9656945761598763E-2</v>
      </c>
    </row>
    <row r="500" spans="7:14" x14ac:dyDescent="0.4">
      <c r="G500" s="1">
        <v>36404</v>
      </c>
      <c r="H500">
        <f t="shared" si="47"/>
        <v>9</v>
      </c>
      <c r="I500" s="28">
        <v>364.64</v>
      </c>
      <c r="J500" s="28">
        <f t="shared" si="50"/>
        <v>-2.2900000000000205</v>
      </c>
      <c r="K500">
        <f t="shared" si="48"/>
        <v>-3.204325294675523</v>
      </c>
      <c r="L500" s="28">
        <f t="shared" si="49"/>
        <v>367.84432529467551</v>
      </c>
      <c r="M500">
        <f t="shared" si="52"/>
        <v>368.48250000000007</v>
      </c>
      <c r="N500" s="28">
        <f t="shared" si="51"/>
        <v>-0.638174705324559</v>
      </c>
    </row>
    <row r="501" spans="7:14" x14ac:dyDescent="0.4">
      <c r="G501" s="1">
        <v>36434</v>
      </c>
      <c r="H501">
        <f t="shared" si="47"/>
        <v>10</v>
      </c>
      <c r="I501" s="28">
        <v>365.13</v>
      </c>
      <c r="J501" s="28">
        <f t="shared" si="50"/>
        <v>0.49000000000000909</v>
      </c>
      <c r="K501">
        <f t="shared" si="48"/>
        <v>-3.3270848575170473</v>
      </c>
      <c r="L501" s="28">
        <f t="shared" si="49"/>
        <v>368.45708485751703</v>
      </c>
      <c r="M501">
        <f t="shared" si="52"/>
        <v>368.54250000000008</v>
      </c>
      <c r="N501" s="28">
        <f t="shared" si="51"/>
        <v>-8.5415142483043383E-2</v>
      </c>
    </row>
    <row r="502" spans="7:14" x14ac:dyDescent="0.4">
      <c r="G502" s="1">
        <v>36465</v>
      </c>
      <c r="H502">
        <f t="shared" si="47"/>
        <v>11</v>
      </c>
      <c r="I502" s="28">
        <v>366.68</v>
      </c>
      <c r="J502" s="28">
        <f t="shared" si="50"/>
        <v>1.5500000000000114</v>
      </c>
      <c r="K502">
        <f t="shared" si="48"/>
        <v>-2.0516476990471002</v>
      </c>
      <c r="L502" s="28">
        <f t="shared" si="49"/>
        <v>368.73164769904713</v>
      </c>
      <c r="M502">
        <f t="shared" si="52"/>
        <v>368.59874999999994</v>
      </c>
      <c r="N502" s="28">
        <f t="shared" si="51"/>
        <v>0.13289769904719151</v>
      </c>
    </row>
    <row r="503" spans="7:14" x14ac:dyDescent="0.4">
      <c r="G503" s="1">
        <v>36495</v>
      </c>
      <c r="H503">
        <f t="shared" si="47"/>
        <v>12</v>
      </c>
      <c r="I503" s="28">
        <v>368</v>
      </c>
      <c r="J503" s="28">
        <f t="shared" si="50"/>
        <v>1.3199999999999932</v>
      </c>
      <c r="K503">
        <f t="shared" si="48"/>
        <v>-0.88768595041322573</v>
      </c>
      <c r="L503" s="28">
        <f t="shared" si="49"/>
        <v>368.88768595041324</v>
      </c>
      <c r="M503">
        <f t="shared" si="52"/>
        <v>368.68916666666672</v>
      </c>
      <c r="N503" s="28">
        <f t="shared" si="51"/>
        <v>0.19851928374652061</v>
      </c>
    </row>
    <row r="504" spans="7:14" x14ac:dyDescent="0.4">
      <c r="G504" s="1">
        <v>36526</v>
      </c>
      <c r="H504">
        <f t="shared" si="47"/>
        <v>1</v>
      </c>
      <c r="I504" s="28">
        <v>369.14</v>
      </c>
      <c r="J504" s="28">
        <f t="shared" si="50"/>
        <v>1.1399999999999864</v>
      </c>
      <c r="K504">
        <f t="shared" si="48"/>
        <v>5.8898749040328657E-2</v>
      </c>
      <c r="L504" s="28">
        <f t="shared" si="49"/>
        <v>369.08110125095965</v>
      </c>
      <c r="M504">
        <f t="shared" si="52"/>
        <v>368.78041666666672</v>
      </c>
      <c r="N504" s="28">
        <f t="shared" si="51"/>
        <v>0.30068458429292377</v>
      </c>
    </row>
    <row r="505" spans="7:14" x14ac:dyDescent="0.4">
      <c r="G505" s="1">
        <v>36557</v>
      </c>
      <c r="H505">
        <f t="shared" si="47"/>
        <v>2</v>
      </c>
      <c r="I505" s="28">
        <v>369.46</v>
      </c>
      <c r="J505" s="28">
        <f t="shared" si="50"/>
        <v>0.31999999999999318</v>
      </c>
      <c r="K505">
        <f t="shared" si="48"/>
        <v>0.6941584247843573</v>
      </c>
      <c r="L505" s="28">
        <f t="shared" si="49"/>
        <v>368.76584157521563</v>
      </c>
      <c r="M505">
        <f t="shared" si="52"/>
        <v>368.8654166666667</v>
      </c>
      <c r="N505" s="28">
        <f t="shared" si="51"/>
        <v>-9.957509145107224E-2</v>
      </c>
    </row>
    <row r="506" spans="7:14" x14ac:dyDescent="0.4">
      <c r="G506" s="1">
        <v>36586</v>
      </c>
      <c r="H506">
        <f t="shared" si="47"/>
        <v>3</v>
      </c>
      <c r="I506" s="28">
        <v>370.51</v>
      </c>
      <c r="J506" s="28">
        <f t="shared" si="50"/>
        <v>1.0500000000000114</v>
      </c>
      <c r="K506">
        <f t="shared" si="48"/>
        <v>1.3722957593821961</v>
      </c>
      <c r="L506" s="28">
        <f t="shared" si="49"/>
        <v>369.13770424061778</v>
      </c>
      <c r="M506">
        <f t="shared" si="52"/>
        <v>368.9975</v>
      </c>
      <c r="N506" s="28">
        <f t="shared" si="51"/>
        <v>0.14020424061777703</v>
      </c>
    </row>
    <row r="507" spans="7:14" x14ac:dyDescent="0.4">
      <c r="G507" s="1">
        <v>36617</v>
      </c>
      <c r="H507">
        <f t="shared" si="47"/>
        <v>4</v>
      </c>
      <c r="I507" s="28">
        <v>371.66</v>
      </c>
      <c r="J507" s="28">
        <f t="shared" si="50"/>
        <v>1.1500000000000341</v>
      </c>
      <c r="K507">
        <f t="shared" si="48"/>
        <v>2.5880472384049131</v>
      </c>
      <c r="L507" s="28">
        <f t="shared" si="49"/>
        <v>369.07195276159513</v>
      </c>
      <c r="M507">
        <f t="shared" si="52"/>
        <v>369.1466666666667</v>
      </c>
      <c r="N507" s="28">
        <f t="shared" si="51"/>
        <v>-7.4713905071575937E-2</v>
      </c>
    </row>
    <row r="508" spans="7:14" x14ac:dyDescent="0.4">
      <c r="G508" s="1">
        <v>36647</v>
      </c>
      <c r="H508">
        <f t="shared" si="47"/>
        <v>5</v>
      </c>
      <c r="I508" s="28">
        <v>371.83</v>
      </c>
      <c r="J508" s="28">
        <f t="shared" si="50"/>
        <v>0.16999999999995907</v>
      </c>
      <c r="K508">
        <f t="shared" si="48"/>
        <v>3.0809752517725739</v>
      </c>
      <c r="L508" s="28">
        <f t="shared" si="49"/>
        <v>368.74902474822738</v>
      </c>
      <c r="M508">
        <f t="shared" si="52"/>
        <v>369.28041666666672</v>
      </c>
      <c r="N508" s="28">
        <f t="shared" si="51"/>
        <v>-0.53139191843933986</v>
      </c>
    </row>
    <row r="509" spans="7:14" x14ac:dyDescent="0.4">
      <c r="G509" s="1">
        <v>36678</v>
      </c>
      <c r="H509">
        <f t="shared" si="47"/>
        <v>6</v>
      </c>
      <c r="I509" s="28">
        <v>371.69</v>
      </c>
      <c r="J509" s="28">
        <f t="shared" si="50"/>
        <v>-0.13999999999998636</v>
      </c>
      <c r="K509">
        <f t="shared" si="48"/>
        <v>2.3583796233572674</v>
      </c>
      <c r="L509" s="28">
        <f t="shared" si="49"/>
        <v>369.33162037664272</v>
      </c>
      <c r="M509">
        <f t="shared" si="52"/>
        <v>369.41083333333336</v>
      </c>
      <c r="N509" s="28">
        <f t="shared" si="51"/>
        <v>-7.9212956690639658E-2</v>
      </c>
    </row>
    <row r="510" spans="7:14" x14ac:dyDescent="0.4">
      <c r="G510" s="1">
        <v>36708</v>
      </c>
      <c r="H510">
        <f t="shared" si="47"/>
        <v>7</v>
      </c>
      <c r="I510" s="28">
        <v>370.12</v>
      </c>
      <c r="J510" s="28">
        <f t="shared" si="50"/>
        <v>-1.5699999999999932</v>
      </c>
      <c r="K510">
        <f t="shared" si="48"/>
        <v>0.72791514248295042</v>
      </c>
      <c r="L510" s="28">
        <f t="shared" si="49"/>
        <v>369.39208485751703</v>
      </c>
      <c r="M510">
        <f t="shared" si="52"/>
        <v>369.5216666666667</v>
      </c>
      <c r="N510" s="28">
        <f t="shared" si="51"/>
        <v>-0.12958180914966988</v>
      </c>
    </row>
    <row r="511" spans="7:14" x14ac:dyDescent="0.4">
      <c r="G511" s="1">
        <v>36739</v>
      </c>
      <c r="H511">
        <f t="shared" si="47"/>
        <v>8</v>
      </c>
      <c r="I511" s="28">
        <v>368.12</v>
      </c>
      <c r="J511" s="28">
        <f t="shared" si="50"/>
        <v>-2</v>
      </c>
      <c r="K511">
        <f t="shared" si="48"/>
        <v>-1.4099263875716923</v>
      </c>
      <c r="L511" s="28">
        <f t="shared" si="49"/>
        <v>369.52992638757172</v>
      </c>
      <c r="M511">
        <f t="shared" si="52"/>
        <v>369.65416666666664</v>
      </c>
      <c r="N511" s="28">
        <f t="shared" si="51"/>
        <v>-0.12424027909491997</v>
      </c>
    </row>
    <row r="512" spans="7:14" x14ac:dyDescent="0.4">
      <c r="G512" s="1">
        <v>36770</v>
      </c>
      <c r="H512">
        <f t="shared" si="47"/>
        <v>9</v>
      </c>
      <c r="I512" s="28">
        <v>366.62</v>
      </c>
      <c r="J512" s="28">
        <f t="shared" si="50"/>
        <v>-1.5</v>
      </c>
      <c r="K512">
        <f t="shared" si="48"/>
        <v>-3.204325294675523</v>
      </c>
      <c r="L512" s="28">
        <f t="shared" si="49"/>
        <v>369.82432529467553</v>
      </c>
      <c r="M512">
        <f t="shared" si="52"/>
        <v>369.80625000000003</v>
      </c>
      <c r="N512" s="28">
        <f t="shared" si="51"/>
        <v>1.8075294675497844E-2</v>
      </c>
    </row>
    <row r="513" spans="7:14" x14ac:dyDescent="0.4">
      <c r="G513" s="1">
        <v>36800</v>
      </c>
      <c r="H513">
        <f t="shared" si="47"/>
        <v>10</v>
      </c>
      <c r="I513" s="28">
        <v>366.73</v>
      </c>
      <c r="J513" s="28">
        <f t="shared" si="50"/>
        <v>0.11000000000001364</v>
      </c>
      <c r="K513">
        <f t="shared" si="48"/>
        <v>-3.3270848575170473</v>
      </c>
      <c r="L513" s="28">
        <f t="shared" si="49"/>
        <v>370.05708485751705</v>
      </c>
      <c r="M513">
        <f t="shared" si="52"/>
        <v>369.92333333333335</v>
      </c>
      <c r="N513" s="28">
        <f t="shared" si="51"/>
        <v>0.13375152418370817</v>
      </c>
    </row>
    <row r="514" spans="7:14" x14ac:dyDescent="0.4">
      <c r="G514" s="1">
        <v>36831</v>
      </c>
      <c r="H514">
        <f t="shared" si="47"/>
        <v>11</v>
      </c>
      <c r="I514" s="28">
        <v>368.29</v>
      </c>
      <c r="J514" s="28">
        <f t="shared" si="50"/>
        <v>1.5600000000000023</v>
      </c>
      <c r="K514">
        <f t="shared" si="48"/>
        <v>-2.0516476990471002</v>
      </c>
      <c r="L514" s="28">
        <f t="shared" si="49"/>
        <v>370.34164769904714</v>
      </c>
      <c r="M514">
        <f t="shared" si="52"/>
        <v>370.0645833333333</v>
      </c>
      <c r="N514" s="28">
        <f t="shared" si="51"/>
        <v>0.27706436571384074</v>
      </c>
    </row>
    <row r="515" spans="7:14" x14ac:dyDescent="0.4">
      <c r="G515" s="1">
        <v>36861</v>
      </c>
      <c r="H515">
        <f t="shared" ref="H515:H578" si="53">MONTH(G515)</f>
        <v>12</v>
      </c>
      <c r="I515" s="28">
        <v>369.52</v>
      </c>
      <c r="J515" s="28">
        <f t="shared" si="50"/>
        <v>1.2299999999999613</v>
      </c>
      <c r="K515">
        <f t="shared" ref="K515:K578" si="54">INDEX($E$3:$E$14,H515)</f>
        <v>-0.88768595041322573</v>
      </c>
      <c r="L515" s="28">
        <f t="shared" ref="L515:L578" si="55">I515-K515</f>
        <v>370.40768595041322</v>
      </c>
      <c r="M515">
        <f t="shared" si="52"/>
        <v>370.22333333333336</v>
      </c>
      <c r="N515" s="28">
        <f t="shared" si="51"/>
        <v>0.18435261707986683</v>
      </c>
    </row>
    <row r="516" spans="7:14" x14ac:dyDescent="0.4">
      <c r="G516" s="1">
        <v>36892</v>
      </c>
      <c r="H516">
        <f t="shared" si="53"/>
        <v>1</v>
      </c>
      <c r="I516" s="28">
        <v>370.28</v>
      </c>
      <c r="J516" s="28">
        <f t="shared" ref="J516:J579" si="56">I516-I515</f>
        <v>0.75999999999999091</v>
      </c>
      <c r="K516">
        <f t="shared" si="54"/>
        <v>5.8898749040328657E-2</v>
      </c>
      <c r="L516" s="28">
        <f t="shared" si="55"/>
        <v>370.22110125095963</v>
      </c>
      <c r="M516">
        <f t="shared" si="52"/>
        <v>370.3533333333333</v>
      </c>
      <c r="N516" s="28">
        <f t="shared" si="51"/>
        <v>-0.1322320823736618</v>
      </c>
    </row>
    <row r="517" spans="7:14" x14ac:dyDescent="0.4">
      <c r="G517" s="1">
        <v>36923</v>
      </c>
      <c r="H517">
        <f t="shared" si="53"/>
        <v>2</v>
      </c>
      <c r="I517" s="28">
        <v>371.5</v>
      </c>
      <c r="J517" s="28">
        <f t="shared" si="56"/>
        <v>1.2200000000000273</v>
      </c>
      <c r="K517">
        <f t="shared" si="54"/>
        <v>0.6941584247843573</v>
      </c>
      <c r="L517" s="28">
        <f t="shared" si="55"/>
        <v>370.80584157521565</v>
      </c>
      <c r="M517">
        <f t="shared" si="52"/>
        <v>370.47541666666666</v>
      </c>
      <c r="N517" s="28">
        <f t="shared" si="51"/>
        <v>0.33042490854899143</v>
      </c>
    </row>
    <row r="518" spans="7:14" x14ac:dyDescent="0.4">
      <c r="G518" s="1">
        <v>36951</v>
      </c>
      <c r="H518">
        <f t="shared" si="53"/>
        <v>3</v>
      </c>
      <c r="I518" s="28">
        <v>372.12</v>
      </c>
      <c r="J518" s="28">
        <f t="shared" si="56"/>
        <v>0.62000000000000455</v>
      </c>
      <c r="K518">
        <f t="shared" si="54"/>
        <v>1.3722957593821961</v>
      </c>
      <c r="L518" s="28">
        <f t="shared" si="55"/>
        <v>370.74770424061779</v>
      </c>
      <c r="M518">
        <f t="shared" si="52"/>
        <v>370.59083333333336</v>
      </c>
      <c r="N518" s="28">
        <f t="shared" si="51"/>
        <v>0.15687090728442854</v>
      </c>
    </row>
    <row r="519" spans="7:14" x14ac:dyDescent="0.4">
      <c r="G519" s="1">
        <v>36982</v>
      </c>
      <c r="H519">
        <f t="shared" si="53"/>
        <v>4</v>
      </c>
      <c r="I519" s="28">
        <v>372.86</v>
      </c>
      <c r="J519" s="28">
        <f t="shared" si="56"/>
        <v>0.74000000000000909</v>
      </c>
      <c r="K519">
        <f t="shared" si="54"/>
        <v>2.5880472384049131</v>
      </c>
      <c r="L519" s="28">
        <f t="shared" si="55"/>
        <v>370.27195276159512</v>
      </c>
      <c r="M519">
        <f t="shared" si="52"/>
        <v>370.70333333333338</v>
      </c>
      <c r="N519" s="28">
        <f t="shared" si="51"/>
        <v>-0.43138057173825928</v>
      </c>
    </row>
    <row r="520" spans="7:14" x14ac:dyDescent="0.4">
      <c r="G520" s="1">
        <v>37012</v>
      </c>
      <c r="H520">
        <f t="shared" si="53"/>
        <v>5</v>
      </c>
      <c r="I520" s="28">
        <v>374.02</v>
      </c>
      <c r="J520" s="28">
        <f t="shared" si="56"/>
        <v>1.1599999999999682</v>
      </c>
      <c r="K520">
        <f t="shared" si="54"/>
        <v>3.0809752517725739</v>
      </c>
      <c r="L520" s="28">
        <f t="shared" si="55"/>
        <v>370.93902474822738</v>
      </c>
      <c r="M520">
        <f t="shared" si="52"/>
        <v>370.81791666666669</v>
      </c>
      <c r="N520" s="28">
        <f t="shared" si="51"/>
        <v>0.12110808156069197</v>
      </c>
    </row>
    <row r="521" spans="7:14" x14ac:dyDescent="0.4">
      <c r="G521" s="1">
        <v>37043</v>
      </c>
      <c r="H521">
        <f t="shared" si="53"/>
        <v>6</v>
      </c>
      <c r="I521" s="28">
        <v>373.31</v>
      </c>
      <c r="J521" s="28">
        <f t="shared" si="56"/>
        <v>-0.70999999999997954</v>
      </c>
      <c r="K521">
        <f t="shared" si="54"/>
        <v>2.3583796233572674</v>
      </c>
      <c r="L521" s="28">
        <f t="shared" si="55"/>
        <v>370.95162037664272</v>
      </c>
      <c r="M521">
        <f t="shared" si="52"/>
        <v>370.94750000000005</v>
      </c>
      <c r="N521" s="28">
        <f t="shared" ref="N521:N584" si="57">L521-M521</f>
        <v>4.1203766426747279E-3</v>
      </c>
    </row>
    <row r="522" spans="7:14" x14ac:dyDescent="0.4">
      <c r="G522" s="1">
        <v>37073</v>
      </c>
      <c r="H522">
        <f t="shared" si="53"/>
        <v>7</v>
      </c>
      <c r="I522" s="28">
        <v>371.62</v>
      </c>
      <c r="J522" s="28">
        <f t="shared" si="56"/>
        <v>-1.6899999999999977</v>
      </c>
      <c r="K522">
        <f t="shared" si="54"/>
        <v>0.72791514248295042</v>
      </c>
      <c r="L522" s="28">
        <f t="shared" si="55"/>
        <v>370.89208485751703</v>
      </c>
      <c r="M522">
        <f t="shared" si="52"/>
        <v>371.10916666666668</v>
      </c>
      <c r="N522" s="28">
        <f t="shared" si="57"/>
        <v>-0.21708180914964714</v>
      </c>
    </row>
    <row r="523" spans="7:14" x14ac:dyDescent="0.4">
      <c r="G523" s="1">
        <v>37104</v>
      </c>
      <c r="H523">
        <f t="shared" si="53"/>
        <v>8</v>
      </c>
      <c r="I523" s="28">
        <v>369.55</v>
      </c>
      <c r="J523" s="28">
        <f t="shared" si="56"/>
        <v>-2.0699999999999932</v>
      </c>
      <c r="K523">
        <f t="shared" si="54"/>
        <v>-1.4099263875716923</v>
      </c>
      <c r="L523" s="28">
        <f t="shared" si="55"/>
        <v>370.95992638757173</v>
      </c>
      <c r="M523">
        <f t="shared" si="52"/>
        <v>371.26500000000004</v>
      </c>
      <c r="N523" s="28">
        <f t="shared" si="57"/>
        <v>-0.30507361242831621</v>
      </c>
    </row>
    <row r="524" spans="7:14" x14ac:dyDescent="0.4">
      <c r="G524" s="1">
        <v>37135</v>
      </c>
      <c r="H524">
        <f t="shared" si="53"/>
        <v>9</v>
      </c>
      <c r="I524" s="28">
        <v>367.96</v>
      </c>
      <c r="J524" s="28">
        <f t="shared" si="56"/>
        <v>-1.5900000000000318</v>
      </c>
      <c r="K524">
        <f t="shared" si="54"/>
        <v>-3.204325294675523</v>
      </c>
      <c r="L524" s="28">
        <f t="shared" si="55"/>
        <v>371.16432529467551</v>
      </c>
      <c r="M524">
        <f t="shared" si="52"/>
        <v>371.38916666666665</v>
      </c>
      <c r="N524" s="28">
        <f t="shared" si="57"/>
        <v>-0.22484137199114684</v>
      </c>
    </row>
    <row r="525" spans="7:14" x14ac:dyDescent="0.4">
      <c r="G525" s="1">
        <v>37165</v>
      </c>
      <c r="H525">
        <f t="shared" si="53"/>
        <v>10</v>
      </c>
      <c r="I525" s="28">
        <v>368.09</v>
      </c>
      <c r="J525" s="28">
        <f t="shared" si="56"/>
        <v>0.12999999999999545</v>
      </c>
      <c r="K525">
        <f t="shared" si="54"/>
        <v>-3.3270848575170473</v>
      </c>
      <c r="L525" s="28">
        <f t="shared" si="55"/>
        <v>371.41708485751701</v>
      </c>
      <c r="M525">
        <f t="shared" si="52"/>
        <v>371.53041666666667</v>
      </c>
      <c r="N525" s="28">
        <f t="shared" si="57"/>
        <v>-0.11333180914965624</v>
      </c>
    </row>
    <row r="526" spans="7:14" x14ac:dyDescent="0.4">
      <c r="G526" s="1">
        <v>37196</v>
      </c>
      <c r="H526">
        <f t="shared" si="53"/>
        <v>11</v>
      </c>
      <c r="I526" s="28">
        <v>369.68</v>
      </c>
      <c r="J526" s="28">
        <f t="shared" si="56"/>
        <v>1.5900000000000318</v>
      </c>
      <c r="K526">
        <f t="shared" si="54"/>
        <v>-2.0516476990471002</v>
      </c>
      <c r="L526" s="28">
        <f t="shared" si="55"/>
        <v>371.73164769904713</v>
      </c>
      <c r="M526">
        <f t="shared" si="52"/>
        <v>371.67708333333331</v>
      </c>
      <c r="N526" s="28">
        <f t="shared" si="57"/>
        <v>5.4564365713815732E-2</v>
      </c>
    </row>
    <row r="527" spans="7:14" x14ac:dyDescent="0.4">
      <c r="G527" s="1">
        <v>37226</v>
      </c>
      <c r="H527">
        <f t="shared" si="53"/>
        <v>12</v>
      </c>
      <c r="I527" s="28">
        <v>371.24</v>
      </c>
      <c r="J527" s="28">
        <f t="shared" si="56"/>
        <v>1.5600000000000023</v>
      </c>
      <c r="K527">
        <f t="shared" si="54"/>
        <v>-0.88768595041322573</v>
      </c>
      <c r="L527" s="28">
        <f t="shared" si="55"/>
        <v>372.12768595041325</v>
      </c>
      <c r="M527">
        <f t="shared" ref="M527:M590" si="58">(SUM(L522:L532)+(L521+L533)/2)/12</f>
        <v>371.82791666666662</v>
      </c>
      <c r="N527" s="28">
        <f t="shared" si="57"/>
        <v>0.29976928374662748</v>
      </c>
    </row>
    <row r="528" spans="7:14" x14ac:dyDescent="0.4">
      <c r="G528" s="1">
        <v>37257</v>
      </c>
      <c r="H528">
        <f t="shared" si="53"/>
        <v>1</v>
      </c>
      <c r="I528" s="28">
        <v>372.44</v>
      </c>
      <c r="J528" s="28">
        <f t="shared" si="56"/>
        <v>1.1999999999999886</v>
      </c>
      <c r="K528">
        <f t="shared" si="54"/>
        <v>5.8898749040328657E-2</v>
      </c>
      <c r="L528" s="28">
        <f t="shared" si="55"/>
        <v>372.38110125095966</v>
      </c>
      <c r="M528">
        <f t="shared" si="58"/>
        <v>372.01499999999993</v>
      </c>
      <c r="N528" s="28">
        <f t="shared" si="57"/>
        <v>0.3661012509597299</v>
      </c>
    </row>
    <row r="529" spans="7:14" x14ac:dyDescent="0.4">
      <c r="G529" s="1">
        <v>37288</v>
      </c>
      <c r="H529">
        <f t="shared" si="53"/>
        <v>2</v>
      </c>
      <c r="I529" s="28">
        <v>373.08</v>
      </c>
      <c r="J529" s="28">
        <f t="shared" si="56"/>
        <v>0.63999999999998636</v>
      </c>
      <c r="K529">
        <f t="shared" si="54"/>
        <v>0.6941584247843573</v>
      </c>
      <c r="L529" s="28">
        <f t="shared" si="55"/>
        <v>372.38584157521564</v>
      </c>
      <c r="M529">
        <f t="shared" si="58"/>
        <v>372.19541666666663</v>
      </c>
      <c r="N529" s="28">
        <f t="shared" si="57"/>
        <v>0.19042490854900507</v>
      </c>
    </row>
    <row r="530" spans="7:14" x14ac:dyDescent="0.4">
      <c r="G530" s="1">
        <v>37316</v>
      </c>
      <c r="H530">
        <f t="shared" si="53"/>
        <v>3</v>
      </c>
      <c r="I530" s="28">
        <v>373.52</v>
      </c>
      <c r="J530" s="28">
        <f t="shared" si="56"/>
        <v>0.43999999999999773</v>
      </c>
      <c r="K530">
        <f t="shared" si="54"/>
        <v>1.3722957593821961</v>
      </c>
      <c r="L530" s="28">
        <f t="shared" si="55"/>
        <v>372.14770424061777</v>
      </c>
      <c r="M530">
        <f t="shared" si="58"/>
        <v>372.39000000000004</v>
      </c>
      <c r="N530" s="28">
        <f t="shared" si="57"/>
        <v>-0.24229575938227299</v>
      </c>
    </row>
    <row r="531" spans="7:14" x14ac:dyDescent="0.4">
      <c r="G531" s="1">
        <v>37347</v>
      </c>
      <c r="H531">
        <f t="shared" si="53"/>
        <v>4</v>
      </c>
      <c r="I531" s="28">
        <v>374.85</v>
      </c>
      <c r="J531" s="28">
        <f t="shared" si="56"/>
        <v>1.3300000000000409</v>
      </c>
      <c r="K531">
        <f t="shared" si="54"/>
        <v>2.5880472384049131</v>
      </c>
      <c r="L531" s="28">
        <f t="shared" si="55"/>
        <v>372.26195276159513</v>
      </c>
      <c r="M531">
        <f t="shared" si="58"/>
        <v>372.59416666666669</v>
      </c>
      <c r="N531" s="28">
        <f t="shared" si="57"/>
        <v>-0.33221390507156912</v>
      </c>
    </row>
    <row r="532" spans="7:14" x14ac:dyDescent="0.4">
      <c r="G532" s="1">
        <v>37377</v>
      </c>
      <c r="H532">
        <f t="shared" si="53"/>
        <v>5</v>
      </c>
      <c r="I532" s="28">
        <v>375.55</v>
      </c>
      <c r="J532" s="28">
        <f t="shared" si="56"/>
        <v>0.69999999999998863</v>
      </c>
      <c r="K532">
        <f t="shared" si="54"/>
        <v>3.0809752517725739</v>
      </c>
      <c r="L532" s="28">
        <f t="shared" si="55"/>
        <v>372.46902474822741</v>
      </c>
      <c r="M532">
        <f t="shared" si="58"/>
        <v>372.78416666666664</v>
      </c>
      <c r="N532" s="28">
        <f t="shared" si="57"/>
        <v>-0.3151419184392239</v>
      </c>
    </row>
    <row r="533" spans="7:14" x14ac:dyDescent="0.4">
      <c r="G533" s="1">
        <v>37408</v>
      </c>
      <c r="H533">
        <f t="shared" si="53"/>
        <v>6</v>
      </c>
      <c r="I533" s="28">
        <v>375.4</v>
      </c>
      <c r="J533" s="28">
        <f t="shared" si="56"/>
        <v>-0.15000000000003411</v>
      </c>
      <c r="K533">
        <f t="shared" si="54"/>
        <v>2.3583796233572674</v>
      </c>
      <c r="L533" s="28">
        <f t="shared" si="55"/>
        <v>373.0416203766427</v>
      </c>
      <c r="M533">
        <f t="shared" si="58"/>
        <v>372.98999999999995</v>
      </c>
      <c r="N533" s="28">
        <f t="shared" si="57"/>
        <v>5.1620376642745214E-2</v>
      </c>
    </row>
    <row r="534" spans="7:14" x14ac:dyDescent="0.4">
      <c r="G534" s="1">
        <v>37438</v>
      </c>
      <c r="H534">
        <f t="shared" si="53"/>
        <v>7</v>
      </c>
      <c r="I534" s="28">
        <v>374.02</v>
      </c>
      <c r="J534" s="28">
        <f t="shared" si="56"/>
        <v>-1.3799999999999955</v>
      </c>
      <c r="K534">
        <f t="shared" si="54"/>
        <v>0.72791514248295042</v>
      </c>
      <c r="L534" s="28">
        <f t="shared" si="55"/>
        <v>373.29208485751701</v>
      </c>
      <c r="M534">
        <f t="shared" si="58"/>
        <v>373.18916666666661</v>
      </c>
      <c r="N534" s="28">
        <f t="shared" si="57"/>
        <v>0.10291819085040288</v>
      </c>
    </row>
    <row r="535" spans="7:14" x14ac:dyDescent="0.4">
      <c r="G535" s="1">
        <v>37469</v>
      </c>
      <c r="H535">
        <f t="shared" si="53"/>
        <v>8</v>
      </c>
      <c r="I535" s="28">
        <v>371.48</v>
      </c>
      <c r="J535" s="28">
        <f t="shared" si="56"/>
        <v>-2.5399999999999636</v>
      </c>
      <c r="K535">
        <f t="shared" si="54"/>
        <v>-1.4099263875716923</v>
      </c>
      <c r="L535" s="28">
        <f t="shared" si="55"/>
        <v>372.88992638757173</v>
      </c>
      <c r="M535">
        <f t="shared" si="58"/>
        <v>373.38833333333332</v>
      </c>
      <c r="N535" s="28">
        <f t="shared" si="57"/>
        <v>-0.49840694576158739</v>
      </c>
    </row>
    <row r="536" spans="7:14" x14ac:dyDescent="0.4">
      <c r="G536" s="1">
        <v>37500</v>
      </c>
      <c r="H536">
        <f t="shared" si="53"/>
        <v>9</v>
      </c>
      <c r="I536" s="28">
        <v>370.7</v>
      </c>
      <c r="J536" s="28">
        <f t="shared" si="56"/>
        <v>-0.78000000000002956</v>
      </c>
      <c r="K536">
        <f t="shared" si="54"/>
        <v>-3.204325294675523</v>
      </c>
      <c r="L536" s="28">
        <f t="shared" si="55"/>
        <v>373.90432529467552</v>
      </c>
      <c r="M536">
        <f t="shared" si="58"/>
        <v>373.60208333333338</v>
      </c>
      <c r="N536" s="28">
        <f t="shared" si="57"/>
        <v>0.30224196134213344</v>
      </c>
    </row>
    <row r="537" spans="7:14" x14ac:dyDescent="0.4">
      <c r="G537" s="1">
        <v>37530</v>
      </c>
      <c r="H537">
        <f t="shared" si="53"/>
        <v>10</v>
      </c>
      <c r="I537" s="28">
        <v>370.25</v>
      </c>
      <c r="J537" s="28">
        <f t="shared" si="56"/>
        <v>-0.44999999999998863</v>
      </c>
      <c r="K537">
        <f t="shared" si="54"/>
        <v>-3.3270848575170473</v>
      </c>
      <c r="L537" s="28">
        <f t="shared" si="55"/>
        <v>373.57708485751704</v>
      </c>
      <c r="M537">
        <f t="shared" si="58"/>
        <v>373.8266666666666</v>
      </c>
      <c r="N537" s="28">
        <f t="shared" si="57"/>
        <v>-0.24958180914956074</v>
      </c>
    </row>
    <row r="538" spans="7:14" x14ac:dyDescent="0.4">
      <c r="G538" s="1">
        <v>37561</v>
      </c>
      <c r="H538">
        <f t="shared" si="53"/>
        <v>11</v>
      </c>
      <c r="I538" s="28">
        <v>372.08</v>
      </c>
      <c r="J538" s="28">
        <f t="shared" si="56"/>
        <v>1.8299999999999841</v>
      </c>
      <c r="K538">
        <f t="shared" si="54"/>
        <v>-2.0516476990471002</v>
      </c>
      <c r="L538" s="28">
        <f t="shared" si="55"/>
        <v>374.13164769904711</v>
      </c>
      <c r="M538">
        <f t="shared" si="58"/>
        <v>374.06</v>
      </c>
      <c r="N538" s="28">
        <f t="shared" si="57"/>
        <v>7.1647699047105107E-2</v>
      </c>
    </row>
    <row r="539" spans="7:14" x14ac:dyDescent="0.4">
      <c r="G539" s="1">
        <v>37591</v>
      </c>
      <c r="H539">
        <f t="shared" si="53"/>
        <v>12</v>
      </c>
      <c r="I539" s="28">
        <v>373.78</v>
      </c>
      <c r="J539" s="28">
        <f t="shared" si="56"/>
        <v>1.6999999999999886</v>
      </c>
      <c r="K539">
        <f t="shared" si="54"/>
        <v>-0.88768595041322573</v>
      </c>
      <c r="L539" s="28">
        <f t="shared" si="55"/>
        <v>374.66768595041322</v>
      </c>
      <c r="M539">
        <f t="shared" si="58"/>
        <v>374.29041666666666</v>
      </c>
      <c r="N539" s="28">
        <f t="shared" si="57"/>
        <v>0.37726928374655699</v>
      </c>
    </row>
    <row r="540" spans="7:14" x14ac:dyDescent="0.4">
      <c r="G540" s="1">
        <v>37622</v>
      </c>
      <c r="H540">
        <f t="shared" si="53"/>
        <v>1</v>
      </c>
      <c r="I540" s="28">
        <v>374.68</v>
      </c>
      <c r="J540" s="28">
        <f t="shared" si="56"/>
        <v>0.90000000000003411</v>
      </c>
      <c r="K540">
        <f t="shared" si="54"/>
        <v>5.8898749040328657E-2</v>
      </c>
      <c r="L540" s="28">
        <f t="shared" si="55"/>
        <v>374.62110125095967</v>
      </c>
      <c r="M540">
        <f t="shared" si="58"/>
        <v>374.5116666666666</v>
      </c>
      <c r="N540" s="28">
        <f t="shared" si="57"/>
        <v>0.10943458429306929</v>
      </c>
    </row>
    <row r="541" spans="7:14" x14ac:dyDescent="0.4">
      <c r="G541" s="1">
        <v>37653</v>
      </c>
      <c r="H541">
        <f t="shared" si="53"/>
        <v>2</v>
      </c>
      <c r="I541" s="28">
        <v>375.62</v>
      </c>
      <c r="J541" s="28">
        <f t="shared" si="56"/>
        <v>0.93999999999999773</v>
      </c>
      <c r="K541">
        <f t="shared" si="54"/>
        <v>0.6941584247843573</v>
      </c>
      <c r="L541" s="28">
        <f t="shared" si="55"/>
        <v>374.92584157521566</v>
      </c>
      <c r="M541">
        <f t="shared" si="58"/>
        <v>374.74416666666667</v>
      </c>
      <c r="N541" s="28">
        <f t="shared" si="57"/>
        <v>0.1816749085489846</v>
      </c>
    </row>
    <row r="542" spans="7:14" x14ac:dyDescent="0.4">
      <c r="G542" s="1">
        <v>37681</v>
      </c>
      <c r="H542">
        <f t="shared" si="53"/>
        <v>3</v>
      </c>
      <c r="I542" s="28">
        <v>376.11</v>
      </c>
      <c r="J542" s="28">
        <f t="shared" si="56"/>
        <v>0.49000000000000909</v>
      </c>
      <c r="K542">
        <f t="shared" si="54"/>
        <v>1.3722957593821961</v>
      </c>
      <c r="L542" s="28">
        <f t="shared" si="55"/>
        <v>374.7377042406178</v>
      </c>
      <c r="M542">
        <f t="shared" si="58"/>
        <v>374.96416666666664</v>
      </c>
      <c r="N542" s="28">
        <f t="shared" si="57"/>
        <v>-0.22646242604884037</v>
      </c>
    </row>
    <row r="543" spans="7:14" x14ac:dyDescent="0.4">
      <c r="G543" s="1">
        <v>37712</v>
      </c>
      <c r="H543">
        <f t="shared" si="53"/>
        <v>4</v>
      </c>
      <c r="I543" s="28">
        <v>377.65</v>
      </c>
      <c r="J543" s="28">
        <f t="shared" si="56"/>
        <v>1.5399999999999636</v>
      </c>
      <c r="K543">
        <f t="shared" si="54"/>
        <v>2.5880472384049131</v>
      </c>
      <c r="L543" s="28">
        <f t="shared" si="55"/>
        <v>375.06195276159508</v>
      </c>
      <c r="M543">
        <f t="shared" si="58"/>
        <v>375.17374999999998</v>
      </c>
      <c r="N543" s="28">
        <f t="shared" si="57"/>
        <v>-0.11179723840490396</v>
      </c>
    </row>
    <row r="544" spans="7:14" x14ac:dyDescent="0.4">
      <c r="G544" s="1">
        <v>37742</v>
      </c>
      <c r="H544">
        <f t="shared" si="53"/>
        <v>5</v>
      </c>
      <c r="I544" s="28">
        <v>378.35</v>
      </c>
      <c r="J544" s="28">
        <f t="shared" si="56"/>
        <v>0.70000000000004547</v>
      </c>
      <c r="K544">
        <f t="shared" si="54"/>
        <v>3.0809752517725739</v>
      </c>
      <c r="L544" s="28">
        <f t="shared" si="55"/>
        <v>375.26902474822742</v>
      </c>
      <c r="M544">
        <f t="shared" si="58"/>
        <v>375.38291666666669</v>
      </c>
      <c r="N544" s="28">
        <f t="shared" si="57"/>
        <v>-0.11389191843926483</v>
      </c>
    </row>
    <row r="545" spans="7:14" x14ac:dyDescent="0.4">
      <c r="G545" s="1">
        <v>37773</v>
      </c>
      <c r="H545">
        <f t="shared" si="53"/>
        <v>6</v>
      </c>
      <c r="I545" s="28">
        <v>378.13</v>
      </c>
      <c r="J545" s="28">
        <f t="shared" si="56"/>
        <v>-0.22000000000002728</v>
      </c>
      <c r="K545">
        <f t="shared" si="54"/>
        <v>2.3583796233572674</v>
      </c>
      <c r="L545" s="28">
        <f t="shared" si="55"/>
        <v>375.77162037664272</v>
      </c>
      <c r="M545">
        <f t="shared" si="58"/>
        <v>375.55708333333337</v>
      </c>
      <c r="N545" s="28">
        <f t="shared" si="57"/>
        <v>0.21453704330934897</v>
      </c>
    </row>
    <row r="546" spans="7:14" x14ac:dyDescent="0.4">
      <c r="G546" s="1">
        <v>37803</v>
      </c>
      <c r="H546">
        <f t="shared" si="53"/>
        <v>7</v>
      </c>
      <c r="I546" s="28">
        <v>376.6</v>
      </c>
      <c r="J546" s="28">
        <f t="shared" si="56"/>
        <v>-1.5299999999999727</v>
      </c>
      <c r="K546">
        <f t="shared" si="54"/>
        <v>0.72791514248295042</v>
      </c>
      <c r="L546" s="28">
        <f t="shared" si="55"/>
        <v>375.87208485751705</v>
      </c>
      <c r="M546">
        <f t="shared" si="58"/>
        <v>375.72458333333338</v>
      </c>
      <c r="N546" s="28">
        <f t="shared" si="57"/>
        <v>0.14750152418366724</v>
      </c>
    </row>
    <row r="547" spans="7:14" x14ac:dyDescent="0.4">
      <c r="G547" s="1">
        <v>37834</v>
      </c>
      <c r="H547">
        <f t="shared" si="53"/>
        <v>8</v>
      </c>
      <c r="I547" s="28">
        <v>374.48</v>
      </c>
      <c r="J547" s="28">
        <f t="shared" si="56"/>
        <v>-2.1200000000000045</v>
      </c>
      <c r="K547">
        <f t="shared" si="54"/>
        <v>-1.4099263875716923</v>
      </c>
      <c r="L547" s="28">
        <f t="shared" si="55"/>
        <v>375.88992638757173</v>
      </c>
      <c r="M547">
        <f t="shared" si="58"/>
        <v>375.88541666666669</v>
      </c>
      <c r="N547" s="28">
        <f t="shared" si="57"/>
        <v>4.5097209050481979E-3</v>
      </c>
    </row>
    <row r="548" spans="7:14" x14ac:dyDescent="0.4">
      <c r="G548" s="1">
        <v>37865</v>
      </c>
      <c r="H548">
        <f t="shared" si="53"/>
        <v>9</v>
      </c>
      <c r="I548" s="28">
        <v>372.98</v>
      </c>
      <c r="J548" s="28">
        <f t="shared" si="56"/>
        <v>-1.5</v>
      </c>
      <c r="K548">
        <f t="shared" si="54"/>
        <v>-3.204325294675523</v>
      </c>
      <c r="L548" s="28">
        <f t="shared" si="55"/>
        <v>376.18432529467555</v>
      </c>
      <c r="M548">
        <f t="shared" si="58"/>
        <v>376.05333333333334</v>
      </c>
      <c r="N548" s="28">
        <f t="shared" si="57"/>
        <v>0.13099196134220392</v>
      </c>
    </row>
    <row r="549" spans="7:14" x14ac:dyDescent="0.4">
      <c r="G549" s="1">
        <v>37895</v>
      </c>
      <c r="H549">
        <f t="shared" si="53"/>
        <v>10</v>
      </c>
      <c r="I549" s="28">
        <v>373</v>
      </c>
      <c r="J549" s="28">
        <f t="shared" si="56"/>
        <v>1.999999999998181E-2</v>
      </c>
      <c r="K549">
        <f t="shared" si="54"/>
        <v>-3.3270848575170473</v>
      </c>
      <c r="L549" s="28">
        <f t="shared" si="55"/>
        <v>376.32708485751704</v>
      </c>
      <c r="M549">
        <f t="shared" si="58"/>
        <v>376.26708333333323</v>
      </c>
      <c r="N549" s="28">
        <f t="shared" si="57"/>
        <v>6.0001524183803667E-2</v>
      </c>
    </row>
    <row r="550" spans="7:14" x14ac:dyDescent="0.4">
      <c r="G550" s="1">
        <v>37926</v>
      </c>
      <c r="H550">
        <f t="shared" si="53"/>
        <v>11</v>
      </c>
      <c r="I550" s="28">
        <v>374.35</v>
      </c>
      <c r="J550" s="28">
        <f t="shared" si="56"/>
        <v>1.3500000000000227</v>
      </c>
      <c r="K550">
        <f t="shared" si="54"/>
        <v>-2.0516476990471002</v>
      </c>
      <c r="L550" s="28">
        <f t="shared" si="55"/>
        <v>376.40164769904715</v>
      </c>
      <c r="M550">
        <f t="shared" si="58"/>
        <v>376.4804166666666</v>
      </c>
      <c r="N550" s="28">
        <f t="shared" si="57"/>
        <v>-7.8768967619453178E-2</v>
      </c>
    </row>
    <row r="551" spans="7:14" x14ac:dyDescent="0.4">
      <c r="G551" s="1">
        <v>37956</v>
      </c>
      <c r="H551">
        <f t="shared" si="53"/>
        <v>12</v>
      </c>
      <c r="I551" s="28">
        <v>375.69</v>
      </c>
      <c r="J551" s="28">
        <f t="shared" si="56"/>
        <v>1.339999999999975</v>
      </c>
      <c r="K551">
        <f t="shared" si="54"/>
        <v>-0.88768595041322573</v>
      </c>
      <c r="L551" s="28">
        <f t="shared" si="55"/>
        <v>376.57768595041324</v>
      </c>
      <c r="M551">
        <f t="shared" si="58"/>
        <v>376.63416666666654</v>
      </c>
      <c r="N551" s="28">
        <f t="shared" si="57"/>
        <v>-5.6480716253304308E-2</v>
      </c>
    </row>
    <row r="552" spans="7:14" x14ac:dyDescent="0.4">
      <c r="G552" s="1">
        <v>37987</v>
      </c>
      <c r="H552">
        <f t="shared" si="53"/>
        <v>1</v>
      </c>
      <c r="I552" s="28">
        <v>376.79</v>
      </c>
      <c r="J552" s="28">
        <f t="shared" si="56"/>
        <v>1.1000000000000227</v>
      </c>
      <c r="K552">
        <f t="shared" si="54"/>
        <v>5.8898749040328657E-2</v>
      </c>
      <c r="L552" s="28">
        <f t="shared" si="55"/>
        <v>376.73110125095968</v>
      </c>
      <c r="M552">
        <f t="shared" si="58"/>
        <v>376.74166666666656</v>
      </c>
      <c r="N552" s="28">
        <f t="shared" si="57"/>
        <v>-1.0565415706878412E-2</v>
      </c>
    </row>
    <row r="553" spans="7:14" x14ac:dyDescent="0.4">
      <c r="G553" s="1">
        <v>38018</v>
      </c>
      <c r="H553">
        <f t="shared" si="53"/>
        <v>2</v>
      </c>
      <c r="I553" s="28">
        <v>377.37</v>
      </c>
      <c r="J553" s="28">
        <f t="shared" si="56"/>
        <v>0.57999999999998408</v>
      </c>
      <c r="K553">
        <f t="shared" si="54"/>
        <v>0.6941584247843573</v>
      </c>
      <c r="L553" s="28">
        <f t="shared" si="55"/>
        <v>376.67584157521566</v>
      </c>
      <c r="M553">
        <f t="shared" si="58"/>
        <v>376.84625000000005</v>
      </c>
      <c r="N553" s="28">
        <f t="shared" si="57"/>
        <v>-0.17040842478439799</v>
      </c>
    </row>
    <row r="554" spans="7:14" x14ac:dyDescent="0.4">
      <c r="G554" s="1">
        <v>38047</v>
      </c>
      <c r="H554">
        <f t="shared" si="53"/>
        <v>3</v>
      </c>
      <c r="I554" s="28">
        <v>378.39</v>
      </c>
      <c r="J554" s="28">
        <f t="shared" si="56"/>
        <v>1.0199999999999818</v>
      </c>
      <c r="K554">
        <f t="shared" si="54"/>
        <v>1.3722957593821961</v>
      </c>
      <c r="L554" s="28">
        <f t="shared" si="55"/>
        <v>377.01770424061777</v>
      </c>
      <c r="M554">
        <f t="shared" si="58"/>
        <v>376.9470833333333</v>
      </c>
      <c r="N554" s="28">
        <f t="shared" si="57"/>
        <v>7.0620907284478562E-2</v>
      </c>
    </row>
    <row r="555" spans="7:14" x14ac:dyDescent="0.4">
      <c r="G555" s="1">
        <v>38078</v>
      </c>
      <c r="H555">
        <f t="shared" si="53"/>
        <v>4</v>
      </c>
      <c r="I555" s="28">
        <v>380.5</v>
      </c>
      <c r="J555" s="28">
        <f t="shared" si="56"/>
        <v>2.1100000000000136</v>
      </c>
      <c r="K555">
        <f t="shared" si="54"/>
        <v>2.5880472384049131</v>
      </c>
      <c r="L555" s="28">
        <f t="shared" si="55"/>
        <v>377.9119527615951</v>
      </c>
      <c r="M555">
        <f t="shared" si="58"/>
        <v>377.04250000000002</v>
      </c>
      <c r="N555" s="28">
        <f t="shared" si="57"/>
        <v>0.86945276159508467</v>
      </c>
    </row>
    <row r="556" spans="7:14" x14ac:dyDescent="0.4">
      <c r="G556" s="1">
        <v>38108</v>
      </c>
      <c r="H556">
        <f t="shared" si="53"/>
        <v>5</v>
      </c>
      <c r="I556" s="28">
        <v>380.62</v>
      </c>
      <c r="J556" s="28">
        <f t="shared" si="56"/>
        <v>0.12000000000000455</v>
      </c>
      <c r="K556">
        <f t="shared" si="54"/>
        <v>3.0809752517725739</v>
      </c>
      <c r="L556" s="28">
        <f t="shared" si="55"/>
        <v>377.5390247482274</v>
      </c>
      <c r="M556">
        <f t="shared" si="58"/>
        <v>377.15541666666672</v>
      </c>
      <c r="N556" s="28">
        <f t="shared" si="57"/>
        <v>0.3836080815606806</v>
      </c>
    </row>
    <row r="557" spans="7:14" x14ac:dyDescent="0.4">
      <c r="G557" s="1">
        <v>38139</v>
      </c>
      <c r="H557">
        <f t="shared" si="53"/>
        <v>6</v>
      </c>
      <c r="I557" s="28">
        <v>379.55</v>
      </c>
      <c r="J557" s="28">
        <f t="shared" si="56"/>
        <v>-1.0699999999999932</v>
      </c>
      <c r="K557">
        <f t="shared" si="54"/>
        <v>2.3583796233572674</v>
      </c>
      <c r="L557" s="28">
        <f t="shared" si="55"/>
        <v>377.19162037664273</v>
      </c>
      <c r="M557">
        <f t="shared" si="58"/>
        <v>377.29041666666672</v>
      </c>
      <c r="N557" s="28">
        <f t="shared" si="57"/>
        <v>-9.8796290023983602E-2</v>
      </c>
    </row>
    <row r="558" spans="7:14" x14ac:dyDescent="0.4">
      <c r="G558" s="1">
        <v>38169</v>
      </c>
      <c r="H558">
        <f t="shared" si="53"/>
        <v>7</v>
      </c>
      <c r="I558" s="28">
        <v>377.76</v>
      </c>
      <c r="J558" s="28">
        <f t="shared" si="56"/>
        <v>-1.7900000000000205</v>
      </c>
      <c r="K558">
        <f t="shared" si="54"/>
        <v>0.72791514248295042</v>
      </c>
      <c r="L558" s="28">
        <f t="shared" si="55"/>
        <v>377.03208485751702</v>
      </c>
      <c r="M558">
        <f t="shared" si="58"/>
        <v>377.4279166666667</v>
      </c>
      <c r="N558" s="28">
        <f t="shared" si="57"/>
        <v>-0.39583180914968352</v>
      </c>
    </row>
    <row r="559" spans="7:14" x14ac:dyDescent="0.4">
      <c r="G559" s="1">
        <v>38200</v>
      </c>
      <c r="H559">
        <f t="shared" si="53"/>
        <v>8</v>
      </c>
      <c r="I559" s="28">
        <v>375.83</v>
      </c>
      <c r="J559" s="28">
        <f t="shared" si="56"/>
        <v>-1.9300000000000068</v>
      </c>
      <c r="K559">
        <f t="shared" si="54"/>
        <v>-1.4099263875716923</v>
      </c>
      <c r="L559" s="28">
        <f t="shared" si="55"/>
        <v>377.2399263875717</v>
      </c>
      <c r="M559">
        <f t="shared" si="58"/>
        <v>377.58583333333331</v>
      </c>
      <c r="N559" s="28">
        <f t="shared" si="57"/>
        <v>-0.34590694576161241</v>
      </c>
    </row>
    <row r="560" spans="7:14" x14ac:dyDescent="0.4">
      <c r="G560" s="1">
        <v>38231</v>
      </c>
      <c r="H560">
        <f t="shared" si="53"/>
        <v>9</v>
      </c>
      <c r="I560" s="28">
        <v>374.05</v>
      </c>
      <c r="J560" s="28">
        <f t="shared" si="56"/>
        <v>-1.7799999999999727</v>
      </c>
      <c r="K560">
        <f t="shared" si="54"/>
        <v>-3.204325294675523</v>
      </c>
      <c r="L560" s="28">
        <f t="shared" si="55"/>
        <v>377.25432529467554</v>
      </c>
      <c r="M560">
        <f t="shared" si="58"/>
        <v>377.74958333333331</v>
      </c>
      <c r="N560" s="28">
        <f t="shared" si="57"/>
        <v>-0.49525803865776652</v>
      </c>
    </row>
    <row r="561" spans="7:14" x14ac:dyDescent="0.4">
      <c r="G561" s="1">
        <v>38261</v>
      </c>
      <c r="H561">
        <f t="shared" si="53"/>
        <v>10</v>
      </c>
      <c r="I561" s="28">
        <v>374.22</v>
      </c>
      <c r="J561" s="28">
        <f t="shared" si="56"/>
        <v>0.17000000000001592</v>
      </c>
      <c r="K561">
        <f t="shared" si="54"/>
        <v>-3.3270848575170473</v>
      </c>
      <c r="L561" s="28">
        <f t="shared" si="55"/>
        <v>377.54708485751706</v>
      </c>
      <c r="M561">
        <f t="shared" si="58"/>
        <v>377.88458333333341</v>
      </c>
      <c r="N561" s="28">
        <f t="shared" si="57"/>
        <v>-0.3374984758163464</v>
      </c>
    </row>
    <row r="562" spans="7:14" x14ac:dyDescent="0.4">
      <c r="G562" s="1">
        <v>38292</v>
      </c>
      <c r="H562">
        <f t="shared" si="53"/>
        <v>11</v>
      </c>
      <c r="I562" s="28">
        <v>375.84</v>
      </c>
      <c r="J562" s="28">
        <f t="shared" si="56"/>
        <v>1.6199999999999477</v>
      </c>
      <c r="K562">
        <f t="shared" si="54"/>
        <v>-2.0516476990471002</v>
      </c>
      <c r="L562" s="28">
        <f t="shared" si="55"/>
        <v>377.8916476990471</v>
      </c>
      <c r="M562">
        <f t="shared" si="58"/>
        <v>378.01666666666671</v>
      </c>
      <c r="N562" s="28">
        <f t="shared" si="57"/>
        <v>-0.12501896761961007</v>
      </c>
    </row>
    <row r="563" spans="7:14" x14ac:dyDescent="0.4">
      <c r="G563" s="1">
        <v>38322</v>
      </c>
      <c r="H563">
        <f t="shared" si="53"/>
        <v>12</v>
      </c>
      <c r="I563" s="28">
        <v>377.44</v>
      </c>
      <c r="J563" s="28">
        <f t="shared" si="56"/>
        <v>1.6000000000000227</v>
      </c>
      <c r="K563">
        <f t="shared" si="54"/>
        <v>-0.88768595041322573</v>
      </c>
      <c r="L563" s="28">
        <f t="shared" si="55"/>
        <v>378.32768595041324</v>
      </c>
      <c r="M563">
        <f t="shared" si="58"/>
        <v>378.1895833333333</v>
      </c>
      <c r="N563" s="28">
        <f t="shared" si="57"/>
        <v>0.13810261707993732</v>
      </c>
    </row>
    <row r="564" spans="7:14" x14ac:dyDescent="0.4">
      <c r="G564" s="1">
        <v>38353</v>
      </c>
      <c r="H564">
        <f t="shared" si="53"/>
        <v>1</v>
      </c>
      <c r="I564" s="28">
        <v>378.34</v>
      </c>
      <c r="J564" s="28">
        <f t="shared" si="56"/>
        <v>0.89999999999997726</v>
      </c>
      <c r="K564">
        <f t="shared" si="54"/>
        <v>5.8898749040328657E-2</v>
      </c>
      <c r="L564" s="28">
        <f t="shared" si="55"/>
        <v>378.28110125095964</v>
      </c>
      <c r="M564">
        <f t="shared" si="58"/>
        <v>378.41583333333341</v>
      </c>
      <c r="N564" s="28">
        <f t="shared" si="57"/>
        <v>-0.13473208237377321</v>
      </c>
    </row>
    <row r="565" spans="7:14" x14ac:dyDescent="0.4">
      <c r="G565" s="1">
        <v>38384</v>
      </c>
      <c r="H565">
        <f t="shared" si="53"/>
        <v>2</v>
      </c>
      <c r="I565" s="28">
        <v>379.61</v>
      </c>
      <c r="J565" s="28">
        <f t="shared" si="56"/>
        <v>1.2700000000000387</v>
      </c>
      <c r="K565">
        <f t="shared" si="54"/>
        <v>0.6941584247843573</v>
      </c>
      <c r="L565" s="28">
        <f t="shared" si="55"/>
        <v>378.91584157521567</v>
      </c>
      <c r="M565">
        <f t="shared" si="58"/>
        <v>378.65499999999997</v>
      </c>
      <c r="N565" s="28">
        <f t="shared" si="57"/>
        <v>0.26084157521569296</v>
      </c>
    </row>
    <row r="566" spans="7:14" x14ac:dyDescent="0.4">
      <c r="G566" s="1">
        <v>38412</v>
      </c>
      <c r="H566">
        <f t="shared" si="53"/>
        <v>3</v>
      </c>
      <c r="I566" s="28">
        <v>380.08</v>
      </c>
      <c r="J566" s="28">
        <f t="shared" si="56"/>
        <v>0.46999999999997044</v>
      </c>
      <c r="K566">
        <f t="shared" si="54"/>
        <v>1.3722957593821961</v>
      </c>
      <c r="L566" s="28">
        <f t="shared" si="55"/>
        <v>378.70770424061777</v>
      </c>
      <c r="M566">
        <f t="shared" si="58"/>
        <v>378.87208333333336</v>
      </c>
      <c r="N566" s="28">
        <f t="shared" si="57"/>
        <v>-0.16437909271559192</v>
      </c>
    </row>
    <row r="567" spans="7:14" x14ac:dyDescent="0.4">
      <c r="G567" s="1">
        <v>38443</v>
      </c>
      <c r="H567">
        <f t="shared" si="53"/>
        <v>4</v>
      </c>
      <c r="I567" s="28">
        <v>382.05</v>
      </c>
      <c r="J567" s="28">
        <f t="shared" si="56"/>
        <v>1.9700000000000273</v>
      </c>
      <c r="K567">
        <f t="shared" si="54"/>
        <v>2.5880472384049131</v>
      </c>
      <c r="L567" s="28">
        <f t="shared" si="55"/>
        <v>379.46195276159511</v>
      </c>
      <c r="M567">
        <f t="shared" si="58"/>
        <v>379.07833333333321</v>
      </c>
      <c r="N567" s="28">
        <f t="shared" si="57"/>
        <v>0.38361942826190898</v>
      </c>
    </row>
    <row r="568" spans="7:14" x14ac:dyDescent="0.4">
      <c r="G568" s="1">
        <v>38473</v>
      </c>
      <c r="H568">
        <f t="shared" si="53"/>
        <v>5</v>
      </c>
      <c r="I568" s="28">
        <v>382.24</v>
      </c>
      <c r="J568" s="28">
        <f t="shared" si="56"/>
        <v>0.18999999999999773</v>
      </c>
      <c r="K568">
        <f t="shared" si="54"/>
        <v>3.0809752517725739</v>
      </c>
      <c r="L568" s="28">
        <f t="shared" si="55"/>
        <v>379.15902474822741</v>
      </c>
      <c r="M568">
        <f t="shared" si="58"/>
        <v>379.28874999999994</v>
      </c>
      <c r="N568" s="28">
        <f t="shared" si="57"/>
        <v>-0.12972525177252692</v>
      </c>
    </row>
    <row r="569" spans="7:14" x14ac:dyDescent="0.4">
      <c r="G569" s="1">
        <v>38504</v>
      </c>
      <c r="H569">
        <f t="shared" si="53"/>
        <v>6</v>
      </c>
      <c r="I569" s="28">
        <v>382.08</v>
      </c>
      <c r="J569" s="28">
        <f t="shared" si="56"/>
        <v>-0.16000000000002501</v>
      </c>
      <c r="K569">
        <f t="shared" si="54"/>
        <v>2.3583796233572674</v>
      </c>
      <c r="L569" s="28">
        <f t="shared" si="55"/>
        <v>379.7216203766427</v>
      </c>
      <c r="M569">
        <f t="shared" si="58"/>
        <v>379.49666666666673</v>
      </c>
      <c r="N569" s="28">
        <f t="shared" si="57"/>
        <v>0.22495370997597774</v>
      </c>
    </row>
    <row r="570" spans="7:14" x14ac:dyDescent="0.4">
      <c r="G570" s="1">
        <v>38534</v>
      </c>
      <c r="H570">
        <f t="shared" si="53"/>
        <v>7</v>
      </c>
      <c r="I570" s="28">
        <v>380.66</v>
      </c>
      <c r="J570" s="28">
        <f t="shared" si="56"/>
        <v>-1.4199999999999591</v>
      </c>
      <c r="K570">
        <f t="shared" si="54"/>
        <v>0.72791514248295042</v>
      </c>
      <c r="L570" s="28">
        <f t="shared" si="55"/>
        <v>379.93208485751705</v>
      </c>
      <c r="M570">
        <f t="shared" si="58"/>
        <v>379.72791666666672</v>
      </c>
      <c r="N570" s="28">
        <f t="shared" si="57"/>
        <v>0.20416819085033922</v>
      </c>
    </row>
    <row r="571" spans="7:14" x14ac:dyDescent="0.4">
      <c r="G571" s="1">
        <v>38565</v>
      </c>
      <c r="H571">
        <f t="shared" si="53"/>
        <v>8</v>
      </c>
      <c r="I571" s="28">
        <v>378.67</v>
      </c>
      <c r="J571" s="28">
        <f t="shared" si="56"/>
        <v>-1.9900000000000091</v>
      </c>
      <c r="K571">
        <f t="shared" si="54"/>
        <v>-1.4099263875716923</v>
      </c>
      <c r="L571" s="28">
        <f t="shared" si="55"/>
        <v>380.07992638757173</v>
      </c>
      <c r="M571">
        <f t="shared" si="58"/>
        <v>379.95458333333335</v>
      </c>
      <c r="N571" s="28">
        <f t="shared" si="57"/>
        <v>0.12534305423838532</v>
      </c>
    </row>
    <row r="572" spans="7:14" x14ac:dyDescent="0.4">
      <c r="G572" s="1">
        <v>38596</v>
      </c>
      <c r="H572">
        <f t="shared" si="53"/>
        <v>9</v>
      </c>
      <c r="I572" s="28">
        <v>376.42</v>
      </c>
      <c r="J572" s="28">
        <f t="shared" si="56"/>
        <v>-2.25</v>
      </c>
      <c r="K572">
        <f t="shared" si="54"/>
        <v>-3.204325294675523</v>
      </c>
      <c r="L572" s="28">
        <f t="shared" si="55"/>
        <v>379.62432529467554</v>
      </c>
      <c r="M572">
        <f t="shared" si="58"/>
        <v>380.15833333333336</v>
      </c>
      <c r="N572" s="28">
        <f t="shared" si="57"/>
        <v>-0.53400803865781654</v>
      </c>
    </row>
    <row r="573" spans="7:14" x14ac:dyDescent="0.4">
      <c r="G573" s="1">
        <v>38626</v>
      </c>
      <c r="H573">
        <f t="shared" si="53"/>
        <v>10</v>
      </c>
      <c r="I573" s="28">
        <v>376.8</v>
      </c>
      <c r="J573" s="28">
        <f t="shared" si="56"/>
        <v>0.37999999999999545</v>
      </c>
      <c r="K573">
        <f t="shared" si="54"/>
        <v>-3.3270848575170473</v>
      </c>
      <c r="L573" s="28">
        <f t="shared" si="55"/>
        <v>380.12708485751705</v>
      </c>
      <c r="M573">
        <f t="shared" si="58"/>
        <v>380.35791666666665</v>
      </c>
      <c r="N573" s="28">
        <f t="shared" si="57"/>
        <v>-0.23083180914960622</v>
      </c>
    </row>
    <row r="574" spans="7:14" x14ac:dyDescent="0.4">
      <c r="G574" s="1">
        <v>38657</v>
      </c>
      <c r="H574">
        <f t="shared" si="53"/>
        <v>11</v>
      </c>
      <c r="I574" s="28">
        <v>378.31</v>
      </c>
      <c r="J574" s="28">
        <f t="shared" si="56"/>
        <v>1.5099999999999909</v>
      </c>
      <c r="K574">
        <f t="shared" si="54"/>
        <v>-2.0516476990471002</v>
      </c>
      <c r="L574" s="28">
        <f t="shared" si="55"/>
        <v>380.36164769904713</v>
      </c>
      <c r="M574">
        <f t="shared" si="58"/>
        <v>380.56583333333333</v>
      </c>
      <c r="N574" s="28">
        <f t="shared" si="57"/>
        <v>-0.20418563428620473</v>
      </c>
    </row>
    <row r="575" spans="7:14" x14ac:dyDescent="0.4">
      <c r="G575" s="1">
        <v>38687</v>
      </c>
      <c r="H575">
        <f t="shared" si="53"/>
        <v>12</v>
      </c>
      <c r="I575" s="28">
        <v>379.96</v>
      </c>
      <c r="J575" s="28">
        <f t="shared" si="56"/>
        <v>1.6499999999999773</v>
      </c>
      <c r="K575">
        <f t="shared" si="54"/>
        <v>-0.88768595041322573</v>
      </c>
      <c r="L575" s="28">
        <f t="shared" si="55"/>
        <v>380.84768595041322</v>
      </c>
      <c r="M575">
        <f t="shared" si="58"/>
        <v>380.75874999999996</v>
      </c>
      <c r="N575" s="28">
        <f t="shared" si="57"/>
        <v>8.8935950413258524E-2</v>
      </c>
    </row>
    <row r="576" spans="7:14" x14ac:dyDescent="0.4">
      <c r="G576" s="1">
        <v>38718</v>
      </c>
      <c r="H576">
        <f t="shared" si="53"/>
        <v>1</v>
      </c>
      <c r="I576" s="28">
        <v>381.37</v>
      </c>
      <c r="J576" s="28">
        <f t="shared" si="56"/>
        <v>1.410000000000025</v>
      </c>
      <c r="K576">
        <f t="shared" si="54"/>
        <v>5.8898749040328657E-2</v>
      </c>
      <c r="L576" s="28">
        <f t="shared" si="55"/>
        <v>381.31110125095967</v>
      </c>
      <c r="M576">
        <f t="shared" si="58"/>
        <v>380.90749999999997</v>
      </c>
      <c r="N576" s="28">
        <f t="shared" si="57"/>
        <v>0.40360125095969579</v>
      </c>
    </row>
    <row r="577" spans="7:14" x14ac:dyDescent="0.4">
      <c r="G577" s="1">
        <v>38749</v>
      </c>
      <c r="H577">
        <f t="shared" si="53"/>
        <v>2</v>
      </c>
      <c r="I577" s="28">
        <v>382.02</v>
      </c>
      <c r="J577" s="28">
        <f t="shared" si="56"/>
        <v>0.64999999999997726</v>
      </c>
      <c r="K577">
        <f t="shared" si="54"/>
        <v>0.6941584247843573</v>
      </c>
      <c r="L577" s="28">
        <f t="shared" si="55"/>
        <v>381.32584157521563</v>
      </c>
      <c r="M577">
        <f t="shared" si="58"/>
        <v>381.05041666666665</v>
      </c>
      <c r="N577" s="28">
        <f t="shared" si="57"/>
        <v>0.2754249085489846</v>
      </c>
    </row>
    <row r="578" spans="7:14" x14ac:dyDescent="0.4">
      <c r="G578" s="1">
        <v>38777</v>
      </c>
      <c r="H578">
        <f t="shared" si="53"/>
        <v>3</v>
      </c>
      <c r="I578" s="28">
        <v>382.56</v>
      </c>
      <c r="J578" s="28">
        <f t="shared" si="56"/>
        <v>0.54000000000002046</v>
      </c>
      <c r="K578">
        <f t="shared" si="54"/>
        <v>1.3722957593821961</v>
      </c>
      <c r="L578" s="28">
        <f t="shared" si="55"/>
        <v>381.18770424061779</v>
      </c>
      <c r="M578">
        <f t="shared" si="58"/>
        <v>381.22541666666666</v>
      </c>
      <c r="N578" s="28">
        <f t="shared" si="57"/>
        <v>-3.7712426048869929E-2</v>
      </c>
    </row>
    <row r="579" spans="7:14" x14ac:dyDescent="0.4">
      <c r="G579" s="1">
        <v>38808</v>
      </c>
      <c r="H579">
        <f t="shared" ref="H579:H642" si="59">MONTH(G579)</f>
        <v>4</v>
      </c>
      <c r="I579" s="28">
        <v>384.36</v>
      </c>
      <c r="J579" s="28">
        <f t="shared" si="56"/>
        <v>1.8000000000000114</v>
      </c>
      <c r="K579">
        <f t="shared" ref="K579:K642" si="60">INDEX($E$3:$E$14,H579)</f>
        <v>2.5880472384049131</v>
      </c>
      <c r="L579" s="28">
        <f t="shared" ref="L579:L642" si="61">I579-K579</f>
        <v>381.77195276159512</v>
      </c>
      <c r="M579">
        <f t="shared" si="58"/>
        <v>381.41916666666674</v>
      </c>
      <c r="N579" s="28">
        <f t="shared" si="57"/>
        <v>0.35278609492837631</v>
      </c>
    </row>
    <row r="580" spans="7:14" x14ac:dyDescent="0.4">
      <c r="G580" s="1">
        <v>38838</v>
      </c>
      <c r="H580">
        <f t="shared" si="59"/>
        <v>5</v>
      </c>
      <c r="I580" s="28">
        <v>384.92</v>
      </c>
      <c r="J580" s="28">
        <f t="shared" ref="J580:J643" si="62">I580-I579</f>
        <v>0.56000000000000227</v>
      </c>
      <c r="K580">
        <f t="shared" si="60"/>
        <v>3.0809752517725739</v>
      </c>
      <c r="L580" s="28">
        <f t="shared" si="61"/>
        <v>381.83902474822742</v>
      </c>
      <c r="M580">
        <f t="shared" si="58"/>
        <v>381.58958333333339</v>
      </c>
      <c r="N580" s="28">
        <f t="shared" si="57"/>
        <v>0.24944141489402227</v>
      </c>
    </row>
    <row r="581" spans="7:14" x14ac:dyDescent="0.4">
      <c r="G581" s="1">
        <v>38869</v>
      </c>
      <c r="H581">
        <f t="shared" si="59"/>
        <v>6</v>
      </c>
      <c r="I581" s="28">
        <v>384.03</v>
      </c>
      <c r="J581" s="28">
        <f t="shared" si="62"/>
        <v>-0.8900000000000432</v>
      </c>
      <c r="K581">
        <f t="shared" si="60"/>
        <v>2.3583796233572674</v>
      </c>
      <c r="L581" s="28">
        <f t="shared" si="61"/>
        <v>381.67162037664269</v>
      </c>
      <c r="M581">
        <f t="shared" si="58"/>
        <v>381.73666666666668</v>
      </c>
      <c r="N581" s="28">
        <f t="shared" si="57"/>
        <v>-6.5046290023985875E-2</v>
      </c>
    </row>
    <row r="582" spans="7:14" x14ac:dyDescent="0.4">
      <c r="G582" s="1">
        <v>38899</v>
      </c>
      <c r="H582">
        <f t="shared" si="59"/>
        <v>7</v>
      </c>
      <c r="I582" s="28">
        <v>382.28</v>
      </c>
      <c r="J582" s="28">
        <f t="shared" si="62"/>
        <v>-1.75</v>
      </c>
      <c r="K582">
        <f t="shared" si="60"/>
        <v>0.72791514248295042</v>
      </c>
      <c r="L582" s="28">
        <f t="shared" si="61"/>
        <v>381.552084857517</v>
      </c>
      <c r="M582">
        <f t="shared" si="58"/>
        <v>381.85791666666665</v>
      </c>
      <c r="N582" s="28">
        <f t="shared" si="57"/>
        <v>-0.30583180914965169</v>
      </c>
    </row>
    <row r="583" spans="7:14" x14ac:dyDescent="0.4">
      <c r="G583" s="1">
        <v>38930</v>
      </c>
      <c r="H583">
        <f t="shared" si="59"/>
        <v>8</v>
      </c>
      <c r="I583" s="28">
        <v>380.48</v>
      </c>
      <c r="J583" s="28">
        <f t="shared" si="62"/>
        <v>-1.7999999999999545</v>
      </c>
      <c r="K583">
        <f t="shared" si="60"/>
        <v>-1.4099263875716923</v>
      </c>
      <c r="L583" s="28">
        <f t="shared" si="61"/>
        <v>381.88992638757173</v>
      </c>
      <c r="M583">
        <f t="shared" si="58"/>
        <v>381.97874999999999</v>
      </c>
      <c r="N583" s="28">
        <f t="shared" si="57"/>
        <v>-8.8823612428257093E-2</v>
      </c>
    </row>
    <row r="584" spans="7:14" x14ac:dyDescent="0.4">
      <c r="G584" s="1">
        <v>38961</v>
      </c>
      <c r="H584">
        <f t="shared" si="59"/>
        <v>9</v>
      </c>
      <c r="I584" s="28">
        <v>378.81</v>
      </c>
      <c r="J584" s="28">
        <f t="shared" si="62"/>
        <v>-1.6700000000000159</v>
      </c>
      <c r="K584">
        <f t="shared" si="60"/>
        <v>-3.204325294675523</v>
      </c>
      <c r="L584" s="28">
        <f t="shared" si="61"/>
        <v>382.01432529467553</v>
      </c>
      <c r="M584">
        <f t="shared" si="58"/>
        <v>382.12333333333339</v>
      </c>
      <c r="N584" s="28">
        <f t="shared" si="57"/>
        <v>-0.10900803865786202</v>
      </c>
    </row>
    <row r="585" spans="7:14" x14ac:dyDescent="0.4">
      <c r="G585" s="1">
        <v>38991</v>
      </c>
      <c r="H585">
        <f t="shared" si="59"/>
        <v>10</v>
      </c>
      <c r="I585" s="28">
        <v>379.06</v>
      </c>
      <c r="J585" s="28">
        <f t="shared" si="62"/>
        <v>0.25</v>
      </c>
      <c r="K585">
        <f t="shared" si="60"/>
        <v>-3.3270848575170473</v>
      </c>
      <c r="L585" s="28">
        <f t="shared" si="61"/>
        <v>382.38708485751704</v>
      </c>
      <c r="M585">
        <f t="shared" si="58"/>
        <v>382.27541666666662</v>
      </c>
      <c r="N585" s="28">
        <f t="shared" ref="N585:N648" si="63">L585-M585</f>
        <v>0.11166819085042334</v>
      </c>
    </row>
    <row r="586" spans="7:14" x14ac:dyDescent="0.4">
      <c r="G586" s="1">
        <v>39022</v>
      </c>
      <c r="H586">
        <f t="shared" si="59"/>
        <v>11</v>
      </c>
      <c r="I586" s="28">
        <v>380.14</v>
      </c>
      <c r="J586" s="28">
        <f t="shared" si="62"/>
        <v>1.0799999999999841</v>
      </c>
      <c r="K586">
        <f t="shared" si="60"/>
        <v>-2.0516476990471002</v>
      </c>
      <c r="L586" s="28">
        <f t="shared" si="61"/>
        <v>382.19164769904711</v>
      </c>
      <c r="M586">
        <f t="shared" si="58"/>
        <v>382.41541666666666</v>
      </c>
      <c r="N586" s="28">
        <f t="shared" si="63"/>
        <v>-0.22376896761954868</v>
      </c>
    </row>
    <row r="587" spans="7:14" x14ac:dyDescent="0.4">
      <c r="G587" s="1">
        <v>39052</v>
      </c>
      <c r="H587">
        <f t="shared" si="59"/>
        <v>12</v>
      </c>
      <c r="I587" s="28">
        <v>381.66</v>
      </c>
      <c r="J587" s="28">
        <f t="shared" si="62"/>
        <v>1.5200000000000387</v>
      </c>
      <c r="K587">
        <f t="shared" si="60"/>
        <v>-0.88768595041322573</v>
      </c>
      <c r="L587" s="28">
        <f t="shared" si="61"/>
        <v>382.54768595041327</v>
      </c>
      <c r="M587">
        <f t="shared" si="58"/>
        <v>382.55416666666662</v>
      </c>
      <c r="N587" s="28">
        <f t="shared" si="63"/>
        <v>-6.4807162533497831E-3</v>
      </c>
    </row>
    <row r="588" spans="7:14" x14ac:dyDescent="0.4">
      <c r="G588" s="1">
        <v>39083</v>
      </c>
      <c r="H588">
        <f t="shared" si="59"/>
        <v>1</v>
      </c>
      <c r="I588" s="28">
        <v>382.58</v>
      </c>
      <c r="J588" s="28">
        <f t="shared" si="62"/>
        <v>0.91999999999995907</v>
      </c>
      <c r="K588">
        <f t="shared" si="60"/>
        <v>5.8898749040328657E-2</v>
      </c>
      <c r="L588" s="28">
        <f t="shared" si="61"/>
        <v>382.52110125095965</v>
      </c>
      <c r="M588">
        <f t="shared" si="58"/>
        <v>382.72083333333336</v>
      </c>
      <c r="N588" s="28">
        <f t="shared" si="63"/>
        <v>-0.19973208237371409</v>
      </c>
    </row>
    <row r="589" spans="7:14" x14ac:dyDescent="0.4">
      <c r="G589" s="1">
        <v>39114</v>
      </c>
      <c r="H589">
        <f t="shared" si="59"/>
        <v>2</v>
      </c>
      <c r="I589" s="28">
        <v>383.71</v>
      </c>
      <c r="J589" s="28">
        <f t="shared" si="62"/>
        <v>1.1299999999999955</v>
      </c>
      <c r="K589">
        <f t="shared" si="60"/>
        <v>0.6941584247843573</v>
      </c>
      <c r="L589" s="28">
        <f t="shared" si="61"/>
        <v>383.01584157521563</v>
      </c>
      <c r="M589">
        <f t="shared" si="58"/>
        <v>382.86750000000001</v>
      </c>
      <c r="N589" s="28">
        <f t="shared" si="63"/>
        <v>0.14834157521562474</v>
      </c>
    </row>
    <row r="590" spans="7:14" x14ac:dyDescent="0.4">
      <c r="G590" s="1">
        <v>39142</v>
      </c>
      <c r="H590">
        <f t="shared" si="59"/>
        <v>3</v>
      </c>
      <c r="I590" s="28">
        <v>384.34</v>
      </c>
      <c r="J590" s="28">
        <f t="shared" si="62"/>
        <v>0.62999999999999545</v>
      </c>
      <c r="K590">
        <f t="shared" si="60"/>
        <v>1.3722957593821961</v>
      </c>
      <c r="L590" s="28">
        <f t="shared" si="61"/>
        <v>382.96770424061776</v>
      </c>
      <c r="M590">
        <f t="shared" si="58"/>
        <v>383.0095833333333</v>
      </c>
      <c r="N590" s="28">
        <f t="shared" si="63"/>
        <v>-4.1879092715532806E-2</v>
      </c>
    </row>
    <row r="591" spans="7:14" x14ac:dyDescent="0.4">
      <c r="G591" s="1">
        <v>39173</v>
      </c>
      <c r="H591">
        <f t="shared" si="59"/>
        <v>4</v>
      </c>
      <c r="I591" s="28">
        <v>386.23</v>
      </c>
      <c r="J591" s="28">
        <f t="shared" si="62"/>
        <v>1.8900000000000432</v>
      </c>
      <c r="K591">
        <f t="shared" si="60"/>
        <v>2.5880472384049131</v>
      </c>
      <c r="L591" s="28">
        <f t="shared" si="61"/>
        <v>383.64195276159512</v>
      </c>
      <c r="M591">
        <f t="shared" ref="M591:M654" si="64">(SUM(L586:L596)+(L585+L597)/2)/12</f>
        <v>383.17</v>
      </c>
      <c r="N591" s="28">
        <f t="shared" si="63"/>
        <v>0.47195276159510513</v>
      </c>
    </row>
    <row r="592" spans="7:14" x14ac:dyDescent="0.4">
      <c r="G592" s="1">
        <v>39203</v>
      </c>
      <c r="H592">
        <f t="shared" si="59"/>
        <v>5</v>
      </c>
      <c r="I592" s="28">
        <v>386.41</v>
      </c>
      <c r="J592" s="28">
        <f t="shared" si="62"/>
        <v>0.18000000000000682</v>
      </c>
      <c r="K592">
        <f t="shared" si="60"/>
        <v>3.0809752517725739</v>
      </c>
      <c r="L592" s="28">
        <f t="shared" si="61"/>
        <v>383.32902474822743</v>
      </c>
      <c r="M592">
        <f t="shared" si="64"/>
        <v>383.33750000000003</v>
      </c>
      <c r="N592" s="28">
        <f t="shared" si="63"/>
        <v>-8.4752517726087717E-3</v>
      </c>
    </row>
    <row r="593" spans="7:14" x14ac:dyDescent="0.4">
      <c r="G593" s="1">
        <v>39234</v>
      </c>
      <c r="H593">
        <f t="shared" si="59"/>
        <v>6</v>
      </c>
      <c r="I593" s="28">
        <v>385.87</v>
      </c>
      <c r="J593" s="28">
        <f t="shared" si="62"/>
        <v>-0.54000000000002046</v>
      </c>
      <c r="K593">
        <f t="shared" si="60"/>
        <v>2.3583796233572674</v>
      </c>
      <c r="L593" s="28">
        <f t="shared" si="61"/>
        <v>383.51162037664272</v>
      </c>
      <c r="M593">
        <f t="shared" si="64"/>
        <v>383.51125000000002</v>
      </c>
      <c r="N593" s="28">
        <f t="shared" si="63"/>
        <v>3.7037664270656023E-4</v>
      </c>
    </row>
    <row r="594" spans="7:14" x14ac:dyDescent="0.4">
      <c r="G594" s="1">
        <v>39264</v>
      </c>
      <c r="H594">
        <f t="shared" si="59"/>
        <v>7</v>
      </c>
      <c r="I594" s="28">
        <v>384.44</v>
      </c>
      <c r="J594" s="28">
        <f t="shared" si="62"/>
        <v>-1.4300000000000068</v>
      </c>
      <c r="K594">
        <f t="shared" si="60"/>
        <v>0.72791514248295042</v>
      </c>
      <c r="L594" s="28">
        <f t="shared" si="61"/>
        <v>383.71208485751703</v>
      </c>
      <c r="M594">
        <f t="shared" si="64"/>
        <v>383.69625000000002</v>
      </c>
      <c r="N594" s="28">
        <f t="shared" si="63"/>
        <v>1.583485751700664E-2</v>
      </c>
    </row>
    <row r="595" spans="7:14" x14ac:dyDescent="0.4">
      <c r="G595" s="1">
        <v>39295</v>
      </c>
      <c r="H595">
        <f t="shared" si="59"/>
        <v>8</v>
      </c>
      <c r="I595" s="28">
        <v>381.84</v>
      </c>
      <c r="J595" s="28">
        <f t="shared" si="62"/>
        <v>-2.6000000000000227</v>
      </c>
      <c r="K595">
        <f t="shared" si="60"/>
        <v>-1.4099263875716923</v>
      </c>
      <c r="L595" s="28">
        <f t="shared" si="61"/>
        <v>383.24992638757169</v>
      </c>
      <c r="M595">
        <f t="shared" si="64"/>
        <v>383.88875000000002</v>
      </c>
      <c r="N595" s="28">
        <f t="shared" si="63"/>
        <v>-0.6388236124283253</v>
      </c>
    </row>
    <row r="596" spans="7:14" x14ac:dyDescent="0.4">
      <c r="G596" s="1">
        <v>39326</v>
      </c>
      <c r="H596">
        <f t="shared" si="59"/>
        <v>9</v>
      </c>
      <c r="I596" s="28">
        <v>380.86</v>
      </c>
      <c r="J596" s="28">
        <f t="shared" si="62"/>
        <v>-0.97999999999996135</v>
      </c>
      <c r="K596">
        <f t="shared" si="60"/>
        <v>-3.204325294675523</v>
      </c>
      <c r="L596" s="28">
        <f t="shared" si="61"/>
        <v>384.06432529467554</v>
      </c>
      <c r="M596">
        <f t="shared" si="64"/>
        <v>384.03958333333338</v>
      </c>
      <c r="N596" s="28">
        <f t="shared" si="63"/>
        <v>2.4741961342158447E-2</v>
      </c>
    </row>
    <row r="597" spans="7:14" x14ac:dyDescent="0.4">
      <c r="G597" s="1">
        <v>39356</v>
      </c>
      <c r="H597">
        <f t="shared" si="59"/>
        <v>10</v>
      </c>
      <c r="I597" s="28">
        <v>380.86</v>
      </c>
      <c r="J597" s="28">
        <f t="shared" si="62"/>
        <v>0</v>
      </c>
      <c r="K597">
        <f t="shared" si="60"/>
        <v>-3.3270848575170473</v>
      </c>
      <c r="L597" s="28">
        <f t="shared" si="61"/>
        <v>384.18708485751705</v>
      </c>
      <c r="M597">
        <f t="shared" si="64"/>
        <v>384.12416666666672</v>
      </c>
      <c r="N597" s="28">
        <f t="shared" si="63"/>
        <v>6.2918190850325573E-2</v>
      </c>
    </row>
    <row r="598" spans="7:14" x14ac:dyDescent="0.4">
      <c r="G598" s="1">
        <v>39387</v>
      </c>
      <c r="H598">
        <f t="shared" si="59"/>
        <v>11</v>
      </c>
      <c r="I598" s="28">
        <v>382.36</v>
      </c>
      <c r="J598" s="28">
        <f t="shared" si="62"/>
        <v>1.5</v>
      </c>
      <c r="K598">
        <f t="shared" si="60"/>
        <v>-2.0516476990471002</v>
      </c>
      <c r="L598" s="28">
        <f t="shared" si="61"/>
        <v>384.41164769904714</v>
      </c>
      <c r="M598">
        <f t="shared" si="64"/>
        <v>384.23416666666662</v>
      </c>
      <c r="N598" s="28">
        <f t="shared" si="63"/>
        <v>0.17748103238051272</v>
      </c>
    </row>
    <row r="599" spans="7:14" x14ac:dyDescent="0.4">
      <c r="G599" s="1">
        <v>39417</v>
      </c>
      <c r="H599">
        <f t="shared" si="59"/>
        <v>12</v>
      </c>
      <c r="I599" s="28">
        <v>383.61</v>
      </c>
      <c r="J599" s="28">
        <f t="shared" si="62"/>
        <v>1.25</v>
      </c>
      <c r="K599">
        <f t="shared" si="60"/>
        <v>-0.88768595041322573</v>
      </c>
      <c r="L599" s="28">
        <f t="shared" si="61"/>
        <v>384.49768595041326</v>
      </c>
      <c r="M599">
        <f t="shared" si="64"/>
        <v>384.41249999999997</v>
      </c>
      <c r="N599" s="28">
        <f t="shared" si="63"/>
        <v>8.5185950413290357E-2</v>
      </c>
    </row>
    <row r="600" spans="7:14" x14ac:dyDescent="0.4">
      <c r="G600" s="1">
        <v>39448</v>
      </c>
      <c r="H600">
        <f t="shared" si="59"/>
        <v>1</v>
      </c>
      <c r="I600" s="28">
        <v>385.07</v>
      </c>
      <c r="J600" s="28">
        <f t="shared" si="62"/>
        <v>1.4599999999999795</v>
      </c>
      <c r="K600">
        <f t="shared" si="60"/>
        <v>5.8898749040328657E-2</v>
      </c>
      <c r="L600" s="28">
        <f t="shared" si="61"/>
        <v>385.01110125095965</v>
      </c>
      <c r="M600">
        <f t="shared" si="64"/>
        <v>384.57874999999996</v>
      </c>
      <c r="N600" s="28">
        <f t="shared" si="63"/>
        <v>0.43235125095969806</v>
      </c>
    </row>
    <row r="601" spans="7:14" x14ac:dyDescent="0.4">
      <c r="G601" s="1">
        <v>39479</v>
      </c>
      <c r="H601">
        <f t="shared" si="59"/>
        <v>2</v>
      </c>
      <c r="I601" s="28">
        <v>385.84</v>
      </c>
      <c r="J601" s="28">
        <f t="shared" si="62"/>
        <v>0.76999999999998181</v>
      </c>
      <c r="K601">
        <f t="shared" si="60"/>
        <v>0.6941584247843573</v>
      </c>
      <c r="L601" s="28">
        <f t="shared" si="61"/>
        <v>385.14584157521563</v>
      </c>
      <c r="M601">
        <f t="shared" si="64"/>
        <v>384.74749999999995</v>
      </c>
      <c r="N601" s="28">
        <f t="shared" si="63"/>
        <v>0.39834157521568159</v>
      </c>
    </row>
    <row r="602" spans="7:14" x14ac:dyDescent="0.4">
      <c r="G602" s="1">
        <v>39508</v>
      </c>
      <c r="H602">
        <f t="shared" si="59"/>
        <v>3</v>
      </c>
      <c r="I602" s="28">
        <v>385.83</v>
      </c>
      <c r="J602" s="28">
        <f t="shared" si="62"/>
        <v>-9.9999999999909051E-3</v>
      </c>
      <c r="K602">
        <f t="shared" si="60"/>
        <v>1.3722957593821961</v>
      </c>
      <c r="L602" s="28">
        <f t="shared" si="61"/>
        <v>384.45770424061777</v>
      </c>
      <c r="M602">
        <f t="shared" si="64"/>
        <v>384.93374999999997</v>
      </c>
      <c r="N602" s="28">
        <f t="shared" si="63"/>
        <v>-0.4760457593822025</v>
      </c>
    </row>
    <row r="603" spans="7:14" x14ac:dyDescent="0.4">
      <c r="G603" s="1">
        <v>39539</v>
      </c>
      <c r="H603">
        <f t="shared" si="59"/>
        <v>4</v>
      </c>
      <c r="I603" s="28">
        <v>386.77</v>
      </c>
      <c r="J603" s="28">
        <f t="shared" si="62"/>
        <v>0.93999999999999773</v>
      </c>
      <c r="K603">
        <f t="shared" si="60"/>
        <v>2.5880472384049131</v>
      </c>
      <c r="L603" s="28">
        <f t="shared" si="61"/>
        <v>384.18195276159508</v>
      </c>
      <c r="M603">
        <f t="shared" si="64"/>
        <v>385.10666666666674</v>
      </c>
      <c r="N603" s="28">
        <f t="shared" si="63"/>
        <v>-0.92471390507165552</v>
      </c>
    </row>
    <row r="604" spans="7:14" x14ac:dyDescent="0.4">
      <c r="G604" s="1">
        <v>39569</v>
      </c>
      <c r="H604">
        <f t="shared" si="59"/>
        <v>5</v>
      </c>
      <c r="I604" s="28">
        <v>388.51</v>
      </c>
      <c r="J604" s="28">
        <f t="shared" si="62"/>
        <v>1.7400000000000091</v>
      </c>
      <c r="K604">
        <f t="shared" si="60"/>
        <v>3.0809752517725739</v>
      </c>
      <c r="L604" s="28">
        <f t="shared" si="61"/>
        <v>385.42902474822739</v>
      </c>
      <c r="M604">
        <f t="shared" si="64"/>
        <v>385.25541666666669</v>
      </c>
      <c r="N604" s="28">
        <f t="shared" si="63"/>
        <v>0.17360808156070107</v>
      </c>
    </row>
    <row r="605" spans="7:14" x14ac:dyDescent="0.4">
      <c r="G605" s="1">
        <v>39600</v>
      </c>
      <c r="H605">
        <f t="shared" si="59"/>
        <v>6</v>
      </c>
      <c r="I605" s="28">
        <v>388.05</v>
      </c>
      <c r="J605" s="28">
        <f t="shared" si="62"/>
        <v>-0.45999999999997954</v>
      </c>
      <c r="K605">
        <f t="shared" si="60"/>
        <v>2.3583796233572674</v>
      </c>
      <c r="L605" s="28">
        <f t="shared" si="61"/>
        <v>385.69162037664273</v>
      </c>
      <c r="M605">
        <f t="shared" si="64"/>
        <v>385.3866666666666</v>
      </c>
      <c r="N605" s="28">
        <f t="shared" si="63"/>
        <v>0.30495370997613236</v>
      </c>
    </row>
    <row r="606" spans="7:14" x14ac:dyDescent="0.4">
      <c r="G606" s="1">
        <v>39630</v>
      </c>
      <c r="H606">
        <f t="shared" si="59"/>
        <v>7</v>
      </c>
      <c r="I606" s="28">
        <v>386.25</v>
      </c>
      <c r="J606" s="28">
        <f t="shared" si="62"/>
        <v>-1.8000000000000114</v>
      </c>
      <c r="K606">
        <f t="shared" si="60"/>
        <v>0.72791514248295042</v>
      </c>
      <c r="L606" s="28">
        <f t="shared" si="61"/>
        <v>385.52208485751703</v>
      </c>
      <c r="M606">
        <f t="shared" si="64"/>
        <v>385.51500000000004</v>
      </c>
      <c r="N606" s="28">
        <f t="shared" si="63"/>
        <v>7.0848575169861761E-3</v>
      </c>
    </row>
    <row r="607" spans="7:14" x14ac:dyDescent="0.4">
      <c r="G607" s="1">
        <v>39661</v>
      </c>
      <c r="H607">
        <f t="shared" si="59"/>
        <v>8</v>
      </c>
      <c r="I607" s="28">
        <v>384.08</v>
      </c>
      <c r="J607" s="28">
        <f t="shared" si="62"/>
        <v>-2.1700000000000159</v>
      </c>
      <c r="K607">
        <f t="shared" si="60"/>
        <v>-1.4099263875716923</v>
      </c>
      <c r="L607" s="28">
        <f t="shared" si="61"/>
        <v>385.4899263875717</v>
      </c>
      <c r="M607">
        <f t="shared" si="64"/>
        <v>385.63416666666666</v>
      </c>
      <c r="N607" s="28">
        <f t="shared" si="63"/>
        <v>-0.14424027909495862</v>
      </c>
    </row>
    <row r="608" spans="7:14" x14ac:dyDescent="0.4">
      <c r="G608" s="1">
        <v>39692</v>
      </c>
      <c r="H608">
        <f t="shared" si="59"/>
        <v>9</v>
      </c>
      <c r="I608" s="28">
        <v>383.09</v>
      </c>
      <c r="J608" s="28">
        <f t="shared" si="62"/>
        <v>-0.99000000000000909</v>
      </c>
      <c r="K608">
        <f t="shared" si="60"/>
        <v>-3.204325294675523</v>
      </c>
      <c r="L608" s="28">
        <f t="shared" si="61"/>
        <v>386.2943252946755</v>
      </c>
      <c r="M608">
        <f t="shared" si="64"/>
        <v>385.79958333333326</v>
      </c>
      <c r="N608" s="28">
        <f t="shared" si="63"/>
        <v>0.49474196134224258</v>
      </c>
    </row>
    <row r="609" spans="7:14" x14ac:dyDescent="0.4">
      <c r="G609" s="1">
        <v>39722</v>
      </c>
      <c r="H609">
        <f t="shared" si="59"/>
        <v>10</v>
      </c>
      <c r="I609" s="28">
        <v>382.78</v>
      </c>
      <c r="J609" s="28">
        <f t="shared" si="62"/>
        <v>-0.31000000000000227</v>
      </c>
      <c r="K609">
        <f t="shared" si="60"/>
        <v>-3.3270848575170473</v>
      </c>
      <c r="L609" s="28">
        <f t="shared" si="61"/>
        <v>386.10708485751701</v>
      </c>
      <c r="M609">
        <f t="shared" si="64"/>
        <v>386.02833333333336</v>
      </c>
      <c r="N609" s="28">
        <f t="shared" si="63"/>
        <v>7.8751524183644506E-2</v>
      </c>
    </row>
    <row r="610" spans="7:14" x14ac:dyDescent="0.4">
      <c r="G610" s="1">
        <v>39753</v>
      </c>
      <c r="H610">
        <f t="shared" si="59"/>
        <v>11</v>
      </c>
      <c r="I610" s="28">
        <v>384.01</v>
      </c>
      <c r="J610" s="28">
        <f t="shared" si="62"/>
        <v>1.2300000000000182</v>
      </c>
      <c r="K610">
        <f t="shared" si="60"/>
        <v>-2.0516476990471002</v>
      </c>
      <c r="L610" s="28">
        <f t="shared" si="61"/>
        <v>386.06164769904711</v>
      </c>
      <c r="M610">
        <f t="shared" si="64"/>
        <v>386.21416666666664</v>
      </c>
      <c r="N610" s="28">
        <f t="shared" si="63"/>
        <v>-0.15251896761952821</v>
      </c>
    </row>
    <row r="611" spans="7:14" x14ac:dyDescent="0.4">
      <c r="G611" s="1">
        <v>39783</v>
      </c>
      <c r="H611">
        <f t="shared" si="59"/>
        <v>12</v>
      </c>
      <c r="I611" s="28">
        <v>385.11</v>
      </c>
      <c r="J611" s="28">
        <f t="shared" si="62"/>
        <v>1.1000000000000227</v>
      </c>
      <c r="K611">
        <f t="shared" si="60"/>
        <v>-0.88768595041322573</v>
      </c>
      <c r="L611" s="28">
        <f t="shared" si="61"/>
        <v>385.99768595041326</v>
      </c>
      <c r="M611">
        <f t="shared" si="64"/>
        <v>386.34875000000005</v>
      </c>
      <c r="N611" s="28">
        <f t="shared" si="63"/>
        <v>-0.35106404958679605</v>
      </c>
    </row>
    <row r="612" spans="7:14" x14ac:dyDescent="0.4">
      <c r="G612" s="1">
        <v>39814</v>
      </c>
      <c r="H612">
        <f t="shared" si="59"/>
        <v>1</v>
      </c>
      <c r="I612" s="28">
        <v>386.65</v>
      </c>
      <c r="J612" s="28">
        <f t="shared" si="62"/>
        <v>1.5399999999999636</v>
      </c>
      <c r="K612">
        <f t="shared" si="60"/>
        <v>5.8898749040328657E-2</v>
      </c>
      <c r="L612" s="28">
        <f t="shared" si="61"/>
        <v>386.59110125095964</v>
      </c>
      <c r="M612">
        <f t="shared" si="64"/>
        <v>386.49</v>
      </c>
      <c r="N612" s="28">
        <f t="shared" si="63"/>
        <v>0.10110125095962985</v>
      </c>
    </row>
    <row r="613" spans="7:14" x14ac:dyDescent="0.4">
      <c r="G613" s="1">
        <v>39845</v>
      </c>
      <c r="H613">
        <f t="shared" si="59"/>
        <v>2</v>
      </c>
      <c r="I613" s="28">
        <v>387.12</v>
      </c>
      <c r="J613" s="28">
        <f t="shared" si="62"/>
        <v>0.47000000000002728</v>
      </c>
      <c r="K613">
        <f t="shared" si="60"/>
        <v>0.6941584247843573</v>
      </c>
      <c r="L613" s="28">
        <f t="shared" si="61"/>
        <v>386.42584157521566</v>
      </c>
      <c r="M613">
        <f t="shared" si="64"/>
        <v>386.64916666666664</v>
      </c>
      <c r="N613" s="28">
        <f t="shared" si="63"/>
        <v>-0.22332509145098811</v>
      </c>
    </row>
    <row r="614" spans="7:14" x14ac:dyDescent="0.4">
      <c r="G614" s="1">
        <v>39873</v>
      </c>
      <c r="H614">
        <f t="shared" si="59"/>
        <v>3</v>
      </c>
      <c r="I614" s="28">
        <v>388.52</v>
      </c>
      <c r="J614" s="28">
        <f t="shared" si="62"/>
        <v>1.3999999999999773</v>
      </c>
      <c r="K614">
        <f t="shared" si="60"/>
        <v>1.3722957593821961</v>
      </c>
      <c r="L614" s="28">
        <f t="shared" si="61"/>
        <v>387.14770424061777</v>
      </c>
      <c r="M614">
        <f t="shared" si="64"/>
        <v>386.79750000000007</v>
      </c>
      <c r="N614" s="28">
        <f t="shared" si="63"/>
        <v>0.35020424061769972</v>
      </c>
    </row>
    <row r="615" spans="7:14" x14ac:dyDescent="0.4">
      <c r="G615" s="1">
        <v>39904</v>
      </c>
      <c r="H615">
        <f t="shared" si="59"/>
        <v>4</v>
      </c>
      <c r="I615" s="28">
        <v>389.57</v>
      </c>
      <c r="J615" s="28">
        <f t="shared" si="62"/>
        <v>1.0500000000000114</v>
      </c>
      <c r="K615">
        <f t="shared" si="60"/>
        <v>2.5880472384049131</v>
      </c>
      <c r="L615" s="28">
        <f t="shared" si="61"/>
        <v>386.9819527615951</v>
      </c>
      <c r="M615">
        <f t="shared" si="64"/>
        <v>386.92708333333331</v>
      </c>
      <c r="N615" s="28">
        <f t="shared" si="63"/>
        <v>5.486942826178165E-2</v>
      </c>
    </row>
    <row r="616" spans="7:14" x14ac:dyDescent="0.4">
      <c r="G616" s="1">
        <v>39934</v>
      </c>
      <c r="H616">
        <f t="shared" si="59"/>
        <v>5</v>
      </c>
      <c r="I616" s="28">
        <v>390.17</v>
      </c>
      <c r="J616" s="28">
        <f t="shared" si="62"/>
        <v>0.60000000000002274</v>
      </c>
      <c r="K616">
        <f t="shared" si="60"/>
        <v>3.0809752517725739</v>
      </c>
      <c r="L616" s="28">
        <f t="shared" si="61"/>
        <v>387.08902474822742</v>
      </c>
      <c r="M616">
        <f t="shared" si="64"/>
        <v>387.07666666666665</v>
      </c>
      <c r="N616" s="28">
        <f t="shared" si="63"/>
        <v>1.2358081560762457E-2</v>
      </c>
    </row>
    <row r="617" spans="7:14" x14ac:dyDescent="0.4">
      <c r="G617" s="1">
        <v>39965</v>
      </c>
      <c r="H617">
        <f t="shared" si="59"/>
        <v>6</v>
      </c>
      <c r="I617" s="28">
        <v>389.62</v>
      </c>
      <c r="J617" s="28">
        <f t="shared" si="62"/>
        <v>-0.55000000000001137</v>
      </c>
      <c r="K617">
        <f t="shared" si="60"/>
        <v>2.3583796233572674</v>
      </c>
      <c r="L617" s="28">
        <f t="shared" si="61"/>
        <v>387.26162037664272</v>
      </c>
      <c r="M617">
        <f t="shared" si="64"/>
        <v>387.26083333333344</v>
      </c>
      <c r="N617" s="28">
        <f t="shared" si="63"/>
        <v>7.8704330928758282E-4</v>
      </c>
    </row>
    <row r="618" spans="7:14" x14ac:dyDescent="0.4">
      <c r="G618" s="1">
        <v>39995</v>
      </c>
      <c r="H618">
        <f t="shared" si="59"/>
        <v>7</v>
      </c>
      <c r="I618" s="28">
        <v>388.07</v>
      </c>
      <c r="J618" s="28">
        <f t="shared" si="62"/>
        <v>-1.5500000000000114</v>
      </c>
      <c r="K618">
        <f t="shared" si="60"/>
        <v>0.72791514248295042</v>
      </c>
      <c r="L618" s="28">
        <f t="shared" si="61"/>
        <v>387.34208485751702</v>
      </c>
      <c r="M618">
        <f t="shared" si="64"/>
        <v>387.43916666666672</v>
      </c>
      <c r="N618" s="28">
        <f t="shared" si="63"/>
        <v>-9.7081809149699438E-2</v>
      </c>
    </row>
    <row r="619" spans="7:14" x14ac:dyDescent="0.4">
      <c r="G619" s="1">
        <v>40026</v>
      </c>
      <c r="H619">
        <f t="shared" si="59"/>
        <v>8</v>
      </c>
      <c r="I619" s="28">
        <v>386.08</v>
      </c>
      <c r="J619" s="28">
        <f t="shared" si="62"/>
        <v>-1.9900000000000091</v>
      </c>
      <c r="K619">
        <f t="shared" si="60"/>
        <v>-1.4099263875716923</v>
      </c>
      <c r="L619" s="28">
        <f t="shared" si="61"/>
        <v>387.4899263875717</v>
      </c>
      <c r="M619">
        <f t="shared" si="64"/>
        <v>387.64166666666659</v>
      </c>
      <c r="N619" s="28">
        <f t="shared" si="63"/>
        <v>-0.15174027909489496</v>
      </c>
    </row>
    <row r="620" spans="7:14" x14ac:dyDescent="0.4">
      <c r="G620" s="1">
        <v>40057</v>
      </c>
      <c r="H620">
        <f t="shared" si="59"/>
        <v>9</v>
      </c>
      <c r="I620" s="28">
        <v>384.65</v>
      </c>
      <c r="J620" s="28">
        <f t="shared" si="62"/>
        <v>-1.4300000000000068</v>
      </c>
      <c r="K620">
        <f t="shared" si="60"/>
        <v>-3.204325294675523</v>
      </c>
      <c r="L620" s="28">
        <f t="shared" si="61"/>
        <v>387.8543252946755</v>
      </c>
      <c r="M620">
        <f t="shared" si="64"/>
        <v>387.86874999999992</v>
      </c>
      <c r="N620" s="28">
        <f t="shared" si="63"/>
        <v>-1.4424705324415754E-2</v>
      </c>
    </row>
    <row r="621" spans="7:14" x14ac:dyDescent="0.4">
      <c r="G621" s="1">
        <v>40087</v>
      </c>
      <c r="H621">
        <f t="shared" si="59"/>
        <v>10</v>
      </c>
      <c r="I621" s="28">
        <v>384.33</v>
      </c>
      <c r="J621" s="28">
        <f t="shared" si="62"/>
        <v>-0.31999999999999318</v>
      </c>
      <c r="K621">
        <f t="shared" si="60"/>
        <v>-3.3270848575170473</v>
      </c>
      <c r="L621" s="28">
        <f t="shared" si="61"/>
        <v>387.65708485751702</v>
      </c>
      <c r="M621">
        <f t="shared" si="64"/>
        <v>388.08958333333334</v>
      </c>
      <c r="N621" s="28">
        <f t="shared" si="63"/>
        <v>-0.43249847581631684</v>
      </c>
    </row>
    <row r="622" spans="7:14" x14ac:dyDescent="0.4">
      <c r="G622" s="1">
        <v>40118</v>
      </c>
      <c r="H622">
        <f t="shared" si="59"/>
        <v>11</v>
      </c>
      <c r="I622" s="28">
        <v>386.05</v>
      </c>
      <c r="J622" s="28">
        <f t="shared" si="62"/>
        <v>1.7200000000000273</v>
      </c>
      <c r="K622">
        <f t="shared" si="60"/>
        <v>-2.0516476990471002</v>
      </c>
      <c r="L622" s="28">
        <f t="shared" si="61"/>
        <v>388.10164769904713</v>
      </c>
      <c r="M622">
        <f t="shared" si="64"/>
        <v>388.33375000000001</v>
      </c>
      <c r="N622" s="28">
        <f t="shared" si="63"/>
        <v>-0.23210230095287443</v>
      </c>
    </row>
    <row r="623" spans="7:14" x14ac:dyDescent="0.4">
      <c r="G623" s="1">
        <v>40148</v>
      </c>
      <c r="H623">
        <f t="shared" si="59"/>
        <v>12</v>
      </c>
      <c r="I623" s="28">
        <v>387.49</v>
      </c>
      <c r="J623" s="28">
        <f t="shared" si="62"/>
        <v>1.4399999999999977</v>
      </c>
      <c r="K623">
        <f t="shared" si="60"/>
        <v>-0.88768595041322573</v>
      </c>
      <c r="L623" s="28">
        <f t="shared" si="61"/>
        <v>388.37768595041325</v>
      </c>
      <c r="M623">
        <f t="shared" si="64"/>
        <v>388.57</v>
      </c>
      <c r="N623" s="28">
        <f t="shared" si="63"/>
        <v>-0.19231404958674148</v>
      </c>
    </row>
    <row r="624" spans="7:14" x14ac:dyDescent="0.4">
      <c r="G624" s="1">
        <v>40179</v>
      </c>
      <c r="H624">
        <f t="shared" si="59"/>
        <v>1</v>
      </c>
      <c r="I624" s="28">
        <v>388.55</v>
      </c>
      <c r="J624" s="28">
        <f t="shared" si="62"/>
        <v>1.0600000000000023</v>
      </c>
      <c r="K624">
        <f t="shared" si="60"/>
        <v>5.8898749040328657E-2</v>
      </c>
      <c r="L624" s="28">
        <f t="shared" si="61"/>
        <v>388.49110125095967</v>
      </c>
      <c r="M624">
        <f t="shared" si="64"/>
        <v>388.77333333333331</v>
      </c>
      <c r="N624" s="28">
        <f t="shared" si="63"/>
        <v>-0.28223208237363906</v>
      </c>
    </row>
    <row r="625" spans="7:14" x14ac:dyDescent="0.4">
      <c r="G625" s="1">
        <v>40210</v>
      </c>
      <c r="H625">
        <f t="shared" si="59"/>
        <v>2</v>
      </c>
      <c r="I625" s="28">
        <v>390.08</v>
      </c>
      <c r="J625" s="28">
        <f t="shared" si="62"/>
        <v>1.5299999999999727</v>
      </c>
      <c r="K625">
        <f t="shared" si="60"/>
        <v>0.6941584247843573</v>
      </c>
      <c r="L625" s="28">
        <f t="shared" si="61"/>
        <v>389.38584157521564</v>
      </c>
      <c r="M625">
        <f t="shared" si="64"/>
        <v>388.96916666666669</v>
      </c>
      <c r="N625" s="28">
        <f t="shared" si="63"/>
        <v>0.4166749085489414</v>
      </c>
    </row>
    <row r="626" spans="7:14" x14ac:dyDescent="0.4">
      <c r="G626" s="1">
        <v>40238</v>
      </c>
      <c r="H626">
        <f t="shared" si="59"/>
        <v>3</v>
      </c>
      <c r="I626" s="28">
        <v>391.01</v>
      </c>
      <c r="J626" s="28">
        <f t="shared" si="62"/>
        <v>0.93000000000000682</v>
      </c>
      <c r="K626">
        <f t="shared" si="60"/>
        <v>1.3722957593821961</v>
      </c>
      <c r="L626" s="28">
        <f t="shared" si="61"/>
        <v>389.63770424061778</v>
      </c>
      <c r="M626">
        <f t="shared" si="64"/>
        <v>389.16208333333338</v>
      </c>
      <c r="N626" s="28">
        <f t="shared" si="63"/>
        <v>0.47562090728439443</v>
      </c>
    </row>
    <row r="627" spans="7:14" x14ac:dyDescent="0.4">
      <c r="G627" s="1">
        <v>40269</v>
      </c>
      <c r="H627">
        <f t="shared" si="59"/>
        <v>4</v>
      </c>
      <c r="I627" s="28">
        <v>392.38</v>
      </c>
      <c r="J627" s="28">
        <f t="shared" si="62"/>
        <v>1.3700000000000045</v>
      </c>
      <c r="K627">
        <f t="shared" si="60"/>
        <v>2.5880472384049131</v>
      </c>
      <c r="L627" s="28">
        <f t="shared" si="61"/>
        <v>389.7919527615951</v>
      </c>
      <c r="M627">
        <f t="shared" si="64"/>
        <v>389.37125000000009</v>
      </c>
      <c r="N627" s="28">
        <f t="shared" si="63"/>
        <v>0.42070276159500963</v>
      </c>
    </row>
    <row r="628" spans="7:14" x14ac:dyDescent="0.4">
      <c r="G628" s="1">
        <v>40299</v>
      </c>
      <c r="H628">
        <f t="shared" si="59"/>
        <v>5</v>
      </c>
      <c r="I628" s="28">
        <v>393.22</v>
      </c>
      <c r="J628" s="28">
        <f t="shared" si="62"/>
        <v>0.84000000000003183</v>
      </c>
      <c r="K628">
        <f t="shared" si="60"/>
        <v>3.0809752517725739</v>
      </c>
      <c r="L628" s="28">
        <f t="shared" si="61"/>
        <v>390.13902474822743</v>
      </c>
      <c r="M628">
        <f t="shared" si="64"/>
        <v>389.59833333333341</v>
      </c>
      <c r="N628" s="28">
        <f t="shared" si="63"/>
        <v>0.54069141489401318</v>
      </c>
    </row>
    <row r="629" spans="7:14" x14ac:dyDescent="0.4">
      <c r="G629" s="1">
        <v>40330</v>
      </c>
      <c r="H629">
        <f t="shared" si="59"/>
        <v>6</v>
      </c>
      <c r="I629" s="28">
        <v>392.24</v>
      </c>
      <c r="J629" s="28">
        <f t="shared" si="62"/>
        <v>-0.98000000000001819</v>
      </c>
      <c r="K629">
        <f t="shared" si="60"/>
        <v>2.3583796233572674</v>
      </c>
      <c r="L629" s="28">
        <f t="shared" si="61"/>
        <v>389.88162037664273</v>
      </c>
      <c r="M629">
        <f t="shared" si="64"/>
        <v>389.80416666666673</v>
      </c>
      <c r="N629" s="28">
        <f t="shared" si="63"/>
        <v>7.7453709975998208E-2</v>
      </c>
    </row>
    <row r="630" spans="7:14" x14ac:dyDescent="0.4">
      <c r="G630" s="1">
        <v>40360</v>
      </c>
      <c r="H630">
        <f t="shared" si="59"/>
        <v>7</v>
      </c>
      <c r="I630" s="28">
        <v>390.33</v>
      </c>
      <c r="J630" s="28">
        <f t="shared" si="62"/>
        <v>-1.910000000000025</v>
      </c>
      <c r="K630">
        <f t="shared" si="60"/>
        <v>0.72791514248295042</v>
      </c>
      <c r="L630" s="28">
        <f t="shared" si="61"/>
        <v>389.60208485751701</v>
      </c>
      <c r="M630">
        <f t="shared" si="64"/>
        <v>390.01541666666662</v>
      </c>
      <c r="N630" s="28">
        <f t="shared" si="63"/>
        <v>-0.41333180914961076</v>
      </c>
    </row>
    <row r="631" spans="7:14" x14ac:dyDescent="0.4">
      <c r="G631" s="1">
        <v>40391</v>
      </c>
      <c r="H631">
        <f t="shared" si="59"/>
        <v>8</v>
      </c>
      <c r="I631" s="28">
        <v>388.52</v>
      </c>
      <c r="J631" s="28">
        <f t="shared" si="62"/>
        <v>-1.8100000000000023</v>
      </c>
      <c r="K631">
        <f t="shared" si="60"/>
        <v>-1.4099263875716923</v>
      </c>
      <c r="L631" s="28">
        <f t="shared" si="61"/>
        <v>389.9299263875717</v>
      </c>
      <c r="M631">
        <f t="shared" si="64"/>
        <v>390.20666666666671</v>
      </c>
      <c r="N631" s="28">
        <f t="shared" si="63"/>
        <v>-0.27674027909500865</v>
      </c>
    </row>
    <row r="632" spans="7:14" x14ac:dyDescent="0.4">
      <c r="G632" s="1">
        <v>40422</v>
      </c>
      <c r="H632">
        <f t="shared" si="59"/>
        <v>9</v>
      </c>
      <c r="I632" s="28">
        <v>386.84</v>
      </c>
      <c r="J632" s="28">
        <f t="shared" si="62"/>
        <v>-1.6800000000000068</v>
      </c>
      <c r="K632">
        <f t="shared" si="60"/>
        <v>-3.204325294675523</v>
      </c>
      <c r="L632" s="28">
        <f t="shared" si="61"/>
        <v>390.0443252946755</v>
      </c>
      <c r="M632">
        <f t="shared" si="64"/>
        <v>390.34333333333331</v>
      </c>
      <c r="N632" s="28">
        <f t="shared" si="63"/>
        <v>-0.2990080386578029</v>
      </c>
    </row>
    <row r="633" spans="7:14" x14ac:dyDescent="0.4">
      <c r="G633" s="1">
        <v>40452</v>
      </c>
      <c r="H633">
        <f t="shared" si="59"/>
        <v>10</v>
      </c>
      <c r="I633" s="28">
        <v>387.16</v>
      </c>
      <c r="J633" s="28">
        <f t="shared" si="62"/>
        <v>0.32000000000005002</v>
      </c>
      <c r="K633">
        <f t="shared" si="60"/>
        <v>-3.3270848575170473</v>
      </c>
      <c r="L633" s="28">
        <f t="shared" si="61"/>
        <v>390.48708485751706</v>
      </c>
      <c r="M633">
        <f t="shared" si="64"/>
        <v>390.44458333333336</v>
      </c>
      <c r="N633" s="28">
        <f t="shared" si="63"/>
        <v>4.2501524183705897E-2</v>
      </c>
    </row>
    <row r="634" spans="7:14" x14ac:dyDescent="0.4">
      <c r="G634" s="1">
        <v>40483</v>
      </c>
      <c r="H634">
        <f t="shared" si="59"/>
        <v>11</v>
      </c>
      <c r="I634" s="28">
        <v>388.67</v>
      </c>
      <c r="J634" s="28">
        <f t="shared" si="62"/>
        <v>1.5099999999999909</v>
      </c>
      <c r="K634">
        <f t="shared" si="60"/>
        <v>-2.0516476990471002</v>
      </c>
      <c r="L634" s="28">
        <f t="shared" si="61"/>
        <v>390.72164769904714</v>
      </c>
      <c r="M634">
        <f t="shared" si="64"/>
        <v>390.53</v>
      </c>
      <c r="N634" s="28">
        <f t="shared" si="63"/>
        <v>0.1916476990471665</v>
      </c>
    </row>
    <row r="635" spans="7:14" x14ac:dyDescent="0.4">
      <c r="G635" s="1">
        <v>40513</v>
      </c>
      <c r="H635">
        <f t="shared" si="59"/>
        <v>12</v>
      </c>
      <c r="I635" s="28">
        <v>389.81</v>
      </c>
      <c r="J635" s="28">
        <f t="shared" si="62"/>
        <v>1.1399999999999864</v>
      </c>
      <c r="K635">
        <f t="shared" si="60"/>
        <v>-0.88768595041322573</v>
      </c>
      <c r="L635" s="28">
        <f t="shared" si="61"/>
        <v>390.69768595041324</v>
      </c>
      <c r="M635">
        <f t="shared" si="64"/>
        <v>390.6345833333333</v>
      </c>
      <c r="N635" s="28">
        <f t="shared" si="63"/>
        <v>6.3102617079948686E-2</v>
      </c>
    </row>
    <row r="636" spans="7:14" x14ac:dyDescent="0.4">
      <c r="G636" s="1">
        <v>40544</v>
      </c>
      <c r="H636">
        <f t="shared" si="59"/>
        <v>1</v>
      </c>
      <c r="I636" s="28">
        <v>391.3</v>
      </c>
      <c r="J636" s="28">
        <f t="shared" si="62"/>
        <v>1.4900000000000091</v>
      </c>
      <c r="K636">
        <f t="shared" si="60"/>
        <v>5.8898749040328657E-2</v>
      </c>
      <c r="L636" s="28">
        <f t="shared" si="61"/>
        <v>391.24110125095967</v>
      </c>
      <c r="M636">
        <f t="shared" si="64"/>
        <v>390.78916666666674</v>
      </c>
      <c r="N636" s="28">
        <f t="shared" si="63"/>
        <v>0.45193458429292832</v>
      </c>
    </row>
    <row r="637" spans="7:14" x14ac:dyDescent="0.4">
      <c r="G637" s="1">
        <v>40575</v>
      </c>
      <c r="H637">
        <f t="shared" si="59"/>
        <v>2</v>
      </c>
      <c r="I637" s="28">
        <v>391.92</v>
      </c>
      <c r="J637" s="28">
        <f t="shared" si="62"/>
        <v>0.62000000000000455</v>
      </c>
      <c r="K637">
        <f t="shared" si="60"/>
        <v>0.6941584247843573</v>
      </c>
      <c r="L637" s="28">
        <f t="shared" si="61"/>
        <v>391.22584157521567</v>
      </c>
      <c r="M637">
        <f t="shared" si="64"/>
        <v>390.95374999999996</v>
      </c>
      <c r="N637" s="28">
        <f t="shared" si="63"/>
        <v>0.27209157521571115</v>
      </c>
    </row>
    <row r="638" spans="7:14" x14ac:dyDescent="0.4">
      <c r="G638" s="1">
        <v>40603</v>
      </c>
      <c r="H638">
        <f t="shared" si="59"/>
        <v>3</v>
      </c>
      <c r="I638" s="28">
        <v>392.45</v>
      </c>
      <c r="J638" s="28">
        <f t="shared" si="62"/>
        <v>0.52999999999997272</v>
      </c>
      <c r="K638">
        <f t="shared" si="60"/>
        <v>1.3722957593821961</v>
      </c>
      <c r="L638" s="28">
        <f t="shared" si="61"/>
        <v>391.07770424061778</v>
      </c>
      <c r="M638">
        <f t="shared" si="64"/>
        <v>391.11416666666656</v>
      </c>
      <c r="N638" s="28">
        <f t="shared" si="63"/>
        <v>-3.6462426048785801E-2</v>
      </c>
    </row>
    <row r="639" spans="7:14" x14ac:dyDescent="0.4">
      <c r="G639" s="1">
        <v>40634</v>
      </c>
      <c r="H639">
        <f t="shared" si="59"/>
        <v>4</v>
      </c>
      <c r="I639" s="28">
        <v>393.37</v>
      </c>
      <c r="J639" s="28">
        <f t="shared" si="62"/>
        <v>0.92000000000001592</v>
      </c>
      <c r="K639">
        <f t="shared" si="60"/>
        <v>2.5880472384049131</v>
      </c>
      <c r="L639" s="28">
        <f t="shared" si="61"/>
        <v>390.78195276159511</v>
      </c>
      <c r="M639">
        <f t="shared" si="64"/>
        <v>391.27791666666667</v>
      </c>
      <c r="N639" s="28">
        <f t="shared" si="63"/>
        <v>-0.49596390507156229</v>
      </c>
    </row>
    <row r="640" spans="7:14" x14ac:dyDescent="0.4">
      <c r="G640" s="1">
        <v>40664</v>
      </c>
      <c r="H640">
        <f t="shared" si="59"/>
        <v>5</v>
      </c>
      <c r="I640" s="28">
        <v>394.28</v>
      </c>
      <c r="J640" s="28">
        <f t="shared" si="62"/>
        <v>0.90999999999996817</v>
      </c>
      <c r="K640">
        <f t="shared" si="60"/>
        <v>3.0809752517725739</v>
      </c>
      <c r="L640" s="28">
        <f t="shared" si="61"/>
        <v>391.19902474822737</v>
      </c>
      <c r="M640">
        <f t="shared" si="64"/>
        <v>391.41708333333327</v>
      </c>
      <c r="N640" s="28">
        <f t="shared" si="63"/>
        <v>-0.2180585851058936</v>
      </c>
    </row>
    <row r="641" spans="7:14" x14ac:dyDescent="0.4">
      <c r="G641" s="1">
        <v>40695</v>
      </c>
      <c r="H641">
        <f t="shared" si="59"/>
        <v>6</v>
      </c>
      <c r="I641" s="28">
        <v>393.69</v>
      </c>
      <c r="J641" s="28">
        <f t="shared" si="62"/>
        <v>-0.58999999999997499</v>
      </c>
      <c r="K641">
        <f t="shared" si="60"/>
        <v>2.3583796233572674</v>
      </c>
      <c r="L641" s="28">
        <f t="shared" si="61"/>
        <v>391.33162037664272</v>
      </c>
      <c r="M641">
        <f t="shared" si="64"/>
        <v>391.56541666666664</v>
      </c>
      <c r="N641" s="28">
        <f t="shared" si="63"/>
        <v>-0.23379629002391766</v>
      </c>
    </row>
    <row r="642" spans="7:14" x14ac:dyDescent="0.4">
      <c r="G642" s="1">
        <v>40725</v>
      </c>
      <c r="H642">
        <f t="shared" si="59"/>
        <v>7</v>
      </c>
      <c r="I642" s="28">
        <v>392.59</v>
      </c>
      <c r="J642" s="28">
        <f t="shared" si="62"/>
        <v>-1.1000000000000227</v>
      </c>
      <c r="K642">
        <f t="shared" si="60"/>
        <v>0.72791514248295042</v>
      </c>
      <c r="L642" s="28">
        <f t="shared" si="61"/>
        <v>391.862084857517</v>
      </c>
      <c r="M642">
        <f t="shared" si="64"/>
        <v>391.72208333333333</v>
      </c>
      <c r="N642" s="28">
        <f t="shared" si="63"/>
        <v>0.14000152418367406</v>
      </c>
    </row>
    <row r="643" spans="7:14" x14ac:dyDescent="0.4">
      <c r="G643" s="1">
        <v>40756</v>
      </c>
      <c r="H643">
        <f t="shared" ref="H643:H706" si="65">MONTH(G643)</f>
        <v>8</v>
      </c>
      <c r="I643" s="28">
        <v>390.21</v>
      </c>
      <c r="J643" s="28">
        <f t="shared" si="62"/>
        <v>-2.3799999999999955</v>
      </c>
      <c r="K643">
        <f t="shared" ref="K643:K706" si="66">INDEX($E$3:$E$14,H643)</f>
        <v>-1.4099263875716923</v>
      </c>
      <c r="L643" s="28">
        <f t="shared" ref="L643:L706" si="67">I643-K643</f>
        <v>391.6199263875717</v>
      </c>
      <c r="M643">
        <f t="shared" si="64"/>
        <v>391.85541666666671</v>
      </c>
      <c r="N643" s="28">
        <f t="shared" si="63"/>
        <v>-0.23549027909501774</v>
      </c>
    </row>
    <row r="644" spans="7:14" x14ac:dyDescent="0.4">
      <c r="G644" s="1">
        <v>40787</v>
      </c>
      <c r="H644">
        <f t="shared" si="65"/>
        <v>9</v>
      </c>
      <c r="I644" s="28">
        <v>389</v>
      </c>
      <c r="J644" s="28">
        <f t="shared" ref="J644:J707" si="68">I644-I643</f>
        <v>-1.2099999999999795</v>
      </c>
      <c r="K644">
        <f t="shared" si="66"/>
        <v>-3.204325294675523</v>
      </c>
      <c r="L644" s="28">
        <f t="shared" si="67"/>
        <v>392.20432529467553</v>
      </c>
      <c r="M644">
        <f t="shared" si="64"/>
        <v>391.99458333333337</v>
      </c>
      <c r="N644" s="28">
        <f t="shared" si="63"/>
        <v>0.20974196134216072</v>
      </c>
    </row>
    <row r="645" spans="7:14" x14ac:dyDescent="0.4">
      <c r="G645" s="1">
        <v>40817</v>
      </c>
      <c r="H645">
        <f t="shared" si="65"/>
        <v>10</v>
      </c>
      <c r="I645" s="28">
        <v>388.93</v>
      </c>
      <c r="J645" s="28">
        <f t="shared" si="68"/>
        <v>-6.9999999999993179E-2</v>
      </c>
      <c r="K645">
        <f t="shared" si="66"/>
        <v>-3.3270848575170473</v>
      </c>
      <c r="L645" s="28">
        <f t="shared" si="67"/>
        <v>392.25708485751704</v>
      </c>
      <c r="M645">
        <f t="shared" si="64"/>
        <v>392.20166666666665</v>
      </c>
      <c r="N645" s="28">
        <f t="shared" si="63"/>
        <v>5.5418190850389237E-2</v>
      </c>
    </row>
    <row r="646" spans="7:14" x14ac:dyDescent="0.4">
      <c r="G646" s="1">
        <v>40848</v>
      </c>
      <c r="H646">
        <f t="shared" si="65"/>
        <v>11</v>
      </c>
      <c r="I646" s="28">
        <v>390.24</v>
      </c>
      <c r="J646" s="28">
        <f t="shared" si="68"/>
        <v>1.3100000000000023</v>
      </c>
      <c r="K646">
        <f t="shared" si="66"/>
        <v>-2.0516476990471002</v>
      </c>
      <c r="L646" s="28">
        <f t="shared" si="67"/>
        <v>392.29164769904713</v>
      </c>
      <c r="M646">
        <f t="shared" si="64"/>
        <v>392.43708333333331</v>
      </c>
      <c r="N646" s="28">
        <f t="shared" si="63"/>
        <v>-0.1454356342861729</v>
      </c>
    </row>
    <row r="647" spans="7:14" x14ac:dyDescent="0.4">
      <c r="G647" s="1">
        <v>40878</v>
      </c>
      <c r="H647">
        <f t="shared" si="65"/>
        <v>12</v>
      </c>
      <c r="I647" s="28">
        <v>391.8</v>
      </c>
      <c r="J647" s="28">
        <f t="shared" si="68"/>
        <v>1.5600000000000023</v>
      </c>
      <c r="K647">
        <f t="shared" si="66"/>
        <v>-0.88768595041322573</v>
      </c>
      <c r="L647" s="28">
        <f t="shared" si="67"/>
        <v>392.68768595041325</v>
      </c>
      <c r="M647">
        <f t="shared" si="64"/>
        <v>392.63625000000002</v>
      </c>
      <c r="N647" s="28">
        <f t="shared" si="63"/>
        <v>5.1435950413235787E-2</v>
      </c>
    </row>
    <row r="648" spans="7:14" x14ac:dyDescent="0.4">
      <c r="G648" s="1">
        <v>40909</v>
      </c>
      <c r="H648">
        <f t="shared" si="65"/>
        <v>1</v>
      </c>
      <c r="I648" s="28">
        <v>393.07</v>
      </c>
      <c r="J648" s="28">
        <f t="shared" si="68"/>
        <v>1.2699999999999818</v>
      </c>
      <c r="K648">
        <f t="shared" si="66"/>
        <v>5.8898749040328657E-2</v>
      </c>
      <c r="L648" s="28">
        <f t="shared" si="67"/>
        <v>393.01110125095965</v>
      </c>
      <c r="M648">
        <f t="shared" si="64"/>
        <v>392.80791666666664</v>
      </c>
      <c r="N648" s="28">
        <f t="shared" si="63"/>
        <v>0.20318458429301245</v>
      </c>
    </row>
    <row r="649" spans="7:14" x14ac:dyDescent="0.4">
      <c r="G649" s="1">
        <v>40940</v>
      </c>
      <c r="H649">
        <f t="shared" si="65"/>
        <v>2</v>
      </c>
      <c r="I649" s="28">
        <v>393.35</v>
      </c>
      <c r="J649" s="28">
        <f t="shared" si="68"/>
        <v>0.28000000000002956</v>
      </c>
      <c r="K649">
        <f t="shared" si="66"/>
        <v>0.6941584247843573</v>
      </c>
      <c r="L649" s="28">
        <f t="shared" si="67"/>
        <v>392.65584157521567</v>
      </c>
      <c r="M649">
        <f t="shared" si="64"/>
        <v>392.98541666666665</v>
      </c>
      <c r="N649" s="28">
        <f t="shared" ref="N649:N712" si="69">L649-M649</f>
        <v>-0.32957509145097674</v>
      </c>
    </row>
    <row r="650" spans="7:14" x14ac:dyDescent="0.4">
      <c r="G650" s="1">
        <v>40969</v>
      </c>
      <c r="H650">
        <f t="shared" si="65"/>
        <v>3</v>
      </c>
      <c r="I650" s="28">
        <v>394.36</v>
      </c>
      <c r="J650" s="28">
        <f t="shared" si="68"/>
        <v>1.0099999999999909</v>
      </c>
      <c r="K650">
        <f t="shared" si="66"/>
        <v>1.3722957593821961</v>
      </c>
      <c r="L650" s="28">
        <f t="shared" si="67"/>
        <v>392.9877042406178</v>
      </c>
      <c r="M650">
        <f t="shared" si="64"/>
        <v>393.17124999999993</v>
      </c>
      <c r="N650" s="28">
        <f t="shared" si="69"/>
        <v>-0.18354575938212747</v>
      </c>
    </row>
    <row r="651" spans="7:14" x14ac:dyDescent="0.4">
      <c r="G651" s="1">
        <v>41000</v>
      </c>
      <c r="H651">
        <f t="shared" si="65"/>
        <v>4</v>
      </c>
      <c r="I651" s="28">
        <v>396.43</v>
      </c>
      <c r="J651" s="28">
        <f t="shared" si="68"/>
        <v>2.0699999999999932</v>
      </c>
      <c r="K651">
        <f t="shared" si="66"/>
        <v>2.5880472384049131</v>
      </c>
      <c r="L651" s="28">
        <f t="shared" si="67"/>
        <v>393.84195276159511</v>
      </c>
      <c r="M651">
        <f t="shared" si="64"/>
        <v>393.34666666666664</v>
      </c>
      <c r="N651" s="28">
        <f t="shared" si="69"/>
        <v>0.49528609492847409</v>
      </c>
    </row>
    <row r="652" spans="7:14" x14ac:dyDescent="0.4">
      <c r="G652" s="1">
        <v>41030</v>
      </c>
      <c r="H652">
        <f t="shared" si="65"/>
        <v>5</v>
      </c>
      <c r="I652" s="28">
        <v>396.87</v>
      </c>
      <c r="J652" s="28">
        <f t="shared" si="68"/>
        <v>0.43999999999999773</v>
      </c>
      <c r="K652">
        <f t="shared" si="66"/>
        <v>3.0809752517725739</v>
      </c>
      <c r="L652" s="28">
        <f t="shared" si="67"/>
        <v>393.7890247482274</v>
      </c>
      <c r="M652">
        <f t="shared" si="64"/>
        <v>393.54625000000004</v>
      </c>
      <c r="N652" s="28">
        <f t="shared" si="69"/>
        <v>0.24277474822736167</v>
      </c>
    </row>
    <row r="653" spans="7:14" x14ac:dyDescent="0.4">
      <c r="G653" s="1">
        <v>41061</v>
      </c>
      <c r="H653">
        <f t="shared" si="65"/>
        <v>6</v>
      </c>
      <c r="I653" s="28">
        <v>395.88</v>
      </c>
      <c r="J653" s="28">
        <f t="shared" si="68"/>
        <v>-0.99000000000000909</v>
      </c>
      <c r="K653">
        <f t="shared" si="66"/>
        <v>2.3583796233572674</v>
      </c>
      <c r="L653" s="28">
        <f t="shared" si="67"/>
        <v>393.52162037664272</v>
      </c>
      <c r="M653">
        <f t="shared" si="64"/>
        <v>393.76458333333329</v>
      </c>
      <c r="N653" s="28">
        <f t="shared" si="69"/>
        <v>-0.24296295669057599</v>
      </c>
    </row>
    <row r="654" spans="7:14" x14ac:dyDescent="0.4">
      <c r="G654" s="1">
        <v>41091</v>
      </c>
      <c r="H654">
        <f t="shared" si="65"/>
        <v>7</v>
      </c>
      <c r="I654" s="28">
        <v>394.52</v>
      </c>
      <c r="J654" s="28">
        <f t="shared" si="68"/>
        <v>-1.3600000000000136</v>
      </c>
      <c r="K654">
        <f t="shared" si="66"/>
        <v>0.72791514248295042</v>
      </c>
      <c r="L654" s="28">
        <f t="shared" si="67"/>
        <v>393.79208485751701</v>
      </c>
      <c r="M654">
        <f t="shared" si="64"/>
        <v>393.97583333333324</v>
      </c>
      <c r="N654" s="28">
        <f t="shared" si="69"/>
        <v>-0.18374847581623044</v>
      </c>
    </row>
    <row r="655" spans="7:14" x14ac:dyDescent="0.4">
      <c r="G655" s="1">
        <v>41122</v>
      </c>
      <c r="H655">
        <f t="shared" si="65"/>
        <v>8</v>
      </c>
      <c r="I655" s="28">
        <v>392.54</v>
      </c>
      <c r="J655" s="28">
        <f t="shared" si="68"/>
        <v>-1.9799999999999613</v>
      </c>
      <c r="K655">
        <f t="shared" si="66"/>
        <v>-1.4099263875716923</v>
      </c>
      <c r="L655" s="28">
        <f t="shared" si="67"/>
        <v>393.94992638757174</v>
      </c>
      <c r="M655">
        <f t="shared" ref="M655:M718" si="70">(SUM(L650:L660)+(L649+L661)/2)/12</f>
        <v>394.22750000000002</v>
      </c>
      <c r="N655" s="28">
        <f t="shared" si="69"/>
        <v>-0.27757361242828438</v>
      </c>
    </row>
    <row r="656" spans="7:14" x14ac:dyDescent="0.4">
      <c r="G656" s="1">
        <v>41153</v>
      </c>
      <c r="H656">
        <f t="shared" si="65"/>
        <v>9</v>
      </c>
      <c r="I656" s="28">
        <v>391.13</v>
      </c>
      <c r="J656" s="28">
        <f t="shared" si="68"/>
        <v>-1.410000000000025</v>
      </c>
      <c r="K656">
        <f t="shared" si="66"/>
        <v>-3.204325294675523</v>
      </c>
      <c r="L656" s="28">
        <f t="shared" si="67"/>
        <v>394.33432529467552</v>
      </c>
      <c r="M656">
        <f t="shared" si="70"/>
        <v>394.49416666666667</v>
      </c>
      <c r="N656" s="28">
        <f t="shared" si="69"/>
        <v>-0.15984137199114912</v>
      </c>
    </row>
    <row r="657" spans="7:14" x14ac:dyDescent="0.4">
      <c r="G657" s="1">
        <v>41183</v>
      </c>
      <c r="H657">
        <f t="shared" si="65"/>
        <v>10</v>
      </c>
      <c r="I657" s="28">
        <v>391.01</v>
      </c>
      <c r="J657" s="28">
        <f t="shared" si="68"/>
        <v>-0.12000000000000455</v>
      </c>
      <c r="K657">
        <f t="shared" si="66"/>
        <v>-3.3270848575170473</v>
      </c>
      <c r="L657" s="28">
        <f t="shared" si="67"/>
        <v>394.33708485751703</v>
      </c>
      <c r="M657">
        <f t="shared" si="70"/>
        <v>394.69499999999999</v>
      </c>
      <c r="N657" s="28">
        <f t="shared" si="69"/>
        <v>-0.35791514248296608</v>
      </c>
    </row>
    <row r="658" spans="7:14" x14ac:dyDescent="0.4">
      <c r="G658" s="1">
        <v>41214</v>
      </c>
      <c r="H658">
        <f t="shared" si="65"/>
        <v>11</v>
      </c>
      <c r="I658" s="28">
        <v>392.95</v>
      </c>
      <c r="J658" s="28">
        <f t="shared" si="68"/>
        <v>1.9399999999999977</v>
      </c>
      <c r="K658">
        <f t="shared" si="66"/>
        <v>-2.0516476990471002</v>
      </c>
      <c r="L658" s="28">
        <f t="shared" si="67"/>
        <v>395.00164769904711</v>
      </c>
      <c r="M658">
        <f t="shared" si="70"/>
        <v>394.90458333333339</v>
      </c>
      <c r="N658" s="28">
        <f t="shared" si="69"/>
        <v>9.7064365713720235E-2</v>
      </c>
    </row>
    <row r="659" spans="7:14" x14ac:dyDescent="0.4">
      <c r="G659" s="1">
        <v>41244</v>
      </c>
      <c r="H659">
        <f t="shared" si="65"/>
        <v>12</v>
      </c>
      <c r="I659" s="28">
        <v>394.33</v>
      </c>
      <c r="J659" s="28">
        <f t="shared" si="68"/>
        <v>1.3799999999999955</v>
      </c>
      <c r="K659">
        <f t="shared" si="66"/>
        <v>-0.88768595041322573</v>
      </c>
      <c r="L659" s="28">
        <f t="shared" si="67"/>
        <v>395.21768595041323</v>
      </c>
      <c r="M659">
        <f t="shared" si="70"/>
        <v>395.15875000000005</v>
      </c>
      <c r="N659" s="28">
        <f t="shared" si="69"/>
        <v>5.8935950413172122E-2</v>
      </c>
    </row>
    <row r="660" spans="7:14" x14ac:dyDescent="0.4">
      <c r="G660" s="1">
        <v>41275</v>
      </c>
      <c r="H660">
        <f t="shared" si="65"/>
        <v>1</v>
      </c>
      <c r="I660" s="28">
        <v>395.61</v>
      </c>
      <c r="J660" s="28">
        <f t="shared" si="68"/>
        <v>1.2800000000000296</v>
      </c>
      <c r="K660">
        <f t="shared" si="66"/>
        <v>5.8898749040328657E-2</v>
      </c>
      <c r="L660" s="28">
        <f t="shared" si="67"/>
        <v>395.55110125095968</v>
      </c>
      <c r="M660">
        <f t="shared" si="70"/>
        <v>395.40208333333339</v>
      </c>
      <c r="N660" s="28">
        <f t="shared" si="69"/>
        <v>0.14901791762628136</v>
      </c>
    </row>
    <row r="661" spans="7:14" x14ac:dyDescent="0.4">
      <c r="G661" s="1">
        <v>41306</v>
      </c>
      <c r="H661">
        <f t="shared" si="65"/>
        <v>2</v>
      </c>
      <c r="I661" s="28">
        <v>396.85</v>
      </c>
      <c r="J661" s="28">
        <f t="shared" si="68"/>
        <v>1.2400000000000091</v>
      </c>
      <c r="K661">
        <f t="shared" si="66"/>
        <v>0.6941584247843573</v>
      </c>
      <c r="L661" s="28">
        <f t="shared" si="67"/>
        <v>396.15584157521567</v>
      </c>
      <c r="M661">
        <f t="shared" si="70"/>
        <v>395.64041666666668</v>
      </c>
      <c r="N661" s="28">
        <f t="shared" si="69"/>
        <v>0.5154249085489937</v>
      </c>
    </row>
    <row r="662" spans="7:14" x14ac:dyDescent="0.4">
      <c r="G662" s="1">
        <v>41334</v>
      </c>
      <c r="H662">
        <f t="shared" si="65"/>
        <v>3</v>
      </c>
      <c r="I662" s="28">
        <v>397.26</v>
      </c>
      <c r="J662" s="28">
        <f t="shared" si="68"/>
        <v>0.40999999999996817</v>
      </c>
      <c r="K662">
        <f t="shared" si="66"/>
        <v>1.3722957593821961</v>
      </c>
      <c r="L662" s="28">
        <f t="shared" si="67"/>
        <v>395.88770424061778</v>
      </c>
      <c r="M662">
        <f t="shared" si="70"/>
        <v>395.85416666666669</v>
      </c>
      <c r="N662" s="28">
        <f t="shared" si="69"/>
        <v>3.3537573951093691E-2</v>
      </c>
    </row>
    <row r="663" spans="7:14" x14ac:dyDescent="0.4">
      <c r="G663" s="1">
        <v>41365</v>
      </c>
      <c r="H663">
        <f t="shared" si="65"/>
        <v>4</v>
      </c>
      <c r="I663" s="28">
        <v>398.35</v>
      </c>
      <c r="J663" s="28">
        <f t="shared" si="68"/>
        <v>1.0900000000000318</v>
      </c>
      <c r="K663">
        <f t="shared" si="66"/>
        <v>2.5880472384049131</v>
      </c>
      <c r="L663" s="28">
        <f t="shared" si="67"/>
        <v>395.76195276159513</v>
      </c>
      <c r="M663">
        <f t="shared" si="70"/>
        <v>396.0604166666667</v>
      </c>
      <c r="N663" s="28">
        <f t="shared" si="69"/>
        <v>-0.29846390507157139</v>
      </c>
    </row>
    <row r="664" spans="7:14" x14ac:dyDescent="0.4">
      <c r="G664" s="1">
        <v>41395</v>
      </c>
      <c r="H664">
        <f t="shared" si="65"/>
        <v>5</v>
      </c>
      <c r="I664" s="28">
        <v>399.98</v>
      </c>
      <c r="J664" s="28">
        <f t="shared" si="68"/>
        <v>1.6299999999999955</v>
      </c>
      <c r="K664">
        <f t="shared" si="66"/>
        <v>3.0809752517725739</v>
      </c>
      <c r="L664" s="28">
        <f t="shared" si="67"/>
        <v>396.89902474822742</v>
      </c>
      <c r="M664">
        <f t="shared" si="70"/>
        <v>396.26583333333338</v>
      </c>
      <c r="N664" s="28">
        <f t="shared" si="69"/>
        <v>0.63319141489404274</v>
      </c>
    </row>
    <row r="665" spans="7:14" x14ac:dyDescent="0.4">
      <c r="G665" s="1">
        <v>41426</v>
      </c>
      <c r="H665">
        <f t="shared" si="65"/>
        <v>6</v>
      </c>
      <c r="I665" s="28">
        <v>398.87</v>
      </c>
      <c r="J665" s="28">
        <f t="shared" si="68"/>
        <v>-1.1100000000000136</v>
      </c>
      <c r="K665">
        <f t="shared" si="66"/>
        <v>2.3583796233572674</v>
      </c>
      <c r="L665" s="28">
        <f t="shared" si="67"/>
        <v>396.51162037664272</v>
      </c>
      <c r="M665">
        <f t="shared" si="70"/>
        <v>396.46291666666667</v>
      </c>
      <c r="N665" s="28">
        <f t="shared" si="69"/>
        <v>4.8703709976052778E-2</v>
      </c>
    </row>
    <row r="666" spans="7:14" x14ac:dyDescent="0.4">
      <c r="G666" s="1">
        <v>41456</v>
      </c>
      <c r="H666">
        <f t="shared" si="65"/>
        <v>7</v>
      </c>
      <c r="I666" s="28">
        <v>397.37</v>
      </c>
      <c r="J666" s="28">
        <f t="shared" si="68"/>
        <v>-1.5</v>
      </c>
      <c r="K666">
        <f t="shared" si="66"/>
        <v>0.72791514248295042</v>
      </c>
      <c r="L666" s="28">
        <f t="shared" si="67"/>
        <v>396.64208485751703</v>
      </c>
      <c r="M666">
        <f t="shared" si="70"/>
        <v>396.66333333333336</v>
      </c>
      <c r="N666" s="28">
        <f t="shared" si="69"/>
        <v>-2.1248475816321388E-2</v>
      </c>
    </row>
    <row r="667" spans="7:14" x14ac:dyDescent="0.4">
      <c r="G667" s="1">
        <v>41487</v>
      </c>
      <c r="H667">
        <f t="shared" si="65"/>
        <v>8</v>
      </c>
      <c r="I667" s="28">
        <v>395.41</v>
      </c>
      <c r="J667" s="28">
        <f t="shared" si="68"/>
        <v>-1.9599999999999795</v>
      </c>
      <c r="K667">
        <f t="shared" si="66"/>
        <v>-1.4099263875716923</v>
      </c>
      <c r="L667" s="28">
        <f t="shared" si="67"/>
        <v>396.81992638757174</v>
      </c>
      <c r="M667">
        <f t="shared" si="70"/>
        <v>396.81208333333331</v>
      </c>
      <c r="N667" s="28">
        <f t="shared" si="69"/>
        <v>7.843054238435343E-3</v>
      </c>
    </row>
    <row r="668" spans="7:14" x14ac:dyDescent="0.4">
      <c r="G668" s="1">
        <v>41518</v>
      </c>
      <c r="H668">
        <f t="shared" si="65"/>
        <v>9</v>
      </c>
      <c r="I668" s="28">
        <v>393.39</v>
      </c>
      <c r="J668" s="28">
        <f t="shared" si="68"/>
        <v>-2.0200000000000387</v>
      </c>
      <c r="K668">
        <f t="shared" si="66"/>
        <v>-3.204325294675523</v>
      </c>
      <c r="L668" s="28">
        <f t="shared" si="67"/>
        <v>396.59432529467551</v>
      </c>
      <c r="M668">
        <f t="shared" si="70"/>
        <v>396.95625000000001</v>
      </c>
      <c r="N668" s="28">
        <f t="shared" si="69"/>
        <v>-0.36192470532449761</v>
      </c>
    </row>
    <row r="669" spans="7:14" x14ac:dyDescent="0.4">
      <c r="G669" s="1">
        <v>41548</v>
      </c>
      <c r="H669">
        <f t="shared" si="65"/>
        <v>10</v>
      </c>
      <c r="I669" s="28">
        <v>393.7</v>
      </c>
      <c r="J669" s="28">
        <f t="shared" si="68"/>
        <v>0.31000000000000227</v>
      </c>
      <c r="K669">
        <f t="shared" si="66"/>
        <v>-3.3270848575170473</v>
      </c>
      <c r="L669" s="28">
        <f t="shared" si="67"/>
        <v>397.02708485751702</v>
      </c>
      <c r="M669">
        <f t="shared" si="70"/>
        <v>397.17249999999996</v>
      </c>
      <c r="N669" s="28">
        <f t="shared" si="69"/>
        <v>-0.14541514248293197</v>
      </c>
    </row>
    <row r="670" spans="7:14" x14ac:dyDescent="0.4">
      <c r="G670" s="1">
        <v>41579</v>
      </c>
      <c r="H670">
        <f t="shared" si="65"/>
        <v>11</v>
      </c>
      <c r="I670" s="28">
        <v>395.19</v>
      </c>
      <c r="J670" s="28">
        <f t="shared" si="68"/>
        <v>1.4900000000000091</v>
      </c>
      <c r="K670">
        <f t="shared" si="66"/>
        <v>-2.0516476990471002</v>
      </c>
      <c r="L670" s="28">
        <f t="shared" si="67"/>
        <v>397.24164769904712</v>
      </c>
      <c r="M670">
        <f t="shared" si="70"/>
        <v>397.37583333333333</v>
      </c>
      <c r="N670" s="28">
        <f t="shared" si="69"/>
        <v>-0.13418563428621155</v>
      </c>
    </row>
    <row r="671" spans="7:14" x14ac:dyDescent="0.4">
      <c r="G671" s="1">
        <v>41609</v>
      </c>
      <c r="H671">
        <f t="shared" si="65"/>
        <v>12</v>
      </c>
      <c r="I671" s="28">
        <v>396.82</v>
      </c>
      <c r="J671" s="28">
        <f t="shared" si="68"/>
        <v>1.6299999999999955</v>
      </c>
      <c r="K671">
        <f t="shared" si="66"/>
        <v>-0.88768595041322573</v>
      </c>
      <c r="L671" s="28">
        <f t="shared" si="67"/>
        <v>397.70768595041324</v>
      </c>
      <c r="M671">
        <f t="shared" si="70"/>
        <v>397.55666666666667</v>
      </c>
      <c r="N671" s="28">
        <f t="shared" si="69"/>
        <v>0.15101928374656381</v>
      </c>
    </row>
    <row r="672" spans="7:14" x14ac:dyDescent="0.4">
      <c r="G672" s="1">
        <v>41640</v>
      </c>
      <c r="H672">
        <f t="shared" si="65"/>
        <v>1</v>
      </c>
      <c r="I672" s="28">
        <v>397.93</v>
      </c>
      <c r="J672" s="28">
        <f t="shared" si="68"/>
        <v>1.1100000000000136</v>
      </c>
      <c r="K672">
        <f t="shared" si="66"/>
        <v>5.8898749040328657E-2</v>
      </c>
      <c r="L672" s="28">
        <f t="shared" si="67"/>
        <v>397.87110125095967</v>
      </c>
      <c r="M672">
        <f t="shared" si="70"/>
        <v>397.72916666666669</v>
      </c>
      <c r="N672" s="28">
        <f t="shared" si="69"/>
        <v>0.14193458429298289</v>
      </c>
    </row>
    <row r="673" spans="7:14" x14ac:dyDescent="0.4">
      <c r="G673" s="1">
        <v>41671</v>
      </c>
      <c r="H673">
        <f t="shared" si="65"/>
        <v>2</v>
      </c>
      <c r="I673" s="28">
        <v>398.1</v>
      </c>
      <c r="J673" s="28">
        <f t="shared" si="68"/>
        <v>0.17000000000001592</v>
      </c>
      <c r="K673">
        <f t="shared" si="66"/>
        <v>0.6941584247843573</v>
      </c>
      <c r="L673" s="28">
        <f t="shared" si="67"/>
        <v>397.40584157521567</v>
      </c>
      <c r="M673">
        <f t="shared" si="70"/>
        <v>397.87500000000006</v>
      </c>
      <c r="N673" s="28">
        <f t="shared" si="69"/>
        <v>-0.46915842478438208</v>
      </c>
    </row>
    <row r="674" spans="7:14" x14ac:dyDescent="0.4">
      <c r="G674" s="1">
        <v>41699</v>
      </c>
      <c r="H674">
        <f t="shared" si="65"/>
        <v>3</v>
      </c>
      <c r="I674" s="28">
        <v>399.47</v>
      </c>
      <c r="J674" s="28">
        <f t="shared" si="68"/>
        <v>1.3700000000000045</v>
      </c>
      <c r="K674">
        <f t="shared" si="66"/>
        <v>1.3722957593821961</v>
      </c>
      <c r="L674" s="28">
        <f t="shared" si="67"/>
        <v>398.09770424061782</v>
      </c>
      <c r="M674">
        <f t="shared" si="70"/>
        <v>398.03375</v>
      </c>
      <c r="N674" s="28">
        <f t="shared" si="69"/>
        <v>6.3954240617817959E-2</v>
      </c>
    </row>
    <row r="675" spans="7:14" x14ac:dyDescent="0.4">
      <c r="G675" s="1">
        <v>41730</v>
      </c>
      <c r="H675">
        <f t="shared" si="65"/>
        <v>4</v>
      </c>
      <c r="I675" s="28">
        <v>401.33</v>
      </c>
      <c r="J675" s="28">
        <f t="shared" si="68"/>
        <v>1.8599999999999568</v>
      </c>
      <c r="K675">
        <f t="shared" si="66"/>
        <v>2.5880472384049131</v>
      </c>
      <c r="L675" s="28">
        <f t="shared" si="67"/>
        <v>398.74195276159509</v>
      </c>
      <c r="M675">
        <f t="shared" si="70"/>
        <v>398.19874999999996</v>
      </c>
      <c r="N675" s="28">
        <f t="shared" si="69"/>
        <v>0.54320276159512559</v>
      </c>
    </row>
    <row r="676" spans="7:14" x14ac:dyDescent="0.4">
      <c r="G676" s="1">
        <v>41760</v>
      </c>
      <c r="H676">
        <f t="shared" si="65"/>
        <v>5</v>
      </c>
      <c r="I676" s="28">
        <v>401.88</v>
      </c>
      <c r="J676" s="28">
        <f t="shared" si="68"/>
        <v>0.55000000000001137</v>
      </c>
      <c r="K676">
        <f t="shared" si="66"/>
        <v>3.0809752517725739</v>
      </c>
      <c r="L676" s="28">
        <f t="shared" si="67"/>
        <v>398.7990247482274</v>
      </c>
      <c r="M676">
        <f t="shared" si="70"/>
        <v>398.36500000000001</v>
      </c>
      <c r="N676" s="28">
        <f t="shared" si="69"/>
        <v>0.43402474822738668</v>
      </c>
    </row>
    <row r="677" spans="7:14" x14ac:dyDescent="0.4">
      <c r="G677" s="1">
        <v>41791</v>
      </c>
      <c r="H677">
        <f t="shared" si="65"/>
        <v>6</v>
      </c>
      <c r="I677" s="28">
        <v>401.31</v>
      </c>
      <c r="J677" s="28">
        <f t="shared" si="68"/>
        <v>-0.56999999999999318</v>
      </c>
      <c r="K677">
        <f t="shared" si="66"/>
        <v>2.3583796233572674</v>
      </c>
      <c r="L677" s="28">
        <f t="shared" si="67"/>
        <v>398.95162037664272</v>
      </c>
      <c r="M677">
        <f t="shared" si="70"/>
        <v>398.53208333333333</v>
      </c>
      <c r="N677" s="28">
        <f t="shared" si="69"/>
        <v>0.4195370433093899</v>
      </c>
    </row>
    <row r="678" spans="7:14" x14ac:dyDescent="0.4">
      <c r="G678" s="1">
        <v>41821</v>
      </c>
      <c r="H678">
        <f t="shared" si="65"/>
        <v>7</v>
      </c>
      <c r="I678" s="28">
        <v>399.07</v>
      </c>
      <c r="J678" s="28">
        <f t="shared" si="68"/>
        <v>-2.2400000000000091</v>
      </c>
      <c r="K678">
        <f t="shared" si="66"/>
        <v>0.72791514248295042</v>
      </c>
      <c r="L678" s="28">
        <f t="shared" si="67"/>
        <v>398.34208485751702</v>
      </c>
      <c r="M678">
        <f t="shared" si="70"/>
        <v>398.69416666666666</v>
      </c>
      <c r="N678" s="28">
        <f t="shared" si="69"/>
        <v>-0.35208180914963805</v>
      </c>
    </row>
    <row r="679" spans="7:14" x14ac:dyDescent="0.4">
      <c r="G679" s="1">
        <v>41852</v>
      </c>
      <c r="H679">
        <f t="shared" si="65"/>
        <v>8</v>
      </c>
      <c r="I679" s="28">
        <v>397.21</v>
      </c>
      <c r="J679" s="28">
        <f t="shared" si="68"/>
        <v>-1.8600000000000136</v>
      </c>
      <c r="K679">
        <f t="shared" si="66"/>
        <v>-1.4099263875716923</v>
      </c>
      <c r="L679" s="28">
        <f t="shared" si="67"/>
        <v>398.6199263875717</v>
      </c>
      <c r="M679">
        <f t="shared" si="70"/>
        <v>398.86625000000004</v>
      </c>
      <c r="N679" s="28">
        <f t="shared" si="69"/>
        <v>-0.24632361242834122</v>
      </c>
    </row>
    <row r="680" spans="7:14" x14ac:dyDescent="0.4">
      <c r="G680" s="1">
        <v>41883</v>
      </c>
      <c r="H680">
        <f t="shared" si="65"/>
        <v>9</v>
      </c>
      <c r="I680" s="28">
        <v>395.4</v>
      </c>
      <c r="J680" s="28">
        <f t="shared" si="68"/>
        <v>-1.8100000000000023</v>
      </c>
      <c r="K680">
        <f t="shared" si="66"/>
        <v>-3.204325294675523</v>
      </c>
      <c r="L680" s="28">
        <f t="shared" si="67"/>
        <v>398.6043252946755</v>
      </c>
      <c r="M680">
        <f t="shared" si="70"/>
        <v>399.04333333333335</v>
      </c>
      <c r="N680" s="28">
        <f t="shared" si="69"/>
        <v>-0.4390080386578461</v>
      </c>
    </row>
    <row r="681" spans="7:14" x14ac:dyDescent="0.4">
      <c r="G681" s="1">
        <v>41913</v>
      </c>
      <c r="H681">
        <f t="shared" si="65"/>
        <v>10</v>
      </c>
      <c r="I681" s="28">
        <v>395.65</v>
      </c>
      <c r="J681" s="28">
        <f t="shared" si="68"/>
        <v>0.25</v>
      </c>
      <c r="K681">
        <f t="shared" si="66"/>
        <v>-3.3270848575170473</v>
      </c>
      <c r="L681" s="28">
        <f t="shared" si="67"/>
        <v>398.97708485751701</v>
      </c>
      <c r="M681">
        <f t="shared" si="70"/>
        <v>399.2166666666667</v>
      </c>
      <c r="N681" s="28">
        <f t="shared" si="69"/>
        <v>-0.23958180914968352</v>
      </c>
    </row>
    <row r="682" spans="7:14" x14ac:dyDescent="0.4">
      <c r="G682" s="1">
        <v>41944</v>
      </c>
      <c r="H682">
        <f t="shared" si="65"/>
        <v>11</v>
      </c>
      <c r="I682" s="28">
        <v>397.23</v>
      </c>
      <c r="J682" s="28">
        <f t="shared" si="68"/>
        <v>1.5800000000000409</v>
      </c>
      <c r="K682">
        <f t="shared" si="66"/>
        <v>-2.0516476990471002</v>
      </c>
      <c r="L682" s="28">
        <f t="shared" si="67"/>
        <v>399.28164769904714</v>
      </c>
      <c r="M682">
        <f t="shared" si="70"/>
        <v>399.39750000000004</v>
      </c>
      <c r="N682" s="28">
        <f t="shared" si="69"/>
        <v>-0.11585230095289489</v>
      </c>
    </row>
    <row r="683" spans="7:14" x14ac:dyDescent="0.4">
      <c r="G683" s="1">
        <v>41974</v>
      </c>
      <c r="H683">
        <f t="shared" si="65"/>
        <v>12</v>
      </c>
      <c r="I683" s="28">
        <v>398.79</v>
      </c>
      <c r="J683" s="28">
        <f t="shared" si="68"/>
        <v>1.5600000000000023</v>
      </c>
      <c r="K683">
        <f t="shared" si="66"/>
        <v>-0.88768595041322573</v>
      </c>
      <c r="L683" s="28">
        <f t="shared" si="67"/>
        <v>399.67768595041326</v>
      </c>
      <c r="M683">
        <f t="shared" si="70"/>
        <v>399.55541666666664</v>
      </c>
      <c r="N683" s="28">
        <f t="shared" si="69"/>
        <v>0.12226928374661838</v>
      </c>
    </row>
    <row r="684" spans="7:14" x14ac:dyDescent="0.4">
      <c r="G684" s="1">
        <v>42005</v>
      </c>
      <c r="H684">
        <f t="shared" si="65"/>
        <v>1</v>
      </c>
      <c r="I684" s="28">
        <v>399.85</v>
      </c>
      <c r="J684" s="28">
        <f t="shared" si="68"/>
        <v>1.0600000000000023</v>
      </c>
      <c r="K684">
        <f t="shared" si="66"/>
        <v>5.8898749040328657E-2</v>
      </c>
      <c r="L684" s="28">
        <f t="shared" si="67"/>
        <v>399.79110125095968</v>
      </c>
      <c r="M684">
        <f t="shared" si="70"/>
        <v>399.72666666666674</v>
      </c>
      <c r="N684" s="28">
        <f t="shared" si="69"/>
        <v>6.4434584292939689E-2</v>
      </c>
    </row>
    <row r="685" spans="7:14" x14ac:dyDescent="0.4">
      <c r="G685" s="1">
        <v>42036</v>
      </c>
      <c r="H685">
        <f t="shared" si="65"/>
        <v>2</v>
      </c>
      <c r="I685" s="28">
        <v>400.31</v>
      </c>
      <c r="J685" s="28">
        <f t="shared" si="68"/>
        <v>0.45999999999997954</v>
      </c>
      <c r="K685">
        <f t="shared" si="66"/>
        <v>0.6941584247843573</v>
      </c>
      <c r="L685" s="28">
        <f t="shared" si="67"/>
        <v>399.61584157521565</v>
      </c>
      <c r="M685">
        <f t="shared" si="70"/>
        <v>399.90708333333333</v>
      </c>
      <c r="N685" s="28">
        <f t="shared" si="69"/>
        <v>-0.29124175811767827</v>
      </c>
    </row>
    <row r="686" spans="7:14" x14ac:dyDescent="0.4">
      <c r="G686" s="1">
        <v>42064</v>
      </c>
      <c r="H686">
        <f t="shared" si="65"/>
        <v>3</v>
      </c>
      <c r="I686" s="28">
        <v>401.51</v>
      </c>
      <c r="J686" s="28">
        <f t="shared" si="68"/>
        <v>1.1999999999999886</v>
      </c>
      <c r="K686">
        <f t="shared" si="66"/>
        <v>1.3722957593821961</v>
      </c>
      <c r="L686" s="28">
        <f t="shared" si="67"/>
        <v>400.13770424061778</v>
      </c>
      <c r="M686">
        <f t="shared" si="70"/>
        <v>400.06916666666666</v>
      </c>
      <c r="N686" s="28">
        <f t="shared" si="69"/>
        <v>6.8537573951118702E-2</v>
      </c>
    </row>
    <row r="687" spans="7:14" x14ac:dyDescent="0.4">
      <c r="G687" s="1">
        <v>42095</v>
      </c>
      <c r="H687">
        <f t="shared" si="65"/>
        <v>4</v>
      </c>
      <c r="I687" s="28">
        <v>403.45</v>
      </c>
      <c r="J687" s="28">
        <f t="shared" si="68"/>
        <v>1.9399999999999977</v>
      </c>
      <c r="K687">
        <f t="shared" si="66"/>
        <v>2.5880472384049131</v>
      </c>
      <c r="L687" s="28">
        <f t="shared" si="67"/>
        <v>400.86195276159509</v>
      </c>
      <c r="M687">
        <f t="shared" si="70"/>
        <v>400.26624999999996</v>
      </c>
      <c r="N687" s="28">
        <f t="shared" si="69"/>
        <v>0.59570276159513469</v>
      </c>
    </row>
    <row r="688" spans="7:14" x14ac:dyDescent="0.4">
      <c r="G688" s="1">
        <v>42125</v>
      </c>
      <c r="H688">
        <f t="shared" si="65"/>
        <v>5</v>
      </c>
      <c r="I688" s="28">
        <v>404.1</v>
      </c>
      <c r="J688" s="28">
        <f t="shared" si="68"/>
        <v>0.65000000000003411</v>
      </c>
      <c r="K688">
        <f t="shared" si="66"/>
        <v>3.0809752517725739</v>
      </c>
      <c r="L688" s="28">
        <f t="shared" si="67"/>
        <v>401.01902474822742</v>
      </c>
      <c r="M688">
        <f t="shared" si="70"/>
        <v>400.50125000000003</v>
      </c>
      <c r="N688" s="28">
        <f t="shared" si="69"/>
        <v>0.51777474822739578</v>
      </c>
    </row>
    <row r="689" spans="7:14" x14ac:dyDescent="0.4">
      <c r="G689" s="1">
        <v>42156</v>
      </c>
      <c r="H689">
        <f t="shared" si="65"/>
        <v>6</v>
      </c>
      <c r="I689" s="28">
        <v>402.88</v>
      </c>
      <c r="J689" s="28">
        <f t="shared" si="68"/>
        <v>-1.2200000000000273</v>
      </c>
      <c r="K689">
        <f t="shared" si="66"/>
        <v>2.3583796233572674</v>
      </c>
      <c r="L689" s="28">
        <f t="shared" si="67"/>
        <v>400.52162037664272</v>
      </c>
      <c r="M689">
        <f t="shared" si="70"/>
        <v>400.75583333333333</v>
      </c>
      <c r="N689" s="28">
        <f t="shared" si="69"/>
        <v>-0.23421295669061237</v>
      </c>
    </row>
    <row r="690" spans="7:14" x14ac:dyDescent="0.4">
      <c r="G690" s="1">
        <v>42186</v>
      </c>
      <c r="H690">
        <f t="shared" si="65"/>
        <v>7</v>
      </c>
      <c r="I690" s="28">
        <v>401.61</v>
      </c>
      <c r="J690" s="28">
        <f t="shared" si="68"/>
        <v>-1.2699999999999818</v>
      </c>
      <c r="K690">
        <f t="shared" si="66"/>
        <v>0.72791514248295042</v>
      </c>
      <c r="L690" s="28">
        <f t="shared" si="67"/>
        <v>400.88208485751704</v>
      </c>
      <c r="M690">
        <f t="shared" si="70"/>
        <v>401.00166666666672</v>
      </c>
      <c r="N690" s="28">
        <f t="shared" si="69"/>
        <v>-0.11958180914967897</v>
      </c>
    </row>
    <row r="691" spans="7:14" x14ac:dyDescent="0.4">
      <c r="G691" s="1">
        <v>42217</v>
      </c>
      <c r="H691">
        <f t="shared" si="65"/>
        <v>8</v>
      </c>
      <c r="I691" s="28">
        <v>399</v>
      </c>
      <c r="J691" s="28">
        <f t="shared" si="68"/>
        <v>-2.6100000000000136</v>
      </c>
      <c r="K691">
        <f t="shared" si="66"/>
        <v>-1.4099263875716923</v>
      </c>
      <c r="L691" s="28">
        <f t="shared" si="67"/>
        <v>400.40992638757172</v>
      </c>
      <c r="M691">
        <f t="shared" si="70"/>
        <v>401.27875</v>
      </c>
      <c r="N691" s="28">
        <f t="shared" si="69"/>
        <v>-0.86882361242828665</v>
      </c>
    </row>
    <row r="692" spans="7:14" x14ac:dyDescent="0.4">
      <c r="G692" s="1">
        <v>42248</v>
      </c>
      <c r="H692">
        <f t="shared" si="65"/>
        <v>9</v>
      </c>
      <c r="I692" s="28">
        <v>397.5</v>
      </c>
      <c r="J692" s="28">
        <f t="shared" si="68"/>
        <v>-1.5</v>
      </c>
      <c r="K692">
        <f t="shared" si="66"/>
        <v>-3.204325294675523</v>
      </c>
      <c r="L692" s="28">
        <f t="shared" si="67"/>
        <v>400.70432529467553</v>
      </c>
      <c r="M692">
        <f t="shared" si="70"/>
        <v>401.57833333333332</v>
      </c>
      <c r="N692" s="28">
        <f t="shared" si="69"/>
        <v>-0.87400803865779153</v>
      </c>
    </row>
    <row r="693" spans="7:14" x14ac:dyDescent="0.4">
      <c r="G693" s="1">
        <v>42278</v>
      </c>
      <c r="H693">
        <f t="shared" si="65"/>
        <v>10</v>
      </c>
      <c r="I693" s="28">
        <v>398.28</v>
      </c>
      <c r="J693" s="28">
        <f t="shared" si="68"/>
        <v>0.77999999999997272</v>
      </c>
      <c r="K693">
        <f t="shared" si="66"/>
        <v>-3.3270848575170473</v>
      </c>
      <c r="L693" s="28">
        <f t="shared" si="67"/>
        <v>401.60708485751701</v>
      </c>
      <c r="M693">
        <f t="shared" si="70"/>
        <v>401.88916666666665</v>
      </c>
      <c r="N693" s="28">
        <f t="shared" si="69"/>
        <v>-0.28208180914964487</v>
      </c>
    </row>
    <row r="694" spans="7:14" x14ac:dyDescent="0.4">
      <c r="G694" s="1">
        <v>42309</v>
      </c>
      <c r="H694">
        <f t="shared" si="65"/>
        <v>11</v>
      </c>
      <c r="I694" s="28">
        <v>400.24</v>
      </c>
      <c r="J694" s="28">
        <f t="shared" si="68"/>
        <v>1.9600000000000364</v>
      </c>
      <c r="K694">
        <f t="shared" si="66"/>
        <v>-2.0516476990471002</v>
      </c>
      <c r="L694" s="28">
        <f t="shared" si="67"/>
        <v>402.29164769904713</v>
      </c>
      <c r="M694">
        <f t="shared" si="70"/>
        <v>402.2091666666667</v>
      </c>
      <c r="N694" s="28">
        <f t="shared" si="69"/>
        <v>8.2481032380428587E-2</v>
      </c>
    </row>
    <row r="695" spans="7:14" x14ac:dyDescent="0.4">
      <c r="G695" s="1">
        <v>42339</v>
      </c>
      <c r="H695">
        <f t="shared" si="65"/>
        <v>12</v>
      </c>
      <c r="I695" s="28">
        <v>401.89</v>
      </c>
      <c r="J695" s="28">
        <f t="shared" si="68"/>
        <v>1.6499999999999773</v>
      </c>
      <c r="K695">
        <f t="shared" si="66"/>
        <v>-0.88768595041322573</v>
      </c>
      <c r="L695" s="28">
        <f t="shared" si="67"/>
        <v>402.77768595041323</v>
      </c>
      <c r="M695">
        <f t="shared" si="70"/>
        <v>402.52916666666664</v>
      </c>
      <c r="N695" s="28">
        <f t="shared" si="69"/>
        <v>0.24851928374658883</v>
      </c>
    </row>
    <row r="696" spans="7:14" x14ac:dyDescent="0.4">
      <c r="G696" s="1">
        <v>42370</v>
      </c>
      <c r="H696">
        <f t="shared" si="65"/>
        <v>1</v>
      </c>
      <c r="I696" s="28">
        <v>402.65</v>
      </c>
      <c r="J696" s="28">
        <f t="shared" si="68"/>
        <v>0.75999999999999091</v>
      </c>
      <c r="K696">
        <f t="shared" si="66"/>
        <v>5.8898749040328657E-2</v>
      </c>
      <c r="L696" s="28">
        <f t="shared" si="67"/>
        <v>402.59110125095964</v>
      </c>
      <c r="M696">
        <f t="shared" si="70"/>
        <v>402.82124999999996</v>
      </c>
      <c r="N696" s="28">
        <f t="shared" si="69"/>
        <v>-0.23014874904032467</v>
      </c>
    </row>
    <row r="697" spans="7:14" x14ac:dyDescent="0.4">
      <c r="G697" s="1">
        <v>42401</v>
      </c>
      <c r="H697">
        <f t="shared" si="65"/>
        <v>2</v>
      </c>
      <c r="I697" s="28">
        <v>404.16</v>
      </c>
      <c r="J697" s="28">
        <f t="shared" si="68"/>
        <v>1.5100000000000477</v>
      </c>
      <c r="K697">
        <f t="shared" si="66"/>
        <v>0.6941584247843573</v>
      </c>
      <c r="L697" s="28">
        <f t="shared" si="67"/>
        <v>403.46584157521568</v>
      </c>
      <c r="M697">
        <f t="shared" si="70"/>
        <v>403.0766666666666</v>
      </c>
      <c r="N697" s="28">
        <f t="shared" si="69"/>
        <v>0.3891749085490801</v>
      </c>
    </row>
    <row r="698" spans="7:14" x14ac:dyDescent="0.4">
      <c r="G698" s="1">
        <v>42430</v>
      </c>
      <c r="H698">
        <f t="shared" si="65"/>
        <v>3</v>
      </c>
      <c r="I698" s="28">
        <v>404.85</v>
      </c>
      <c r="J698" s="28">
        <f t="shared" si="68"/>
        <v>0.68999999999999773</v>
      </c>
      <c r="K698">
        <f t="shared" si="66"/>
        <v>1.3722957593821961</v>
      </c>
      <c r="L698" s="28">
        <f t="shared" si="67"/>
        <v>403.47770424061781</v>
      </c>
      <c r="M698">
        <f t="shared" si="70"/>
        <v>403.3579166666666</v>
      </c>
      <c r="N698" s="28">
        <f t="shared" si="69"/>
        <v>0.1197875739512142</v>
      </c>
    </row>
    <row r="699" spans="7:14" x14ac:dyDescent="0.4">
      <c r="G699" s="1">
        <v>42461</v>
      </c>
      <c r="H699">
        <f t="shared" si="65"/>
        <v>4</v>
      </c>
      <c r="I699" s="28">
        <v>407.57</v>
      </c>
      <c r="J699" s="28">
        <f t="shared" si="68"/>
        <v>2.7199999999999704</v>
      </c>
      <c r="K699">
        <f t="shared" si="66"/>
        <v>2.5880472384049131</v>
      </c>
      <c r="L699" s="28">
        <f t="shared" si="67"/>
        <v>404.9819527615951</v>
      </c>
      <c r="M699">
        <f t="shared" si="70"/>
        <v>403.63833333333332</v>
      </c>
      <c r="N699" s="28">
        <f t="shared" si="69"/>
        <v>1.3436194282617748</v>
      </c>
    </row>
    <row r="700" spans="7:14" x14ac:dyDescent="0.4">
      <c r="G700" s="1">
        <v>42491</v>
      </c>
      <c r="H700">
        <f t="shared" si="65"/>
        <v>5</v>
      </c>
      <c r="I700" s="28">
        <v>407.66</v>
      </c>
      <c r="J700" s="28">
        <f t="shared" si="68"/>
        <v>9.0000000000031832E-2</v>
      </c>
      <c r="K700">
        <f t="shared" si="66"/>
        <v>3.0809752517725739</v>
      </c>
      <c r="L700" s="28">
        <f t="shared" si="67"/>
        <v>404.57902474822743</v>
      </c>
      <c r="M700">
        <f t="shared" si="70"/>
        <v>403.91416666666669</v>
      </c>
      <c r="N700" s="28">
        <f t="shared" si="69"/>
        <v>0.66485808156073745</v>
      </c>
    </row>
    <row r="701" spans="7:14" x14ac:dyDescent="0.4">
      <c r="G701" s="1">
        <v>42522</v>
      </c>
      <c r="H701">
        <f t="shared" si="65"/>
        <v>6</v>
      </c>
      <c r="I701" s="28">
        <v>407</v>
      </c>
      <c r="J701" s="28">
        <f t="shared" si="68"/>
        <v>-0.66000000000002501</v>
      </c>
      <c r="K701">
        <f t="shared" si="66"/>
        <v>2.3583796233572674</v>
      </c>
      <c r="L701" s="28">
        <f t="shared" si="67"/>
        <v>404.64162037664272</v>
      </c>
      <c r="M701">
        <f t="shared" si="70"/>
        <v>404.16666666666669</v>
      </c>
      <c r="N701" s="28">
        <f t="shared" si="69"/>
        <v>0.47495370997603459</v>
      </c>
    </row>
    <row r="702" spans="7:14" x14ac:dyDescent="0.4">
      <c r="G702" s="1">
        <v>42552</v>
      </c>
      <c r="H702">
        <f t="shared" si="65"/>
        <v>7</v>
      </c>
      <c r="I702" s="28">
        <v>404.5</v>
      </c>
      <c r="J702" s="28">
        <f t="shared" si="68"/>
        <v>-2.5</v>
      </c>
      <c r="K702">
        <f t="shared" si="66"/>
        <v>0.72791514248295042</v>
      </c>
      <c r="L702" s="28">
        <f t="shared" si="67"/>
        <v>403.77208485751703</v>
      </c>
      <c r="M702">
        <f t="shared" si="70"/>
        <v>404.42</v>
      </c>
      <c r="N702" s="28">
        <f t="shared" si="69"/>
        <v>-0.64791514248298654</v>
      </c>
    </row>
    <row r="703" spans="7:14" x14ac:dyDescent="0.4">
      <c r="G703" s="1">
        <v>42583</v>
      </c>
      <c r="H703">
        <f t="shared" si="65"/>
        <v>8</v>
      </c>
      <c r="I703" s="28">
        <v>402.24</v>
      </c>
      <c r="J703" s="28">
        <f t="shared" si="68"/>
        <v>-2.2599999999999909</v>
      </c>
      <c r="K703">
        <f t="shared" si="66"/>
        <v>-1.4099263875716923</v>
      </c>
      <c r="L703" s="28">
        <f t="shared" si="67"/>
        <v>403.64992638757172</v>
      </c>
      <c r="M703">
        <f t="shared" si="70"/>
        <v>404.6658333333333</v>
      </c>
      <c r="N703" s="28">
        <f t="shared" si="69"/>
        <v>-1.0159069457615715</v>
      </c>
    </row>
    <row r="704" spans="7:14" x14ac:dyDescent="0.4">
      <c r="G704" s="1">
        <v>42614</v>
      </c>
      <c r="H704">
        <f t="shared" si="65"/>
        <v>9</v>
      </c>
      <c r="I704" s="28">
        <v>401.01</v>
      </c>
      <c r="J704" s="28">
        <f t="shared" si="68"/>
        <v>-1.2300000000000182</v>
      </c>
      <c r="K704">
        <f t="shared" si="66"/>
        <v>-3.204325294675523</v>
      </c>
      <c r="L704" s="28">
        <f t="shared" si="67"/>
        <v>404.21432529467552</v>
      </c>
      <c r="M704">
        <f t="shared" si="70"/>
        <v>404.8608333333334</v>
      </c>
      <c r="N704" s="28">
        <f t="shared" si="69"/>
        <v>-0.64650803865788475</v>
      </c>
    </row>
    <row r="705" spans="7:14" x14ac:dyDescent="0.4">
      <c r="G705" s="1">
        <v>42644</v>
      </c>
      <c r="H705">
        <f t="shared" si="65"/>
        <v>10</v>
      </c>
      <c r="I705" s="28">
        <v>401.5</v>
      </c>
      <c r="J705" s="28">
        <f t="shared" si="68"/>
        <v>0.49000000000000909</v>
      </c>
      <c r="K705">
        <f t="shared" si="66"/>
        <v>-3.3270848575170473</v>
      </c>
      <c r="L705" s="28">
        <f t="shared" si="67"/>
        <v>404.82708485751704</v>
      </c>
      <c r="M705">
        <f t="shared" si="70"/>
        <v>405.01</v>
      </c>
      <c r="N705" s="28">
        <f t="shared" si="69"/>
        <v>-0.18291514248295471</v>
      </c>
    </row>
    <row r="706" spans="7:14" x14ac:dyDescent="0.4">
      <c r="G706" s="1">
        <v>42675</v>
      </c>
      <c r="H706">
        <f t="shared" si="65"/>
        <v>11</v>
      </c>
      <c r="I706" s="28">
        <v>403.64</v>
      </c>
      <c r="J706" s="28">
        <f t="shared" si="68"/>
        <v>2.1399999999999864</v>
      </c>
      <c r="K706">
        <f t="shared" si="66"/>
        <v>-2.0516476990471002</v>
      </c>
      <c r="L706" s="28">
        <f t="shared" si="67"/>
        <v>405.69164769904711</v>
      </c>
      <c r="M706">
        <f t="shared" si="70"/>
        <v>405.16124999999994</v>
      </c>
      <c r="N706" s="28">
        <f t="shared" si="69"/>
        <v>0.53039769904717105</v>
      </c>
    </row>
    <row r="707" spans="7:14" x14ac:dyDescent="0.4">
      <c r="G707" s="1">
        <v>42705</v>
      </c>
      <c r="H707">
        <f t="shared" ref="H707:H747" si="71">MONTH(G707)</f>
        <v>12</v>
      </c>
      <c r="I707" s="28">
        <v>404.55</v>
      </c>
      <c r="J707" s="28">
        <f t="shared" si="68"/>
        <v>0.91000000000002501</v>
      </c>
      <c r="K707">
        <f t="shared" ref="K707:K747" si="72">INDEX($E$3:$E$14,H707)</f>
        <v>-0.88768595041322573</v>
      </c>
      <c r="L707" s="28">
        <f t="shared" ref="L707:L747" si="73">I707-K707</f>
        <v>405.43768595041325</v>
      </c>
      <c r="M707">
        <f t="shared" si="70"/>
        <v>405.34333333333331</v>
      </c>
      <c r="N707" s="28">
        <f t="shared" si="69"/>
        <v>9.4352617079948686E-2</v>
      </c>
    </row>
    <row r="708" spans="7:14" x14ac:dyDescent="0.4">
      <c r="G708" s="1">
        <v>42736</v>
      </c>
      <c r="H708">
        <f t="shared" si="71"/>
        <v>1</v>
      </c>
      <c r="I708" s="28">
        <v>406.07</v>
      </c>
      <c r="J708" s="28">
        <f t="shared" ref="J708:J743" si="74">I708-I707</f>
        <v>1.5199999999999818</v>
      </c>
      <c r="K708">
        <f t="shared" si="72"/>
        <v>5.8898749040328657E-2</v>
      </c>
      <c r="L708" s="28">
        <f t="shared" si="73"/>
        <v>406.01110125095965</v>
      </c>
      <c r="M708">
        <f t="shared" si="70"/>
        <v>405.54416666666663</v>
      </c>
      <c r="N708" s="28">
        <f t="shared" si="69"/>
        <v>0.46693458429302837</v>
      </c>
    </row>
    <row r="709" spans="7:14" x14ac:dyDescent="0.4">
      <c r="G709" s="1">
        <v>42767</v>
      </c>
      <c r="H709">
        <f t="shared" si="71"/>
        <v>2</v>
      </c>
      <c r="I709" s="28">
        <v>406.64</v>
      </c>
      <c r="J709" s="28">
        <f t="shared" si="74"/>
        <v>0.56999999999999318</v>
      </c>
      <c r="K709">
        <f t="shared" si="72"/>
        <v>0.6941584247843573</v>
      </c>
      <c r="L709" s="28">
        <f t="shared" si="73"/>
        <v>405.94584157521564</v>
      </c>
      <c r="M709">
        <f t="shared" si="70"/>
        <v>405.78166666666669</v>
      </c>
      <c r="N709" s="28">
        <f t="shared" si="69"/>
        <v>0.16417490854894368</v>
      </c>
    </row>
    <row r="710" spans="7:14" x14ac:dyDescent="0.4">
      <c r="G710" s="1">
        <v>42795</v>
      </c>
      <c r="H710">
        <f t="shared" si="71"/>
        <v>3</v>
      </c>
      <c r="I710" s="28">
        <v>407.05</v>
      </c>
      <c r="J710" s="28">
        <f t="shared" si="74"/>
        <v>0.41000000000002501</v>
      </c>
      <c r="K710">
        <f t="shared" si="72"/>
        <v>1.3722957593821961</v>
      </c>
      <c r="L710" s="28">
        <f t="shared" si="73"/>
        <v>405.6777042406178</v>
      </c>
      <c r="M710">
        <f t="shared" si="70"/>
        <v>406.00083333333333</v>
      </c>
      <c r="N710" s="28">
        <f t="shared" si="69"/>
        <v>-0.32312909271553281</v>
      </c>
    </row>
    <row r="711" spans="7:14" x14ac:dyDescent="0.4">
      <c r="G711" s="1">
        <v>42826</v>
      </c>
      <c r="H711">
        <f t="shared" si="71"/>
        <v>4</v>
      </c>
      <c r="I711" s="28">
        <v>408.95</v>
      </c>
      <c r="J711" s="28">
        <f t="shared" si="74"/>
        <v>1.8999999999999773</v>
      </c>
      <c r="K711">
        <f t="shared" si="72"/>
        <v>2.5880472384049131</v>
      </c>
      <c r="L711" s="28">
        <f t="shared" si="73"/>
        <v>406.36195276159509</v>
      </c>
      <c r="M711">
        <f t="shared" si="70"/>
        <v>406.18416666666673</v>
      </c>
      <c r="N711" s="28">
        <f t="shared" si="69"/>
        <v>0.17778609492836495</v>
      </c>
    </row>
    <row r="712" spans="7:14" x14ac:dyDescent="0.4">
      <c r="G712" s="1">
        <v>42856</v>
      </c>
      <c r="H712">
        <f t="shared" si="71"/>
        <v>5</v>
      </c>
      <c r="I712" s="28">
        <v>409.91</v>
      </c>
      <c r="J712" s="28">
        <f t="shared" si="74"/>
        <v>0.96000000000003638</v>
      </c>
      <c r="K712">
        <f t="shared" si="72"/>
        <v>3.0809752517725739</v>
      </c>
      <c r="L712" s="28">
        <f t="shared" si="73"/>
        <v>406.82902474822743</v>
      </c>
      <c r="M712">
        <f t="shared" si="70"/>
        <v>406.33708333333334</v>
      </c>
      <c r="N712" s="28">
        <f t="shared" si="69"/>
        <v>0.49194141489408594</v>
      </c>
    </row>
    <row r="713" spans="7:14" x14ac:dyDescent="0.4">
      <c r="G713" s="1">
        <v>42887</v>
      </c>
      <c r="H713">
        <f t="shared" si="71"/>
        <v>6</v>
      </c>
      <c r="I713" s="28">
        <v>409.12</v>
      </c>
      <c r="J713" s="28">
        <f t="shared" si="74"/>
        <v>-0.79000000000002046</v>
      </c>
      <c r="K713">
        <f t="shared" si="72"/>
        <v>2.3583796233572674</v>
      </c>
      <c r="L713" s="28">
        <f t="shared" si="73"/>
        <v>406.76162037664272</v>
      </c>
      <c r="M713">
        <f t="shared" si="70"/>
        <v>406.49250000000001</v>
      </c>
      <c r="N713" s="28">
        <f t="shared" ref="N713:N741" si="75">L713-M713</f>
        <v>0.26912037664271793</v>
      </c>
    </row>
    <row r="714" spans="7:14" x14ac:dyDescent="0.4">
      <c r="G714" s="1">
        <v>42917</v>
      </c>
      <c r="H714">
        <f t="shared" si="71"/>
        <v>7</v>
      </c>
      <c r="I714" s="28">
        <v>407.2</v>
      </c>
      <c r="J714" s="28">
        <f t="shared" si="74"/>
        <v>-1.9200000000000159</v>
      </c>
      <c r="K714">
        <f t="shared" si="72"/>
        <v>0.72791514248295042</v>
      </c>
      <c r="L714" s="28">
        <f t="shared" si="73"/>
        <v>406.47208485751702</v>
      </c>
      <c r="M714">
        <f t="shared" si="70"/>
        <v>406.66666666666657</v>
      </c>
      <c r="N714" s="28">
        <f t="shared" si="75"/>
        <v>-0.19458180914955392</v>
      </c>
    </row>
    <row r="715" spans="7:14" x14ac:dyDescent="0.4">
      <c r="G715" s="1">
        <v>42948</v>
      </c>
      <c r="H715">
        <f t="shared" si="71"/>
        <v>8</v>
      </c>
      <c r="I715" s="28">
        <v>405.24</v>
      </c>
      <c r="J715" s="28">
        <f t="shared" si="74"/>
        <v>-1.9599999999999795</v>
      </c>
      <c r="K715">
        <f t="shared" si="72"/>
        <v>-1.4099263875716923</v>
      </c>
      <c r="L715" s="28">
        <f t="shared" si="73"/>
        <v>406.64992638757172</v>
      </c>
      <c r="M715">
        <f t="shared" si="70"/>
        <v>406.81999999999994</v>
      </c>
      <c r="N715" s="28">
        <f t="shared" si="75"/>
        <v>-0.17007361242821162</v>
      </c>
    </row>
    <row r="716" spans="7:14" x14ac:dyDescent="0.4">
      <c r="G716" s="1">
        <v>42979</v>
      </c>
      <c r="H716">
        <f t="shared" si="71"/>
        <v>9</v>
      </c>
      <c r="I716" s="28">
        <v>403.27</v>
      </c>
      <c r="J716" s="28">
        <f t="shared" si="74"/>
        <v>-1.9700000000000273</v>
      </c>
      <c r="K716">
        <f t="shared" si="72"/>
        <v>-3.204325294675523</v>
      </c>
      <c r="L716" s="28">
        <f t="shared" si="73"/>
        <v>406.47432529467551</v>
      </c>
      <c r="M716">
        <f t="shared" si="70"/>
        <v>406.98250000000002</v>
      </c>
      <c r="N716" s="28">
        <f t="shared" si="75"/>
        <v>-0.5081747053245067</v>
      </c>
    </row>
    <row r="717" spans="7:14" x14ac:dyDescent="0.4">
      <c r="G717" s="1">
        <v>43009</v>
      </c>
      <c r="H717">
        <f t="shared" si="71"/>
        <v>10</v>
      </c>
      <c r="I717" s="28">
        <v>403.64</v>
      </c>
      <c r="J717" s="28">
        <f t="shared" si="74"/>
        <v>0.37000000000000455</v>
      </c>
      <c r="K717">
        <f t="shared" si="72"/>
        <v>-3.3270848575170473</v>
      </c>
      <c r="L717" s="28">
        <f t="shared" si="73"/>
        <v>406.96708485751702</v>
      </c>
      <c r="M717">
        <f t="shared" si="70"/>
        <v>407.13041666666663</v>
      </c>
      <c r="N717" s="28">
        <f t="shared" si="75"/>
        <v>-0.16333180914961076</v>
      </c>
    </row>
    <row r="718" spans="7:14" x14ac:dyDescent="0.4">
      <c r="G718" s="1">
        <v>43040</v>
      </c>
      <c r="H718">
        <f t="shared" si="71"/>
        <v>11</v>
      </c>
      <c r="I718" s="28">
        <v>405.17</v>
      </c>
      <c r="J718" s="28">
        <f t="shared" si="74"/>
        <v>1.5300000000000296</v>
      </c>
      <c r="K718">
        <f t="shared" si="72"/>
        <v>-2.0516476990471002</v>
      </c>
      <c r="L718" s="28">
        <f t="shared" si="73"/>
        <v>407.22164769904714</v>
      </c>
      <c r="M718">
        <f t="shared" si="70"/>
        <v>407.24458333333331</v>
      </c>
      <c r="N718" s="28">
        <f t="shared" si="75"/>
        <v>-2.2935634286170625E-2</v>
      </c>
    </row>
    <row r="719" spans="7:14" x14ac:dyDescent="0.4">
      <c r="G719" s="1">
        <v>43070</v>
      </c>
      <c r="H719">
        <f t="shared" si="71"/>
        <v>12</v>
      </c>
      <c r="I719" s="28">
        <v>406.75</v>
      </c>
      <c r="J719" s="28">
        <f t="shared" si="74"/>
        <v>1.5799999999999841</v>
      </c>
      <c r="K719">
        <f t="shared" si="72"/>
        <v>-0.88768595041322573</v>
      </c>
      <c r="L719" s="28">
        <f t="shared" si="73"/>
        <v>407.63768595041324</v>
      </c>
      <c r="M719">
        <f t="shared" ref="M719:M741" si="76">(SUM(L714:L724)+(L713+L725)/2)/12</f>
        <v>407.37583333333328</v>
      </c>
      <c r="N719" s="28">
        <f t="shared" si="75"/>
        <v>0.26185261707996688</v>
      </c>
    </row>
    <row r="720" spans="7:14" x14ac:dyDescent="0.4">
      <c r="G720" s="1">
        <v>43101</v>
      </c>
      <c r="H720">
        <f t="shared" si="71"/>
        <v>1</v>
      </c>
      <c r="I720" s="28">
        <v>408.05</v>
      </c>
      <c r="J720" s="28">
        <f t="shared" si="74"/>
        <v>1.3000000000000114</v>
      </c>
      <c r="K720">
        <f t="shared" si="72"/>
        <v>5.8898749040328657E-2</v>
      </c>
      <c r="L720" s="28">
        <f t="shared" si="73"/>
        <v>407.99110125095967</v>
      </c>
      <c r="M720">
        <f t="shared" si="76"/>
        <v>407.52</v>
      </c>
      <c r="N720" s="28">
        <f t="shared" si="75"/>
        <v>0.47110125095969124</v>
      </c>
    </row>
    <row r="721" spans="7:14" x14ac:dyDescent="0.4">
      <c r="G721" s="1">
        <v>43132</v>
      </c>
      <c r="H721">
        <f t="shared" si="71"/>
        <v>2</v>
      </c>
      <c r="I721" s="28">
        <v>408.34</v>
      </c>
      <c r="J721" s="28">
        <f t="shared" si="74"/>
        <v>0.28999999999996362</v>
      </c>
      <c r="K721">
        <f t="shared" si="72"/>
        <v>0.6941584247843573</v>
      </c>
      <c r="L721" s="28">
        <f t="shared" si="73"/>
        <v>407.64584157521563</v>
      </c>
      <c r="M721">
        <f t="shared" si="76"/>
        <v>407.66833333333329</v>
      </c>
      <c r="N721" s="28">
        <f t="shared" si="75"/>
        <v>-2.2491758117666905E-2</v>
      </c>
    </row>
    <row r="722" spans="7:14" x14ac:dyDescent="0.4">
      <c r="G722" s="1">
        <v>43160</v>
      </c>
      <c r="H722">
        <f t="shared" si="71"/>
        <v>3</v>
      </c>
      <c r="I722" s="28">
        <v>409.25</v>
      </c>
      <c r="J722" s="28">
        <f t="shared" si="74"/>
        <v>0.91000000000002501</v>
      </c>
      <c r="K722">
        <f t="shared" si="72"/>
        <v>1.3722957593821961</v>
      </c>
      <c r="L722" s="28">
        <f t="shared" si="73"/>
        <v>407.87770424061779</v>
      </c>
      <c r="M722">
        <f t="shared" si="76"/>
        <v>407.84249999999997</v>
      </c>
      <c r="N722" s="28">
        <f t="shared" si="75"/>
        <v>3.5204240617815685E-2</v>
      </c>
    </row>
    <row r="723" spans="7:14" x14ac:dyDescent="0.4">
      <c r="G723" s="1">
        <v>43191</v>
      </c>
      <c r="H723">
        <f t="shared" si="71"/>
        <v>4</v>
      </c>
      <c r="I723" s="28">
        <v>410.3</v>
      </c>
      <c r="J723" s="28">
        <f t="shared" si="74"/>
        <v>1.0500000000000114</v>
      </c>
      <c r="K723">
        <f t="shared" si="72"/>
        <v>2.5880472384049131</v>
      </c>
      <c r="L723" s="28">
        <f t="shared" si="73"/>
        <v>407.71195276159511</v>
      </c>
      <c r="M723">
        <f t="shared" si="76"/>
        <v>408.03708333333338</v>
      </c>
      <c r="N723" s="28">
        <f t="shared" si="75"/>
        <v>-0.32513057173827065</v>
      </c>
    </row>
    <row r="724" spans="7:14" x14ac:dyDescent="0.4">
      <c r="G724" s="1">
        <v>43221</v>
      </c>
      <c r="H724">
        <f t="shared" si="71"/>
        <v>5</v>
      </c>
      <c r="I724" s="28">
        <v>411.3</v>
      </c>
      <c r="J724" s="28">
        <f t="shared" si="74"/>
        <v>1</v>
      </c>
      <c r="K724">
        <f t="shared" si="72"/>
        <v>3.0809752517725739</v>
      </c>
      <c r="L724" s="28">
        <f t="shared" si="73"/>
        <v>408.21902474822741</v>
      </c>
      <c r="M724">
        <f t="shared" si="76"/>
        <v>408.25791666666669</v>
      </c>
      <c r="N724" s="28">
        <f t="shared" si="75"/>
        <v>-3.8891918439276196E-2</v>
      </c>
    </row>
    <row r="725" spans="7:14" x14ac:dyDescent="0.4">
      <c r="G725" s="1">
        <v>43252</v>
      </c>
      <c r="H725">
        <f t="shared" si="71"/>
        <v>6</v>
      </c>
      <c r="I725" s="28">
        <v>410.88</v>
      </c>
      <c r="J725" s="28">
        <f t="shared" si="74"/>
        <v>-0.42000000000001592</v>
      </c>
      <c r="K725">
        <f t="shared" si="72"/>
        <v>2.3583796233572674</v>
      </c>
      <c r="L725" s="28">
        <f t="shared" si="73"/>
        <v>408.52162037664272</v>
      </c>
      <c r="M725">
        <f t="shared" si="76"/>
        <v>408.48416666666662</v>
      </c>
      <c r="N725" s="28">
        <f t="shared" si="75"/>
        <v>3.7453709976091432E-2</v>
      </c>
    </row>
    <row r="726" spans="7:14" x14ac:dyDescent="0.4">
      <c r="G726" s="1">
        <v>43282</v>
      </c>
      <c r="H726">
        <f t="shared" si="71"/>
        <v>7</v>
      </c>
      <c r="I726" s="28">
        <v>408.9</v>
      </c>
      <c r="J726" s="28">
        <f t="shared" si="74"/>
        <v>-1.9800000000000182</v>
      </c>
      <c r="K726">
        <f t="shared" si="72"/>
        <v>0.72791514248295042</v>
      </c>
      <c r="L726" s="28">
        <f t="shared" si="73"/>
        <v>408.17208485751701</v>
      </c>
      <c r="M726">
        <f t="shared" si="76"/>
        <v>408.70708333333329</v>
      </c>
      <c r="N726" s="28">
        <f t="shared" si="75"/>
        <v>-0.53499847581628046</v>
      </c>
    </row>
    <row r="727" spans="7:14" x14ac:dyDescent="0.4">
      <c r="G727" s="1">
        <v>43313</v>
      </c>
      <c r="H727">
        <f t="shared" si="71"/>
        <v>8</v>
      </c>
      <c r="I727" s="28">
        <v>407.1</v>
      </c>
      <c r="J727" s="28">
        <f t="shared" si="74"/>
        <v>-1.7999999999999545</v>
      </c>
      <c r="K727">
        <f t="shared" si="72"/>
        <v>-1.4099263875716923</v>
      </c>
      <c r="L727" s="28">
        <f t="shared" si="73"/>
        <v>408.50992638757174</v>
      </c>
      <c r="M727">
        <f t="shared" si="76"/>
        <v>408.96500000000009</v>
      </c>
      <c r="N727" s="28">
        <f t="shared" si="75"/>
        <v>-0.45507361242835032</v>
      </c>
    </row>
    <row r="728" spans="7:14" x14ac:dyDescent="0.4">
      <c r="G728" s="1">
        <v>43344</v>
      </c>
      <c r="H728">
        <f t="shared" si="71"/>
        <v>9</v>
      </c>
      <c r="I728" s="28">
        <v>405.59</v>
      </c>
      <c r="J728" s="28">
        <f t="shared" si="74"/>
        <v>-1.5100000000000477</v>
      </c>
      <c r="K728">
        <f t="shared" si="72"/>
        <v>-3.204325294675523</v>
      </c>
      <c r="L728" s="28">
        <f t="shared" si="73"/>
        <v>408.7943252946755</v>
      </c>
      <c r="M728">
        <f t="shared" si="76"/>
        <v>409.21791666666672</v>
      </c>
      <c r="N728" s="28">
        <f t="shared" si="75"/>
        <v>-0.42359137199122188</v>
      </c>
    </row>
    <row r="729" spans="7:14" x14ac:dyDescent="0.4">
      <c r="G729" s="1">
        <v>43374</v>
      </c>
      <c r="H729">
        <f t="shared" si="71"/>
        <v>10</v>
      </c>
      <c r="I729" s="28">
        <v>405.99</v>
      </c>
      <c r="J729" s="28">
        <f t="shared" si="74"/>
        <v>0.40000000000003411</v>
      </c>
      <c r="K729">
        <f t="shared" si="72"/>
        <v>-3.3270848575170473</v>
      </c>
      <c r="L729" s="28">
        <f t="shared" si="73"/>
        <v>409.31708485751705</v>
      </c>
      <c r="M729">
        <f t="shared" si="76"/>
        <v>409.46666666666664</v>
      </c>
      <c r="N729" s="28">
        <f t="shared" si="75"/>
        <v>-0.14958180914959485</v>
      </c>
    </row>
    <row r="730" spans="7:14" x14ac:dyDescent="0.4">
      <c r="G730" s="1">
        <v>43405</v>
      </c>
      <c r="H730">
        <f t="shared" si="71"/>
        <v>11</v>
      </c>
      <c r="I730" s="28">
        <v>408.12</v>
      </c>
      <c r="J730" s="28">
        <f t="shared" si="74"/>
        <v>2.1299999999999955</v>
      </c>
      <c r="K730">
        <f t="shared" si="72"/>
        <v>-2.0516476990471002</v>
      </c>
      <c r="L730" s="28">
        <f t="shared" si="73"/>
        <v>410.17164769904713</v>
      </c>
      <c r="M730">
        <f t="shared" si="76"/>
        <v>409.74791666666664</v>
      </c>
      <c r="N730" s="28">
        <f t="shared" si="75"/>
        <v>0.4237310323804877</v>
      </c>
    </row>
    <row r="731" spans="7:14" x14ac:dyDescent="0.4">
      <c r="G731" s="1">
        <v>43435</v>
      </c>
      <c r="H731">
        <f t="shared" si="71"/>
        <v>12</v>
      </c>
      <c r="I731" s="28">
        <v>409.23</v>
      </c>
      <c r="J731" s="28">
        <f t="shared" si="74"/>
        <v>1.1100000000000136</v>
      </c>
      <c r="K731">
        <f t="shared" si="72"/>
        <v>-0.88768595041322573</v>
      </c>
      <c r="L731" s="28">
        <f t="shared" si="73"/>
        <v>410.11768595041326</v>
      </c>
      <c r="M731">
        <f t="shared" si="76"/>
        <v>410.02333333333331</v>
      </c>
      <c r="N731" s="28">
        <f t="shared" si="75"/>
        <v>9.4352617079948686E-2</v>
      </c>
    </row>
    <row r="732" spans="7:14" x14ac:dyDescent="0.4">
      <c r="G732" s="1">
        <v>43466</v>
      </c>
      <c r="H732">
        <f t="shared" si="71"/>
        <v>1</v>
      </c>
      <c r="I732" s="28">
        <v>410.92</v>
      </c>
      <c r="J732" s="28">
        <f t="shared" si="74"/>
        <v>1.6899999999999977</v>
      </c>
      <c r="K732">
        <f t="shared" si="72"/>
        <v>5.8898749040328657E-2</v>
      </c>
      <c r="L732" s="28">
        <f t="shared" si="73"/>
        <v>410.86110125095968</v>
      </c>
      <c r="M732">
        <f t="shared" si="76"/>
        <v>410.27458333333334</v>
      </c>
      <c r="N732" s="28">
        <f t="shared" si="75"/>
        <v>0.5865179176263382</v>
      </c>
    </row>
    <row r="733" spans="7:14" x14ac:dyDescent="0.4">
      <c r="G733" s="1">
        <v>43497</v>
      </c>
      <c r="H733">
        <f t="shared" si="71"/>
        <v>2</v>
      </c>
      <c r="I733" s="28">
        <v>411.66</v>
      </c>
      <c r="J733" s="28">
        <f t="shared" si="74"/>
        <v>0.74000000000000909</v>
      </c>
      <c r="K733">
        <f t="shared" si="72"/>
        <v>0.6941584247843573</v>
      </c>
      <c r="L733" s="28">
        <f t="shared" si="73"/>
        <v>410.96584157521568</v>
      </c>
      <c r="M733">
        <f t="shared" si="76"/>
        <v>410.52166666666659</v>
      </c>
      <c r="N733" s="28">
        <f t="shared" si="75"/>
        <v>0.44417490854908692</v>
      </c>
    </row>
    <row r="734" spans="7:14" x14ac:dyDescent="0.4">
      <c r="G734" s="1">
        <v>43525</v>
      </c>
      <c r="H734">
        <f t="shared" si="71"/>
        <v>3</v>
      </c>
      <c r="I734" s="28">
        <v>412</v>
      </c>
      <c r="J734" s="28">
        <f t="shared" si="74"/>
        <v>0.33999999999997499</v>
      </c>
      <c r="K734">
        <f t="shared" si="72"/>
        <v>1.3722957593821961</v>
      </c>
      <c r="L734" s="28">
        <f t="shared" si="73"/>
        <v>410.62770424061779</v>
      </c>
      <c r="M734">
        <f t="shared" si="76"/>
        <v>410.76916666666665</v>
      </c>
      <c r="N734" s="28">
        <f t="shared" si="75"/>
        <v>-0.14146242604886083</v>
      </c>
    </row>
    <row r="735" spans="7:14" x14ac:dyDescent="0.4">
      <c r="G735" s="1">
        <v>43556</v>
      </c>
      <c r="H735">
        <f t="shared" si="71"/>
        <v>4</v>
      </c>
      <c r="I735" s="28">
        <v>413.52</v>
      </c>
      <c r="J735" s="28">
        <f t="shared" si="74"/>
        <v>1.5199999999999818</v>
      </c>
      <c r="K735">
        <f t="shared" si="72"/>
        <v>2.5880472384049131</v>
      </c>
      <c r="L735" s="28">
        <f t="shared" si="73"/>
        <v>410.93195276159508</v>
      </c>
      <c r="M735">
        <f t="shared" si="76"/>
        <v>410.99416666666656</v>
      </c>
      <c r="N735" s="28">
        <f t="shared" si="75"/>
        <v>-6.2213905071473619E-2</v>
      </c>
    </row>
    <row r="736" spans="7:14" x14ac:dyDescent="0.4">
      <c r="G736" s="1">
        <v>43586</v>
      </c>
      <c r="H736">
        <f t="shared" si="71"/>
        <v>5</v>
      </c>
      <c r="I736" s="28">
        <v>414.83</v>
      </c>
      <c r="J736" s="28">
        <f t="shared" si="74"/>
        <v>1.3100000000000023</v>
      </c>
      <c r="K736">
        <f t="shared" si="72"/>
        <v>3.0809752517725739</v>
      </c>
      <c r="L736" s="28">
        <f t="shared" si="73"/>
        <v>411.74902474822738</v>
      </c>
      <c r="M736">
        <f t="shared" si="76"/>
        <v>411.18624999999997</v>
      </c>
      <c r="N736" s="28">
        <f t="shared" si="75"/>
        <v>0.56277474822741169</v>
      </c>
    </row>
    <row r="737" spans="7:14" x14ac:dyDescent="0.4">
      <c r="G737" s="1">
        <v>43617</v>
      </c>
      <c r="H737">
        <f t="shared" si="71"/>
        <v>6</v>
      </c>
      <c r="I737" s="28">
        <v>413.96</v>
      </c>
      <c r="J737" s="28">
        <f t="shared" si="74"/>
        <v>-0.87000000000000455</v>
      </c>
      <c r="K737">
        <f t="shared" si="72"/>
        <v>2.3583796233572674</v>
      </c>
      <c r="L737" s="28">
        <f t="shared" si="73"/>
        <v>411.6016203766427</v>
      </c>
      <c r="M737">
        <f t="shared" si="76"/>
        <v>411.38583333333332</v>
      </c>
      <c r="N737" s="28">
        <f t="shared" si="75"/>
        <v>0.21578704330937626</v>
      </c>
    </row>
    <row r="738" spans="7:14" x14ac:dyDescent="0.4">
      <c r="G738" s="1">
        <v>43647</v>
      </c>
      <c r="H738">
        <f t="shared" si="71"/>
        <v>7</v>
      </c>
      <c r="I738" s="28">
        <v>411.85</v>
      </c>
      <c r="J738" s="28">
        <f t="shared" si="74"/>
        <v>-2.1099999999999568</v>
      </c>
      <c r="K738">
        <f t="shared" si="72"/>
        <v>0.72791514248295042</v>
      </c>
      <c r="L738" s="28">
        <f t="shared" si="73"/>
        <v>411.12208485751705</v>
      </c>
      <c r="M738">
        <f t="shared" si="76"/>
        <v>411.59708333333333</v>
      </c>
      <c r="N738" s="28">
        <f t="shared" si="75"/>
        <v>-0.47499847581627819</v>
      </c>
    </row>
    <row r="739" spans="7:14" x14ac:dyDescent="0.4">
      <c r="G739" s="1">
        <v>43678</v>
      </c>
      <c r="H739">
        <f t="shared" si="71"/>
        <v>8</v>
      </c>
      <c r="I739" s="28">
        <v>410.08</v>
      </c>
      <c r="J739" s="28">
        <f t="shared" si="74"/>
        <v>-1.7700000000000387</v>
      </c>
      <c r="K739">
        <f t="shared" si="72"/>
        <v>-1.4099263875716923</v>
      </c>
      <c r="L739" s="28">
        <f t="shared" si="73"/>
        <v>411.4899263875717</v>
      </c>
      <c r="M739">
        <f t="shared" si="76"/>
        <v>411.80041666666671</v>
      </c>
      <c r="N739" s="28">
        <f t="shared" si="75"/>
        <v>-0.31049027909500637</v>
      </c>
    </row>
    <row r="740" spans="7:14" x14ac:dyDescent="0.4">
      <c r="G740" s="1">
        <v>43709</v>
      </c>
      <c r="H740">
        <f t="shared" si="71"/>
        <v>9</v>
      </c>
      <c r="I740" s="28">
        <v>408.55</v>
      </c>
      <c r="J740" s="28">
        <f t="shared" si="74"/>
        <v>-1.5299999999999727</v>
      </c>
      <c r="K740">
        <f t="shared" si="72"/>
        <v>-3.204325294675523</v>
      </c>
      <c r="L740" s="28">
        <f t="shared" si="73"/>
        <v>411.75432529467554</v>
      </c>
      <c r="M740">
        <f t="shared" si="76"/>
        <v>412.00624999999997</v>
      </c>
      <c r="N740" s="28">
        <f t="shared" si="75"/>
        <v>-0.25192470532442712</v>
      </c>
    </row>
    <row r="741" spans="7:14" x14ac:dyDescent="0.4">
      <c r="G741" s="1">
        <v>43739</v>
      </c>
      <c r="H741">
        <f t="shared" si="71"/>
        <v>10</v>
      </c>
      <c r="I741" s="28">
        <v>408.43</v>
      </c>
      <c r="J741" s="28">
        <f t="shared" si="74"/>
        <v>-0.12000000000000455</v>
      </c>
      <c r="K741">
        <f t="shared" si="72"/>
        <v>-3.3270848575170473</v>
      </c>
      <c r="L741" s="28">
        <f t="shared" si="73"/>
        <v>411.75708485751704</v>
      </c>
      <c r="M741">
        <f t="shared" si="76"/>
        <v>412.22166666666664</v>
      </c>
      <c r="N741" s="28">
        <f t="shared" si="75"/>
        <v>-0.46458180914959257</v>
      </c>
    </row>
    <row r="742" spans="7:14" x14ac:dyDescent="0.4">
      <c r="G742" s="1">
        <v>43770</v>
      </c>
      <c r="H742">
        <f t="shared" si="71"/>
        <v>11</v>
      </c>
      <c r="I742" s="28">
        <v>410.29</v>
      </c>
      <c r="J742" s="28">
        <f t="shared" si="74"/>
        <v>1.8600000000000136</v>
      </c>
      <c r="K742">
        <f t="shared" si="72"/>
        <v>-2.0516476990471002</v>
      </c>
      <c r="L742" s="28">
        <f t="shared" si="73"/>
        <v>412.34164769904714</v>
      </c>
    </row>
    <row r="743" spans="7:14" x14ac:dyDescent="0.4">
      <c r="G743" s="1">
        <v>43800</v>
      </c>
      <c r="H743">
        <f t="shared" si="71"/>
        <v>12</v>
      </c>
      <c r="I743" s="28">
        <v>411.85</v>
      </c>
      <c r="J743" s="28">
        <f t="shared" si="74"/>
        <v>1.5600000000000023</v>
      </c>
      <c r="K743">
        <f t="shared" si="72"/>
        <v>-0.88768595041322573</v>
      </c>
      <c r="L743" s="28">
        <f t="shared" si="73"/>
        <v>412.73768595041327</v>
      </c>
    </row>
    <row r="744" spans="7:14" x14ac:dyDescent="0.4">
      <c r="G744" s="1">
        <v>43831</v>
      </c>
      <c r="H744">
        <f t="shared" si="71"/>
        <v>1</v>
      </c>
      <c r="I744" s="28">
        <v>413.37</v>
      </c>
      <c r="J744" s="28"/>
      <c r="K744">
        <f t="shared" si="72"/>
        <v>5.8898749040328657E-2</v>
      </c>
      <c r="L744" s="28">
        <f t="shared" si="73"/>
        <v>413.31110125095967</v>
      </c>
    </row>
    <row r="745" spans="7:14" x14ac:dyDescent="0.4">
      <c r="G745" s="1">
        <v>43862</v>
      </c>
      <c r="H745">
        <f t="shared" si="71"/>
        <v>2</v>
      </c>
      <c r="I745" s="28">
        <v>414.09</v>
      </c>
      <c r="J745" s="28"/>
      <c r="K745">
        <f t="shared" si="72"/>
        <v>0.6941584247843573</v>
      </c>
      <c r="L745" s="28">
        <f t="shared" si="73"/>
        <v>413.39584157521563</v>
      </c>
    </row>
    <row r="746" spans="7:14" x14ac:dyDescent="0.4">
      <c r="G746" s="1">
        <v>43891</v>
      </c>
      <c r="H746">
        <f t="shared" si="71"/>
        <v>3</v>
      </c>
      <c r="I746" s="28">
        <v>414.51</v>
      </c>
      <c r="J746" s="28"/>
      <c r="K746">
        <f t="shared" si="72"/>
        <v>1.3722957593821961</v>
      </c>
      <c r="L746" s="28">
        <f t="shared" si="73"/>
        <v>413.13770424061778</v>
      </c>
    </row>
    <row r="747" spans="7:14" x14ac:dyDescent="0.4">
      <c r="G747" s="1">
        <v>43922</v>
      </c>
      <c r="H747">
        <f t="shared" si="71"/>
        <v>4</v>
      </c>
      <c r="I747" s="28">
        <v>416.18</v>
      </c>
      <c r="J747" s="28"/>
      <c r="K747">
        <f t="shared" si="72"/>
        <v>2.5880472384049131</v>
      </c>
      <c r="L747" s="28">
        <f t="shared" si="73"/>
        <v>413.59195276159511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0B31-7A45-4997-8B5E-F7BA24FACE32}">
  <dimension ref="A1:AC747"/>
  <sheetViews>
    <sheetView topLeftCell="D30" zoomScaleNormal="100" workbookViewId="0">
      <selection activeCell="P46" sqref="P46"/>
    </sheetView>
  </sheetViews>
  <sheetFormatPr defaultRowHeight="18.75" x14ac:dyDescent="0.4"/>
  <cols>
    <col min="1" max="1" width="10.25" bestFit="1" customWidth="1"/>
    <col min="2" max="2" width="7.75" style="28" bestFit="1" customWidth="1"/>
    <col min="3" max="14" width="7.75" style="28" customWidth="1"/>
  </cols>
  <sheetData>
    <row r="1" spans="1:29" s="3" customFormat="1" x14ac:dyDescent="0.4">
      <c r="A1" s="3" t="s">
        <v>0</v>
      </c>
      <c r="B1" s="30" t="s">
        <v>1</v>
      </c>
      <c r="C1" s="34">
        <v>-1</v>
      </c>
      <c r="D1" s="34">
        <v>-2</v>
      </c>
      <c r="E1" s="34">
        <v>-3</v>
      </c>
      <c r="F1" s="34">
        <v>-4</v>
      </c>
      <c r="G1" s="34">
        <v>-5</v>
      </c>
      <c r="H1" s="34">
        <v>-6</v>
      </c>
      <c r="I1" s="34">
        <v>-7</v>
      </c>
      <c r="J1" s="34">
        <v>-8</v>
      </c>
      <c r="K1" s="34">
        <v>-9</v>
      </c>
      <c r="L1" s="34">
        <v>-10</v>
      </c>
      <c r="M1" s="34">
        <v>-11</v>
      </c>
      <c r="N1" s="34">
        <v>-12</v>
      </c>
      <c r="P1" s="37"/>
      <c r="Q1" s="37" t="s">
        <v>68</v>
      </c>
      <c r="R1" s="37" t="s">
        <v>69</v>
      </c>
      <c r="S1" s="37" t="s">
        <v>70</v>
      </c>
      <c r="T1" s="37" t="s">
        <v>71</v>
      </c>
      <c r="U1" s="37" t="s">
        <v>72</v>
      </c>
      <c r="V1" s="37" t="s">
        <v>73</v>
      </c>
      <c r="W1" s="37" t="s">
        <v>74</v>
      </c>
      <c r="X1" s="37" t="s">
        <v>75</v>
      </c>
      <c r="Y1" s="37" t="s">
        <v>76</v>
      </c>
      <c r="Z1" s="37" t="s">
        <v>77</v>
      </c>
      <c r="AA1" s="37" t="s">
        <v>78</v>
      </c>
      <c r="AB1" s="37" t="s">
        <v>79</v>
      </c>
      <c r="AC1" s="37" t="s">
        <v>80</v>
      </c>
    </row>
    <row r="2" spans="1:29" x14ac:dyDescent="0.4">
      <c r="A2" s="1">
        <v>21245</v>
      </c>
      <c r="B2" s="28">
        <v>315.7</v>
      </c>
      <c r="P2" s="35" t="s">
        <v>68</v>
      </c>
      <c r="Q2" s="35">
        <v>1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4">
      <c r="A3" s="1">
        <v>21276</v>
      </c>
      <c r="B3" s="28">
        <v>317.45999999999998</v>
      </c>
      <c r="C3" s="28">
        <f>IF(B2=0,"",B2)</f>
        <v>315.7</v>
      </c>
      <c r="D3" s="28" t="str">
        <f t="shared" ref="D3:N3" si="0">IF(C2=0,"",C2)</f>
        <v/>
      </c>
      <c r="E3" s="28" t="str">
        <f t="shared" si="0"/>
        <v/>
      </c>
      <c r="F3" s="28" t="str">
        <f t="shared" si="0"/>
        <v/>
      </c>
      <c r="G3" s="28" t="str">
        <f t="shared" si="0"/>
        <v/>
      </c>
      <c r="H3" s="28" t="str">
        <f t="shared" si="0"/>
        <v/>
      </c>
      <c r="I3" s="28" t="str">
        <f t="shared" si="0"/>
        <v/>
      </c>
      <c r="J3" s="28" t="str">
        <f t="shared" si="0"/>
        <v/>
      </c>
      <c r="K3" s="28" t="str">
        <f t="shared" si="0"/>
        <v/>
      </c>
      <c r="L3" s="28" t="str">
        <f t="shared" si="0"/>
        <v/>
      </c>
      <c r="M3" s="28" t="str">
        <f t="shared" si="0"/>
        <v/>
      </c>
      <c r="N3" s="28" t="str">
        <f t="shared" si="0"/>
        <v/>
      </c>
      <c r="P3" s="35" t="s">
        <v>69</v>
      </c>
      <c r="Q3" s="35">
        <v>0.9990278614034438</v>
      </c>
      <c r="R3" s="35">
        <v>1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x14ac:dyDescent="0.4">
      <c r="A4" s="1">
        <v>21306</v>
      </c>
      <c r="B4" s="28">
        <v>317.51</v>
      </c>
      <c r="C4" s="28">
        <f t="shared" ref="C4:N67" si="1">IF(B3=0,"",B3)</f>
        <v>317.45999999999998</v>
      </c>
      <c r="D4" s="28">
        <f t="shared" si="1"/>
        <v>315.7</v>
      </c>
      <c r="E4" s="28" t="str">
        <f t="shared" si="1"/>
        <v/>
      </c>
      <c r="F4" s="28" t="str">
        <f t="shared" si="1"/>
        <v/>
      </c>
      <c r="G4" s="28" t="str">
        <f t="shared" si="1"/>
        <v/>
      </c>
      <c r="H4" s="28" t="str">
        <f t="shared" si="1"/>
        <v/>
      </c>
      <c r="I4" s="28" t="str">
        <f t="shared" si="1"/>
        <v/>
      </c>
      <c r="J4" s="28" t="str">
        <f t="shared" si="1"/>
        <v/>
      </c>
      <c r="K4" s="28" t="str">
        <f t="shared" si="1"/>
        <v/>
      </c>
      <c r="L4" s="28" t="str">
        <f t="shared" si="1"/>
        <v/>
      </c>
      <c r="M4" s="28" t="str">
        <f t="shared" si="1"/>
        <v/>
      </c>
      <c r="N4" s="28" t="str">
        <f t="shared" si="1"/>
        <v/>
      </c>
      <c r="P4" s="35" t="s">
        <v>70</v>
      </c>
      <c r="Q4" s="35">
        <v>0.99670423127451802</v>
      </c>
      <c r="R4" s="35">
        <v>0.99902567589781321</v>
      </c>
      <c r="S4" s="35">
        <v>1</v>
      </c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x14ac:dyDescent="0.4">
      <c r="A5" s="1">
        <v>21337</v>
      </c>
      <c r="B5" s="29">
        <f>(30*B4+31*B6)/61</f>
        <v>316.67147540983603</v>
      </c>
      <c r="C5" s="28">
        <f t="shared" si="1"/>
        <v>317.51</v>
      </c>
      <c r="D5" s="28">
        <f t="shared" si="1"/>
        <v>317.45999999999998</v>
      </c>
      <c r="E5" s="28">
        <f t="shared" si="1"/>
        <v>315.7</v>
      </c>
      <c r="F5" s="28" t="str">
        <f t="shared" si="1"/>
        <v/>
      </c>
      <c r="G5" s="28" t="str">
        <f t="shared" si="1"/>
        <v/>
      </c>
      <c r="H5" s="28" t="str">
        <f t="shared" si="1"/>
        <v/>
      </c>
      <c r="I5" s="28" t="str">
        <f t="shared" si="1"/>
        <v/>
      </c>
      <c r="J5" s="28" t="str">
        <f t="shared" si="1"/>
        <v/>
      </c>
      <c r="K5" s="28" t="str">
        <f t="shared" si="1"/>
        <v/>
      </c>
      <c r="L5" s="28" t="str">
        <f t="shared" si="1"/>
        <v/>
      </c>
      <c r="M5" s="28" t="str">
        <f t="shared" si="1"/>
        <v/>
      </c>
      <c r="N5" s="28" t="str">
        <f t="shared" si="1"/>
        <v/>
      </c>
      <c r="P5" s="35" t="s">
        <v>71</v>
      </c>
      <c r="Q5" s="35">
        <v>0.99392455835730253</v>
      </c>
      <c r="R5" s="35">
        <v>0.99669303609513171</v>
      </c>
      <c r="S5" s="35">
        <v>0.99902204210631707</v>
      </c>
      <c r="T5" s="35">
        <v>1</v>
      </c>
      <c r="U5" s="35"/>
      <c r="V5" s="35"/>
      <c r="W5" s="35"/>
      <c r="X5" s="35"/>
      <c r="Y5" s="35"/>
      <c r="Z5" s="35"/>
      <c r="AA5" s="35"/>
      <c r="AB5" s="35"/>
      <c r="AC5" s="35"/>
    </row>
    <row r="6" spans="1:29" x14ac:dyDescent="0.4">
      <c r="A6" s="1">
        <v>21367</v>
      </c>
      <c r="B6" s="28">
        <v>315.86</v>
      </c>
      <c r="C6" s="28">
        <f t="shared" si="1"/>
        <v>316.67147540983603</v>
      </c>
      <c r="D6" s="28">
        <f t="shared" si="1"/>
        <v>317.51</v>
      </c>
      <c r="E6" s="28">
        <f t="shared" si="1"/>
        <v>317.45999999999998</v>
      </c>
      <c r="F6" s="28">
        <f t="shared" si="1"/>
        <v>315.7</v>
      </c>
      <c r="G6" s="28" t="str">
        <f t="shared" si="1"/>
        <v/>
      </c>
      <c r="H6" s="28" t="str">
        <f t="shared" si="1"/>
        <v/>
      </c>
      <c r="I6" s="28" t="str">
        <f t="shared" si="1"/>
        <v/>
      </c>
      <c r="J6" s="28" t="str">
        <f t="shared" si="1"/>
        <v/>
      </c>
      <c r="K6" s="28" t="str">
        <f t="shared" si="1"/>
        <v/>
      </c>
      <c r="L6" s="28" t="str">
        <f t="shared" si="1"/>
        <v/>
      </c>
      <c r="M6" s="28" t="str">
        <f t="shared" si="1"/>
        <v/>
      </c>
      <c r="N6" s="28" t="str">
        <f t="shared" si="1"/>
        <v/>
      </c>
      <c r="P6" s="35" t="s">
        <v>72</v>
      </c>
      <c r="Q6" s="35">
        <v>0.9915477103904845</v>
      </c>
      <c r="R6" s="35">
        <v>0.99390149539401385</v>
      </c>
      <c r="S6" s="35">
        <v>0.99667971812362954</v>
      </c>
      <c r="T6" s="35">
        <v>0.99901802011831109</v>
      </c>
      <c r="U6" s="35">
        <v>1</v>
      </c>
      <c r="V6" s="35"/>
      <c r="W6" s="35"/>
      <c r="X6" s="35"/>
      <c r="Y6" s="35"/>
      <c r="Z6" s="35"/>
      <c r="AA6" s="35"/>
      <c r="AB6" s="35"/>
      <c r="AC6" s="35"/>
    </row>
    <row r="7" spans="1:29" x14ac:dyDescent="0.4">
      <c r="A7" s="1">
        <v>21398</v>
      </c>
      <c r="B7" s="28">
        <v>314.93</v>
      </c>
      <c r="C7" s="28">
        <f t="shared" si="1"/>
        <v>315.86</v>
      </c>
      <c r="D7" s="28">
        <f t="shared" si="1"/>
        <v>316.67147540983603</v>
      </c>
      <c r="E7" s="28">
        <f t="shared" si="1"/>
        <v>317.51</v>
      </c>
      <c r="F7" s="28">
        <f t="shared" si="1"/>
        <v>317.45999999999998</v>
      </c>
      <c r="G7" s="28">
        <f t="shared" si="1"/>
        <v>315.7</v>
      </c>
      <c r="H7" s="28" t="str">
        <f t="shared" si="1"/>
        <v/>
      </c>
      <c r="I7" s="28" t="str">
        <f t="shared" si="1"/>
        <v/>
      </c>
      <c r="J7" s="28" t="str">
        <f t="shared" si="1"/>
        <v/>
      </c>
      <c r="K7" s="28" t="str">
        <f t="shared" si="1"/>
        <v/>
      </c>
      <c r="L7" s="28" t="str">
        <f t="shared" si="1"/>
        <v/>
      </c>
      <c r="M7" s="28" t="str">
        <f t="shared" si="1"/>
        <v/>
      </c>
      <c r="N7" s="28" t="str">
        <f t="shared" si="1"/>
        <v/>
      </c>
      <c r="P7" s="35" t="s">
        <v>73</v>
      </c>
      <c r="Q7" s="35">
        <v>0.99006800625492208</v>
      </c>
      <c r="R7" s="35">
        <v>0.99152443546854541</v>
      </c>
      <c r="S7" s="35">
        <v>0.99388366230482117</v>
      </c>
      <c r="T7" s="35">
        <v>0.99667189699491165</v>
      </c>
      <c r="U7" s="35">
        <v>0.9990168800586855</v>
      </c>
      <c r="V7" s="35">
        <v>1</v>
      </c>
      <c r="W7" s="35"/>
      <c r="X7" s="35"/>
      <c r="Y7" s="35"/>
      <c r="Z7" s="35"/>
      <c r="AA7" s="35"/>
      <c r="AB7" s="35"/>
      <c r="AC7" s="35"/>
    </row>
    <row r="8" spans="1:29" x14ac:dyDescent="0.4">
      <c r="A8" s="1">
        <v>21429</v>
      </c>
      <c r="B8" s="28">
        <v>313.20999999999998</v>
      </c>
      <c r="C8" s="28">
        <f t="shared" si="1"/>
        <v>314.93</v>
      </c>
      <c r="D8" s="28">
        <f t="shared" si="1"/>
        <v>315.86</v>
      </c>
      <c r="E8" s="28">
        <f t="shared" si="1"/>
        <v>316.67147540983603</v>
      </c>
      <c r="F8" s="28">
        <f t="shared" si="1"/>
        <v>317.51</v>
      </c>
      <c r="G8" s="28">
        <f t="shared" si="1"/>
        <v>317.45999999999998</v>
      </c>
      <c r="H8" s="28">
        <f t="shared" si="1"/>
        <v>315.7</v>
      </c>
      <c r="I8" s="28" t="str">
        <f t="shared" si="1"/>
        <v/>
      </c>
      <c r="J8" s="28" t="str">
        <f t="shared" si="1"/>
        <v/>
      </c>
      <c r="K8" s="28" t="str">
        <f t="shared" si="1"/>
        <v/>
      </c>
      <c r="L8" s="28" t="str">
        <f t="shared" si="1"/>
        <v/>
      </c>
      <c r="M8" s="28" t="str">
        <f t="shared" si="1"/>
        <v/>
      </c>
      <c r="N8" s="28" t="str">
        <f t="shared" si="1"/>
        <v/>
      </c>
      <c r="P8" s="35" t="s">
        <v>74</v>
      </c>
      <c r="Q8" s="35">
        <v>0.98957728799897704</v>
      </c>
      <c r="R8" s="35">
        <v>0.99005119763643512</v>
      </c>
      <c r="S8" s="35">
        <v>0.99150722279727888</v>
      </c>
      <c r="T8" s="35">
        <v>0.993874681284171</v>
      </c>
      <c r="U8" s="35">
        <v>0.99666960376420977</v>
      </c>
      <c r="V8" s="35">
        <v>0.99901611136434476</v>
      </c>
      <c r="W8" s="35">
        <v>1</v>
      </c>
      <c r="X8" s="35"/>
      <c r="Y8" s="35"/>
      <c r="Z8" s="35"/>
      <c r="AA8" s="35"/>
      <c r="AB8" s="35"/>
      <c r="AC8" s="35"/>
    </row>
    <row r="9" spans="1:29" x14ac:dyDescent="0.4">
      <c r="A9" s="1">
        <v>21459</v>
      </c>
      <c r="B9" s="29">
        <f>(31*B8+30*B10)/61</f>
        <v>313.2690163934426</v>
      </c>
      <c r="C9" s="28">
        <f t="shared" si="1"/>
        <v>313.20999999999998</v>
      </c>
      <c r="D9" s="28">
        <f t="shared" si="1"/>
        <v>314.93</v>
      </c>
      <c r="E9" s="28">
        <f t="shared" si="1"/>
        <v>315.86</v>
      </c>
      <c r="F9" s="28">
        <f t="shared" si="1"/>
        <v>316.67147540983603</v>
      </c>
      <c r="G9" s="28">
        <f t="shared" si="1"/>
        <v>317.51</v>
      </c>
      <c r="H9" s="28">
        <f t="shared" si="1"/>
        <v>317.45999999999998</v>
      </c>
      <c r="I9" s="28">
        <f t="shared" si="1"/>
        <v>315.7</v>
      </c>
      <c r="J9" s="28" t="str">
        <f t="shared" si="1"/>
        <v/>
      </c>
      <c r="K9" s="28" t="str">
        <f t="shared" si="1"/>
        <v/>
      </c>
      <c r="L9" s="28" t="str">
        <f t="shared" si="1"/>
        <v/>
      </c>
      <c r="M9" s="28" t="str">
        <f t="shared" si="1"/>
        <v/>
      </c>
      <c r="N9" s="28" t="str">
        <f t="shared" si="1"/>
        <v/>
      </c>
      <c r="P9" s="35" t="s">
        <v>75</v>
      </c>
      <c r="Q9" s="35">
        <v>0.99005239937999445</v>
      </c>
      <c r="R9" s="35">
        <v>0.98958171939479211</v>
      </c>
      <c r="S9" s="35">
        <v>0.99004589521822206</v>
      </c>
      <c r="T9" s="35">
        <v>0.99150465758701756</v>
      </c>
      <c r="U9" s="35">
        <v>0.99387263808011483</v>
      </c>
      <c r="V9" s="35">
        <v>0.99666673301974951</v>
      </c>
      <c r="W9" s="35">
        <v>0.99901349984249277</v>
      </c>
      <c r="X9" s="35">
        <v>1</v>
      </c>
      <c r="Y9" s="35"/>
      <c r="Z9" s="35"/>
      <c r="AA9" s="35"/>
      <c r="AB9" s="35"/>
      <c r="AC9" s="35"/>
    </row>
    <row r="10" spans="1:29" x14ac:dyDescent="0.4">
      <c r="A10" s="1">
        <v>21490</v>
      </c>
      <c r="B10" s="28">
        <v>313.33</v>
      </c>
      <c r="C10" s="28">
        <f t="shared" si="1"/>
        <v>313.2690163934426</v>
      </c>
      <c r="D10" s="28">
        <f t="shared" si="1"/>
        <v>313.20999999999998</v>
      </c>
      <c r="E10" s="28">
        <f t="shared" si="1"/>
        <v>314.93</v>
      </c>
      <c r="F10" s="28">
        <f t="shared" si="1"/>
        <v>315.86</v>
      </c>
      <c r="G10" s="28">
        <f t="shared" si="1"/>
        <v>316.67147540983603</v>
      </c>
      <c r="H10" s="28">
        <f t="shared" si="1"/>
        <v>317.51</v>
      </c>
      <c r="I10" s="28">
        <f t="shared" si="1"/>
        <v>317.45999999999998</v>
      </c>
      <c r="J10" s="28">
        <f t="shared" si="1"/>
        <v>315.7</v>
      </c>
      <c r="K10" s="28" t="str">
        <f t="shared" si="1"/>
        <v/>
      </c>
      <c r="L10" s="28" t="str">
        <f t="shared" si="1"/>
        <v/>
      </c>
      <c r="M10" s="28" t="str">
        <f t="shared" si="1"/>
        <v/>
      </c>
      <c r="N10" s="28" t="str">
        <f t="shared" si="1"/>
        <v/>
      </c>
      <c r="P10" s="35" t="s">
        <v>76</v>
      </c>
      <c r="Q10" s="35">
        <v>0.99150588015124697</v>
      </c>
      <c r="R10" s="35">
        <v>0.99005489437263561</v>
      </c>
      <c r="S10" s="35">
        <v>0.98957106689064389</v>
      </c>
      <c r="T10" s="35">
        <v>0.9900340858332336</v>
      </c>
      <c r="U10" s="35">
        <v>0.99148950572136629</v>
      </c>
      <c r="V10" s="35">
        <v>0.99385691130151332</v>
      </c>
      <c r="W10" s="35">
        <v>0.99665367360659118</v>
      </c>
      <c r="X10" s="35">
        <v>0.99901041685487435</v>
      </c>
      <c r="Y10" s="35">
        <v>1</v>
      </c>
      <c r="Z10" s="35"/>
      <c r="AA10" s="35"/>
      <c r="AB10" s="35"/>
      <c r="AC10" s="35"/>
    </row>
    <row r="11" spans="1:29" x14ac:dyDescent="0.4">
      <c r="A11" s="1">
        <v>21520</v>
      </c>
      <c r="B11" s="28">
        <v>314.67</v>
      </c>
      <c r="C11" s="28">
        <f t="shared" si="1"/>
        <v>313.33</v>
      </c>
      <c r="D11" s="28">
        <f t="shared" si="1"/>
        <v>313.2690163934426</v>
      </c>
      <c r="E11" s="28">
        <f t="shared" si="1"/>
        <v>313.20999999999998</v>
      </c>
      <c r="F11" s="28">
        <f t="shared" si="1"/>
        <v>314.93</v>
      </c>
      <c r="G11" s="28">
        <f t="shared" si="1"/>
        <v>315.86</v>
      </c>
      <c r="H11" s="28">
        <f t="shared" si="1"/>
        <v>316.67147540983603</v>
      </c>
      <c r="I11" s="28">
        <f t="shared" si="1"/>
        <v>317.51</v>
      </c>
      <c r="J11" s="28">
        <f t="shared" si="1"/>
        <v>317.45999999999998</v>
      </c>
      <c r="K11" s="28">
        <f t="shared" si="1"/>
        <v>315.7</v>
      </c>
      <c r="L11" s="28" t="str">
        <f t="shared" si="1"/>
        <v/>
      </c>
      <c r="M11" s="28" t="str">
        <f t="shared" si="1"/>
        <v/>
      </c>
      <c r="N11" s="28" t="str">
        <f t="shared" si="1"/>
        <v/>
      </c>
      <c r="P11" s="35" t="s">
        <v>77</v>
      </c>
      <c r="Q11" s="35">
        <v>0.99384590235991199</v>
      </c>
      <c r="R11" s="35">
        <v>0.99149450700509811</v>
      </c>
      <c r="S11" s="35">
        <v>0.99002996920628228</v>
      </c>
      <c r="T11" s="35">
        <v>0.98954153525865463</v>
      </c>
      <c r="U11" s="35">
        <v>0.98999834478928117</v>
      </c>
      <c r="V11" s="35">
        <v>0.9914553879286131</v>
      </c>
      <c r="W11" s="35">
        <v>0.99382940540818288</v>
      </c>
      <c r="X11" s="35">
        <v>0.99664566822099687</v>
      </c>
      <c r="Y11" s="35">
        <v>0.9990097225565775</v>
      </c>
      <c r="Z11" s="35">
        <v>1</v>
      </c>
      <c r="AA11" s="35"/>
      <c r="AB11" s="35"/>
      <c r="AC11" s="35"/>
    </row>
    <row r="12" spans="1:29" x14ac:dyDescent="0.4">
      <c r="A12" s="1">
        <v>21551</v>
      </c>
      <c r="B12" s="28">
        <v>315.58</v>
      </c>
      <c r="C12" s="28">
        <f t="shared" si="1"/>
        <v>314.67</v>
      </c>
      <c r="D12" s="28">
        <f t="shared" si="1"/>
        <v>313.33</v>
      </c>
      <c r="E12" s="28">
        <f t="shared" si="1"/>
        <v>313.2690163934426</v>
      </c>
      <c r="F12" s="28">
        <f t="shared" si="1"/>
        <v>313.20999999999998</v>
      </c>
      <c r="G12" s="28">
        <f t="shared" si="1"/>
        <v>314.93</v>
      </c>
      <c r="H12" s="28">
        <f t="shared" si="1"/>
        <v>315.86</v>
      </c>
      <c r="I12" s="28">
        <f t="shared" si="1"/>
        <v>316.67147540983603</v>
      </c>
      <c r="J12" s="28">
        <f t="shared" si="1"/>
        <v>317.51</v>
      </c>
      <c r="K12" s="28">
        <f t="shared" si="1"/>
        <v>317.45999999999998</v>
      </c>
      <c r="L12" s="28">
        <f t="shared" si="1"/>
        <v>315.7</v>
      </c>
      <c r="M12" s="28" t="str">
        <f t="shared" si="1"/>
        <v/>
      </c>
      <c r="N12" s="28" t="str">
        <f t="shared" si="1"/>
        <v/>
      </c>
      <c r="P12" s="35" t="s">
        <v>78</v>
      </c>
      <c r="Q12" s="35">
        <v>0.99658525395758824</v>
      </c>
      <c r="R12" s="35">
        <v>0.99382680295119241</v>
      </c>
      <c r="S12" s="35">
        <v>0.99146162878887956</v>
      </c>
      <c r="T12" s="35">
        <v>0.98998844058280766</v>
      </c>
      <c r="U12" s="35">
        <v>0.98949064969707257</v>
      </c>
      <c r="V12" s="35">
        <v>0.98995109952245386</v>
      </c>
      <c r="W12" s="35">
        <v>0.99141770270478402</v>
      </c>
      <c r="X12" s="35">
        <v>0.99381942252517841</v>
      </c>
      <c r="Y12" s="35">
        <v>0.99664517822735699</v>
      </c>
      <c r="Z12" s="35">
        <v>0.99900935775784716</v>
      </c>
      <c r="AA12" s="35">
        <v>1</v>
      </c>
      <c r="AB12" s="35"/>
      <c r="AC12" s="35"/>
    </row>
    <row r="13" spans="1:29" x14ac:dyDescent="0.4">
      <c r="A13" s="1">
        <v>21582</v>
      </c>
      <c r="B13" s="28">
        <v>316.49</v>
      </c>
      <c r="C13" s="28">
        <f t="shared" si="1"/>
        <v>315.58</v>
      </c>
      <c r="D13" s="28">
        <f t="shared" si="1"/>
        <v>314.67</v>
      </c>
      <c r="E13" s="28">
        <f t="shared" si="1"/>
        <v>313.33</v>
      </c>
      <c r="F13" s="28">
        <f t="shared" si="1"/>
        <v>313.2690163934426</v>
      </c>
      <c r="G13" s="28">
        <f t="shared" si="1"/>
        <v>313.20999999999998</v>
      </c>
      <c r="H13" s="28">
        <f t="shared" si="1"/>
        <v>314.93</v>
      </c>
      <c r="I13" s="28">
        <f t="shared" si="1"/>
        <v>315.86</v>
      </c>
      <c r="J13" s="28">
        <f t="shared" si="1"/>
        <v>316.67147540983603</v>
      </c>
      <c r="K13" s="28">
        <f t="shared" si="1"/>
        <v>317.51</v>
      </c>
      <c r="L13" s="28">
        <f t="shared" si="1"/>
        <v>317.45999999999998</v>
      </c>
      <c r="M13" s="28">
        <f t="shared" si="1"/>
        <v>315.7</v>
      </c>
      <c r="N13" s="28" t="str">
        <f t="shared" si="1"/>
        <v/>
      </c>
      <c r="P13" s="35" t="s">
        <v>79</v>
      </c>
      <c r="Q13" s="35">
        <v>0.99887736723627096</v>
      </c>
      <c r="R13" s="35">
        <v>0.99656985732248105</v>
      </c>
      <c r="S13" s="35">
        <v>0.99380084648720979</v>
      </c>
      <c r="T13" s="35">
        <v>0.99142413455809841</v>
      </c>
      <c r="U13" s="35">
        <v>0.98993999923427345</v>
      </c>
      <c r="V13" s="35">
        <v>0.98944817939489782</v>
      </c>
      <c r="W13" s="35">
        <v>0.98992109447985499</v>
      </c>
      <c r="X13" s="35">
        <v>0.99142011832438337</v>
      </c>
      <c r="Y13" s="35">
        <v>0.99382924151734253</v>
      </c>
      <c r="Z13" s="35">
        <v>0.99664956395038207</v>
      </c>
      <c r="AA13" s="35">
        <v>0.99901059351830468</v>
      </c>
      <c r="AB13" s="35">
        <v>1</v>
      </c>
      <c r="AC13" s="35"/>
    </row>
    <row r="14" spans="1:29" ht="19.5" thickBot="1" x14ac:dyDescent="0.45">
      <c r="A14" s="1">
        <v>21610</v>
      </c>
      <c r="B14" s="28">
        <v>316.64999999999998</v>
      </c>
      <c r="C14" s="28">
        <f t="shared" si="1"/>
        <v>316.49</v>
      </c>
      <c r="D14" s="28">
        <f t="shared" si="1"/>
        <v>315.58</v>
      </c>
      <c r="E14" s="28">
        <f t="shared" si="1"/>
        <v>314.67</v>
      </c>
      <c r="F14" s="28">
        <f t="shared" si="1"/>
        <v>313.33</v>
      </c>
      <c r="G14" s="28">
        <f t="shared" si="1"/>
        <v>313.2690163934426</v>
      </c>
      <c r="H14" s="28">
        <f t="shared" si="1"/>
        <v>313.20999999999998</v>
      </c>
      <c r="I14" s="28">
        <f t="shared" si="1"/>
        <v>314.93</v>
      </c>
      <c r="J14" s="28">
        <f t="shared" si="1"/>
        <v>315.86</v>
      </c>
      <c r="K14" s="28">
        <f t="shared" si="1"/>
        <v>316.67147540983603</v>
      </c>
      <c r="L14" s="28">
        <f t="shared" si="1"/>
        <v>317.51</v>
      </c>
      <c r="M14" s="28">
        <f t="shared" si="1"/>
        <v>317.45999999999998</v>
      </c>
      <c r="N14" s="28">
        <f t="shared" si="1"/>
        <v>315.7</v>
      </c>
      <c r="P14" s="36" t="s">
        <v>80</v>
      </c>
      <c r="Q14" s="36">
        <v>0.99977605015210924</v>
      </c>
      <c r="R14" s="36">
        <v>0.99887416646668192</v>
      </c>
      <c r="S14" s="36">
        <v>0.99656246090053113</v>
      </c>
      <c r="T14" s="36">
        <v>0.99378312871664576</v>
      </c>
      <c r="U14" s="36">
        <v>0.99139682715603683</v>
      </c>
      <c r="V14" s="36">
        <v>0.98991781169825066</v>
      </c>
      <c r="W14" s="36">
        <v>0.98943805589559297</v>
      </c>
      <c r="X14" s="36">
        <v>0.98993831165139723</v>
      </c>
      <c r="Y14" s="36">
        <v>0.99143817864775019</v>
      </c>
      <c r="Z14" s="36">
        <v>0.99383393913716023</v>
      </c>
      <c r="AA14" s="36">
        <v>0.99664547153391714</v>
      </c>
      <c r="AB14" s="36">
        <v>0.99900534518583795</v>
      </c>
      <c r="AC14" s="36">
        <v>1</v>
      </c>
    </row>
    <row r="15" spans="1:29" ht="19.5" thickBot="1" x14ac:dyDescent="0.45">
      <c r="A15" s="1">
        <v>21641</v>
      </c>
      <c r="B15" s="28">
        <v>317.72000000000003</v>
      </c>
      <c r="C15" s="28">
        <f t="shared" si="1"/>
        <v>316.64999999999998</v>
      </c>
      <c r="D15" s="28">
        <f t="shared" si="1"/>
        <v>316.49</v>
      </c>
      <c r="E15" s="28">
        <f t="shared" si="1"/>
        <v>315.58</v>
      </c>
      <c r="F15" s="28">
        <f t="shared" si="1"/>
        <v>314.67</v>
      </c>
      <c r="G15" s="28">
        <f t="shared" si="1"/>
        <v>313.33</v>
      </c>
      <c r="H15" s="28">
        <f t="shared" si="1"/>
        <v>313.2690163934426</v>
      </c>
      <c r="I15" s="28">
        <f t="shared" si="1"/>
        <v>313.20999999999998</v>
      </c>
      <c r="J15" s="28">
        <f t="shared" si="1"/>
        <v>314.93</v>
      </c>
      <c r="K15" s="28">
        <f t="shared" si="1"/>
        <v>315.86</v>
      </c>
      <c r="L15" s="28">
        <f t="shared" si="1"/>
        <v>316.67147540983603</v>
      </c>
      <c r="M15" s="28">
        <f t="shared" si="1"/>
        <v>317.51</v>
      </c>
      <c r="N15" s="28">
        <f t="shared" si="1"/>
        <v>317.45999999999998</v>
      </c>
    </row>
    <row r="16" spans="1:29" x14ac:dyDescent="0.4">
      <c r="A16" s="1">
        <v>21671</v>
      </c>
      <c r="B16" s="28">
        <v>318.29000000000002</v>
      </c>
      <c r="C16" s="28">
        <f t="shared" si="1"/>
        <v>317.72000000000003</v>
      </c>
      <c r="D16" s="28">
        <f t="shared" si="1"/>
        <v>316.64999999999998</v>
      </c>
      <c r="E16" s="28">
        <f t="shared" si="1"/>
        <v>316.49</v>
      </c>
      <c r="F16" s="28">
        <f t="shared" si="1"/>
        <v>315.58</v>
      </c>
      <c r="G16" s="28">
        <f t="shared" si="1"/>
        <v>314.67</v>
      </c>
      <c r="H16" s="28">
        <f t="shared" si="1"/>
        <v>313.33</v>
      </c>
      <c r="I16" s="28">
        <f t="shared" si="1"/>
        <v>313.2690163934426</v>
      </c>
      <c r="J16" s="28">
        <f t="shared" si="1"/>
        <v>313.20999999999998</v>
      </c>
      <c r="K16" s="28">
        <f t="shared" si="1"/>
        <v>314.93</v>
      </c>
      <c r="L16" s="28">
        <f t="shared" si="1"/>
        <v>315.86</v>
      </c>
      <c r="M16" s="28">
        <f t="shared" si="1"/>
        <v>316.67147540983603</v>
      </c>
      <c r="N16" s="28">
        <f t="shared" si="1"/>
        <v>317.51</v>
      </c>
      <c r="P16" s="39" t="s">
        <v>81</v>
      </c>
      <c r="Q16" s="37" t="s">
        <v>1</v>
      </c>
      <c r="R16" s="37">
        <v>-1</v>
      </c>
      <c r="S16" s="37">
        <v>-2</v>
      </c>
      <c r="T16" s="37">
        <v>-3</v>
      </c>
      <c r="U16" s="37">
        <v>-4</v>
      </c>
      <c r="V16" s="37">
        <v>-5</v>
      </c>
      <c r="W16" s="37">
        <v>-6</v>
      </c>
      <c r="X16" s="37">
        <v>-7</v>
      </c>
      <c r="Y16" s="37">
        <v>-8</v>
      </c>
      <c r="Z16" s="37">
        <v>-9</v>
      </c>
      <c r="AA16" s="37">
        <v>-10</v>
      </c>
      <c r="AB16" s="37">
        <v>-11</v>
      </c>
      <c r="AC16" s="37">
        <v>-12</v>
      </c>
    </row>
    <row r="17" spans="1:29" x14ac:dyDescent="0.4">
      <c r="A17" s="1">
        <v>21702</v>
      </c>
      <c r="B17" s="28">
        <v>318.14999999999998</v>
      </c>
      <c r="C17" s="28">
        <f t="shared" si="1"/>
        <v>318.29000000000002</v>
      </c>
      <c r="D17" s="28">
        <f t="shared" si="1"/>
        <v>317.72000000000003</v>
      </c>
      <c r="E17" s="28">
        <f t="shared" si="1"/>
        <v>316.64999999999998</v>
      </c>
      <c r="F17" s="28">
        <f t="shared" si="1"/>
        <v>316.49</v>
      </c>
      <c r="G17" s="28">
        <f t="shared" si="1"/>
        <v>315.58</v>
      </c>
      <c r="H17" s="28">
        <f t="shared" si="1"/>
        <v>314.67</v>
      </c>
      <c r="I17" s="28">
        <f t="shared" si="1"/>
        <v>313.33</v>
      </c>
      <c r="J17" s="28">
        <f t="shared" si="1"/>
        <v>313.2690163934426</v>
      </c>
      <c r="K17" s="28">
        <f t="shared" si="1"/>
        <v>313.20999999999998</v>
      </c>
      <c r="L17" s="28">
        <f t="shared" si="1"/>
        <v>314.93</v>
      </c>
      <c r="M17" s="28">
        <f t="shared" si="1"/>
        <v>315.86</v>
      </c>
      <c r="N17" s="28">
        <f t="shared" si="1"/>
        <v>316.67147540983603</v>
      </c>
      <c r="P17" s="40" t="s">
        <v>1</v>
      </c>
      <c r="Q17" s="35">
        <f t="array" ref="Q17:AC29">Q2:AC14+TRANSPOSE(Q2:AC14)-_xlfn.MUNIT(13)</f>
        <v>1</v>
      </c>
      <c r="R17" s="35">
        <v>0.9990278614034438</v>
      </c>
      <c r="S17" s="35">
        <v>0.99670423127451802</v>
      </c>
      <c r="T17" s="35">
        <v>0.99392455835730253</v>
      </c>
      <c r="U17" s="35">
        <v>0.9915477103904845</v>
      </c>
      <c r="V17" s="35">
        <v>0.99006800625492208</v>
      </c>
      <c r="W17" s="35">
        <v>0.98957728799897704</v>
      </c>
      <c r="X17" s="35">
        <v>0.99005239937999445</v>
      </c>
      <c r="Y17" s="35">
        <v>0.99150588015124697</v>
      </c>
      <c r="Z17" s="35">
        <v>0.99384590235991199</v>
      </c>
      <c r="AA17" s="35">
        <v>0.99658525395758824</v>
      </c>
      <c r="AB17" s="35">
        <v>0.99887736723627096</v>
      </c>
      <c r="AC17" s="35">
        <v>0.99977605015210924</v>
      </c>
    </row>
    <row r="18" spans="1:29" x14ac:dyDescent="0.4">
      <c r="A18" s="1">
        <v>21732</v>
      </c>
      <c r="B18" s="28">
        <v>316.54000000000002</v>
      </c>
      <c r="C18" s="28">
        <f t="shared" si="1"/>
        <v>318.14999999999998</v>
      </c>
      <c r="D18" s="28">
        <f t="shared" si="1"/>
        <v>318.29000000000002</v>
      </c>
      <c r="E18" s="28">
        <f t="shared" si="1"/>
        <v>317.72000000000003</v>
      </c>
      <c r="F18" s="28">
        <f t="shared" si="1"/>
        <v>316.64999999999998</v>
      </c>
      <c r="G18" s="28">
        <f t="shared" si="1"/>
        <v>316.49</v>
      </c>
      <c r="H18" s="28">
        <f t="shared" si="1"/>
        <v>315.58</v>
      </c>
      <c r="I18" s="28">
        <f t="shared" si="1"/>
        <v>314.67</v>
      </c>
      <c r="J18" s="28">
        <f t="shared" si="1"/>
        <v>313.33</v>
      </c>
      <c r="K18" s="28">
        <f t="shared" si="1"/>
        <v>313.2690163934426</v>
      </c>
      <c r="L18" s="28">
        <f t="shared" si="1"/>
        <v>313.20999999999998</v>
      </c>
      <c r="M18" s="28">
        <f t="shared" si="1"/>
        <v>314.93</v>
      </c>
      <c r="N18" s="28">
        <f t="shared" si="1"/>
        <v>315.86</v>
      </c>
      <c r="P18" s="40">
        <v>-1</v>
      </c>
      <c r="Q18" s="35">
        <v>0.9990278614034438</v>
      </c>
      <c r="R18" s="35">
        <v>1</v>
      </c>
      <c r="S18" s="35">
        <v>0.99902567589781321</v>
      </c>
      <c r="T18" s="35">
        <v>0.99669303609513171</v>
      </c>
      <c r="U18" s="35">
        <v>0.99390149539401385</v>
      </c>
      <c r="V18" s="35">
        <v>0.99152443546854541</v>
      </c>
      <c r="W18" s="35">
        <v>0.99005119763643512</v>
      </c>
      <c r="X18" s="35">
        <v>0.98958171939479211</v>
      </c>
      <c r="Y18" s="35">
        <v>0.99005489437263561</v>
      </c>
      <c r="Z18" s="35">
        <v>0.99149450700509811</v>
      </c>
      <c r="AA18" s="35">
        <v>0.99382680295119241</v>
      </c>
      <c r="AB18" s="35">
        <v>0.99656985732248105</v>
      </c>
      <c r="AC18" s="35">
        <v>0.99887416646668192</v>
      </c>
    </row>
    <row r="19" spans="1:29" x14ac:dyDescent="0.4">
      <c r="A19" s="1">
        <v>21763</v>
      </c>
      <c r="B19" s="28">
        <v>314.8</v>
      </c>
      <c r="C19" s="28">
        <f t="shared" si="1"/>
        <v>316.54000000000002</v>
      </c>
      <c r="D19" s="28">
        <f t="shared" si="1"/>
        <v>318.14999999999998</v>
      </c>
      <c r="E19" s="28">
        <f t="shared" si="1"/>
        <v>318.29000000000002</v>
      </c>
      <c r="F19" s="28">
        <f t="shared" si="1"/>
        <v>317.72000000000003</v>
      </c>
      <c r="G19" s="28">
        <f t="shared" si="1"/>
        <v>316.64999999999998</v>
      </c>
      <c r="H19" s="28">
        <f t="shared" si="1"/>
        <v>316.49</v>
      </c>
      <c r="I19" s="28">
        <f t="shared" si="1"/>
        <v>315.58</v>
      </c>
      <c r="J19" s="28">
        <f t="shared" si="1"/>
        <v>314.67</v>
      </c>
      <c r="K19" s="28">
        <f t="shared" si="1"/>
        <v>313.33</v>
      </c>
      <c r="L19" s="28">
        <f t="shared" si="1"/>
        <v>313.2690163934426</v>
      </c>
      <c r="M19" s="28">
        <f t="shared" si="1"/>
        <v>313.20999999999998</v>
      </c>
      <c r="N19" s="28">
        <f t="shared" si="1"/>
        <v>314.93</v>
      </c>
      <c r="P19" s="40">
        <v>-2</v>
      </c>
      <c r="Q19" s="35">
        <v>0.99670423127451802</v>
      </c>
      <c r="R19" s="35">
        <v>0.99902567589781321</v>
      </c>
      <c r="S19" s="35">
        <v>1</v>
      </c>
      <c r="T19" s="35">
        <v>0.99902204210631707</v>
      </c>
      <c r="U19" s="35">
        <v>0.99667971812362954</v>
      </c>
      <c r="V19" s="35">
        <v>0.99388366230482117</v>
      </c>
      <c r="W19" s="35">
        <v>0.99150722279727888</v>
      </c>
      <c r="X19" s="35">
        <v>0.99004589521822206</v>
      </c>
      <c r="Y19" s="35">
        <v>0.98957106689064389</v>
      </c>
      <c r="Z19" s="35">
        <v>0.99002996920628228</v>
      </c>
      <c r="AA19" s="35">
        <v>0.99146162878887956</v>
      </c>
      <c r="AB19" s="35">
        <v>0.99380084648720979</v>
      </c>
      <c r="AC19" s="35">
        <v>0.99656246090053113</v>
      </c>
    </row>
    <row r="20" spans="1:29" x14ac:dyDescent="0.4">
      <c r="A20" s="1">
        <v>21794</v>
      </c>
      <c r="B20" s="28">
        <v>313.83999999999997</v>
      </c>
      <c r="C20" s="28">
        <f t="shared" si="1"/>
        <v>314.8</v>
      </c>
      <c r="D20" s="28">
        <f t="shared" si="1"/>
        <v>316.54000000000002</v>
      </c>
      <c r="E20" s="28">
        <f t="shared" si="1"/>
        <v>318.14999999999998</v>
      </c>
      <c r="F20" s="28">
        <f t="shared" si="1"/>
        <v>318.29000000000002</v>
      </c>
      <c r="G20" s="28">
        <f t="shared" si="1"/>
        <v>317.72000000000003</v>
      </c>
      <c r="H20" s="28">
        <f t="shared" si="1"/>
        <v>316.64999999999998</v>
      </c>
      <c r="I20" s="28">
        <f t="shared" si="1"/>
        <v>316.49</v>
      </c>
      <c r="J20" s="28">
        <f t="shared" si="1"/>
        <v>315.58</v>
      </c>
      <c r="K20" s="28">
        <f t="shared" si="1"/>
        <v>314.67</v>
      </c>
      <c r="L20" s="28">
        <f t="shared" si="1"/>
        <v>313.33</v>
      </c>
      <c r="M20" s="28">
        <f t="shared" si="1"/>
        <v>313.2690163934426</v>
      </c>
      <c r="N20" s="28">
        <f t="shared" si="1"/>
        <v>313.20999999999998</v>
      </c>
      <c r="P20" s="40">
        <v>-3</v>
      </c>
      <c r="Q20" s="35">
        <v>0.99392455835730253</v>
      </c>
      <c r="R20" s="35">
        <v>0.99669303609513171</v>
      </c>
      <c r="S20" s="35">
        <v>0.99902204210631707</v>
      </c>
      <c r="T20" s="35">
        <v>1</v>
      </c>
      <c r="U20" s="35">
        <v>0.99901802011831109</v>
      </c>
      <c r="V20" s="35">
        <v>0.99667189699491165</v>
      </c>
      <c r="W20" s="35">
        <v>0.993874681284171</v>
      </c>
      <c r="X20" s="35">
        <v>0.99150465758701756</v>
      </c>
      <c r="Y20" s="35">
        <v>0.9900340858332336</v>
      </c>
      <c r="Z20" s="35">
        <v>0.98954153525865463</v>
      </c>
      <c r="AA20" s="35">
        <v>0.98998844058280766</v>
      </c>
      <c r="AB20" s="35">
        <v>0.99142413455809841</v>
      </c>
      <c r="AC20" s="35">
        <v>0.99378312871664576</v>
      </c>
    </row>
    <row r="21" spans="1:29" x14ac:dyDescent="0.4">
      <c r="A21" s="1">
        <v>21824</v>
      </c>
      <c r="B21" s="28">
        <v>313.33</v>
      </c>
      <c r="C21" s="28">
        <f t="shared" si="1"/>
        <v>313.83999999999997</v>
      </c>
      <c r="D21" s="28">
        <f t="shared" si="1"/>
        <v>314.8</v>
      </c>
      <c r="E21" s="28">
        <f t="shared" si="1"/>
        <v>316.54000000000002</v>
      </c>
      <c r="F21" s="28">
        <f t="shared" si="1"/>
        <v>318.14999999999998</v>
      </c>
      <c r="G21" s="28">
        <f t="shared" si="1"/>
        <v>318.29000000000002</v>
      </c>
      <c r="H21" s="28">
        <f t="shared" ref="D21:N36" si="2">IF(G20=0,"",G20)</f>
        <v>317.72000000000003</v>
      </c>
      <c r="I21" s="28">
        <f t="shared" si="2"/>
        <v>316.64999999999998</v>
      </c>
      <c r="J21" s="28">
        <f t="shared" si="2"/>
        <v>316.49</v>
      </c>
      <c r="K21" s="28">
        <f t="shared" si="2"/>
        <v>315.58</v>
      </c>
      <c r="L21" s="28">
        <f t="shared" si="2"/>
        <v>314.67</v>
      </c>
      <c r="M21" s="28">
        <f t="shared" si="2"/>
        <v>313.33</v>
      </c>
      <c r="N21" s="28">
        <f t="shared" si="2"/>
        <v>313.2690163934426</v>
      </c>
      <c r="P21" s="40">
        <v>-4</v>
      </c>
      <c r="Q21" s="35">
        <v>0.9915477103904845</v>
      </c>
      <c r="R21" s="35">
        <v>0.99390149539401385</v>
      </c>
      <c r="S21" s="35">
        <v>0.99667971812362954</v>
      </c>
      <c r="T21" s="35">
        <v>0.99901802011831109</v>
      </c>
      <c r="U21" s="35">
        <v>1</v>
      </c>
      <c r="V21" s="35">
        <v>0.9990168800586855</v>
      </c>
      <c r="W21" s="35">
        <v>0.99666960376420977</v>
      </c>
      <c r="X21" s="35">
        <v>0.99387263808011483</v>
      </c>
      <c r="Y21" s="35">
        <v>0.99148950572136629</v>
      </c>
      <c r="Z21" s="35">
        <v>0.98999834478928117</v>
      </c>
      <c r="AA21" s="35">
        <v>0.98949064969707257</v>
      </c>
      <c r="AB21" s="35">
        <v>0.98993999923427345</v>
      </c>
      <c r="AC21" s="35">
        <v>0.99139682715603683</v>
      </c>
    </row>
    <row r="22" spans="1:29" x14ac:dyDescent="0.4">
      <c r="A22" s="1">
        <v>21855</v>
      </c>
      <c r="B22" s="28">
        <v>314.81</v>
      </c>
      <c r="C22" s="28">
        <f t="shared" si="1"/>
        <v>313.33</v>
      </c>
      <c r="D22" s="28">
        <f t="shared" si="2"/>
        <v>313.83999999999997</v>
      </c>
      <c r="E22" s="28">
        <f t="shared" si="2"/>
        <v>314.8</v>
      </c>
      <c r="F22" s="28">
        <f t="shared" si="2"/>
        <v>316.54000000000002</v>
      </c>
      <c r="G22" s="28">
        <f t="shared" si="2"/>
        <v>318.14999999999998</v>
      </c>
      <c r="H22" s="28">
        <f t="shared" si="2"/>
        <v>318.29000000000002</v>
      </c>
      <c r="I22" s="28">
        <f t="shared" si="2"/>
        <v>317.72000000000003</v>
      </c>
      <c r="J22" s="28">
        <f t="shared" si="2"/>
        <v>316.64999999999998</v>
      </c>
      <c r="K22" s="28">
        <f t="shared" si="2"/>
        <v>316.49</v>
      </c>
      <c r="L22" s="28">
        <f t="shared" si="2"/>
        <v>315.58</v>
      </c>
      <c r="M22" s="28">
        <f t="shared" si="2"/>
        <v>314.67</v>
      </c>
      <c r="N22" s="28">
        <f t="shared" si="2"/>
        <v>313.33</v>
      </c>
      <c r="P22" s="40">
        <v>-5</v>
      </c>
      <c r="Q22" s="35">
        <v>0.99006800625492208</v>
      </c>
      <c r="R22" s="35">
        <v>0.99152443546854541</v>
      </c>
      <c r="S22" s="35">
        <v>0.99388366230482117</v>
      </c>
      <c r="T22" s="35">
        <v>0.99667189699491165</v>
      </c>
      <c r="U22" s="35">
        <v>0.9990168800586855</v>
      </c>
      <c r="V22" s="35">
        <v>1</v>
      </c>
      <c r="W22" s="35">
        <v>0.99901611136434476</v>
      </c>
      <c r="X22" s="35">
        <v>0.99666673301974951</v>
      </c>
      <c r="Y22" s="35">
        <v>0.99385691130151332</v>
      </c>
      <c r="Z22" s="35">
        <v>0.9914553879286131</v>
      </c>
      <c r="AA22" s="35">
        <v>0.98995109952245386</v>
      </c>
      <c r="AB22" s="35">
        <v>0.98944817939489782</v>
      </c>
      <c r="AC22" s="35">
        <v>0.98991781169825066</v>
      </c>
    </row>
    <row r="23" spans="1:29" x14ac:dyDescent="0.4">
      <c r="A23" s="1">
        <v>21885</v>
      </c>
      <c r="B23" s="28">
        <v>315.58</v>
      </c>
      <c r="C23" s="28">
        <f t="shared" si="1"/>
        <v>314.81</v>
      </c>
      <c r="D23" s="28">
        <f t="shared" si="2"/>
        <v>313.33</v>
      </c>
      <c r="E23" s="28">
        <f t="shared" si="2"/>
        <v>313.83999999999997</v>
      </c>
      <c r="F23" s="28">
        <f t="shared" si="2"/>
        <v>314.8</v>
      </c>
      <c r="G23" s="28">
        <f t="shared" si="2"/>
        <v>316.54000000000002</v>
      </c>
      <c r="H23" s="28">
        <f t="shared" si="2"/>
        <v>318.14999999999998</v>
      </c>
      <c r="I23" s="28">
        <f t="shared" si="2"/>
        <v>318.29000000000002</v>
      </c>
      <c r="J23" s="28">
        <f t="shared" si="2"/>
        <v>317.72000000000003</v>
      </c>
      <c r="K23" s="28">
        <f t="shared" si="2"/>
        <v>316.64999999999998</v>
      </c>
      <c r="L23" s="28">
        <f t="shared" si="2"/>
        <v>316.49</v>
      </c>
      <c r="M23" s="28">
        <f t="shared" si="2"/>
        <v>315.58</v>
      </c>
      <c r="N23" s="28">
        <f t="shared" si="2"/>
        <v>314.67</v>
      </c>
      <c r="P23" s="40">
        <v>-6</v>
      </c>
      <c r="Q23" s="35">
        <v>0.98957728799897704</v>
      </c>
      <c r="R23" s="35">
        <v>0.99005119763643512</v>
      </c>
      <c r="S23" s="35">
        <v>0.99150722279727888</v>
      </c>
      <c r="T23" s="35">
        <v>0.993874681284171</v>
      </c>
      <c r="U23" s="35">
        <v>0.99666960376420977</v>
      </c>
      <c r="V23" s="35">
        <v>0.99901611136434476</v>
      </c>
      <c r="W23" s="35">
        <v>1</v>
      </c>
      <c r="X23" s="35">
        <v>0.99901349984249277</v>
      </c>
      <c r="Y23" s="35">
        <v>0.99665367360659118</v>
      </c>
      <c r="Z23" s="35">
        <v>0.99382940540818288</v>
      </c>
      <c r="AA23" s="35">
        <v>0.99141770270478402</v>
      </c>
      <c r="AB23" s="35">
        <v>0.98992109447985499</v>
      </c>
      <c r="AC23" s="35">
        <v>0.98943805589559297</v>
      </c>
    </row>
    <row r="24" spans="1:29" x14ac:dyDescent="0.4">
      <c r="A24" s="1">
        <v>21916</v>
      </c>
      <c r="B24" s="28">
        <v>316.43</v>
      </c>
      <c r="C24" s="28">
        <f t="shared" si="1"/>
        <v>315.58</v>
      </c>
      <c r="D24" s="28">
        <f t="shared" si="2"/>
        <v>314.81</v>
      </c>
      <c r="E24" s="28">
        <f t="shared" si="2"/>
        <v>313.33</v>
      </c>
      <c r="F24" s="28">
        <f t="shared" si="2"/>
        <v>313.83999999999997</v>
      </c>
      <c r="G24" s="28">
        <f t="shared" si="2"/>
        <v>314.8</v>
      </c>
      <c r="H24" s="28">
        <f t="shared" si="2"/>
        <v>316.54000000000002</v>
      </c>
      <c r="I24" s="28">
        <f t="shared" si="2"/>
        <v>318.14999999999998</v>
      </c>
      <c r="J24" s="28">
        <f t="shared" si="2"/>
        <v>318.29000000000002</v>
      </c>
      <c r="K24" s="28">
        <f t="shared" si="2"/>
        <v>317.72000000000003</v>
      </c>
      <c r="L24" s="28">
        <f t="shared" si="2"/>
        <v>316.64999999999998</v>
      </c>
      <c r="M24" s="28">
        <f t="shared" si="2"/>
        <v>316.49</v>
      </c>
      <c r="N24" s="28">
        <f t="shared" si="2"/>
        <v>315.58</v>
      </c>
      <c r="P24" s="40">
        <v>-7</v>
      </c>
      <c r="Q24" s="35">
        <v>0.99005239937999445</v>
      </c>
      <c r="R24" s="35">
        <v>0.98958171939479211</v>
      </c>
      <c r="S24" s="35">
        <v>0.99004589521822206</v>
      </c>
      <c r="T24" s="35">
        <v>0.99150465758701756</v>
      </c>
      <c r="U24" s="35">
        <v>0.99387263808011483</v>
      </c>
      <c r="V24" s="35">
        <v>0.99666673301974951</v>
      </c>
      <c r="W24" s="35">
        <v>0.99901349984249277</v>
      </c>
      <c r="X24" s="35">
        <v>1</v>
      </c>
      <c r="Y24" s="35">
        <v>0.99901041685487435</v>
      </c>
      <c r="Z24" s="35">
        <v>0.99664566822099687</v>
      </c>
      <c r="AA24" s="35">
        <v>0.99381942252517841</v>
      </c>
      <c r="AB24" s="35">
        <v>0.99142011832438337</v>
      </c>
      <c r="AC24" s="35">
        <v>0.98993831165139723</v>
      </c>
    </row>
    <row r="25" spans="1:29" x14ac:dyDescent="0.4">
      <c r="A25" s="1">
        <v>21947</v>
      </c>
      <c r="B25" s="28">
        <v>316.98</v>
      </c>
      <c r="C25" s="28">
        <f t="shared" si="1"/>
        <v>316.43</v>
      </c>
      <c r="D25" s="28">
        <f t="shared" si="2"/>
        <v>315.58</v>
      </c>
      <c r="E25" s="28">
        <f t="shared" si="2"/>
        <v>314.81</v>
      </c>
      <c r="F25" s="28">
        <f t="shared" si="2"/>
        <v>313.33</v>
      </c>
      <c r="G25" s="28">
        <f t="shared" si="2"/>
        <v>313.83999999999997</v>
      </c>
      <c r="H25" s="28">
        <f t="shared" si="2"/>
        <v>314.8</v>
      </c>
      <c r="I25" s="28">
        <f t="shared" si="2"/>
        <v>316.54000000000002</v>
      </c>
      <c r="J25" s="28">
        <f t="shared" si="2"/>
        <v>318.14999999999998</v>
      </c>
      <c r="K25" s="28">
        <f t="shared" si="2"/>
        <v>318.29000000000002</v>
      </c>
      <c r="L25" s="28">
        <f t="shared" si="2"/>
        <v>317.72000000000003</v>
      </c>
      <c r="M25" s="28">
        <f t="shared" si="2"/>
        <v>316.64999999999998</v>
      </c>
      <c r="N25" s="28">
        <f t="shared" si="2"/>
        <v>316.49</v>
      </c>
      <c r="P25" s="40">
        <v>-8</v>
      </c>
      <c r="Q25" s="35">
        <v>0.99150588015124697</v>
      </c>
      <c r="R25" s="35">
        <v>0.99005489437263561</v>
      </c>
      <c r="S25" s="35">
        <v>0.98957106689064389</v>
      </c>
      <c r="T25" s="35">
        <v>0.9900340858332336</v>
      </c>
      <c r="U25" s="35">
        <v>0.99148950572136629</v>
      </c>
      <c r="V25" s="35">
        <v>0.99385691130151332</v>
      </c>
      <c r="W25" s="35">
        <v>0.99665367360659118</v>
      </c>
      <c r="X25" s="35">
        <v>0.99901041685487435</v>
      </c>
      <c r="Y25" s="35">
        <v>1</v>
      </c>
      <c r="Z25" s="35">
        <v>0.9990097225565775</v>
      </c>
      <c r="AA25" s="35">
        <v>0.99664517822735699</v>
      </c>
      <c r="AB25" s="35">
        <v>0.99382924151734253</v>
      </c>
      <c r="AC25" s="35">
        <v>0.99143817864775019</v>
      </c>
    </row>
    <row r="26" spans="1:29" x14ac:dyDescent="0.4">
      <c r="A26" s="1">
        <v>21976</v>
      </c>
      <c r="B26" s="28">
        <v>317.58</v>
      </c>
      <c r="C26" s="28">
        <f t="shared" si="1"/>
        <v>316.98</v>
      </c>
      <c r="D26" s="28">
        <f t="shared" si="2"/>
        <v>316.43</v>
      </c>
      <c r="E26" s="28">
        <f t="shared" si="2"/>
        <v>315.58</v>
      </c>
      <c r="F26" s="28">
        <f t="shared" si="2"/>
        <v>314.81</v>
      </c>
      <c r="G26" s="28">
        <f t="shared" si="2"/>
        <v>313.33</v>
      </c>
      <c r="H26" s="28">
        <f t="shared" si="2"/>
        <v>313.83999999999997</v>
      </c>
      <c r="I26" s="28">
        <f t="shared" si="2"/>
        <v>314.8</v>
      </c>
      <c r="J26" s="28">
        <f t="shared" si="2"/>
        <v>316.54000000000002</v>
      </c>
      <c r="K26" s="28">
        <f t="shared" si="2"/>
        <v>318.14999999999998</v>
      </c>
      <c r="L26" s="28">
        <f t="shared" si="2"/>
        <v>318.29000000000002</v>
      </c>
      <c r="M26" s="28">
        <f t="shared" si="2"/>
        <v>317.72000000000003</v>
      </c>
      <c r="N26" s="28">
        <f t="shared" si="2"/>
        <v>316.64999999999998</v>
      </c>
      <c r="P26" s="40">
        <v>-9</v>
      </c>
      <c r="Q26" s="35">
        <v>0.99384590235991199</v>
      </c>
      <c r="R26" s="35">
        <v>0.99149450700509811</v>
      </c>
      <c r="S26" s="35">
        <v>0.99002996920628228</v>
      </c>
      <c r="T26" s="35">
        <v>0.98954153525865463</v>
      </c>
      <c r="U26" s="35">
        <v>0.98999834478928117</v>
      </c>
      <c r="V26" s="35">
        <v>0.9914553879286131</v>
      </c>
      <c r="W26" s="35">
        <v>0.99382940540818288</v>
      </c>
      <c r="X26" s="35">
        <v>0.99664566822099687</v>
      </c>
      <c r="Y26" s="35">
        <v>0.9990097225565775</v>
      </c>
      <c r="Z26" s="35">
        <v>1</v>
      </c>
      <c r="AA26" s="35">
        <v>0.99900935775784716</v>
      </c>
      <c r="AB26" s="35">
        <v>0.99664956395038207</v>
      </c>
      <c r="AC26" s="35">
        <v>0.99383393913716023</v>
      </c>
    </row>
    <row r="27" spans="1:29" x14ac:dyDescent="0.4">
      <c r="A27" s="1">
        <v>22007</v>
      </c>
      <c r="B27" s="28">
        <v>319.02999999999997</v>
      </c>
      <c r="C27" s="28">
        <f t="shared" si="1"/>
        <v>317.58</v>
      </c>
      <c r="D27" s="28">
        <f t="shared" si="2"/>
        <v>316.98</v>
      </c>
      <c r="E27" s="28">
        <f t="shared" si="2"/>
        <v>316.43</v>
      </c>
      <c r="F27" s="28">
        <f t="shared" si="2"/>
        <v>315.58</v>
      </c>
      <c r="G27" s="28">
        <f t="shared" si="2"/>
        <v>314.81</v>
      </c>
      <c r="H27" s="28">
        <f t="shared" si="2"/>
        <v>313.33</v>
      </c>
      <c r="I27" s="28">
        <f t="shared" si="2"/>
        <v>313.83999999999997</v>
      </c>
      <c r="J27" s="28">
        <f t="shared" si="2"/>
        <v>314.8</v>
      </c>
      <c r="K27" s="28">
        <f t="shared" si="2"/>
        <v>316.54000000000002</v>
      </c>
      <c r="L27" s="28">
        <f t="shared" si="2"/>
        <v>318.14999999999998</v>
      </c>
      <c r="M27" s="28">
        <f t="shared" si="2"/>
        <v>318.29000000000002</v>
      </c>
      <c r="N27" s="28">
        <f t="shared" si="2"/>
        <v>317.72000000000003</v>
      </c>
      <c r="P27" s="40">
        <v>-10</v>
      </c>
      <c r="Q27" s="35">
        <v>0.99658525395758824</v>
      </c>
      <c r="R27" s="35">
        <v>0.99382680295119241</v>
      </c>
      <c r="S27" s="35">
        <v>0.99146162878887956</v>
      </c>
      <c r="T27" s="35">
        <v>0.98998844058280766</v>
      </c>
      <c r="U27" s="35">
        <v>0.98949064969707257</v>
      </c>
      <c r="V27" s="35">
        <v>0.98995109952245386</v>
      </c>
      <c r="W27" s="35">
        <v>0.99141770270478402</v>
      </c>
      <c r="X27" s="35">
        <v>0.99381942252517841</v>
      </c>
      <c r="Y27" s="35">
        <v>0.99664517822735699</v>
      </c>
      <c r="Z27" s="35">
        <v>0.99900935775784716</v>
      </c>
      <c r="AA27" s="35">
        <v>1</v>
      </c>
      <c r="AB27" s="35">
        <v>0.99901059351830468</v>
      </c>
      <c r="AC27" s="35">
        <v>0.99664547153391714</v>
      </c>
    </row>
    <row r="28" spans="1:29" x14ac:dyDescent="0.4">
      <c r="A28" s="1">
        <v>22037</v>
      </c>
      <c r="B28" s="28">
        <v>320.04000000000002</v>
      </c>
      <c r="C28" s="28">
        <f t="shared" si="1"/>
        <v>319.02999999999997</v>
      </c>
      <c r="D28" s="28">
        <f t="shared" si="2"/>
        <v>317.58</v>
      </c>
      <c r="E28" s="28">
        <f t="shared" si="2"/>
        <v>316.98</v>
      </c>
      <c r="F28" s="28">
        <f t="shared" si="2"/>
        <v>316.43</v>
      </c>
      <c r="G28" s="28">
        <f t="shared" si="2"/>
        <v>315.58</v>
      </c>
      <c r="H28" s="28">
        <f t="shared" si="2"/>
        <v>314.81</v>
      </c>
      <c r="I28" s="28">
        <f t="shared" si="2"/>
        <v>313.33</v>
      </c>
      <c r="J28" s="28">
        <f t="shared" si="2"/>
        <v>313.83999999999997</v>
      </c>
      <c r="K28" s="28">
        <f t="shared" si="2"/>
        <v>314.8</v>
      </c>
      <c r="L28" s="28">
        <f t="shared" si="2"/>
        <v>316.54000000000002</v>
      </c>
      <c r="M28" s="28">
        <f t="shared" si="2"/>
        <v>318.14999999999998</v>
      </c>
      <c r="N28" s="28">
        <f t="shared" si="2"/>
        <v>318.29000000000002</v>
      </c>
      <c r="P28" s="40">
        <v>-11</v>
      </c>
      <c r="Q28" s="35">
        <v>0.99887736723627096</v>
      </c>
      <c r="R28" s="35">
        <v>0.99656985732248105</v>
      </c>
      <c r="S28" s="35">
        <v>0.99380084648720979</v>
      </c>
      <c r="T28" s="35">
        <v>0.99142413455809841</v>
      </c>
      <c r="U28" s="35">
        <v>0.98993999923427345</v>
      </c>
      <c r="V28" s="35">
        <v>0.98944817939489782</v>
      </c>
      <c r="W28" s="35">
        <v>0.98992109447985499</v>
      </c>
      <c r="X28" s="35">
        <v>0.99142011832438337</v>
      </c>
      <c r="Y28" s="35">
        <v>0.99382924151734253</v>
      </c>
      <c r="Z28" s="35">
        <v>0.99664956395038207</v>
      </c>
      <c r="AA28" s="35">
        <v>0.99901059351830468</v>
      </c>
      <c r="AB28" s="35">
        <v>1</v>
      </c>
      <c r="AC28" s="35">
        <v>0.99900534518583795</v>
      </c>
    </row>
    <row r="29" spans="1:29" ht="19.5" thickBot="1" x14ac:dyDescent="0.45">
      <c r="A29" s="1">
        <v>22068</v>
      </c>
      <c r="B29" s="28">
        <v>319.58</v>
      </c>
      <c r="C29" s="28">
        <f t="shared" si="1"/>
        <v>320.04000000000002</v>
      </c>
      <c r="D29" s="28">
        <f t="shared" si="2"/>
        <v>319.02999999999997</v>
      </c>
      <c r="E29" s="28">
        <f t="shared" si="2"/>
        <v>317.58</v>
      </c>
      <c r="F29" s="28">
        <f t="shared" si="2"/>
        <v>316.98</v>
      </c>
      <c r="G29" s="28">
        <f t="shared" si="2"/>
        <v>316.43</v>
      </c>
      <c r="H29" s="28">
        <f t="shared" si="2"/>
        <v>315.58</v>
      </c>
      <c r="I29" s="28">
        <f t="shared" si="2"/>
        <v>314.81</v>
      </c>
      <c r="J29" s="28">
        <f t="shared" si="2"/>
        <v>313.33</v>
      </c>
      <c r="K29" s="28">
        <f t="shared" si="2"/>
        <v>313.83999999999997</v>
      </c>
      <c r="L29" s="28">
        <f t="shared" si="2"/>
        <v>314.8</v>
      </c>
      <c r="M29" s="28">
        <f t="shared" si="2"/>
        <v>316.54000000000002</v>
      </c>
      <c r="N29" s="28">
        <f t="shared" si="2"/>
        <v>318.14999999999998</v>
      </c>
      <c r="P29" s="41">
        <v>-12</v>
      </c>
      <c r="Q29" s="36">
        <v>0.99977605015210924</v>
      </c>
      <c r="R29" s="36">
        <v>0.99887416646668192</v>
      </c>
      <c r="S29" s="36">
        <v>0.99656246090053113</v>
      </c>
      <c r="T29" s="36">
        <v>0.99378312871664576</v>
      </c>
      <c r="U29" s="36">
        <v>0.99139682715603683</v>
      </c>
      <c r="V29" s="36">
        <v>0.98991781169825066</v>
      </c>
      <c r="W29" s="36">
        <v>0.98943805589559297</v>
      </c>
      <c r="X29" s="36">
        <v>0.98993831165139723</v>
      </c>
      <c r="Y29" s="36">
        <v>0.99143817864775019</v>
      </c>
      <c r="Z29" s="36">
        <v>0.99383393913716023</v>
      </c>
      <c r="AA29" s="36">
        <v>0.99664547153391714</v>
      </c>
      <c r="AB29" s="36">
        <v>0.99900534518583795</v>
      </c>
      <c r="AC29" s="36">
        <v>1</v>
      </c>
    </row>
    <row r="30" spans="1:29" ht="19.5" thickBot="1" x14ac:dyDescent="0.45">
      <c r="A30" s="1">
        <v>22098</v>
      </c>
      <c r="B30" s="28">
        <v>318.18</v>
      </c>
      <c r="C30" s="28">
        <f t="shared" si="1"/>
        <v>319.58</v>
      </c>
      <c r="D30" s="28">
        <f t="shared" si="2"/>
        <v>320.04000000000002</v>
      </c>
      <c r="E30" s="28">
        <f t="shared" si="2"/>
        <v>319.02999999999997</v>
      </c>
      <c r="F30" s="28">
        <f t="shared" si="2"/>
        <v>317.58</v>
      </c>
      <c r="G30" s="28">
        <f t="shared" si="2"/>
        <v>316.98</v>
      </c>
      <c r="H30" s="28">
        <f t="shared" si="2"/>
        <v>316.43</v>
      </c>
      <c r="I30" s="28">
        <f t="shared" si="2"/>
        <v>315.58</v>
      </c>
      <c r="J30" s="28">
        <f t="shared" si="2"/>
        <v>314.81</v>
      </c>
      <c r="K30" s="28">
        <f t="shared" si="2"/>
        <v>313.33</v>
      </c>
      <c r="L30" s="28">
        <f t="shared" si="2"/>
        <v>313.83999999999997</v>
      </c>
      <c r="M30" s="28">
        <f t="shared" si="2"/>
        <v>314.8</v>
      </c>
      <c r="N30" s="28">
        <f t="shared" si="2"/>
        <v>316.54000000000002</v>
      </c>
    </row>
    <row r="31" spans="1:29" ht="19.5" x14ac:dyDescent="0.4">
      <c r="A31" s="1">
        <v>22129</v>
      </c>
      <c r="B31" s="28">
        <v>315.89999999999998</v>
      </c>
      <c r="C31" s="28">
        <f t="shared" si="1"/>
        <v>318.18</v>
      </c>
      <c r="D31" s="28">
        <f t="shared" si="2"/>
        <v>319.58</v>
      </c>
      <c r="E31" s="28">
        <f t="shared" si="2"/>
        <v>320.04000000000002</v>
      </c>
      <c r="F31" s="28">
        <f t="shared" si="2"/>
        <v>319.02999999999997</v>
      </c>
      <c r="G31" s="28">
        <f t="shared" si="2"/>
        <v>317.58</v>
      </c>
      <c r="H31" s="28">
        <f t="shared" si="2"/>
        <v>316.98</v>
      </c>
      <c r="I31" s="28">
        <f t="shared" si="2"/>
        <v>316.43</v>
      </c>
      <c r="J31" s="28">
        <f t="shared" si="2"/>
        <v>315.58</v>
      </c>
      <c r="K31" s="28">
        <f t="shared" si="2"/>
        <v>314.81</v>
      </c>
      <c r="L31" s="28">
        <f t="shared" si="2"/>
        <v>313.33</v>
      </c>
      <c r="M31" s="28">
        <f t="shared" si="2"/>
        <v>313.83999999999997</v>
      </c>
      <c r="N31" s="28">
        <f t="shared" si="2"/>
        <v>314.8</v>
      </c>
      <c r="P31" s="39" t="s">
        <v>82</v>
      </c>
      <c r="Q31" s="37" t="s">
        <v>1</v>
      </c>
      <c r="R31" s="37">
        <v>-1</v>
      </c>
      <c r="S31" s="37">
        <v>-2</v>
      </c>
      <c r="T31" s="37">
        <v>-3</v>
      </c>
      <c r="U31" s="37">
        <v>-4</v>
      </c>
      <c r="V31" s="37">
        <v>-5</v>
      </c>
      <c r="W31" s="37">
        <v>-6</v>
      </c>
      <c r="X31" s="37">
        <v>-7</v>
      </c>
      <c r="Y31" s="37">
        <v>-8</v>
      </c>
      <c r="Z31" s="37">
        <v>-9</v>
      </c>
      <c r="AA31" s="37">
        <v>-10</v>
      </c>
      <c r="AB31" s="37">
        <v>-11</v>
      </c>
      <c r="AC31" s="37">
        <v>-12</v>
      </c>
    </row>
    <row r="32" spans="1:29" x14ac:dyDescent="0.4">
      <c r="A32" s="1">
        <v>22160</v>
      </c>
      <c r="B32" s="28">
        <v>314.17</v>
      </c>
      <c r="C32" s="28">
        <f t="shared" si="1"/>
        <v>315.89999999999998</v>
      </c>
      <c r="D32" s="28">
        <f t="shared" si="2"/>
        <v>318.18</v>
      </c>
      <c r="E32" s="28">
        <f t="shared" si="2"/>
        <v>319.58</v>
      </c>
      <c r="F32" s="28">
        <f t="shared" si="2"/>
        <v>320.04000000000002</v>
      </c>
      <c r="G32" s="28">
        <f t="shared" si="2"/>
        <v>319.02999999999997</v>
      </c>
      <c r="H32" s="28">
        <f t="shared" si="2"/>
        <v>317.58</v>
      </c>
      <c r="I32" s="28">
        <f t="shared" si="2"/>
        <v>316.98</v>
      </c>
      <c r="J32" s="28">
        <f t="shared" si="2"/>
        <v>316.43</v>
      </c>
      <c r="K32" s="28">
        <f t="shared" si="2"/>
        <v>315.58</v>
      </c>
      <c r="L32" s="28">
        <f t="shared" si="2"/>
        <v>314.81</v>
      </c>
      <c r="M32" s="28">
        <f t="shared" si="2"/>
        <v>313.33</v>
      </c>
      <c r="N32" s="28">
        <f t="shared" si="2"/>
        <v>313.83999999999997</v>
      </c>
      <c r="P32" s="40" t="s">
        <v>1</v>
      </c>
      <c r="Q32" s="35">
        <f t="array" ref="Q32:AC44">MINVERSE(_R)</f>
        <v>5305.3248725166141</v>
      </c>
      <c r="R32" s="35">
        <v>-4543.1628820046917</v>
      </c>
      <c r="S32" s="35">
        <v>1102.2886993937097</v>
      </c>
      <c r="T32" s="35">
        <v>397.05539072843266</v>
      </c>
      <c r="U32" s="35">
        <v>343.09989929764129</v>
      </c>
      <c r="V32" s="35">
        <v>-306.3144812359979</v>
      </c>
      <c r="W32" s="35">
        <v>-690.06695203196784</v>
      </c>
      <c r="X32" s="35">
        <v>443.08738928649348</v>
      </c>
      <c r="Y32" s="35">
        <v>628.07914881078023</v>
      </c>
      <c r="Z32" s="35">
        <v>-434.49907512348699</v>
      </c>
      <c r="AA32" s="35">
        <v>-22.958244994194388</v>
      </c>
      <c r="AB32" s="35">
        <v>-2071.9656844995698</v>
      </c>
      <c r="AC32" s="35">
        <v>-150.04356070638551</v>
      </c>
    </row>
    <row r="33" spans="1:29" x14ac:dyDescent="0.4">
      <c r="A33" s="1">
        <v>22190</v>
      </c>
      <c r="B33" s="28">
        <v>313.83</v>
      </c>
      <c r="C33" s="28">
        <f t="shared" si="1"/>
        <v>314.17</v>
      </c>
      <c r="D33" s="28">
        <f t="shared" si="2"/>
        <v>315.89999999999998</v>
      </c>
      <c r="E33" s="28">
        <f t="shared" si="2"/>
        <v>318.18</v>
      </c>
      <c r="F33" s="28">
        <f t="shared" si="2"/>
        <v>319.58</v>
      </c>
      <c r="G33" s="28">
        <f t="shared" si="2"/>
        <v>320.04000000000002</v>
      </c>
      <c r="H33" s="28">
        <f t="shared" si="2"/>
        <v>319.02999999999997</v>
      </c>
      <c r="I33" s="28">
        <f t="shared" si="2"/>
        <v>317.58</v>
      </c>
      <c r="J33" s="28">
        <f t="shared" si="2"/>
        <v>316.98</v>
      </c>
      <c r="K33" s="28">
        <f t="shared" si="2"/>
        <v>316.43</v>
      </c>
      <c r="L33" s="28">
        <f t="shared" si="2"/>
        <v>315.58</v>
      </c>
      <c r="M33" s="28">
        <f t="shared" si="2"/>
        <v>314.81</v>
      </c>
      <c r="N33" s="28">
        <f t="shared" si="2"/>
        <v>313.33</v>
      </c>
      <c r="P33" s="40">
        <v>-1</v>
      </c>
      <c r="Q33" s="35">
        <v>-4543.1628820046826</v>
      </c>
      <c r="R33" s="35">
        <v>9176.207383037925</v>
      </c>
      <c r="S33" s="35">
        <v>-5546.2891320871258</v>
      </c>
      <c r="T33" s="35">
        <v>755.16005138653236</v>
      </c>
      <c r="U33" s="35">
        <v>106.0533686123583</v>
      </c>
      <c r="V33" s="35">
        <v>610.21646399844838</v>
      </c>
      <c r="W33" s="35">
        <v>314.29334104129009</v>
      </c>
      <c r="X33" s="35">
        <v>-1110.0370532967411</v>
      </c>
      <c r="Y33" s="35">
        <v>-96.096725056548891</v>
      </c>
      <c r="Z33" s="35">
        <v>1021.2058330552012</v>
      </c>
      <c r="AA33" s="35">
        <v>-414.41019651089783</v>
      </c>
      <c r="AB33" s="35">
        <v>1771.3079642736782</v>
      </c>
      <c r="AC33" s="35">
        <v>-2044.4446699246514</v>
      </c>
    </row>
    <row r="34" spans="1:29" x14ac:dyDescent="0.4">
      <c r="A34" s="1">
        <v>22221</v>
      </c>
      <c r="B34" s="28">
        <v>315</v>
      </c>
      <c r="C34" s="28">
        <f t="shared" si="1"/>
        <v>313.83</v>
      </c>
      <c r="D34" s="28">
        <f t="shared" si="2"/>
        <v>314.17</v>
      </c>
      <c r="E34" s="28">
        <f t="shared" si="2"/>
        <v>315.89999999999998</v>
      </c>
      <c r="F34" s="28">
        <f t="shared" si="2"/>
        <v>318.18</v>
      </c>
      <c r="G34" s="28">
        <f t="shared" si="2"/>
        <v>319.58</v>
      </c>
      <c r="H34" s="28">
        <f t="shared" si="2"/>
        <v>320.04000000000002</v>
      </c>
      <c r="I34" s="28">
        <f t="shared" si="2"/>
        <v>319.02999999999997</v>
      </c>
      <c r="J34" s="28">
        <f t="shared" si="2"/>
        <v>317.58</v>
      </c>
      <c r="K34" s="28">
        <f t="shared" si="2"/>
        <v>316.98</v>
      </c>
      <c r="L34" s="28">
        <f t="shared" si="2"/>
        <v>316.43</v>
      </c>
      <c r="M34" s="28">
        <f t="shared" si="2"/>
        <v>315.58</v>
      </c>
      <c r="N34" s="28">
        <f t="shared" si="2"/>
        <v>314.81</v>
      </c>
      <c r="P34" s="40">
        <v>-2</v>
      </c>
      <c r="Q34" s="35">
        <v>1102.288699393687</v>
      </c>
      <c r="R34" s="35">
        <v>-5546.2891320870922</v>
      </c>
      <c r="S34" s="35">
        <v>8601.1739203871566</v>
      </c>
      <c r="T34" s="35">
        <v>-5462.56142773584</v>
      </c>
      <c r="U34" s="35">
        <v>634.19057709510309</v>
      </c>
      <c r="V34" s="35">
        <v>308.81261770432661</v>
      </c>
      <c r="W34" s="35">
        <v>618.54660128776618</v>
      </c>
      <c r="X34" s="35">
        <v>153.10446244326818</v>
      </c>
      <c r="Y34" s="35">
        <v>-1071.9912178492928</v>
      </c>
      <c r="Z34" s="35">
        <v>-96.650105347121269</v>
      </c>
      <c r="AA34" s="35">
        <v>1211.5785218881945</v>
      </c>
      <c r="AB34" s="35">
        <v>-431.99694466625868</v>
      </c>
      <c r="AC34" s="35">
        <v>-20.093541842178372</v>
      </c>
    </row>
    <row r="35" spans="1:29" x14ac:dyDescent="0.4">
      <c r="A35" s="1">
        <v>22251</v>
      </c>
      <c r="B35" s="28">
        <v>316.19</v>
      </c>
      <c r="C35" s="28">
        <f t="shared" si="1"/>
        <v>315</v>
      </c>
      <c r="D35" s="28">
        <f t="shared" si="2"/>
        <v>313.83</v>
      </c>
      <c r="E35" s="28">
        <f t="shared" si="2"/>
        <v>314.17</v>
      </c>
      <c r="F35" s="28">
        <f t="shared" si="2"/>
        <v>315.89999999999998</v>
      </c>
      <c r="G35" s="28">
        <f t="shared" si="2"/>
        <v>318.18</v>
      </c>
      <c r="H35" s="28">
        <f t="shared" si="2"/>
        <v>319.58</v>
      </c>
      <c r="I35" s="28">
        <f t="shared" si="2"/>
        <v>320.04000000000002</v>
      </c>
      <c r="J35" s="28">
        <f t="shared" si="2"/>
        <v>319.02999999999997</v>
      </c>
      <c r="K35" s="28">
        <f t="shared" si="2"/>
        <v>317.58</v>
      </c>
      <c r="L35" s="28">
        <f t="shared" si="2"/>
        <v>316.98</v>
      </c>
      <c r="M35" s="28">
        <f t="shared" si="2"/>
        <v>316.43</v>
      </c>
      <c r="N35" s="28">
        <f t="shared" si="2"/>
        <v>315.58</v>
      </c>
      <c r="P35" s="40">
        <v>-3</v>
      </c>
      <c r="Q35" s="35">
        <v>397.05539072844817</v>
      </c>
      <c r="R35" s="35">
        <v>755.16005138650087</v>
      </c>
      <c r="S35" s="35">
        <v>-5462.5614277358218</v>
      </c>
      <c r="T35" s="35">
        <v>8582.2901139826845</v>
      </c>
      <c r="U35" s="35">
        <v>-5386.617435639042</v>
      </c>
      <c r="V35" s="35">
        <v>586.20330521180676</v>
      </c>
      <c r="W35" s="35">
        <v>293.86592012532304</v>
      </c>
      <c r="X35" s="35">
        <v>604.18559253906733</v>
      </c>
      <c r="Y35" s="35">
        <v>209.16595833610171</v>
      </c>
      <c r="Z35" s="35">
        <v>-1073.5794760413851</v>
      </c>
      <c r="AA35" s="35">
        <v>-109.03261718027025</v>
      </c>
      <c r="AB35" s="35">
        <v>1019.9471369342999</v>
      </c>
      <c r="AC35" s="35">
        <v>-415.99522186823094</v>
      </c>
    </row>
    <row r="36" spans="1:29" x14ac:dyDescent="0.4">
      <c r="A36" s="1">
        <v>22282</v>
      </c>
      <c r="B36" s="28">
        <v>316.89999999999998</v>
      </c>
      <c r="C36" s="28">
        <f t="shared" si="1"/>
        <v>316.19</v>
      </c>
      <c r="D36" s="28">
        <f t="shared" si="2"/>
        <v>315</v>
      </c>
      <c r="E36" s="28">
        <f t="shared" si="2"/>
        <v>313.83</v>
      </c>
      <c r="F36" s="28">
        <f t="shared" si="2"/>
        <v>314.17</v>
      </c>
      <c r="G36" s="28">
        <f t="shared" si="2"/>
        <v>315.89999999999998</v>
      </c>
      <c r="H36" s="28">
        <f t="shared" si="2"/>
        <v>318.18</v>
      </c>
      <c r="I36" s="28">
        <f t="shared" si="2"/>
        <v>319.58</v>
      </c>
      <c r="J36" s="28">
        <f t="shared" si="2"/>
        <v>320.04000000000002</v>
      </c>
      <c r="K36" s="28">
        <f t="shared" si="2"/>
        <v>319.02999999999997</v>
      </c>
      <c r="L36" s="28">
        <f t="shared" si="2"/>
        <v>317.58</v>
      </c>
      <c r="M36" s="28">
        <f t="shared" si="2"/>
        <v>316.98</v>
      </c>
      <c r="N36" s="28">
        <f t="shared" si="2"/>
        <v>316.43</v>
      </c>
      <c r="P36" s="40">
        <v>-4</v>
      </c>
      <c r="Q36" s="35">
        <v>343.09989929765732</v>
      </c>
      <c r="R36" s="35">
        <v>106.05336861235099</v>
      </c>
      <c r="S36" s="35">
        <v>634.19057709508775</v>
      </c>
      <c r="T36" s="35">
        <v>-5386.6174356390429</v>
      </c>
      <c r="U36" s="35">
        <v>8520.0077594570885</v>
      </c>
      <c r="V36" s="35">
        <v>-5324.3637087404686</v>
      </c>
      <c r="W36" s="35">
        <v>548.33715072472376</v>
      </c>
      <c r="X36" s="35">
        <v>290.10149280497706</v>
      </c>
      <c r="Y36" s="35">
        <v>622.50892374002456</v>
      </c>
      <c r="Z36" s="35">
        <v>191.00082221802703</v>
      </c>
      <c r="AA36" s="35">
        <v>-1048.9412409878491</v>
      </c>
      <c r="AB36" s="35">
        <v>-115.26459814224869</v>
      </c>
      <c r="AC36" s="35">
        <v>619.97783300857373</v>
      </c>
    </row>
    <row r="37" spans="1:29" x14ac:dyDescent="0.4">
      <c r="A37" s="1">
        <v>22313</v>
      </c>
      <c r="B37" s="28">
        <v>317.7</v>
      </c>
      <c r="C37" s="28">
        <f t="shared" si="1"/>
        <v>316.89999999999998</v>
      </c>
      <c r="D37" s="28">
        <f t="shared" ref="D37:N52" si="3">IF(C36=0,"",C36)</f>
        <v>316.19</v>
      </c>
      <c r="E37" s="28">
        <f t="shared" si="3"/>
        <v>315</v>
      </c>
      <c r="F37" s="28">
        <f t="shared" si="3"/>
        <v>313.83</v>
      </c>
      <c r="G37" s="28">
        <f t="shared" si="3"/>
        <v>314.17</v>
      </c>
      <c r="H37" s="28">
        <f t="shared" si="3"/>
        <v>315.89999999999998</v>
      </c>
      <c r="I37" s="28">
        <f t="shared" si="3"/>
        <v>318.18</v>
      </c>
      <c r="J37" s="28">
        <f t="shared" si="3"/>
        <v>319.58</v>
      </c>
      <c r="K37" s="28">
        <f t="shared" si="3"/>
        <v>320.04000000000002</v>
      </c>
      <c r="L37" s="28">
        <f t="shared" si="3"/>
        <v>319.02999999999997</v>
      </c>
      <c r="M37" s="28">
        <f t="shared" si="3"/>
        <v>317.58</v>
      </c>
      <c r="N37" s="28">
        <f t="shared" si="3"/>
        <v>316.98</v>
      </c>
      <c r="P37" s="40">
        <v>-5</v>
      </c>
      <c r="Q37" s="35">
        <v>-306.31448123600131</v>
      </c>
      <c r="R37" s="35">
        <v>610.21646399843576</v>
      </c>
      <c r="S37" s="35">
        <v>308.81261770435634</v>
      </c>
      <c r="T37" s="35">
        <v>586.2033052118145</v>
      </c>
      <c r="U37" s="35">
        <v>-5324.3637087404932</v>
      </c>
      <c r="V37" s="35">
        <v>8430.0273123267034</v>
      </c>
      <c r="W37" s="35">
        <v>-5307.1644313130137</v>
      </c>
      <c r="X37" s="35">
        <v>591.89940773135652</v>
      </c>
      <c r="Y37" s="35">
        <v>280.45304595311211</v>
      </c>
      <c r="Z37" s="35">
        <v>618.48412273610654</v>
      </c>
      <c r="AA37" s="35">
        <v>151.03080643065778</v>
      </c>
      <c r="AB37" s="35">
        <v>-1080.6158251915849</v>
      </c>
      <c r="AC37" s="35">
        <v>441.39050521348645</v>
      </c>
    </row>
    <row r="38" spans="1:29" x14ac:dyDescent="0.4">
      <c r="A38" s="1">
        <v>22341</v>
      </c>
      <c r="B38" s="28">
        <v>318.54000000000002</v>
      </c>
      <c r="C38" s="28">
        <f t="shared" si="1"/>
        <v>317.7</v>
      </c>
      <c r="D38" s="28">
        <f t="shared" si="3"/>
        <v>316.89999999999998</v>
      </c>
      <c r="E38" s="28">
        <f t="shared" si="3"/>
        <v>316.19</v>
      </c>
      <c r="F38" s="28">
        <f t="shared" si="3"/>
        <v>315</v>
      </c>
      <c r="G38" s="28">
        <f t="shared" si="3"/>
        <v>313.83</v>
      </c>
      <c r="H38" s="28">
        <f t="shared" si="3"/>
        <v>314.17</v>
      </c>
      <c r="I38" s="28">
        <f t="shared" si="3"/>
        <v>315.89999999999998</v>
      </c>
      <c r="J38" s="28">
        <f t="shared" si="3"/>
        <v>318.18</v>
      </c>
      <c r="K38" s="28">
        <f t="shared" si="3"/>
        <v>319.58</v>
      </c>
      <c r="L38" s="28">
        <f t="shared" si="3"/>
        <v>320.04000000000002</v>
      </c>
      <c r="M38" s="28">
        <f t="shared" si="3"/>
        <v>319.02999999999997</v>
      </c>
      <c r="N38" s="28">
        <f t="shared" si="3"/>
        <v>317.58</v>
      </c>
      <c r="P38" s="40">
        <v>-6</v>
      </c>
      <c r="Q38" s="35">
        <v>-690.06695203197069</v>
      </c>
      <c r="R38" s="35">
        <v>314.29334104128958</v>
      </c>
      <c r="S38" s="35">
        <v>618.54660128776948</v>
      </c>
      <c r="T38" s="35">
        <v>293.86592012531372</v>
      </c>
      <c r="U38" s="35">
        <v>548.33715072473422</v>
      </c>
      <c r="V38" s="35">
        <v>-5307.1644313130255</v>
      </c>
      <c r="W38" s="35">
        <v>8434.2410594861431</v>
      </c>
      <c r="X38" s="35">
        <v>-5262.8900493412275</v>
      </c>
      <c r="Y38" s="35">
        <v>522.93446694996487</v>
      </c>
      <c r="Z38" s="35">
        <v>297.54605377251414</v>
      </c>
      <c r="AA38" s="35">
        <v>573.89891939993208</v>
      </c>
      <c r="AB38" s="35">
        <v>376.68313723600374</v>
      </c>
      <c r="AC38" s="35">
        <v>-720.12289121376705</v>
      </c>
    </row>
    <row r="39" spans="1:29" x14ac:dyDescent="0.4">
      <c r="A39" s="1">
        <v>22372</v>
      </c>
      <c r="B39" s="28">
        <v>319.48</v>
      </c>
      <c r="C39" s="28">
        <f t="shared" si="1"/>
        <v>318.54000000000002</v>
      </c>
      <c r="D39" s="28">
        <f t="shared" si="3"/>
        <v>317.7</v>
      </c>
      <c r="E39" s="28">
        <f t="shared" si="3"/>
        <v>316.89999999999998</v>
      </c>
      <c r="F39" s="28">
        <f t="shared" si="3"/>
        <v>316.19</v>
      </c>
      <c r="G39" s="28">
        <f t="shared" si="3"/>
        <v>315</v>
      </c>
      <c r="H39" s="28">
        <f t="shared" si="3"/>
        <v>313.83</v>
      </c>
      <c r="I39" s="28">
        <f t="shared" si="3"/>
        <v>314.17</v>
      </c>
      <c r="J39" s="28">
        <f t="shared" si="3"/>
        <v>315.89999999999998</v>
      </c>
      <c r="K39" s="28">
        <f t="shared" si="3"/>
        <v>318.18</v>
      </c>
      <c r="L39" s="28">
        <f t="shared" si="3"/>
        <v>319.58</v>
      </c>
      <c r="M39" s="28">
        <f t="shared" si="3"/>
        <v>320.04000000000002</v>
      </c>
      <c r="N39" s="28">
        <f t="shared" si="3"/>
        <v>319.02999999999997</v>
      </c>
      <c r="P39" s="40">
        <v>-7</v>
      </c>
      <c r="Q39" s="35">
        <v>443.0873892864758</v>
      </c>
      <c r="R39" s="35">
        <v>-1110.0370532966947</v>
      </c>
      <c r="S39" s="35">
        <v>153.10446244322199</v>
      </c>
      <c r="T39" s="35">
        <v>604.1855925390837</v>
      </c>
      <c r="U39" s="35">
        <v>290.10149280498104</v>
      </c>
      <c r="V39" s="35">
        <v>591.89940773137926</v>
      </c>
      <c r="W39" s="35">
        <v>-5262.8900493412766</v>
      </c>
      <c r="X39" s="35">
        <v>8326.4754259899837</v>
      </c>
      <c r="Y39" s="35">
        <v>-5225.7072612419042</v>
      </c>
      <c r="Z39" s="35">
        <v>536.40530270692955</v>
      </c>
      <c r="AA39" s="35">
        <v>371.71899916391817</v>
      </c>
      <c r="AB39" s="35">
        <v>491.99238503912483</v>
      </c>
      <c r="AC39" s="35">
        <v>-210.24640966230677</v>
      </c>
    </row>
    <row r="40" spans="1:29" x14ac:dyDescent="0.4">
      <c r="A40" s="1">
        <v>22402</v>
      </c>
      <c r="B40" s="28">
        <v>320.58</v>
      </c>
      <c r="C40" s="28">
        <f t="shared" si="1"/>
        <v>319.48</v>
      </c>
      <c r="D40" s="28">
        <f t="shared" si="3"/>
        <v>318.54000000000002</v>
      </c>
      <c r="E40" s="28">
        <f t="shared" si="3"/>
        <v>317.7</v>
      </c>
      <c r="F40" s="28">
        <f t="shared" si="3"/>
        <v>316.89999999999998</v>
      </c>
      <c r="G40" s="28">
        <f t="shared" si="3"/>
        <v>316.19</v>
      </c>
      <c r="H40" s="28">
        <f t="shared" si="3"/>
        <v>315</v>
      </c>
      <c r="I40" s="28">
        <f t="shared" si="3"/>
        <v>313.83</v>
      </c>
      <c r="J40" s="28">
        <f t="shared" si="3"/>
        <v>314.17</v>
      </c>
      <c r="K40" s="28">
        <f t="shared" si="3"/>
        <v>315.89999999999998</v>
      </c>
      <c r="L40" s="28">
        <f t="shared" si="3"/>
        <v>318.18</v>
      </c>
      <c r="M40" s="28">
        <f t="shared" si="3"/>
        <v>319.58</v>
      </c>
      <c r="N40" s="28">
        <f t="shared" si="3"/>
        <v>320.04000000000002</v>
      </c>
      <c r="P40" s="40">
        <v>-8</v>
      </c>
      <c r="Q40" s="35">
        <v>628.07914881081217</v>
      </c>
      <c r="R40" s="35">
        <v>-96.096725056623825</v>
      </c>
      <c r="S40" s="35">
        <v>-1071.9912178492273</v>
      </c>
      <c r="T40" s="35">
        <v>209.16595833607602</v>
      </c>
      <c r="U40" s="35">
        <v>622.50892374004707</v>
      </c>
      <c r="V40" s="35">
        <v>280.45304595302918</v>
      </c>
      <c r="W40" s="35">
        <v>522.93446695009243</v>
      </c>
      <c r="X40" s="35">
        <v>-5225.7072612419906</v>
      </c>
      <c r="Y40" s="35">
        <v>8372.8192291805954</v>
      </c>
      <c r="Z40" s="35">
        <v>-5251.3927961660547</v>
      </c>
      <c r="AA40" s="35">
        <v>542.04968288900693</v>
      </c>
      <c r="AB40" s="35">
        <v>178.0759785908117</v>
      </c>
      <c r="AC40" s="35">
        <v>289.17790040520174</v>
      </c>
    </row>
    <row r="41" spans="1:29" x14ac:dyDescent="0.4">
      <c r="A41" s="1">
        <v>22433</v>
      </c>
      <c r="B41" s="28">
        <v>319.77</v>
      </c>
      <c r="C41" s="28">
        <f t="shared" si="1"/>
        <v>320.58</v>
      </c>
      <c r="D41" s="28">
        <f t="shared" si="3"/>
        <v>319.48</v>
      </c>
      <c r="E41" s="28">
        <f t="shared" si="3"/>
        <v>318.54000000000002</v>
      </c>
      <c r="F41" s="28">
        <f t="shared" si="3"/>
        <v>317.7</v>
      </c>
      <c r="G41" s="28">
        <f t="shared" si="3"/>
        <v>316.89999999999998</v>
      </c>
      <c r="H41" s="28">
        <f t="shared" si="3"/>
        <v>316.19</v>
      </c>
      <c r="I41" s="28">
        <f t="shared" si="3"/>
        <v>315</v>
      </c>
      <c r="J41" s="28">
        <f t="shared" si="3"/>
        <v>313.83</v>
      </c>
      <c r="K41" s="28">
        <f t="shared" si="3"/>
        <v>314.17</v>
      </c>
      <c r="L41" s="28">
        <f t="shared" si="3"/>
        <v>315.89999999999998</v>
      </c>
      <c r="M41" s="28">
        <f t="shared" si="3"/>
        <v>318.18</v>
      </c>
      <c r="N41" s="28">
        <f t="shared" si="3"/>
        <v>319.58</v>
      </c>
      <c r="P41" s="40">
        <v>-9</v>
      </c>
      <c r="Q41" s="35">
        <v>-434.4990751235112</v>
      </c>
      <c r="R41" s="35">
        <v>1021.20583305525</v>
      </c>
      <c r="S41" s="35">
        <v>-96.65010534714348</v>
      </c>
      <c r="T41" s="35">
        <v>-1073.5794760413823</v>
      </c>
      <c r="U41" s="35">
        <v>191.00082221796009</v>
      </c>
      <c r="V41" s="35">
        <v>618.48412273626764</v>
      </c>
      <c r="W41" s="35">
        <v>297.54605377233747</v>
      </c>
      <c r="X41" s="35">
        <v>536.40530270705096</v>
      </c>
      <c r="Y41" s="35">
        <v>-5251.3927961661138</v>
      </c>
      <c r="Z41" s="35">
        <v>8365.2733471369229</v>
      </c>
      <c r="AA41" s="35">
        <v>-5271.7206376104505</v>
      </c>
      <c r="AB41" s="35">
        <v>681.99358666780392</v>
      </c>
      <c r="AC41" s="35">
        <v>416.01108296173305</v>
      </c>
    </row>
    <row r="42" spans="1:29" x14ac:dyDescent="0.4">
      <c r="A42" s="1">
        <v>22463</v>
      </c>
      <c r="B42" s="28">
        <v>318.57</v>
      </c>
      <c r="C42" s="28">
        <f t="shared" si="1"/>
        <v>319.77</v>
      </c>
      <c r="D42" s="28">
        <f t="shared" si="3"/>
        <v>320.58</v>
      </c>
      <c r="E42" s="28">
        <f t="shared" si="3"/>
        <v>319.48</v>
      </c>
      <c r="F42" s="28">
        <f t="shared" si="3"/>
        <v>318.54000000000002</v>
      </c>
      <c r="G42" s="28">
        <f t="shared" si="3"/>
        <v>317.7</v>
      </c>
      <c r="H42" s="28">
        <f t="shared" si="3"/>
        <v>316.89999999999998</v>
      </c>
      <c r="I42" s="28">
        <f t="shared" si="3"/>
        <v>316.19</v>
      </c>
      <c r="J42" s="28">
        <f t="shared" si="3"/>
        <v>315</v>
      </c>
      <c r="K42" s="28">
        <f t="shared" si="3"/>
        <v>313.83</v>
      </c>
      <c r="L42" s="28">
        <f t="shared" si="3"/>
        <v>314.17</v>
      </c>
      <c r="M42" s="28">
        <f t="shared" si="3"/>
        <v>315.89999999999998</v>
      </c>
      <c r="N42" s="28">
        <f t="shared" si="3"/>
        <v>318.18</v>
      </c>
      <c r="P42" s="40">
        <v>-10</v>
      </c>
      <c r="Q42" s="35">
        <v>-22.95824499420301</v>
      </c>
      <c r="R42" s="35">
        <v>-414.41019651088686</v>
      </c>
      <c r="S42" s="35">
        <v>1211.5785218881799</v>
      </c>
      <c r="T42" s="35">
        <v>-109.0326171802559</v>
      </c>
      <c r="U42" s="35">
        <v>-1048.9412409877898</v>
      </c>
      <c r="V42" s="35">
        <v>151.03080643050555</v>
      </c>
      <c r="W42" s="35">
        <v>573.89891940007988</v>
      </c>
      <c r="X42" s="35">
        <v>371.71899916384046</v>
      </c>
      <c r="Y42" s="35">
        <v>542.04968288904979</v>
      </c>
      <c r="Z42" s="35">
        <v>-5271.7206376104868</v>
      </c>
      <c r="AA42" s="35">
        <v>8327.7287020487565</v>
      </c>
      <c r="AB42" s="35">
        <v>-5332.9481965745108</v>
      </c>
      <c r="AC42" s="35">
        <v>1022.0872603393603</v>
      </c>
    </row>
    <row r="43" spans="1:29" x14ac:dyDescent="0.4">
      <c r="A43" s="1">
        <v>22494</v>
      </c>
      <c r="B43" s="28">
        <v>316.79000000000002</v>
      </c>
      <c r="C43" s="28">
        <f t="shared" si="1"/>
        <v>318.57</v>
      </c>
      <c r="D43" s="28">
        <f t="shared" si="3"/>
        <v>319.77</v>
      </c>
      <c r="E43" s="28">
        <f t="shared" si="3"/>
        <v>320.58</v>
      </c>
      <c r="F43" s="28">
        <f t="shared" si="3"/>
        <v>319.48</v>
      </c>
      <c r="G43" s="28">
        <f t="shared" si="3"/>
        <v>318.54000000000002</v>
      </c>
      <c r="H43" s="28">
        <f t="shared" si="3"/>
        <v>317.7</v>
      </c>
      <c r="I43" s="28">
        <f t="shared" si="3"/>
        <v>316.89999999999998</v>
      </c>
      <c r="J43" s="28">
        <f t="shared" si="3"/>
        <v>316.19</v>
      </c>
      <c r="K43" s="28">
        <f t="shared" si="3"/>
        <v>315</v>
      </c>
      <c r="L43" s="28">
        <f t="shared" si="3"/>
        <v>313.83</v>
      </c>
      <c r="M43" s="28">
        <f t="shared" si="3"/>
        <v>314.17</v>
      </c>
      <c r="N43" s="28">
        <f t="shared" si="3"/>
        <v>315.89999999999998</v>
      </c>
      <c r="P43" s="40">
        <v>-11</v>
      </c>
      <c r="Q43" s="35">
        <v>-2071.9656844995548</v>
      </c>
      <c r="R43" s="35">
        <v>1771.3079642736629</v>
      </c>
      <c r="S43" s="35">
        <v>-431.99694466626562</v>
      </c>
      <c r="T43" s="35">
        <v>1019.9471369342959</v>
      </c>
      <c r="U43" s="35">
        <v>-115.26459814225106</v>
      </c>
      <c r="V43" s="35">
        <v>-1080.6158251915356</v>
      </c>
      <c r="W43" s="35">
        <v>376.6831372359394</v>
      </c>
      <c r="X43" s="35">
        <v>491.99238503914682</v>
      </c>
      <c r="Y43" s="35">
        <v>178.07597859081417</v>
      </c>
      <c r="Z43" s="35">
        <v>681.99358666783439</v>
      </c>
      <c r="AA43" s="35">
        <v>-5332.9481965745554</v>
      </c>
      <c r="AB43" s="35">
        <v>8848.3063946090133</v>
      </c>
      <c r="AC43" s="35">
        <v>-4335.445759599429</v>
      </c>
    </row>
    <row r="44" spans="1:29" ht="19.5" thickBot="1" x14ac:dyDescent="0.45">
      <c r="A44" s="1">
        <v>22525</v>
      </c>
      <c r="B44" s="28">
        <v>314.99</v>
      </c>
      <c r="C44" s="28">
        <f t="shared" si="1"/>
        <v>316.79000000000002</v>
      </c>
      <c r="D44" s="28">
        <f t="shared" si="3"/>
        <v>318.57</v>
      </c>
      <c r="E44" s="28">
        <f t="shared" si="3"/>
        <v>319.77</v>
      </c>
      <c r="F44" s="28">
        <f t="shared" si="3"/>
        <v>320.58</v>
      </c>
      <c r="G44" s="28">
        <f t="shared" si="3"/>
        <v>319.48</v>
      </c>
      <c r="H44" s="28">
        <f t="shared" si="3"/>
        <v>318.54000000000002</v>
      </c>
      <c r="I44" s="28">
        <f t="shared" si="3"/>
        <v>317.7</v>
      </c>
      <c r="J44" s="28">
        <f t="shared" si="3"/>
        <v>316.89999999999998</v>
      </c>
      <c r="K44" s="28">
        <f t="shared" si="3"/>
        <v>316.19</v>
      </c>
      <c r="L44" s="28">
        <f t="shared" si="3"/>
        <v>315</v>
      </c>
      <c r="M44" s="28">
        <f t="shared" si="3"/>
        <v>313.83</v>
      </c>
      <c r="N44" s="28">
        <f t="shared" si="3"/>
        <v>314.17</v>
      </c>
      <c r="P44" s="41">
        <v>-12</v>
      </c>
      <c r="Q44" s="36">
        <v>-150.04356070638767</v>
      </c>
      <c r="R44" s="36">
        <v>-2044.4446699246553</v>
      </c>
      <c r="S44" s="36">
        <v>-20.093541842159397</v>
      </c>
      <c r="T44" s="36">
        <v>-415.99522186823708</v>
      </c>
      <c r="U44" s="36">
        <v>619.97783300855781</v>
      </c>
      <c r="V44" s="36">
        <v>441.39050521349492</v>
      </c>
      <c r="W44" s="36">
        <v>-720.12289121375761</v>
      </c>
      <c r="X44" s="36">
        <v>-210.2464096623076</v>
      </c>
      <c r="Y44" s="36">
        <v>289.17790040518827</v>
      </c>
      <c r="Z44" s="36">
        <v>416.01108296172669</v>
      </c>
      <c r="AA44" s="36">
        <v>1022.0872603393917</v>
      </c>
      <c r="AB44" s="36">
        <v>-4335.445759599449</v>
      </c>
      <c r="AC44" s="36">
        <v>5107.976920266985</v>
      </c>
    </row>
    <row r="45" spans="1:29" ht="19.5" thickBot="1" x14ac:dyDescent="0.45">
      <c r="A45" s="1">
        <v>22555</v>
      </c>
      <c r="B45" s="28">
        <v>315.31</v>
      </c>
      <c r="C45" s="28">
        <f t="shared" si="1"/>
        <v>314.99</v>
      </c>
      <c r="D45" s="28">
        <f t="shared" si="3"/>
        <v>316.79000000000002</v>
      </c>
      <c r="E45" s="28">
        <f t="shared" si="3"/>
        <v>318.57</v>
      </c>
      <c r="F45" s="28">
        <f t="shared" si="3"/>
        <v>319.77</v>
      </c>
      <c r="G45" s="28">
        <f t="shared" si="3"/>
        <v>320.58</v>
      </c>
      <c r="H45" s="28">
        <f t="shared" si="3"/>
        <v>319.48</v>
      </c>
      <c r="I45" s="28">
        <f t="shared" si="3"/>
        <v>318.54000000000002</v>
      </c>
      <c r="J45" s="28">
        <f t="shared" si="3"/>
        <v>317.7</v>
      </c>
      <c r="K45" s="28">
        <f t="shared" si="3"/>
        <v>316.89999999999998</v>
      </c>
      <c r="L45" s="28">
        <f t="shared" si="3"/>
        <v>316.19</v>
      </c>
      <c r="M45" s="28">
        <f t="shared" si="3"/>
        <v>315</v>
      </c>
      <c r="N45" s="28">
        <f t="shared" si="3"/>
        <v>313.83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4">
      <c r="A46" s="1">
        <v>22586</v>
      </c>
      <c r="B46" s="28">
        <v>316.10000000000002</v>
      </c>
      <c r="C46" s="28">
        <f t="shared" si="1"/>
        <v>315.31</v>
      </c>
      <c r="D46" s="28">
        <f t="shared" si="3"/>
        <v>314.99</v>
      </c>
      <c r="E46" s="28">
        <f t="shared" si="3"/>
        <v>316.79000000000002</v>
      </c>
      <c r="F46" s="28">
        <f t="shared" si="3"/>
        <v>318.57</v>
      </c>
      <c r="G46" s="28">
        <f t="shared" si="3"/>
        <v>319.77</v>
      </c>
      <c r="H46" s="28">
        <f t="shared" si="3"/>
        <v>320.58</v>
      </c>
      <c r="I46" s="28">
        <f t="shared" si="3"/>
        <v>319.48</v>
      </c>
      <c r="J46" s="28">
        <f t="shared" si="3"/>
        <v>318.54000000000002</v>
      </c>
      <c r="K46" s="28">
        <f t="shared" si="3"/>
        <v>317.7</v>
      </c>
      <c r="L46" s="28">
        <f t="shared" si="3"/>
        <v>316.89999999999998</v>
      </c>
      <c r="M46" s="28">
        <f t="shared" si="3"/>
        <v>316.19</v>
      </c>
      <c r="N46" s="28">
        <f t="shared" si="3"/>
        <v>315</v>
      </c>
      <c r="P46" s="39" t="s">
        <v>83</v>
      </c>
      <c r="Q46" s="37" t="s">
        <v>1</v>
      </c>
      <c r="R46" s="37">
        <v>-1</v>
      </c>
      <c r="S46" s="37">
        <v>-2</v>
      </c>
      <c r="T46" s="37">
        <v>-3</v>
      </c>
      <c r="U46" s="37">
        <v>-4</v>
      </c>
      <c r="V46" s="37">
        <v>-5</v>
      </c>
      <c r="W46" s="37">
        <v>-6</v>
      </c>
      <c r="X46" s="37">
        <v>-7</v>
      </c>
      <c r="Y46" s="37">
        <v>-8</v>
      </c>
      <c r="Z46" s="37">
        <v>-9</v>
      </c>
      <c r="AA46" s="37">
        <v>-10</v>
      </c>
      <c r="AB46" s="37">
        <v>-11</v>
      </c>
      <c r="AC46" s="37">
        <v>-12</v>
      </c>
    </row>
    <row r="47" spans="1:29" x14ac:dyDescent="0.4">
      <c r="A47" s="1">
        <v>22616</v>
      </c>
      <c r="B47" s="28">
        <v>317.01</v>
      </c>
      <c r="C47" s="28">
        <f t="shared" si="1"/>
        <v>316.10000000000002</v>
      </c>
      <c r="D47" s="28">
        <f t="shared" si="3"/>
        <v>315.31</v>
      </c>
      <c r="E47" s="28">
        <f t="shared" si="3"/>
        <v>314.99</v>
      </c>
      <c r="F47" s="28">
        <f t="shared" si="3"/>
        <v>316.79000000000002</v>
      </c>
      <c r="G47" s="28">
        <f t="shared" si="3"/>
        <v>318.57</v>
      </c>
      <c r="H47" s="28">
        <f t="shared" si="3"/>
        <v>319.77</v>
      </c>
      <c r="I47" s="28">
        <f t="shared" si="3"/>
        <v>320.58</v>
      </c>
      <c r="J47" s="28">
        <f t="shared" si="3"/>
        <v>319.48</v>
      </c>
      <c r="K47" s="28">
        <f t="shared" si="3"/>
        <v>318.54000000000002</v>
      </c>
      <c r="L47" s="28">
        <f t="shared" si="3"/>
        <v>317.7</v>
      </c>
      <c r="M47" s="28">
        <f t="shared" si="3"/>
        <v>316.89999999999998</v>
      </c>
      <c r="N47" s="28">
        <f t="shared" si="3"/>
        <v>316.19</v>
      </c>
      <c r="P47" s="40">
        <v>0</v>
      </c>
      <c r="Q47" s="35">
        <v>1</v>
      </c>
      <c r="R47" s="35" cm="1">
        <f t="array" ref="R47">-R32/SQRT(INDEX(_R_1,ROW(B1),ROW(B1))*INDEX(_R_1,COLUMN(B1),COLUMN(B1)))</f>
        <v>0.65113449855788152</v>
      </c>
      <c r="S47" s="35" cm="1">
        <f t="array" ref="S47">-S32/SQRT(INDEX(_R_1,ROW(C1),ROW(C1))*INDEX(_R_1,COLUMN(C1),COLUMN(C1)))</f>
        <v>-0.16317758403294011</v>
      </c>
      <c r="T47" s="35" cm="1">
        <f t="array" ref="T47">-T32/SQRT(INDEX(_R_1,ROW(D1),ROW(D1))*INDEX(_R_1,COLUMN(D1),COLUMN(D1)))</f>
        <v>-5.884282429592283E-2</v>
      </c>
      <c r="U47" s="35" cm="1">
        <f t="array" ref="U47">-U32/SQRT(INDEX(_R_1,ROW(E1),ROW(E1))*INDEX(_R_1,COLUMN(E1),COLUMN(E1)))</f>
        <v>-5.1032236741569023E-2</v>
      </c>
      <c r="V47" s="35" cm="1">
        <f t="array" ref="V47">-V32/SQRT(INDEX(_R_1,ROW(F1),ROW(F1))*INDEX(_R_1,COLUMN(F1),COLUMN(F1)))</f>
        <v>4.5803329278962024E-2</v>
      </c>
      <c r="W47" s="35" cm="1">
        <f t="array" ref="W47">-W32/SQRT(INDEX(_R_1,ROW(G1),ROW(G1))*INDEX(_R_1,COLUMN(G1),COLUMN(G1)))</f>
        <v>0.10316021362898592</v>
      </c>
      <c r="X47" s="35" cm="1">
        <f t="array" ref="X47">-X32/SQRT(INDEX(_R_1,ROW(H1),ROW(H1))*INDEX(_R_1,COLUMN(H1),COLUMN(H1)))</f>
        <v>-6.6665754066776453E-2</v>
      </c>
      <c r="Y47" s="35" cm="1">
        <f t="array" ref="Y47">-Y32/SQRT(INDEX(_R_1,ROW(I1),ROW(I1))*INDEX(_R_1,COLUMN(I1),COLUMN(I1)))</f>
        <v>-9.4237233208195562E-2</v>
      </c>
      <c r="Z47" s="35" cm="1">
        <f t="array" ref="Z47">-Z32/SQRT(INDEX(_R_1,ROW(J1),ROW(J1))*INDEX(_R_1,COLUMN(J1),COLUMN(J1)))</f>
        <v>6.5221802411510585E-2</v>
      </c>
      <c r="AA47" s="35" cm="1">
        <f t="array" ref="AA47">-AA32/SQRT(INDEX(_R_1,ROW(K1),ROW(K1))*INDEX(_R_1,COLUMN(K1),COLUMN(K1)))</f>
        <v>3.4539767533493895E-3</v>
      </c>
      <c r="AB47" s="35" cm="1">
        <f t="array" ref="AB47">-AB32/SQRT(INDEX(_R_1,ROW(L1),ROW(L1))*INDEX(_R_1,COLUMN(L1),COLUMN(L1)))</f>
        <v>0.30241023835144443</v>
      </c>
      <c r="AC47" s="35" cm="1">
        <f t="array" ref="AC47">-AC32/SQRT(INDEX(_R_1,ROW(M1),ROW(M1))*INDEX(_R_1,COLUMN(M1),COLUMN(M1)))</f>
        <v>2.882284904421737E-2</v>
      </c>
    </row>
    <row r="48" spans="1:29" x14ac:dyDescent="0.4">
      <c r="A48" s="1">
        <v>22647</v>
      </c>
      <c r="B48" s="28">
        <v>317.94</v>
      </c>
      <c r="C48" s="28">
        <f t="shared" si="1"/>
        <v>317.01</v>
      </c>
      <c r="D48" s="28">
        <f t="shared" si="3"/>
        <v>316.10000000000002</v>
      </c>
      <c r="E48" s="28">
        <f t="shared" si="3"/>
        <v>315.31</v>
      </c>
      <c r="F48" s="28">
        <f t="shared" si="3"/>
        <v>314.99</v>
      </c>
      <c r="G48" s="28">
        <f t="shared" si="3"/>
        <v>316.79000000000002</v>
      </c>
      <c r="H48" s="28">
        <f t="shared" si="3"/>
        <v>318.57</v>
      </c>
      <c r="I48" s="28">
        <f t="shared" si="3"/>
        <v>319.77</v>
      </c>
      <c r="J48" s="28">
        <f t="shared" si="3"/>
        <v>320.58</v>
      </c>
      <c r="K48" s="28">
        <f t="shared" si="3"/>
        <v>319.48</v>
      </c>
      <c r="L48" s="28">
        <f t="shared" si="3"/>
        <v>318.54000000000002</v>
      </c>
      <c r="M48" s="28">
        <f t="shared" si="3"/>
        <v>317.7</v>
      </c>
      <c r="N48" s="28">
        <f t="shared" si="3"/>
        <v>316.89999999999998</v>
      </c>
      <c r="P48" s="40">
        <v>-1</v>
      </c>
      <c r="Q48" s="35" cm="1">
        <f t="array" ref="Q48">-Q33/SQRT(INDEX(_R_1,ROW(A2),ROW(A2))*INDEX(_R_1,COLUMN(A2),COLUMN(A2)))</f>
        <v>0.65113449855788019</v>
      </c>
      <c r="R48" s="35">
        <v>1</v>
      </c>
      <c r="S48" s="35" cm="1">
        <f t="array" ref="S48">-S33/SQRT(INDEX(_R_1,ROW(C2),ROW(C2))*INDEX(_R_1,COLUMN(C2),COLUMN(C2)))</f>
        <v>0.62429812582608823</v>
      </c>
      <c r="T48" s="35" cm="1">
        <f t="array" ref="T48">-T33/SQRT(INDEX(_R_1,ROW(D2),ROW(D2))*INDEX(_R_1,COLUMN(D2),COLUMN(D2)))</f>
        <v>-8.5095344667528994E-2</v>
      </c>
      <c r="U48" s="35" cm="1">
        <f t="array" ref="U48">-U33/SQRT(INDEX(_R_1,ROW(E2),ROW(E2))*INDEX(_R_1,COLUMN(E2),COLUMN(E2)))</f>
        <v>-1.1994243531872494E-2</v>
      </c>
      <c r="V48" s="35" cm="1">
        <f t="array" ref="V48">-V33/SQRT(INDEX(_R_1,ROW(F2),ROW(F2))*INDEX(_R_1,COLUMN(F2),COLUMN(F2)))</f>
        <v>-6.9380563066596707E-2</v>
      </c>
      <c r="W48" s="35" cm="1">
        <f t="array" ref="W48">-W33/SQRT(INDEX(_R_1,ROW(G2),ROW(G2))*INDEX(_R_1,COLUMN(G2),COLUMN(G2)))</f>
        <v>-3.5725685021135142E-2</v>
      </c>
      <c r="X48" s="35" cm="1">
        <f t="array" ref="X48">-X33/SQRT(INDEX(_R_1,ROW(H2),ROW(H2))*INDEX(_R_1,COLUMN(H2),COLUMN(H2)))</f>
        <v>0.12699167850894505</v>
      </c>
      <c r="Y48" s="35" cm="1">
        <f t="array" ref="Y48">-Y33/SQRT(INDEX(_R_1,ROW(I2),ROW(I2))*INDEX(_R_1,COLUMN(I2),COLUMN(I2)))</f>
        <v>1.0963295495160527E-2</v>
      </c>
      <c r="Z48" s="35" cm="1">
        <f t="array" ref="Z48">-Z33/SQRT(INDEX(_R_1,ROW(J2),ROW(J2))*INDEX(_R_1,COLUMN(J2),COLUMN(J2)))</f>
        <v>-0.11655787159304659</v>
      </c>
      <c r="AA48" s="35" cm="1">
        <f t="array" ref="AA48">-AA33/SQRT(INDEX(_R_1,ROW(K2),ROW(K2))*INDEX(_R_1,COLUMN(K2),COLUMN(K2)))</f>
        <v>4.7406243002939434E-2</v>
      </c>
      <c r="AB48" s="35" cm="1">
        <f t="array" ref="AB48">-AB33/SQRT(INDEX(_R_1,ROW(L2),ROW(L2))*INDEX(_R_1,COLUMN(L2),COLUMN(L2)))</f>
        <v>-0.19657685786722612</v>
      </c>
      <c r="AC48" s="35" cm="1">
        <f t="array" ref="AC48">-AC33/SQRT(INDEX(_R_1,ROW(M2),ROW(M2))*INDEX(_R_1,COLUMN(M2),COLUMN(M2)))</f>
        <v>0.29862027307751066</v>
      </c>
    </row>
    <row r="49" spans="1:29" x14ac:dyDescent="0.4">
      <c r="A49" s="1">
        <v>22678</v>
      </c>
      <c r="B49" s="28">
        <v>318.55</v>
      </c>
      <c r="C49" s="28">
        <f t="shared" si="1"/>
        <v>317.94</v>
      </c>
      <c r="D49" s="28">
        <f t="shared" si="3"/>
        <v>317.01</v>
      </c>
      <c r="E49" s="28">
        <f t="shared" si="3"/>
        <v>316.10000000000002</v>
      </c>
      <c r="F49" s="28">
        <f t="shared" si="3"/>
        <v>315.31</v>
      </c>
      <c r="G49" s="28">
        <f t="shared" si="3"/>
        <v>314.99</v>
      </c>
      <c r="H49" s="28">
        <f t="shared" si="3"/>
        <v>316.79000000000002</v>
      </c>
      <c r="I49" s="28">
        <f t="shared" si="3"/>
        <v>318.57</v>
      </c>
      <c r="J49" s="28">
        <f t="shared" si="3"/>
        <v>319.77</v>
      </c>
      <c r="K49" s="28">
        <f t="shared" si="3"/>
        <v>320.58</v>
      </c>
      <c r="L49" s="28">
        <f t="shared" si="3"/>
        <v>319.48</v>
      </c>
      <c r="M49" s="28">
        <f t="shared" si="3"/>
        <v>318.54000000000002</v>
      </c>
      <c r="N49" s="28">
        <f t="shared" si="3"/>
        <v>317.7</v>
      </c>
      <c r="P49" s="40">
        <v>-2</v>
      </c>
      <c r="Q49" s="35" cm="1">
        <f t="array" ref="Q49">-Q34/SQRT(INDEX(_R_1,ROW(A3),ROW(A3))*INDEX(_R_1,COLUMN(A3),COLUMN(A3)))</f>
        <v>-0.16317758403293675</v>
      </c>
      <c r="R49" s="35" cm="1">
        <f t="array" ref="R49">-R34/SQRT(INDEX(_R_1,ROW(B3),ROW(B3))*INDEX(_R_1,COLUMN(B3),COLUMN(B3)))</f>
        <v>0.62429812582608446</v>
      </c>
      <c r="S49" s="35">
        <v>1</v>
      </c>
      <c r="T49" s="35" cm="1">
        <f t="array" ref="T49">-T34/SQRT(INDEX(_R_1,ROW(D3),ROW(D3))*INDEX(_R_1,COLUMN(D3),COLUMN(D3)))</f>
        <v>0.63579319226550313</v>
      </c>
      <c r="U49" s="35" cm="1">
        <f t="array" ref="U49">-U34/SQRT(INDEX(_R_1,ROW(E3),ROW(E3))*INDEX(_R_1,COLUMN(E3),COLUMN(E3)))</f>
        <v>-7.4083403296492434E-2</v>
      </c>
      <c r="V49" s="35" cm="1">
        <f t="array" ref="V49">-V34/SQRT(INDEX(_R_1,ROW(F3),ROW(F3))*INDEX(_R_1,COLUMN(F3),COLUMN(F3)))</f>
        <v>-3.626616901503335E-2</v>
      </c>
      <c r="W49" s="35" cm="1">
        <f t="array" ref="W49">-W34/SQRT(INDEX(_R_1,ROW(G3),ROW(G3))*INDEX(_R_1,COLUMN(G3),COLUMN(G3)))</f>
        <v>-7.2622393021901488E-2</v>
      </c>
      <c r="X49" s="35" cm="1">
        <f t="array" ref="X49">-X34/SQRT(INDEX(_R_1,ROW(H3),ROW(H3))*INDEX(_R_1,COLUMN(H3),COLUMN(H3)))</f>
        <v>-1.8091658524975074E-2</v>
      </c>
      <c r="Y49" s="35" cm="1">
        <f t="array" ref="Y49">-Y34/SQRT(INDEX(_R_1,ROW(I3),ROW(I3))*INDEX(_R_1,COLUMN(I3),COLUMN(I3)))</f>
        <v>0.12632127641431593</v>
      </c>
      <c r="Z49" s="35" cm="1">
        <f t="array" ref="Z49">-Z34/SQRT(INDEX(_R_1,ROW(J3),ROW(J3))*INDEX(_R_1,COLUMN(J3),COLUMN(J3)))</f>
        <v>1.1394188466643159E-2</v>
      </c>
      <c r="AA49" s="35" cm="1">
        <f t="array" ref="AA49">-AA34/SQRT(INDEX(_R_1,ROW(K3),ROW(K3))*INDEX(_R_1,COLUMN(K3),COLUMN(K3)))</f>
        <v>-0.14315595446817048</v>
      </c>
      <c r="AB49" s="35" cm="1">
        <f t="array" ref="AB49">-AB34/SQRT(INDEX(_R_1,ROW(L3),ROW(L3))*INDEX(_R_1,COLUMN(L3),COLUMN(L3)))</f>
        <v>4.951898498513542E-2</v>
      </c>
      <c r="AC49" s="35" cm="1">
        <f t="array" ref="AC49">-AC34/SQRT(INDEX(_R_1,ROW(M3),ROW(M3))*INDEX(_R_1,COLUMN(M3),COLUMN(M3)))</f>
        <v>3.0314692530480935E-3</v>
      </c>
    </row>
    <row r="50" spans="1:29" x14ac:dyDescent="0.4">
      <c r="A50" s="1">
        <v>22706</v>
      </c>
      <c r="B50" s="28">
        <v>319.68</v>
      </c>
      <c r="C50" s="28">
        <f t="shared" si="1"/>
        <v>318.55</v>
      </c>
      <c r="D50" s="28">
        <f t="shared" si="3"/>
        <v>317.94</v>
      </c>
      <c r="E50" s="28">
        <f t="shared" si="3"/>
        <v>317.01</v>
      </c>
      <c r="F50" s="28">
        <f t="shared" si="3"/>
        <v>316.10000000000002</v>
      </c>
      <c r="G50" s="28">
        <f t="shared" si="3"/>
        <v>315.31</v>
      </c>
      <c r="H50" s="28">
        <f t="shared" si="3"/>
        <v>314.99</v>
      </c>
      <c r="I50" s="28">
        <f t="shared" si="3"/>
        <v>316.79000000000002</v>
      </c>
      <c r="J50" s="28">
        <f t="shared" si="3"/>
        <v>318.57</v>
      </c>
      <c r="K50" s="28">
        <f t="shared" si="3"/>
        <v>319.77</v>
      </c>
      <c r="L50" s="28">
        <f t="shared" si="3"/>
        <v>320.58</v>
      </c>
      <c r="M50" s="28">
        <f t="shared" si="3"/>
        <v>319.48</v>
      </c>
      <c r="N50" s="28">
        <f t="shared" si="3"/>
        <v>318.54000000000002</v>
      </c>
      <c r="P50" s="40">
        <v>-3</v>
      </c>
      <c r="Q50" s="35" cm="1">
        <f t="array" ref="Q50">-Q35/SQRT(INDEX(_R_1,ROW(A4),ROW(A4))*INDEX(_R_1,COLUMN(A4),COLUMN(A4)))</f>
        <v>-5.8842824295925127E-2</v>
      </c>
      <c r="R50" s="35" cm="1">
        <f t="array" ref="R50">-R35/SQRT(INDEX(_R_1,ROW(B4),ROW(B4))*INDEX(_R_1,COLUMN(B4),COLUMN(B4)))</f>
        <v>-8.5095344667525455E-2</v>
      </c>
      <c r="S50" s="35" cm="1">
        <f t="array" ref="S50">-S35/SQRT(INDEX(_R_1,ROW(C4),ROW(C4))*INDEX(_R_1,COLUMN(C4),COLUMN(C4)))</f>
        <v>0.63579319226550102</v>
      </c>
      <c r="T50" s="35">
        <v>1</v>
      </c>
      <c r="U50" s="35" cm="1">
        <f t="array" ref="U50">-U35/SQRT(INDEX(_R_1,ROW(E4),ROW(E4))*INDEX(_R_1,COLUMN(E4),COLUMN(E4)))</f>
        <v>0.62993326341419476</v>
      </c>
      <c r="V50" s="35" cm="1">
        <f t="array" ref="V50">-V35/SQRT(INDEX(_R_1,ROW(F4),ROW(F4))*INDEX(_R_1,COLUMN(F4),COLUMN(F4)))</f>
        <v>-6.891792233793341E-2</v>
      </c>
      <c r="W50" s="35" cm="1">
        <f t="array" ref="W50">-W35/SQRT(INDEX(_R_1,ROW(G4),ROW(G4))*INDEX(_R_1,COLUMN(G4),COLUMN(G4)))</f>
        <v>-3.4540182120902659E-2</v>
      </c>
      <c r="X50" s="35" cm="1">
        <f t="array" ref="X50">-X35/SQRT(INDEX(_R_1,ROW(H4),ROW(H4))*INDEX(_R_1,COLUMN(H4),COLUMN(H4)))</f>
        <v>-7.1472367282592861E-2</v>
      </c>
      <c r="Y50" s="35" cm="1">
        <f t="array" ref="Y50">-Y35/SQRT(INDEX(_R_1,ROW(I4),ROW(I4))*INDEX(_R_1,COLUMN(I4),COLUMN(I4)))</f>
        <v>-2.4674794913956435E-2</v>
      </c>
      <c r="Z50" s="35" cm="1">
        <f t="array" ref="Z50">-Z35/SQRT(INDEX(_R_1,ROW(J4),ROW(J4))*INDEX(_R_1,COLUMN(J4),COLUMN(J4)))</f>
        <v>0.12670464498251355</v>
      </c>
      <c r="AA50" s="35" cm="1">
        <f t="array" ref="AA50">-AA35/SQRT(INDEX(_R_1,ROW(K4),ROW(K4))*INDEX(_R_1,COLUMN(K4),COLUMN(K4)))</f>
        <v>1.2897084848503965E-2</v>
      </c>
      <c r="AB50" s="35" cm="1">
        <f t="array" ref="AB50">-AB35/SQRT(INDEX(_R_1,ROW(L4),ROW(L4))*INDEX(_R_1,COLUMN(L4),COLUMN(L4)))</f>
        <v>-0.11704314722300843</v>
      </c>
      <c r="AC50" s="35" cm="1">
        <f t="array" ref="AC50">-AC35/SQRT(INDEX(_R_1,ROW(M4),ROW(M4))*INDEX(_R_1,COLUMN(M4),COLUMN(M4)))</f>
        <v>6.2829309031728175E-2</v>
      </c>
    </row>
    <row r="51" spans="1:29" x14ac:dyDescent="0.4">
      <c r="A51" s="1">
        <v>22737</v>
      </c>
      <c r="B51" s="28">
        <v>320.57</v>
      </c>
      <c r="C51" s="28">
        <f t="shared" si="1"/>
        <v>319.68</v>
      </c>
      <c r="D51" s="28">
        <f t="shared" si="3"/>
        <v>318.55</v>
      </c>
      <c r="E51" s="28">
        <f t="shared" si="3"/>
        <v>317.94</v>
      </c>
      <c r="F51" s="28">
        <f t="shared" si="3"/>
        <v>317.01</v>
      </c>
      <c r="G51" s="28">
        <f t="shared" si="3"/>
        <v>316.10000000000002</v>
      </c>
      <c r="H51" s="28">
        <f t="shared" si="3"/>
        <v>315.31</v>
      </c>
      <c r="I51" s="28">
        <f t="shared" si="3"/>
        <v>314.99</v>
      </c>
      <c r="J51" s="28">
        <f t="shared" si="3"/>
        <v>316.79000000000002</v>
      </c>
      <c r="K51" s="28">
        <f t="shared" si="3"/>
        <v>318.57</v>
      </c>
      <c r="L51" s="28">
        <f t="shared" si="3"/>
        <v>319.77</v>
      </c>
      <c r="M51" s="28">
        <f t="shared" si="3"/>
        <v>320.58</v>
      </c>
      <c r="N51" s="28">
        <f t="shared" si="3"/>
        <v>319.48</v>
      </c>
      <c r="P51" s="40">
        <v>-4</v>
      </c>
      <c r="Q51" s="35" cm="1">
        <f t="array" ref="Q51">-Q36/SQRT(INDEX(_R_1,ROW(A5),ROW(A5))*INDEX(_R_1,COLUMN(A5),COLUMN(A5)))</f>
        <v>-5.103223674157141E-2</v>
      </c>
      <c r="R51" s="35" cm="1">
        <f t="array" ref="R51">-R36/SQRT(INDEX(_R_1,ROW(B5),ROW(B5))*INDEX(_R_1,COLUMN(B5),COLUMN(B5)))</f>
        <v>-1.1994243531871666E-2</v>
      </c>
      <c r="S51" s="35" cm="1">
        <f t="array" ref="S51">-S36/SQRT(INDEX(_R_1,ROW(C5),ROW(C5))*INDEX(_R_1,COLUMN(C5),COLUMN(C5)))</f>
        <v>-7.4083403296490644E-2</v>
      </c>
      <c r="T51" s="35" cm="1">
        <f t="array" ref="T51">-T36/SQRT(INDEX(_R_1,ROW(D5),ROW(D5))*INDEX(_R_1,COLUMN(D5),COLUMN(D5)))</f>
        <v>0.62993326341419487</v>
      </c>
      <c r="U51" s="35">
        <v>1</v>
      </c>
      <c r="V51" s="35" cm="1">
        <f t="array" ref="V51">-V36/SQRT(INDEX(_R_1,ROW(F5),ROW(F5))*INDEX(_R_1,COLUMN(F5),COLUMN(F5)))</f>
        <v>0.62825105794741543</v>
      </c>
      <c r="W51" s="35" cm="1">
        <f t="array" ref="W51">-W36/SQRT(INDEX(_R_1,ROW(G5),ROW(G5))*INDEX(_R_1,COLUMN(G5),COLUMN(G5)))</f>
        <v>-6.4685162150299277E-2</v>
      </c>
      <c r="X51" s="35" cm="1">
        <f t="array" ref="X51">-X36/SQRT(INDEX(_R_1,ROW(H5),ROW(H5))*INDEX(_R_1,COLUMN(H5),COLUMN(H5)))</f>
        <v>-3.4442872668611041E-2</v>
      </c>
      <c r="Y51" s="35" cm="1">
        <f t="array" ref="Y51">-Y36/SQRT(INDEX(_R_1,ROW(I5),ROW(I5))*INDEX(_R_1,COLUMN(I5),COLUMN(I5)))</f>
        <v>-7.3703774417328283E-2</v>
      </c>
      <c r="Z51" s="35" cm="1">
        <f t="array" ref="Z51">-Z36/SQRT(INDEX(_R_1,ROW(J5),ROW(J5))*INDEX(_R_1,COLUMN(J5),COLUMN(J5)))</f>
        <v>-2.2624301164741897E-2</v>
      </c>
      <c r="AA51" s="35" cm="1">
        <f t="array" ref="AA51">-AA36/SQRT(INDEX(_R_1,ROW(K5),ROW(K5))*INDEX(_R_1,COLUMN(K5),COLUMN(K5)))</f>
        <v>0.12452824898432804</v>
      </c>
      <c r="AB51" s="35" cm="1">
        <f t="array" ref="AB51">-AB36/SQRT(INDEX(_R_1,ROW(L5),ROW(L5))*INDEX(_R_1,COLUMN(L5),COLUMN(L5)))</f>
        <v>1.3275346608343631E-2</v>
      </c>
      <c r="AC51" s="35" cm="1">
        <f t="array" ref="AC51">-AC36/SQRT(INDEX(_R_1,ROW(M5),ROW(M5))*INDEX(_R_1,COLUMN(M5),COLUMN(M5)))</f>
        <v>-9.3979191288738329E-2</v>
      </c>
    </row>
    <row r="52" spans="1:29" x14ac:dyDescent="0.4">
      <c r="A52" s="1">
        <v>22767</v>
      </c>
      <c r="B52" s="28">
        <v>321.02</v>
      </c>
      <c r="C52" s="28">
        <f t="shared" si="1"/>
        <v>320.57</v>
      </c>
      <c r="D52" s="28">
        <f t="shared" si="3"/>
        <v>319.68</v>
      </c>
      <c r="E52" s="28">
        <f t="shared" si="3"/>
        <v>318.55</v>
      </c>
      <c r="F52" s="28">
        <f t="shared" si="3"/>
        <v>317.94</v>
      </c>
      <c r="G52" s="28">
        <f t="shared" si="3"/>
        <v>317.01</v>
      </c>
      <c r="H52" s="28">
        <f t="shared" si="3"/>
        <v>316.10000000000002</v>
      </c>
      <c r="I52" s="28">
        <f t="shared" si="3"/>
        <v>315.31</v>
      </c>
      <c r="J52" s="28">
        <f t="shared" si="3"/>
        <v>314.99</v>
      </c>
      <c r="K52" s="28">
        <f t="shared" si="3"/>
        <v>316.79000000000002</v>
      </c>
      <c r="L52" s="28">
        <f t="shared" si="3"/>
        <v>318.57</v>
      </c>
      <c r="M52" s="28">
        <f t="shared" si="3"/>
        <v>319.77</v>
      </c>
      <c r="N52" s="28">
        <f t="shared" si="3"/>
        <v>320.58</v>
      </c>
      <c r="P52" s="40">
        <v>-5</v>
      </c>
      <c r="Q52" s="35" cm="1">
        <f t="array" ref="Q52">-Q37/SQRT(INDEX(_R_1,ROW(A6),ROW(A6))*INDEX(_R_1,COLUMN(A6),COLUMN(A6)))</f>
        <v>4.580332927896253E-2</v>
      </c>
      <c r="R52" s="35" cm="1">
        <f t="array" ref="R52">-R37/SQRT(INDEX(_R_1,ROW(B6),ROW(B6))*INDEX(_R_1,COLUMN(B6),COLUMN(B6)))</f>
        <v>-6.9380563066595277E-2</v>
      </c>
      <c r="S52" s="35" cm="1">
        <f t="array" ref="S52">-S37/SQRT(INDEX(_R_1,ROW(C6),ROW(C6))*INDEX(_R_1,COLUMN(C6),COLUMN(C6)))</f>
        <v>-3.6266169015036841E-2</v>
      </c>
      <c r="T52" s="35" cm="1">
        <f t="array" ref="T52">-T37/SQRT(INDEX(_R_1,ROW(D6),ROW(D6))*INDEX(_R_1,COLUMN(D6),COLUMN(D6)))</f>
        <v>-6.8917922337934326E-2</v>
      </c>
      <c r="U52" s="35" cm="1">
        <f t="array" ref="U52">-U37/SQRT(INDEX(_R_1,ROW(E6),ROW(E6))*INDEX(_R_1,COLUMN(E6),COLUMN(E6)))</f>
        <v>0.62825105794741842</v>
      </c>
      <c r="V52" s="35">
        <v>1</v>
      </c>
      <c r="W52" s="35" cm="1">
        <f t="array" ref="W52">-W37/SQRT(INDEX(_R_1,ROW(G6),ROW(G6))*INDEX(_R_1,COLUMN(G6),COLUMN(G6)))</f>
        <v>0.62939754989311048</v>
      </c>
      <c r="X52" s="35" cm="1">
        <f t="array" ref="X52">-X37/SQRT(INDEX(_R_1,ROW(H6),ROW(H6))*INDEX(_R_1,COLUMN(H6),COLUMN(H6)))</f>
        <v>-7.0648478337970819E-2</v>
      </c>
      <c r="Y52" s="35" cm="1">
        <f t="array" ref="Y52">-Y37/SQRT(INDEX(_R_1,ROW(I6),ROW(I6))*INDEX(_R_1,COLUMN(I6),COLUMN(I6)))</f>
        <v>-3.3381804772838676E-2</v>
      </c>
      <c r="Z52" s="35" cm="1">
        <f t="array" ref="Z52">-Z37/SQRT(INDEX(_R_1,ROW(J6),ROW(J6))*INDEX(_R_1,COLUMN(J6),COLUMN(J6)))</f>
        <v>-7.3650211107132518E-2</v>
      </c>
      <c r="AA52" s="35" cm="1">
        <f t="array" ref="AA52">-AA37/SQRT(INDEX(_R_1,ROW(K6),ROW(K6))*INDEX(_R_1,COLUMN(K6),COLUMN(K6)))</f>
        <v>-1.8025518512636427E-2</v>
      </c>
      <c r="AB52" s="35" cm="1">
        <f t="array" ref="AB52">-AB37/SQRT(INDEX(_R_1,ROW(L6),ROW(L6))*INDEX(_R_1,COLUMN(L6),COLUMN(L6)))</f>
        <v>0.12512000587306868</v>
      </c>
      <c r="AC52" s="35" cm="1">
        <f t="array" ref="AC52">-AC37/SQRT(INDEX(_R_1,ROW(M6),ROW(M6))*INDEX(_R_1,COLUMN(M6),COLUMN(M6)))</f>
        <v>-6.7264207971328718E-2</v>
      </c>
    </row>
    <row r="53" spans="1:29" x14ac:dyDescent="0.4">
      <c r="A53" s="1">
        <v>22798</v>
      </c>
      <c r="B53" s="28">
        <v>320.62</v>
      </c>
      <c r="C53" s="28">
        <f t="shared" si="1"/>
        <v>321.02</v>
      </c>
      <c r="D53" s="28">
        <f t="shared" ref="D53:N67" si="4">IF(C52=0,"",C52)</f>
        <v>320.57</v>
      </c>
      <c r="E53" s="28">
        <f t="shared" si="4"/>
        <v>319.68</v>
      </c>
      <c r="F53" s="28">
        <f t="shared" si="4"/>
        <v>318.55</v>
      </c>
      <c r="G53" s="28">
        <f t="shared" si="4"/>
        <v>317.94</v>
      </c>
      <c r="H53" s="28">
        <f t="shared" si="4"/>
        <v>317.01</v>
      </c>
      <c r="I53" s="28">
        <f t="shared" si="4"/>
        <v>316.10000000000002</v>
      </c>
      <c r="J53" s="28">
        <f t="shared" si="4"/>
        <v>315.31</v>
      </c>
      <c r="K53" s="28">
        <f t="shared" si="4"/>
        <v>314.99</v>
      </c>
      <c r="L53" s="28">
        <f t="shared" si="4"/>
        <v>316.79000000000002</v>
      </c>
      <c r="M53" s="28">
        <f t="shared" si="4"/>
        <v>318.57</v>
      </c>
      <c r="N53" s="28">
        <f t="shared" si="4"/>
        <v>319.77</v>
      </c>
      <c r="P53" s="40">
        <v>-6</v>
      </c>
      <c r="Q53" s="35" cm="1">
        <f t="array" ref="Q53">-Q38/SQRT(INDEX(_R_1,ROW(A7),ROW(A7))*INDEX(_R_1,COLUMN(A7),COLUMN(A7)))</f>
        <v>0.10316021362898634</v>
      </c>
      <c r="R53" s="35" cm="1">
        <f t="array" ref="R53">-R38/SQRT(INDEX(_R_1,ROW(B7),ROW(B7))*INDEX(_R_1,COLUMN(B7),COLUMN(B7)))</f>
        <v>-3.5725685021135087E-2</v>
      </c>
      <c r="S53" s="35" cm="1">
        <f t="array" ref="S53">-S38/SQRT(INDEX(_R_1,ROW(C7),ROW(C7))*INDEX(_R_1,COLUMN(C7),COLUMN(C7)))</f>
        <v>-7.2622393021901877E-2</v>
      </c>
      <c r="T53" s="35" cm="1">
        <f t="array" ref="T53">-T38/SQRT(INDEX(_R_1,ROW(D7),ROW(D7))*INDEX(_R_1,COLUMN(D7),COLUMN(D7)))</f>
        <v>-3.4540182120901562E-2</v>
      </c>
      <c r="U53" s="35" cm="1">
        <f t="array" ref="U53">-U38/SQRT(INDEX(_R_1,ROW(E7),ROW(E7))*INDEX(_R_1,COLUMN(E7),COLUMN(E7)))</f>
        <v>-6.4685162150300513E-2</v>
      </c>
      <c r="V53" s="35" cm="1">
        <f t="array" ref="V53">-V38/SQRT(INDEX(_R_1,ROW(F7),ROW(F7))*INDEX(_R_1,COLUMN(F7),COLUMN(F7)))</f>
        <v>0.62939754989311181</v>
      </c>
      <c r="W53" s="35">
        <v>1</v>
      </c>
      <c r="X53" s="35" cm="1">
        <f t="array" ref="X53">-X38/SQRT(INDEX(_R_1,ROW(H7),ROW(H7))*INDEX(_R_1,COLUMN(H7),COLUMN(H7)))</f>
        <v>0.62801597323714808</v>
      </c>
      <c r="Y53" s="35" cm="1">
        <f t="array" ref="Y53">-Y38/SQRT(INDEX(_R_1,ROW(I7),ROW(I7))*INDEX(_R_1,COLUMN(I7),COLUMN(I7)))</f>
        <v>-6.2228367131877474E-2</v>
      </c>
      <c r="Z53" s="35" cm="1">
        <f t="array" ref="Z53">-Z38/SQRT(INDEX(_R_1,ROW(J7),ROW(J7))*INDEX(_R_1,COLUMN(J7),COLUMN(J7)))</f>
        <v>-3.5423471654603925E-2</v>
      </c>
      <c r="AA53" s="35" cm="1">
        <f t="array" ref="AA53">-AA38/SQRT(INDEX(_R_1,ROW(K7),ROW(K7))*INDEX(_R_1,COLUMN(K7),COLUMN(K7)))</f>
        <v>-6.8477692597771839E-2</v>
      </c>
      <c r="AB53" s="35" cm="1">
        <f t="array" ref="AB53">-AB38/SQRT(INDEX(_R_1,ROW(L7),ROW(L7))*INDEX(_R_1,COLUMN(L7),COLUMN(L7)))</f>
        <v>-4.360367537665847E-2</v>
      </c>
      <c r="AC53" s="35" cm="1">
        <f t="array" ref="AC53">-AC38/SQRT(INDEX(_R_1,ROW(M7),ROW(M7))*INDEX(_R_1,COLUMN(M7),COLUMN(M7)))</f>
        <v>0.10971326727388027</v>
      </c>
    </row>
    <row r="54" spans="1:29" x14ac:dyDescent="0.4">
      <c r="A54" s="1">
        <v>22828</v>
      </c>
      <c r="B54" s="28">
        <v>319.61</v>
      </c>
      <c r="C54" s="28">
        <f t="shared" si="1"/>
        <v>320.62</v>
      </c>
      <c r="D54" s="28">
        <f t="shared" si="4"/>
        <v>321.02</v>
      </c>
      <c r="E54" s="28">
        <f t="shared" si="4"/>
        <v>320.57</v>
      </c>
      <c r="F54" s="28">
        <f t="shared" si="4"/>
        <v>319.68</v>
      </c>
      <c r="G54" s="28">
        <f t="shared" si="4"/>
        <v>318.55</v>
      </c>
      <c r="H54" s="28">
        <f t="shared" si="4"/>
        <v>317.94</v>
      </c>
      <c r="I54" s="28">
        <f t="shared" si="4"/>
        <v>317.01</v>
      </c>
      <c r="J54" s="28">
        <f t="shared" si="4"/>
        <v>316.10000000000002</v>
      </c>
      <c r="K54" s="28">
        <f t="shared" si="4"/>
        <v>315.31</v>
      </c>
      <c r="L54" s="28">
        <f t="shared" si="4"/>
        <v>314.99</v>
      </c>
      <c r="M54" s="28">
        <f t="shared" si="4"/>
        <v>316.79000000000002</v>
      </c>
      <c r="N54" s="28">
        <f t="shared" si="4"/>
        <v>318.57</v>
      </c>
      <c r="P54" s="40">
        <v>-7</v>
      </c>
      <c r="Q54" s="35" cm="1">
        <f t="array" ref="Q54">-Q39/SQRT(INDEX(_R_1,ROW(A8),ROW(A8))*INDEX(_R_1,COLUMN(A8),COLUMN(A8)))</f>
        <v>-6.6665754066773802E-2</v>
      </c>
      <c r="R54" s="35" cm="1">
        <f t="array" ref="R54">-R39/SQRT(INDEX(_R_1,ROW(B8),ROW(B8))*INDEX(_R_1,COLUMN(B8),COLUMN(B8)))</f>
        <v>0.12699167850893975</v>
      </c>
      <c r="S54" s="35" cm="1">
        <f t="array" ref="S54">-S39/SQRT(INDEX(_R_1,ROW(C8),ROW(C8))*INDEX(_R_1,COLUMN(C8),COLUMN(C8)))</f>
        <v>-1.8091658524969616E-2</v>
      </c>
      <c r="T54" s="35" cm="1">
        <f t="array" ref="T54">-T39/SQRT(INDEX(_R_1,ROW(D8),ROW(D8))*INDEX(_R_1,COLUMN(D8),COLUMN(D8)))</f>
        <v>-7.1472367282594804E-2</v>
      </c>
      <c r="U54" s="35" cm="1">
        <f t="array" ref="U54">-U39/SQRT(INDEX(_R_1,ROW(E8),ROW(E8))*INDEX(_R_1,COLUMN(E8),COLUMN(E8)))</f>
        <v>-3.4442872668611513E-2</v>
      </c>
      <c r="V54" s="35" cm="1">
        <f t="array" ref="V54">-V39/SQRT(INDEX(_R_1,ROW(F8),ROW(F8))*INDEX(_R_1,COLUMN(F8),COLUMN(F8)))</f>
        <v>-7.0648478337973539E-2</v>
      </c>
      <c r="W54" s="35" cm="1">
        <f t="array" ref="W54">-W39/SQRT(INDEX(_R_1,ROW(G8),ROW(G8))*INDEX(_R_1,COLUMN(G8),COLUMN(G8)))</f>
        <v>0.62801597323715397</v>
      </c>
      <c r="X54" s="35">
        <v>1</v>
      </c>
      <c r="Y54" s="35" cm="1">
        <f t="array" ref="Y54">-Y39/SQRT(INDEX(_R_1,ROW(I8),ROW(I8))*INDEX(_R_1,COLUMN(I8),COLUMN(I8)))</f>
        <v>0.62586204899110165</v>
      </c>
      <c r="Z54" s="35" cm="1">
        <f t="array" ref="Z54">-Z39/SQRT(INDEX(_R_1,ROW(J8),ROW(J8))*INDEX(_R_1,COLUMN(J8),COLUMN(J8)))</f>
        <v>-6.4272085451322167E-2</v>
      </c>
      <c r="AA54" s="35" cm="1">
        <f t="array" ref="AA54">-AA39/SQRT(INDEX(_R_1,ROW(K8),ROW(K8))*INDEX(_R_1,COLUMN(K8),COLUMN(K8)))</f>
        <v>-4.4639659434775221E-2</v>
      </c>
      <c r="AB54" s="35" cm="1">
        <f t="array" ref="AB54">-AB39/SQRT(INDEX(_R_1,ROW(L8),ROW(L8))*INDEX(_R_1,COLUMN(L8),COLUMN(L8)))</f>
        <v>-5.7318880847187323E-2</v>
      </c>
      <c r="AC54" s="35" cm="1">
        <f t="array" ref="AC54">-AC39/SQRT(INDEX(_R_1,ROW(M8),ROW(M8))*INDEX(_R_1,COLUMN(M8),COLUMN(M8)))</f>
        <v>3.2238403204971351E-2</v>
      </c>
    </row>
    <row r="55" spans="1:29" x14ac:dyDescent="0.4">
      <c r="A55" s="1">
        <v>22859</v>
      </c>
      <c r="B55" s="28">
        <v>317.39999999999998</v>
      </c>
      <c r="C55" s="28">
        <f t="shared" si="1"/>
        <v>319.61</v>
      </c>
      <c r="D55" s="28">
        <f t="shared" si="4"/>
        <v>320.62</v>
      </c>
      <c r="E55" s="28">
        <f t="shared" si="4"/>
        <v>321.02</v>
      </c>
      <c r="F55" s="28">
        <f t="shared" si="4"/>
        <v>320.57</v>
      </c>
      <c r="G55" s="28">
        <f t="shared" si="4"/>
        <v>319.68</v>
      </c>
      <c r="H55" s="28">
        <f t="shared" si="4"/>
        <v>318.55</v>
      </c>
      <c r="I55" s="28">
        <f t="shared" si="4"/>
        <v>317.94</v>
      </c>
      <c r="J55" s="28">
        <f t="shared" si="4"/>
        <v>317.01</v>
      </c>
      <c r="K55" s="28">
        <f t="shared" si="4"/>
        <v>316.10000000000002</v>
      </c>
      <c r="L55" s="28">
        <f t="shared" si="4"/>
        <v>315.31</v>
      </c>
      <c r="M55" s="28">
        <f t="shared" si="4"/>
        <v>314.99</v>
      </c>
      <c r="N55" s="28">
        <f t="shared" si="4"/>
        <v>316.79000000000002</v>
      </c>
      <c r="P55" s="40">
        <v>-8</v>
      </c>
      <c r="Q55" s="35" cm="1">
        <f t="array" ref="Q55">-Q40/SQRT(INDEX(_R_1,ROW(A9),ROW(A9))*INDEX(_R_1,COLUMN(A9),COLUMN(A9)))</f>
        <v>-9.4237233208200349E-2</v>
      </c>
      <c r="R55" s="35" cm="1">
        <f t="array" ref="R55">-R40/SQRT(INDEX(_R_1,ROW(B9),ROW(B9))*INDEX(_R_1,COLUMN(B9),COLUMN(B9)))</f>
        <v>1.0963295495169076E-2</v>
      </c>
      <c r="S55" s="35" cm="1">
        <f t="array" ref="S55">-S40/SQRT(INDEX(_R_1,ROW(C9),ROW(C9))*INDEX(_R_1,COLUMN(C9),COLUMN(C9)))</f>
        <v>0.12632127641430821</v>
      </c>
      <c r="T55" s="35" cm="1">
        <f t="array" ref="T55">-T40/SQRT(INDEX(_R_1,ROW(D9),ROW(D9))*INDEX(_R_1,COLUMN(D9),COLUMN(D9)))</f>
        <v>-2.4674794913953406E-2</v>
      </c>
      <c r="U55" s="35" cm="1">
        <f t="array" ref="U55">-U40/SQRT(INDEX(_R_1,ROW(E9),ROW(E9))*INDEX(_R_1,COLUMN(E9),COLUMN(E9)))</f>
        <v>-7.3703774417330947E-2</v>
      </c>
      <c r="V55" s="35" cm="1">
        <f t="array" ref="V55">-V40/SQRT(INDEX(_R_1,ROW(F9),ROW(F9))*INDEX(_R_1,COLUMN(F9),COLUMN(F9)))</f>
        <v>-3.3381804772828809E-2</v>
      </c>
      <c r="W55" s="35" cm="1">
        <f t="array" ref="W55">-W40/SQRT(INDEX(_R_1,ROW(G9),ROW(G9))*INDEX(_R_1,COLUMN(G9),COLUMN(G9)))</f>
        <v>-6.2228367131892649E-2</v>
      </c>
      <c r="X55" s="35" cm="1">
        <f t="array" ref="X55">-X40/SQRT(INDEX(_R_1,ROW(H9),ROW(H9))*INDEX(_R_1,COLUMN(H9),COLUMN(H9)))</f>
        <v>0.62586204899111209</v>
      </c>
      <c r="Y55" s="35">
        <v>1</v>
      </c>
      <c r="Z55" s="35" cm="1">
        <f t="array" ref="Z55">-Z40/SQRT(INDEX(_R_1,ROW(J9),ROW(J9))*INDEX(_R_1,COLUMN(J9),COLUMN(J9)))</f>
        <v>0.62747810789879943</v>
      </c>
      <c r="AA55" s="35" cm="1">
        <f t="array" ref="AA55">-AA40/SQRT(INDEX(_R_1,ROW(K9),ROW(K9))*INDEX(_R_1,COLUMN(K9),COLUMN(K9)))</f>
        <v>-6.4914236445360776E-2</v>
      </c>
      <c r="AB55" s="35" cm="1">
        <f t="array" ref="AB55">-AB40/SQRT(INDEX(_R_1,ROW(L9),ROW(L9))*INDEX(_R_1,COLUMN(L9),COLUMN(L9)))</f>
        <v>-2.0688995533482756E-2</v>
      </c>
      <c r="AC55" s="35" cm="1">
        <f t="array" ref="AC55">-AC40/SQRT(INDEX(_R_1,ROW(M9),ROW(M9))*INDEX(_R_1,COLUMN(M9),COLUMN(M9)))</f>
        <v>-4.4218578752180313E-2</v>
      </c>
    </row>
    <row r="56" spans="1:29" x14ac:dyDescent="0.4">
      <c r="A56" s="1">
        <v>22890</v>
      </c>
      <c r="B56" s="28">
        <v>316.25</v>
      </c>
      <c r="C56" s="28">
        <f t="shared" si="1"/>
        <v>317.39999999999998</v>
      </c>
      <c r="D56" s="28">
        <f t="shared" si="4"/>
        <v>319.61</v>
      </c>
      <c r="E56" s="28">
        <f t="shared" si="4"/>
        <v>320.62</v>
      </c>
      <c r="F56" s="28">
        <f t="shared" si="4"/>
        <v>321.02</v>
      </c>
      <c r="G56" s="28">
        <f t="shared" si="4"/>
        <v>320.57</v>
      </c>
      <c r="H56" s="28">
        <f t="shared" si="4"/>
        <v>319.68</v>
      </c>
      <c r="I56" s="28">
        <f t="shared" si="4"/>
        <v>318.55</v>
      </c>
      <c r="J56" s="28">
        <f t="shared" si="4"/>
        <v>317.94</v>
      </c>
      <c r="K56" s="28">
        <f t="shared" si="4"/>
        <v>317.01</v>
      </c>
      <c r="L56" s="28">
        <f t="shared" si="4"/>
        <v>316.10000000000002</v>
      </c>
      <c r="M56" s="28">
        <f t="shared" si="4"/>
        <v>315.31</v>
      </c>
      <c r="N56" s="28">
        <f t="shared" si="4"/>
        <v>314.99</v>
      </c>
      <c r="P56" s="40">
        <v>-9</v>
      </c>
      <c r="Q56" s="35" cm="1">
        <f t="array" ref="Q56">-Q41/SQRT(INDEX(_R_1,ROW(A10),ROW(A10))*INDEX(_R_1,COLUMN(A10),COLUMN(A10)))</f>
        <v>6.5221802411514221E-2</v>
      </c>
      <c r="R56" s="35" cm="1">
        <f t="array" ref="R56">-R41/SQRT(INDEX(_R_1,ROW(B10),ROW(B10))*INDEX(_R_1,COLUMN(B10),COLUMN(B10)))</f>
        <v>-0.11655787159305216</v>
      </c>
      <c r="S56" s="35" cm="1">
        <f t="array" ref="S56">-S41/SQRT(INDEX(_R_1,ROW(C10),ROW(C10))*INDEX(_R_1,COLUMN(C10),COLUMN(C10)))</f>
        <v>1.1394188466645779E-2</v>
      </c>
      <c r="T56" s="35" cm="1">
        <f t="array" ref="T56">-T41/SQRT(INDEX(_R_1,ROW(D10),ROW(D10))*INDEX(_R_1,COLUMN(D10),COLUMN(D10)))</f>
        <v>0.12670464498251324</v>
      </c>
      <c r="U56" s="35" cm="1">
        <f t="array" ref="U56">-U41/SQRT(INDEX(_R_1,ROW(E10),ROW(E10))*INDEX(_R_1,COLUMN(E10),COLUMN(E10)))</f>
        <v>-2.2624301164733965E-2</v>
      </c>
      <c r="V56" s="35" cm="1">
        <f t="array" ref="V56">-V41/SQRT(INDEX(_R_1,ROW(F10),ROW(F10))*INDEX(_R_1,COLUMN(F10),COLUMN(F10)))</f>
        <v>-7.3650211107151697E-2</v>
      </c>
      <c r="W56" s="35" cm="1">
        <f t="array" ref="W56">-W41/SQRT(INDEX(_R_1,ROW(G10),ROW(G10))*INDEX(_R_1,COLUMN(G10),COLUMN(G10)))</f>
        <v>-3.5423471654582893E-2</v>
      </c>
      <c r="X56" s="35" cm="1">
        <f t="array" ref="X56">-X41/SQRT(INDEX(_R_1,ROW(H10),ROW(H10))*INDEX(_R_1,COLUMN(H10),COLUMN(H10)))</f>
        <v>-6.4272085451336711E-2</v>
      </c>
      <c r="Y56" s="35" cm="1">
        <f t="array" ref="Y56">-Y41/SQRT(INDEX(_R_1,ROW(I10),ROW(I10))*INDEX(_R_1,COLUMN(I10),COLUMN(I10)))</f>
        <v>0.62747810789880654</v>
      </c>
      <c r="Z56" s="35">
        <v>1</v>
      </c>
      <c r="AA56" s="35" cm="1">
        <f t="array" ref="AA56">-AA41/SQRT(INDEX(_R_1,ROW(K10),ROW(K10))*INDEX(_R_1,COLUMN(K10),COLUMN(K10)))</f>
        <v>0.63161005501489798</v>
      </c>
      <c r="AB56" s="35" cm="1">
        <f t="array" ref="AB56">-AB41/SQRT(INDEX(_R_1,ROW(L10),ROW(L10))*INDEX(_R_1,COLUMN(L10),COLUMN(L10)))</f>
        <v>-7.9270235044689261E-2</v>
      </c>
      <c r="AC56" s="35" cm="1">
        <f t="array" ref="AC56">-AC41/SQRT(INDEX(_R_1,ROW(M10),ROW(M10))*INDEX(_R_1,COLUMN(M10),COLUMN(M10)))</f>
        <v>-6.3641494448515273E-2</v>
      </c>
    </row>
    <row r="57" spans="1:29" x14ac:dyDescent="0.4">
      <c r="A57" s="1">
        <v>22920</v>
      </c>
      <c r="B57" s="28">
        <v>315.42</v>
      </c>
      <c r="C57" s="28">
        <f t="shared" si="1"/>
        <v>316.25</v>
      </c>
      <c r="D57" s="28">
        <f t="shared" si="4"/>
        <v>317.39999999999998</v>
      </c>
      <c r="E57" s="28">
        <f t="shared" si="4"/>
        <v>319.61</v>
      </c>
      <c r="F57" s="28">
        <f t="shared" si="4"/>
        <v>320.62</v>
      </c>
      <c r="G57" s="28">
        <f t="shared" si="4"/>
        <v>321.02</v>
      </c>
      <c r="H57" s="28">
        <f t="shared" si="4"/>
        <v>320.57</v>
      </c>
      <c r="I57" s="28">
        <f t="shared" si="4"/>
        <v>319.68</v>
      </c>
      <c r="J57" s="28">
        <f t="shared" si="4"/>
        <v>318.55</v>
      </c>
      <c r="K57" s="28">
        <f t="shared" si="4"/>
        <v>317.94</v>
      </c>
      <c r="L57" s="28">
        <f t="shared" si="4"/>
        <v>317.01</v>
      </c>
      <c r="M57" s="28">
        <f t="shared" si="4"/>
        <v>316.10000000000002</v>
      </c>
      <c r="N57" s="28">
        <f t="shared" si="4"/>
        <v>315.31</v>
      </c>
      <c r="P57" s="40">
        <v>-10</v>
      </c>
      <c r="Q57" s="35" cm="1">
        <f t="array" ref="Q57">-Q42/SQRT(INDEX(_R_1,ROW(A11),ROW(A11))*INDEX(_R_1,COLUMN(A11),COLUMN(A11)))</f>
        <v>3.4539767533506866E-3</v>
      </c>
      <c r="R57" s="35" cm="1">
        <f t="array" ref="R57">-R42/SQRT(INDEX(_R_1,ROW(B11),ROW(B11))*INDEX(_R_1,COLUMN(B11),COLUMN(B11)))</f>
        <v>4.7406243002938178E-2</v>
      </c>
      <c r="S57" s="35" cm="1">
        <f t="array" ref="S57">-S42/SQRT(INDEX(_R_1,ROW(C11),ROW(C11))*INDEX(_R_1,COLUMN(C11),COLUMN(C11)))</f>
        <v>-0.14315595446816876</v>
      </c>
      <c r="T57" s="35" cm="1">
        <f t="array" ref="T57">-T42/SQRT(INDEX(_R_1,ROW(D11),ROW(D11))*INDEX(_R_1,COLUMN(D11),COLUMN(D11)))</f>
        <v>1.2897084848502268E-2</v>
      </c>
      <c r="U57" s="35" cm="1">
        <f t="array" ref="U57">-U42/SQRT(INDEX(_R_1,ROW(E11),ROW(E11))*INDEX(_R_1,COLUMN(E11),COLUMN(E11)))</f>
        <v>0.12452824898432099</v>
      </c>
      <c r="V57" s="35" cm="1">
        <f t="array" ref="V57">-V42/SQRT(INDEX(_R_1,ROW(F11),ROW(F11))*INDEX(_R_1,COLUMN(F11),COLUMN(F11)))</f>
        <v>-1.8025518512618258E-2</v>
      </c>
      <c r="W57" s="35" cm="1">
        <f t="array" ref="W57">-W42/SQRT(INDEX(_R_1,ROW(G11),ROW(G11))*INDEX(_R_1,COLUMN(G11),COLUMN(G11)))</f>
        <v>-6.8477692597789477E-2</v>
      </c>
      <c r="X57" s="35" cm="1">
        <f t="array" ref="X57">-X42/SQRT(INDEX(_R_1,ROW(H11),ROW(H11))*INDEX(_R_1,COLUMN(H11),COLUMN(H11)))</f>
        <v>-4.4639659434765888E-2</v>
      </c>
      <c r="Y57" s="35" cm="1">
        <f t="array" ref="Y57">-Y42/SQRT(INDEX(_R_1,ROW(I11),ROW(I11))*INDEX(_R_1,COLUMN(I11),COLUMN(I11)))</f>
        <v>-6.4914236445365911E-2</v>
      </c>
      <c r="Z57" s="35" cm="1">
        <f t="array" ref="Z57">-Z42/SQRT(INDEX(_R_1,ROW(J11),ROW(J11))*INDEX(_R_1,COLUMN(J11),COLUMN(J11)))</f>
        <v>0.63161005501490231</v>
      </c>
      <c r="AA57" s="35">
        <v>1</v>
      </c>
      <c r="AB57" s="35" cm="1">
        <f t="array" ref="AB57">-AB42/SQRT(INDEX(_R_1,ROW(L11),ROW(L11))*INDEX(_R_1,COLUMN(L11),COLUMN(L11)))</f>
        <v>0.62126087561744081</v>
      </c>
      <c r="AC57" s="35" cm="1">
        <f t="array" ref="AC57">-AC42/SQRT(INDEX(_R_1,ROW(M11),ROW(M11))*INDEX(_R_1,COLUMN(M11),COLUMN(M11)))</f>
        <v>-0.15671126912516281</v>
      </c>
    </row>
    <row r="58" spans="1:29" x14ac:dyDescent="0.4">
      <c r="A58" s="1">
        <v>22951</v>
      </c>
      <c r="B58" s="28">
        <v>316.69</v>
      </c>
      <c r="C58" s="28">
        <f t="shared" si="1"/>
        <v>315.42</v>
      </c>
      <c r="D58" s="28">
        <f t="shared" si="4"/>
        <v>316.25</v>
      </c>
      <c r="E58" s="28">
        <f t="shared" si="4"/>
        <v>317.39999999999998</v>
      </c>
      <c r="F58" s="28">
        <f t="shared" si="4"/>
        <v>319.61</v>
      </c>
      <c r="G58" s="28">
        <f t="shared" si="4"/>
        <v>320.62</v>
      </c>
      <c r="H58" s="28">
        <f t="shared" si="4"/>
        <v>321.02</v>
      </c>
      <c r="I58" s="28">
        <f t="shared" si="4"/>
        <v>320.57</v>
      </c>
      <c r="J58" s="28">
        <f t="shared" si="4"/>
        <v>319.68</v>
      </c>
      <c r="K58" s="28">
        <f t="shared" si="4"/>
        <v>318.55</v>
      </c>
      <c r="L58" s="28">
        <f t="shared" si="4"/>
        <v>317.94</v>
      </c>
      <c r="M58" s="28">
        <f t="shared" si="4"/>
        <v>317.01</v>
      </c>
      <c r="N58" s="28">
        <f t="shared" si="4"/>
        <v>316.10000000000002</v>
      </c>
      <c r="P58" s="40">
        <v>-11</v>
      </c>
      <c r="Q58" s="35" cm="1">
        <f t="array" ref="Q58">-Q43/SQRT(INDEX(_R_1,ROW(A12),ROW(A12))*INDEX(_R_1,COLUMN(A12),COLUMN(A12)))</f>
        <v>0.30241023835144221</v>
      </c>
      <c r="R58" s="35" cm="1">
        <f t="array" ref="R58">-R43/SQRT(INDEX(_R_1,ROW(B12),ROW(B12))*INDEX(_R_1,COLUMN(B12),COLUMN(B12)))</f>
        <v>-0.19657685786722442</v>
      </c>
      <c r="S58" s="35" cm="1">
        <f t="array" ref="S58">-S43/SQRT(INDEX(_R_1,ROW(C12),ROW(C12))*INDEX(_R_1,COLUMN(C12),COLUMN(C12)))</f>
        <v>4.9518984985136211E-2</v>
      </c>
      <c r="T58" s="35" cm="1">
        <f t="array" ref="T58">-T43/SQRT(INDEX(_R_1,ROW(D12),ROW(D12))*INDEX(_R_1,COLUMN(D12),COLUMN(D12)))</f>
        <v>-0.11704314722300797</v>
      </c>
      <c r="U58" s="35" cm="1">
        <f t="array" ref="U58">-U43/SQRT(INDEX(_R_1,ROW(E12),ROW(E12))*INDEX(_R_1,COLUMN(E12),COLUMN(E12)))</f>
        <v>1.3275346608343903E-2</v>
      </c>
      <c r="V58" s="35" cm="1">
        <f t="array" ref="V58">-V43/SQRT(INDEX(_R_1,ROW(F12),ROW(F12))*INDEX(_R_1,COLUMN(F12),COLUMN(F12)))</f>
        <v>0.12512000587306296</v>
      </c>
      <c r="W58" s="35" cm="1">
        <f t="array" ref="W58">-W43/SQRT(INDEX(_R_1,ROW(G12),ROW(G12))*INDEX(_R_1,COLUMN(G12),COLUMN(G12)))</f>
        <v>-4.3603675376651017E-2</v>
      </c>
      <c r="X58" s="35" cm="1">
        <f t="array" ref="X58">-X43/SQRT(INDEX(_R_1,ROW(H12),ROW(H12))*INDEX(_R_1,COLUMN(H12),COLUMN(H12)))</f>
        <v>-5.731888084718989E-2</v>
      </c>
      <c r="Y58" s="35" cm="1">
        <f t="array" ref="Y58">-Y43/SQRT(INDEX(_R_1,ROW(I12),ROW(I12))*INDEX(_R_1,COLUMN(I12),COLUMN(I12)))</f>
        <v>-2.0688995533483044E-2</v>
      </c>
      <c r="Z58" s="35" cm="1">
        <f t="array" ref="Z58">-Z43/SQRT(INDEX(_R_1,ROW(J12),ROW(J12))*INDEX(_R_1,COLUMN(J12),COLUMN(J12)))</f>
        <v>-7.9270235044692813E-2</v>
      </c>
      <c r="AA58" s="35" cm="1">
        <f t="array" ref="AA58">-AA43/SQRT(INDEX(_R_1,ROW(K12),ROW(K12))*INDEX(_R_1,COLUMN(K12),COLUMN(K12)))</f>
        <v>0.62126087561744603</v>
      </c>
      <c r="AB58" s="35">
        <v>1</v>
      </c>
      <c r="AC58" s="35" cm="1">
        <f t="array" ref="AC58">-AC43/SQRT(INDEX(_R_1,ROW(M12),ROW(M12))*INDEX(_R_1,COLUMN(M12),COLUMN(M12)))</f>
        <v>0.64488045958395979</v>
      </c>
    </row>
    <row r="59" spans="1:29" ht="19.5" thickBot="1" x14ac:dyDescent="0.45">
      <c r="A59" s="1">
        <v>22981</v>
      </c>
      <c r="B59" s="28">
        <v>317.7</v>
      </c>
      <c r="C59" s="28">
        <f t="shared" si="1"/>
        <v>316.69</v>
      </c>
      <c r="D59" s="28">
        <f t="shared" si="4"/>
        <v>315.42</v>
      </c>
      <c r="E59" s="28">
        <f t="shared" si="4"/>
        <v>316.25</v>
      </c>
      <c r="F59" s="28">
        <f t="shared" si="4"/>
        <v>317.39999999999998</v>
      </c>
      <c r="G59" s="28">
        <f t="shared" si="4"/>
        <v>319.61</v>
      </c>
      <c r="H59" s="28">
        <f t="shared" si="4"/>
        <v>320.62</v>
      </c>
      <c r="I59" s="28">
        <f t="shared" si="4"/>
        <v>321.02</v>
      </c>
      <c r="J59" s="28">
        <f t="shared" si="4"/>
        <v>320.57</v>
      </c>
      <c r="K59" s="28">
        <f t="shared" si="4"/>
        <v>319.68</v>
      </c>
      <c r="L59" s="28">
        <f t="shared" si="4"/>
        <v>318.55</v>
      </c>
      <c r="M59" s="28">
        <f t="shared" si="4"/>
        <v>317.94</v>
      </c>
      <c r="N59" s="28">
        <f t="shared" si="4"/>
        <v>317.01</v>
      </c>
      <c r="P59" s="41">
        <v>-12</v>
      </c>
      <c r="Q59" s="36" cm="1">
        <f t="array" ref="Q59">-Q44/SQRT(INDEX(_R_1,ROW(A13),ROW(A13))*INDEX(_R_1,COLUMN(A13),COLUMN(A13)))</f>
        <v>2.8822849044217783E-2</v>
      </c>
      <c r="R59" s="36" cm="1">
        <f t="array" ref="R59">-R44/SQRT(INDEX(_R_1,ROW(B13),ROW(B13))*INDEX(_R_1,COLUMN(B13),COLUMN(B13)))</f>
        <v>0.29862027307751121</v>
      </c>
      <c r="S59" s="36" cm="1">
        <f t="array" ref="S59">-S44/SQRT(INDEX(_R_1,ROW(C13),ROW(C13))*INDEX(_R_1,COLUMN(C13),COLUMN(C13)))</f>
        <v>3.0314692530452308E-3</v>
      </c>
      <c r="T59" s="36" cm="1">
        <f t="array" ref="T59">-T44/SQRT(INDEX(_R_1,ROW(D13),ROW(D13))*INDEX(_R_1,COLUMN(D13),COLUMN(D13)))</f>
        <v>6.2829309031729105E-2</v>
      </c>
      <c r="U59" s="36" cm="1">
        <f t="array" ref="U59">-U44/SQRT(INDEX(_R_1,ROW(E13),ROW(E13))*INDEX(_R_1,COLUMN(E13),COLUMN(E13)))</f>
        <v>-9.3979191288735914E-2</v>
      </c>
      <c r="V59" s="36" cm="1">
        <f t="array" ref="V59">-V44/SQRT(INDEX(_R_1,ROW(F13),ROW(F13))*INDEX(_R_1,COLUMN(F13),COLUMN(F13)))</f>
        <v>-6.7264207971330009E-2</v>
      </c>
      <c r="W59" s="36" cm="1">
        <f t="array" ref="W59">-W44/SQRT(INDEX(_R_1,ROW(G13),ROW(G13))*INDEX(_R_1,COLUMN(G13),COLUMN(G13)))</f>
        <v>0.10971326727387883</v>
      </c>
      <c r="X59" s="36" cm="1">
        <f t="array" ref="X59">-X44/SQRT(INDEX(_R_1,ROW(H13),ROW(H13))*INDEX(_R_1,COLUMN(H13),COLUMN(H13)))</f>
        <v>3.2238403204971476E-2</v>
      </c>
      <c r="Y59" s="36" cm="1">
        <f t="array" ref="Y59">-Y44/SQRT(INDEX(_R_1,ROW(I13),ROW(I13))*INDEX(_R_1,COLUMN(I13),COLUMN(I13)))</f>
        <v>-4.4218578752178259E-2</v>
      </c>
      <c r="Z59" s="36" cm="1">
        <f t="array" ref="Z59">-Z44/SQRT(INDEX(_R_1,ROW(J13),ROW(J13))*INDEX(_R_1,COLUMN(J13),COLUMN(J13)))</f>
        <v>-6.3641494448514302E-2</v>
      </c>
      <c r="AA59" s="36" cm="1">
        <f t="array" ref="AA59">-AA44/SQRT(INDEX(_R_1,ROW(K13),ROW(K13))*INDEX(_R_1,COLUMN(K13),COLUMN(K13)))</f>
        <v>-0.15671126912516761</v>
      </c>
      <c r="AB59" s="36" cm="1">
        <f t="array" ref="AB59">-AB44/SQRT(INDEX(_R_1,ROW(L13),ROW(L13))*INDEX(_R_1,COLUMN(L13),COLUMN(L13)))</f>
        <v>0.64488045958396278</v>
      </c>
      <c r="AC59" s="36">
        <v>1</v>
      </c>
    </row>
    <row r="60" spans="1:29" x14ac:dyDescent="0.4">
      <c r="A60" s="1">
        <v>23012</v>
      </c>
      <c r="B60" s="28">
        <v>318.74</v>
      </c>
      <c r="C60" s="28">
        <f t="shared" si="1"/>
        <v>317.7</v>
      </c>
      <c r="D60" s="28">
        <f t="shared" si="4"/>
        <v>316.69</v>
      </c>
      <c r="E60" s="28">
        <f t="shared" si="4"/>
        <v>315.42</v>
      </c>
      <c r="F60" s="28">
        <f t="shared" si="4"/>
        <v>316.25</v>
      </c>
      <c r="G60" s="28">
        <f t="shared" si="4"/>
        <v>317.39999999999998</v>
      </c>
      <c r="H60" s="28">
        <f t="shared" si="4"/>
        <v>319.61</v>
      </c>
      <c r="I60" s="28">
        <f t="shared" si="4"/>
        <v>320.62</v>
      </c>
      <c r="J60" s="28">
        <f t="shared" si="4"/>
        <v>321.02</v>
      </c>
      <c r="K60" s="28">
        <f t="shared" si="4"/>
        <v>320.57</v>
      </c>
      <c r="L60" s="28">
        <f t="shared" si="4"/>
        <v>319.68</v>
      </c>
      <c r="M60" s="28">
        <f t="shared" si="4"/>
        <v>318.55</v>
      </c>
      <c r="N60" s="28">
        <f t="shared" si="4"/>
        <v>317.94</v>
      </c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4">
      <c r="A61" s="1">
        <v>23043</v>
      </c>
      <c r="B61" s="28">
        <v>319.07</v>
      </c>
      <c r="C61" s="28">
        <f t="shared" si="1"/>
        <v>318.74</v>
      </c>
      <c r="D61" s="28">
        <f t="shared" si="4"/>
        <v>317.7</v>
      </c>
      <c r="E61" s="28">
        <f t="shared" si="4"/>
        <v>316.69</v>
      </c>
      <c r="F61" s="28">
        <f t="shared" si="4"/>
        <v>315.42</v>
      </c>
      <c r="G61" s="28">
        <f t="shared" si="4"/>
        <v>316.25</v>
      </c>
      <c r="H61" s="28">
        <f t="shared" si="4"/>
        <v>317.39999999999998</v>
      </c>
      <c r="I61" s="28">
        <f t="shared" si="4"/>
        <v>319.61</v>
      </c>
      <c r="J61" s="28">
        <f t="shared" si="4"/>
        <v>320.62</v>
      </c>
      <c r="K61" s="28">
        <f t="shared" si="4"/>
        <v>321.02</v>
      </c>
      <c r="L61" s="28">
        <f t="shared" si="4"/>
        <v>320.57</v>
      </c>
      <c r="M61" s="28">
        <f t="shared" si="4"/>
        <v>319.68</v>
      </c>
      <c r="N61" s="28">
        <f t="shared" si="4"/>
        <v>318.55</v>
      </c>
    </row>
    <row r="62" spans="1:29" x14ac:dyDescent="0.4">
      <c r="A62" s="1">
        <v>23071</v>
      </c>
      <c r="B62" s="28">
        <v>319.86</v>
      </c>
      <c r="C62" s="28">
        <f t="shared" si="1"/>
        <v>319.07</v>
      </c>
      <c r="D62" s="28">
        <f t="shared" si="4"/>
        <v>318.74</v>
      </c>
      <c r="E62" s="28">
        <f t="shared" si="4"/>
        <v>317.7</v>
      </c>
      <c r="F62" s="28">
        <f t="shared" si="4"/>
        <v>316.69</v>
      </c>
      <c r="G62" s="28">
        <f t="shared" si="4"/>
        <v>315.42</v>
      </c>
      <c r="H62" s="28">
        <f t="shared" si="4"/>
        <v>316.25</v>
      </c>
      <c r="I62" s="28">
        <f t="shared" si="4"/>
        <v>317.39999999999998</v>
      </c>
      <c r="J62" s="28">
        <f t="shared" si="4"/>
        <v>319.61</v>
      </c>
      <c r="K62" s="28">
        <f t="shared" si="4"/>
        <v>320.62</v>
      </c>
      <c r="L62" s="28">
        <f t="shared" si="4"/>
        <v>321.02</v>
      </c>
      <c r="M62" s="28">
        <f t="shared" si="4"/>
        <v>320.57</v>
      </c>
      <c r="N62" s="28">
        <f t="shared" si="4"/>
        <v>319.68</v>
      </c>
    </row>
    <row r="63" spans="1:29" x14ac:dyDescent="0.4">
      <c r="A63" s="1">
        <v>23102</v>
      </c>
      <c r="B63" s="28">
        <v>321.38</v>
      </c>
      <c r="C63" s="28">
        <f t="shared" si="1"/>
        <v>319.86</v>
      </c>
      <c r="D63" s="28">
        <f t="shared" si="4"/>
        <v>319.07</v>
      </c>
      <c r="E63" s="28">
        <f t="shared" si="4"/>
        <v>318.74</v>
      </c>
      <c r="F63" s="28">
        <f t="shared" si="4"/>
        <v>317.7</v>
      </c>
      <c r="G63" s="28">
        <f t="shared" si="4"/>
        <v>316.69</v>
      </c>
      <c r="H63" s="28">
        <f t="shared" si="4"/>
        <v>315.42</v>
      </c>
      <c r="I63" s="28">
        <f t="shared" si="4"/>
        <v>316.25</v>
      </c>
      <c r="J63" s="28">
        <f t="shared" si="4"/>
        <v>317.39999999999998</v>
      </c>
      <c r="K63" s="28">
        <f t="shared" si="4"/>
        <v>319.61</v>
      </c>
      <c r="L63" s="28">
        <f t="shared" si="4"/>
        <v>320.62</v>
      </c>
      <c r="M63" s="28">
        <f t="shared" si="4"/>
        <v>321.02</v>
      </c>
      <c r="N63" s="28">
        <f t="shared" si="4"/>
        <v>320.57</v>
      </c>
    </row>
    <row r="64" spans="1:29" x14ac:dyDescent="0.4">
      <c r="A64" s="1">
        <v>23132</v>
      </c>
      <c r="B64" s="28">
        <v>322.25</v>
      </c>
      <c r="C64" s="28">
        <f t="shared" si="1"/>
        <v>321.38</v>
      </c>
      <c r="D64" s="28">
        <f t="shared" si="4"/>
        <v>319.86</v>
      </c>
      <c r="E64" s="28">
        <f t="shared" si="4"/>
        <v>319.07</v>
      </c>
      <c r="F64" s="28">
        <f t="shared" si="4"/>
        <v>318.74</v>
      </c>
      <c r="G64" s="28">
        <f t="shared" si="4"/>
        <v>317.7</v>
      </c>
      <c r="H64" s="28">
        <f t="shared" si="4"/>
        <v>316.69</v>
      </c>
      <c r="I64" s="28">
        <f t="shared" si="4"/>
        <v>315.42</v>
      </c>
      <c r="J64" s="28">
        <f t="shared" si="4"/>
        <v>316.25</v>
      </c>
      <c r="K64" s="28">
        <f t="shared" si="4"/>
        <v>317.39999999999998</v>
      </c>
      <c r="L64" s="28">
        <f t="shared" si="4"/>
        <v>319.61</v>
      </c>
      <c r="M64" s="28">
        <f t="shared" si="4"/>
        <v>320.62</v>
      </c>
      <c r="N64" s="28">
        <f t="shared" si="4"/>
        <v>321.02</v>
      </c>
    </row>
    <row r="65" spans="1:14" x14ac:dyDescent="0.4">
      <c r="A65" s="1">
        <v>23163</v>
      </c>
      <c r="B65" s="28">
        <v>321.48</v>
      </c>
      <c r="C65" s="28">
        <f t="shared" si="1"/>
        <v>322.25</v>
      </c>
      <c r="D65" s="28">
        <f t="shared" si="4"/>
        <v>321.38</v>
      </c>
      <c r="E65" s="28">
        <f t="shared" si="4"/>
        <v>319.86</v>
      </c>
      <c r="F65" s="28">
        <f t="shared" si="4"/>
        <v>319.07</v>
      </c>
      <c r="G65" s="28">
        <f t="shared" si="4"/>
        <v>318.74</v>
      </c>
      <c r="H65" s="28">
        <f t="shared" si="4"/>
        <v>317.7</v>
      </c>
      <c r="I65" s="28">
        <f t="shared" si="4"/>
        <v>316.69</v>
      </c>
      <c r="J65" s="28">
        <f t="shared" si="4"/>
        <v>315.42</v>
      </c>
      <c r="K65" s="28">
        <f t="shared" si="4"/>
        <v>316.25</v>
      </c>
      <c r="L65" s="28">
        <f t="shared" si="4"/>
        <v>317.39999999999998</v>
      </c>
      <c r="M65" s="28">
        <f t="shared" si="4"/>
        <v>319.61</v>
      </c>
      <c r="N65" s="28">
        <f t="shared" si="4"/>
        <v>320.62</v>
      </c>
    </row>
    <row r="66" spans="1:14" x14ac:dyDescent="0.4">
      <c r="A66" s="1">
        <v>23193</v>
      </c>
      <c r="B66" s="28">
        <v>319.74</v>
      </c>
      <c r="C66" s="28">
        <f t="shared" si="1"/>
        <v>321.48</v>
      </c>
      <c r="D66" s="28">
        <f t="shared" si="4"/>
        <v>322.25</v>
      </c>
      <c r="E66" s="28">
        <f t="shared" si="4"/>
        <v>321.38</v>
      </c>
      <c r="F66" s="28">
        <f t="shared" si="4"/>
        <v>319.86</v>
      </c>
      <c r="G66" s="28">
        <f t="shared" si="4"/>
        <v>319.07</v>
      </c>
      <c r="H66" s="28">
        <f t="shared" si="4"/>
        <v>318.74</v>
      </c>
      <c r="I66" s="28">
        <f t="shared" si="4"/>
        <v>317.7</v>
      </c>
      <c r="J66" s="28">
        <f t="shared" si="4"/>
        <v>316.69</v>
      </c>
      <c r="K66" s="28">
        <f t="shared" si="4"/>
        <v>315.42</v>
      </c>
      <c r="L66" s="28">
        <f t="shared" si="4"/>
        <v>316.25</v>
      </c>
      <c r="M66" s="28">
        <f t="shared" si="4"/>
        <v>317.39999999999998</v>
      </c>
      <c r="N66" s="28">
        <f t="shared" si="4"/>
        <v>319.61</v>
      </c>
    </row>
    <row r="67" spans="1:14" x14ac:dyDescent="0.4">
      <c r="A67" s="1">
        <v>23224</v>
      </c>
      <c r="B67" s="28">
        <v>317.77</v>
      </c>
      <c r="C67" s="28">
        <f t="shared" si="1"/>
        <v>319.74</v>
      </c>
      <c r="D67" s="28">
        <f t="shared" si="4"/>
        <v>321.48</v>
      </c>
      <c r="E67" s="28">
        <f t="shared" si="4"/>
        <v>322.25</v>
      </c>
      <c r="F67" s="28">
        <f t="shared" si="4"/>
        <v>321.38</v>
      </c>
      <c r="G67" s="28">
        <f t="shared" si="4"/>
        <v>319.86</v>
      </c>
      <c r="H67" s="28">
        <f t="shared" si="4"/>
        <v>319.07</v>
      </c>
      <c r="I67" s="28">
        <f t="shared" si="4"/>
        <v>318.74</v>
      </c>
      <c r="J67" s="28">
        <f t="shared" si="4"/>
        <v>317.7</v>
      </c>
      <c r="K67" s="28">
        <f t="shared" si="4"/>
        <v>316.69</v>
      </c>
      <c r="L67" s="28">
        <f t="shared" si="4"/>
        <v>315.42</v>
      </c>
      <c r="M67" s="28">
        <f t="shared" si="4"/>
        <v>316.25</v>
      </c>
      <c r="N67" s="28">
        <f t="shared" si="4"/>
        <v>317.39999999999998</v>
      </c>
    </row>
    <row r="68" spans="1:14" x14ac:dyDescent="0.4">
      <c r="A68" s="1">
        <v>23255</v>
      </c>
      <c r="B68" s="28">
        <v>316.20999999999998</v>
      </c>
      <c r="C68" s="28">
        <f t="shared" ref="C68:N131" si="5">IF(B67=0,"",B67)</f>
        <v>317.77</v>
      </c>
      <c r="D68" s="28">
        <f t="shared" si="5"/>
        <v>319.74</v>
      </c>
      <c r="E68" s="28">
        <f t="shared" si="5"/>
        <v>321.48</v>
      </c>
      <c r="F68" s="28">
        <f t="shared" si="5"/>
        <v>322.25</v>
      </c>
      <c r="G68" s="28">
        <f t="shared" si="5"/>
        <v>321.38</v>
      </c>
      <c r="H68" s="28">
        <f t="shared" si="5"/>
        <v>319.86</v>
      </c>
      <c r="I68" s="28">
        <f t="shared" si="5"/>
        <v>319.07</v>
      </c>
      <c r="J68" s="28">
        <f t="shared" si="5"/>
        <v>318.74</v>
      </c>
      <c r="K68" s="28">
        <f t="shared" si="5"/>
        <v>317.7</v>
      </c>
      <c r="L68" s="28">
        <f t="shared" si="5"/>
        <v>316.69</v>
      </c>
      <c r="M68" s="28">
        <f t="shared" si="5"/>
        <v>315.42</v>
      </c>
      <c r="N68" s="28">
        <f t="shared" si="5"/>
        <v>316.25</v>
      </c>
    </row>
    <row r="69" spans="1:14" x14ac:dyDescent="0.4">
      <c r="A69" s="1">
        <v>23285</v>
      </c>
      <c r="B69" s="28">
        <v>315.99</v>
      </c>
      <c r="C69" s="28">
        <f t="shared" si="5"/>
        <v>316.20999999999998</v>
      </c>
      <c r="D69" s="28">
        <f t="shared" si="5"/>
        <v>317.77</v>
      </c>
      <c r="E69" s="28">
        <f t="shared" si="5"/>
        <v>319.74</v>
      </c>
      <c r="F69" s="28">
        <f t="shared" si="5"/>
        <v>321.48</v>
      </c>
      <c r="G69" s="28">
        <f t="shared" si="5"/>
        <v>322.25</v>
      </c>
      <c r="H69" s="28">
        <f t="shared" si="5"/>
        <v>321.38</v>
      </c>
      <c r="I69" s="28">
        <f t="shared" si="5"/>
        <v>319.86</v>
      </c>
      <c r="J69" s="28">
        <f t="shared" si="5"/>
        <v>319.07</v>
      </c>
      <c r="K69" s="28">
        <f t="shared" si="5"/>
        <v>318.74</v>
      </c>
      <c r="L69" s="28">
        <f t="shared" si="5"/>
        <v>317.7</v>
      </c>
      <c r="M69" s="28">
        <f t="shared" si="5"/>
        <v>316.69</v>
      </c>
      <c r="N69" s="28">
        <f t="shared" si="5"/>
        <v>315.42</v>
      </c>
    </row>
    <row r="70" spans="1:14" x14ac:dyDescent="0.4">
      <c r="A70" s="1">
        <v>23316</v>
      </c>
      <c r="B70" s="28">
        <v>317.07</v>
      </c>
      <c r="C70" s="28">
        <f t="shared" si="5"/>
        <v>315.99</v>
      </c>
      <c r="D70" s="28">
        <f t="shared" si="5"/>
        <v>316.20999999999998</v>
      </c>
      <c r="E70" s="28">
        <f t="shared" si="5"/>
        <v>317.77</v>
      </c>
      <c r="F70" s="28">
        <f t="shared" si="5"/>
        <v>319.74</v>
      </c>
      <c r="G70" s="28">
        <f t="shared" si="5"/>
        <v>321.48</v>
      </c>
      <c r="H70" s="28">
        <f t="shared" si="5"/>
        <v>322.25</v>
      </c>
      <c r="I70" s="28">
        <f t="shared" si="5"/>
        <v>321.38</v>
      </c>
      <c r="J70" s="28">
        <f t="shared" si="5"/>
        <v>319.86</v>
      </c>
      <c r="K70" s="28">
        <f t="shared" si="5"/>
        <v>319.07</v>
      </c>
      <c r="L70" s="28">
        <f t="shared" si="5"/>
        <v>318.74</v>
      </c>
      <c r="M70" s="28">
        <f t="shared" si="5"/>
        <v>317.7</v>
      </c>
      <c r="N70" s="28">
        <f t="shared" si="5"/>
        <v>316.69</v>
      </c>
    </row>
    <row r="71" spans="1:14" x14ac:dyDescent="0.4">
      <c r="A71" s="1">
        <v>23346</v>
      </c>
      <c r="B71" s="28">
        <v>318.35000000000002</v>
      </c>
      <c r="C71" s="28">
        <f t="shared" si="5"/>
        <v>317.07</v>
      </c>
      <c r="D71" s="28">
        <f t="shared" si="5"/>
        <v>315.99</v>
      </c>
      <c r="E71" s="28">
        <f t="shared" si="5"/>
        <v>316.20999999999998</v>
      </c>
      <c r="F71" s="28">
        <f t="shared" si="5"/>
        <v>317.77</v>
      </c>
      <c r="G71" s="28">
        <f t="shared" si="5"/>
        <v>319.74</v>
      </c>
      <c r="H71" s="28">
        <f t="shared" si="5"/>
        <v>321.48</v>
      </c>
      <c r="I71" s="28">
        <f t="shared" si="5"/>
        <v>322.25</v>
      </c>
      <c r="J71" s="28">
        <f t="shared" si="5"/>
        <v>321.38</v>
      </c>
      <c r="K71" s="28">
        <f t="shared" si="5"/>
        <v>319.86</v>
      </c>
      <c r="L71" s="28">
        <f t="shared" si="5"/>
        <v>319.07</v>
      </c>
      <c r="M71" s="28">
        <f t="shared" si="5"/>
        <v>318.74</v>
      </c>
      <c r="N71" s="28">
        <f t="shared" si="5"/>
        <v>317.7</v>
      </c>
    </row>
    <row r="72" spans="1:14" x14ac:dyDescent="0.4">
      <c r="A72" s="1">
        <v>23377</v>
      </c>
      <c r="B72" s="28">
        <v>319.57</v>
      </c>
      <c r="C72" s="28">
        <f t="shared" si="5"/>
        <v>318.35000000000002</v>
      </c>
      <c r="D72" s="28">
        <f t="shared" si="5"/>
        <v>317.07</v>
      </c>
      <c r="E72" s="28">
        <f t="shared" si="5"/>
        <v>315.99</v>
      </c>
      <c r="F72" s="28">
        <f t="shared" si="5"/>
        <v>316.20999999999998</v>
      </c>
      <c r="G72" s="28">
        <f t="shared" si="5"/>
        <v>317.77</v>
      </c>
      <c r="H72" s="28">
        <f t="shared" si="5"/>
        <v>319.74</v>
      </c>
      <c r="I72" s="28">
        <f t="shared" si="5"/>
        <v>321.48</v>
      </c>
      <c r="J72" s="28">
        <f t="shared" si="5"/>
        <v>322.25</v>
      </c>
      <c r="K72" s="28">
        <f t="shared" si="5"/>
        <v>321.38</v>
      </c>
      <c r="L72" s="28">
        <f t="shared" si="5"/>
        <v>319.86</v>
      </c>
      <c r="M72" s="28">
        <f t="shared" si="5"/>
        <v>319.07</v>
      </c>
      <c r="N72" s="28">
        <f t="shared" si="5"/>
        <v>318.74</v>
      </c>
    </row>
    <row r="73" spans="1:14" x14ac:dyDescent="0.4">
      <c r="A73" s="1">
        <v>23408</v>
      </c>
      <c r="B73" s="29">
        <f>(90*B72+31*B76)/121</f>
        <v>320.25917355371899</v>
      </c>
      <c r="C73" s="28">
        <f t="shared" si="5"/>
        <v>319.57</v>
      </c>
      <c r="D73" s="28">
        <f t="shared" si="5"/>
        <v>318.35000000000002</v>
      </c>
      <c r="E73" s="28">
        <f t="shared" si="5"/>
        <v>317.07</v>
      </c>
      <c r="F73" s="28">
        <f t="shared" si="5"/>
        <v>315.99</v>
      </c>
      <c r="G73" s="28">
        <f t="shared" si="5"/>
        <v>316.20999999999998</v>
      </c>
      <c r="H73" s="28">
        <f t="shared" si="5"/>
        <v>317.77</v>
      </c>
      <c r="I73" s="28">
        <f t="shared" si="5"/>
        <v>319.74</v>
      </c>
      <c r="J73" s="28">
        <f t="shared" si="5"/>
        <v>321.48</v>
      </c>
      <c r="K73" s="28">
        <f t="shared" si="5"/>
        <v>322.25</v>
      </c>
      <c r="L73" s="28">
        <f t="shared" si="5"/>
        <v>321.38</v>
      </c>
      <c r="M73" s="28">
        <f t="shared" si="5"/>
        <v>319.86</v>
      </c>
      <c r="N73" s="28">
        <f t="shared" si="5"/>
        <v>319.07</v>
      </c>
    </row>
    <row r="74" spans="1:14" x14ac:dyDescent="0.4">
      <c r="A74" s="1">
        <v>23437</v>
      </c>
      <c r="B74" s="29">
        <f>(61*B72+60*B76)/121</f>
        <v>320.90388429752062</v>
      </c>
      <c r="C74" s="28">
        <f t="shared" si="5"/>
        <v>320.25917355371899</v>
      </c>
      <c r="D74" s="28">
        <f t="shared" si="5"/>
        <v>319.57</v>
      </c>
      <c r="E74" s="28">
        <f t="shared" si="5"/>
        <v>318.35000000000002</v>
      </c>
      <c r="F74" s="28">
        <f t="shared" si="5"/>
        <v>317.07</v>
      </c>
      <c r="G74" s="28">
        <f t="shared" si="5"/>
        <v>315.99</v>
      </c>
      <c r="H74" s="28">
        <f t="shared" si="5"/>
        <v>316.20999999999998</v>
      </c>
      <c r="I74" s="28">
        <f t="shared" si="5"/>
        <v>317.77</v>
      </c>
      <c r="J74" s="28">
        <f t="shared" si="5"/>
        <v>319.74</v>
      </c>
      <c r="K74" s="28">
        <f t="shared" si="5"/>
        <v>321.48</v>
      </c>
      <c r="L74" s="28">
        <f t="shared" si="5"/>
        <v>322.25</v>
      </c>
      <c r="M74" s="28">
        <f t="shared" si="5"/>
        <v>321.38</v>
      </c>
      <c r="N74" s="28">
        <f t="shared" si="5"/>
        <v>319.86</v>
      </c>
    </row>
    <row r="75" spans="1:14" x14ac:dyDescent="0.4">
      <c r="A75" s="1">
        <v>23468</v>
      </c>
      <c r="B75" s="29">
        <f>(30*B72+91*B76)/121</f>
        <v>321.59305785123968</v>
      </c>
      <c r="C75" s="28">
        <f t="shared" si="5"/>
        <v>320.90388429752062</v>
      </c>
      <c r="D75" s="28">
        <f t="shared" si="5"/>
        <v>320.25917355371899</v>
      </c>
      <c r="E75" s="28">
        <f t="shared" si="5"/>
        <v>319.57</v>
      </c>
      <c r="F75" s="28">
        <f t="shared" si="5"/>
        <v>318.35000000000002</v>
      </c>
      <c r="G75" s="28">
        <f t="shared" si="5"/>
        <v>317.07</v>
      </c>
      <c r="H75" s="28">
        <f t="shared" si="5"/>
        <v>315.99</v>
      </c>
      <c r="I75" s="28">
        <f t="shared" si="5"/>
        <v>316.20999999999998</v>
      </c>
      <c r="J75" s="28">
        <f t="shared" si="5"/>
        <v>317.77</v>
      </c>
      <c r="K75" s="28">
        <f t="shared" si="5"/>
        <v>319.74</v>
      </c>
      <c r="L75" s="28">
        <f t="shared" si="5"/>
        <v>321.48</v>
      </c>
      <c r="M75" s="28">
        <f t="shared" si="5"/>
        <v>322.25</v>
      </c>
      <c r="N75" s="28">
        <f t="shared" si="5"/>
        <v>321.38</v>
      </c>
    </row>
    <row r="76" spans="1:14" x14ac:dyDescent="0.4">
      <c r="A76" s="1">
        <v>23498</v>
      </c>
      <c r="B76" s="28">
        <v>322.26</v>
      </c>
      <c r="C76" s="28">
        <f t="shared" si="5"/>
        <v>321.59305785123968</v>
      </c>
      <c r="D76" s="28">
        <f t="shared" si="5"/>
        <v>320.90388429752062</v>
      </c>
      <c r="E76" s="28">
        <f t="shared" si="5"/>
        <v>320.25917355371899</v>
      </c>
      <c r="F76" s="28">
        <f t="shared" si="5"/>
        <v>319.57</v>
      </c>
      <c r="G76" s="28">
        <f t="shared" si="5"/>
        <v>318.35000000000002</v>
      </c>
      <c r="H76" s="28">
        <f t="shared" si="5"/>
        <v>317.07</v>
      </c>
      <c r="I76" s="28">
        <f t="shared" si="5"/>
        <v>315.99</v>
      </c>
      <c r="J76" s="28">
        <f t="shared" si="5"/>
        <v>316.20999999999998</v>
      </c>
      <c r="K76" s="28">
        <f t="shared" si="5"/>
        <v>317.77</v>
      </c>
      <c r="L76" s="28">
        <f t="shared" si="5"/>
        <v>319.74</v>
      </c>
      <c r="M76" s="28">
        <f t="shared" si="5"/>
        <v>321.48</v>
      </c>
      <c r="N76" s="28">
        <f t="shared" si="5"/>
        <v>322.25</v>
      </c>
    </row>
    <row r="77" spans="1:14" x14ac:dyDescent="0.4">
      <c r="A77" s="1">
        <v>23529</v>
      </c>
      <c r="B77" s="28">
        <v>321.89</v>
      </c>
      <c r="C77" s="28">
        <f t="shared" si="5"/>
        <v>322.26</v>
      </c>
      <c r="D77" s="28">
        <f t="shared" si="5"/>
        <v>321.59305785123968</v>
      </c>
      <c r="E77" s="28">
        <f t="shared" si="5"/>
        <v>320.90388429752062</v>
      </c>
      <c r="F77" s="28">
        <f t="shared" si="5"/>
        <v>320.25917355371899</v>
      </c>
      <c r="G77" s="28">
        <f t="shared" si="5"/>
        <v>319.57</v>
      </c>
      <c r="H77" s="28">
        <f t="shared" si="5"/>
        <v>318.35000000000002</v>
      </c>
      <c r="I77" s="28">
        <f t="shared" si="5"/>
        <v>317.07</v>
      </c>
      <c r="J77" s="28">
        <f t="shared" si="5"/>
        <v>315.99</v>
      </c>
      <c r="K77" s="28">
        <f t="shared" si="5"/>
        <v>316.20999999999998</v>
      </c>
      <c r="L77" s="28">
        <f t="shared" si="5"/>
        <v>317.77</v>
      </c>
      <c r="M77" s="28">
        <f t="shared" si="5"/>
        <v>319.74</v>
      </c>
      <c r="N77" s="28">
        <f t="shared" si="5"/>
        <v>321.48</v>
      </c>
    </row>
    <row r="78" spans="1:14" x14ac:dyDescent="0.4">
      <c r="A78" s="1">
        <v>23559</v>
      </c>
      <c r="B78" s="28">
        <v>320.44</v>
      </c>
      <c r="C78" s="28">
        <f t="shared" si="5"/>
        <v>321.89</v>
      </c>
      <c r="D78" s="28">
        <f t="shared" si="5"/>
        <v>322.26</v>
      </c>
      <c r="E78" s="28">
        <f t="shared" si="5"/>
        <v>321.59305785123968</v>
      </c>
      <c r="F78" s="28">
        <f t="shared" si="5"/>
        <v>320.90388429752062</v>
      </c>
      <c r="G78" s="28">
        <f t="shared" si="5"/>
        <v>320.25917355371899</v>
      </c>
      <c r="H78" s="28">
        <f t="shared" si="5"/>
        <v>319.57</v>
      </c>
      <c r="I78" s="28">
        <f t="shared" si="5"/>
        <v>318.35000000000002</v>
      </c>
      <c r="J78" s="28">
        <f t="shared" si="5"/>
        <v>317.07</v>
      </c>
      <c r="K78" s="28">
        <f t="shared" si="5"/>
        <v>315.99</v>
      </c>
      <c r="L78" s="28">
        <f t="shared" si="5"/>
        <v>316.20999999999998</v>
      </c>
      <c r="M78" s="28">
        <f t="shared" si="5"/>
        <v>317.77</v>
      </c>
      <c r="N78" s="28">
        <f t="shared" si="5"/>
        <v>319.74</v>
      </c>
    </row>
    <row r="79" spans="1:14" x14ac:dyDescent="0.4">
      <c r="A79" s="1">
        <v>23590</v>
      </c>
      <c r="B79" s="28">
        <v>318.69</v>
      </c>
      <c r="C79" s="28">
        <f t="shared" si="5"/>
        <v>320.44</v>
      </c>
      <c r="D79" s="28">
        <f t="shared" si="5"/>
        <v>321.89</v>
      </c>
      <c r="E79" s="28">
        <f t="shared" si="5"/>
        <v>322.26</v>
      </c>
      <c r="F79" s="28">
        <f t="shared" si="5"/>
        <v>321.59305785123968</v>
      </c>
      <c r="G79" s="28">
        <f t="shared" si="5"/>
        <v>320.90388429752062</v>
      </c>
      <c r="H79" s="28">
        <f t="shared" si="5"/>
        <v>320.25917355371899</v>
      </c>
      <c r="I79" s="28">
        <f t="shared" si="5"/>
        <v>319.57</v>
      </c>
      <c r="J79" s="28">
        <f t="shared" si="5"/>
        <v>318.35000000000002</v>
      </c>
      <c r="K79" s="28">
        <f t="shared" si="5"/>
        <v>317.07</v>
      </c>
      <c r="L79" s="28">
        <f t="shared" si="5"/>
        <v>315.99</v>
      </c>
      <c r="M79" s="28">
        <f t="shared" si="5"/>
        <v>316.20999999999998</v>
      </c>
      <c r="N79" s="28">
        <f t="shared" si="5"/>
        <v>317.77</v>
      </c>
    </row>
    <row r="80" spans="1:14" x14ac:dyDescent="0.4">
      <c r="A80" s="1">
        <v>23621</v>
      </c>
      <c r="B80" s="28">
        <v>316.7</v>
      </c>
      <c r="C80" s="28">
        <f t="shared" si="5"/>
        <v>318.69</v>
      </c>
      <c r="D80" s="28">
        <f t="shared" si="5"/>
        <v>320.44</v>
      </c>
      <c r="E80" s="28">
        <f t="shared" si="5"/>
        <v>321.89</v>
      </c>
      <c r="F80" s="28">
        <f t="shared" si="5"/>
        <v>322.26</v>
      </c>
      <c r="G80" s="28">
        <f t="shared" si="5"/>
        <v>321.59305785123968</v>
      </c>
      <c r="H80" s="28">
        <f t="shared" si="5"/>
        <v>320.90388429752062</v>
      </c>
      <c r="I80" s="28">
        <f t="shared" si="5"/>
        <v>320.25917355371899</v>
      </c>
      <c r="J80" s="28">
        <f t="shared" si="5"/>
        <v>319.57</v>
      </c>
      <c r="K80" s="28">
        <f t="shared" si="5"/>
        <v>318.35000000000002</v>
      </c>
      <c r="L80" s="28">
        <f t="shared" si="5"/>
        <v>317.07</v>
      </c>
      <c r="M80" s="28">
        <f t="shared" si="5"/>
        <v>315.99</v>
      </c>
      <c r="N80" s="28">
        <f t="shared" si="5"/>
        <v>316.20999999999998</v>
      </c>
    </row>
    <row r="81" spans="1:14" x14ac:dyDescent="0.4">
      <c r="A81" s="1">
        <v>23651</v>
      </c>
      <c r="B81" s="28">
        <v>316.87</v>
      </c>
      <c r="C81" s="28">
        <f t="shared" si="5"/>
        <v>316.7</v>
      </c>
      <c r="D81" s="28">
        <f t="shared" si="5"/>
        <v>318.69</v>
      </c>
      <c r="E81" s="28">
        <f t="shared" si="5"/>
        <v>320.44</v>
      </c>
      <c r="F81" s="28">
        <f t="shared" si="5"/>
        <v>321.89</v>
      </c>
      <c r="G81" s="28">
        <f t="shared" si="5"/>
        <v>322.26</v>
      </c>
      <c r="H81" s="28">
        <f t="shared" si="5"/>
        <v>321.59305785123968</v>
      </c>
      <c r="I81" s="28">
        <f t="shared" si="5"/>
        <v>320.90388429752062</v>
      </c>
      <c r="J81" s="28">
        <f t="shared" si="5"/>
        <v>320.25917355371899</v>
      </c>
      <c r="K81" s="28">
        <f t="shared" si="5"/>
        <v>319.57</v>
      </c>
      <c r="L81" s="28">
        <f t="shared" si="5"/>
        <v>318.35000000000002</v>
      </c>
      <c r="M81" s="28">
        <f t="shared" si="5"/>
        <v>317.07</v>
      </c>
      <c r="N81" s="28">
        <f t="shared" si="5"/>
        <v>315.99</v>
      </c>
    </row>
    <row r="82" spans="1:14" x14ac:dyDescent="0.4">
      <c r="A82" s="1">
        <v>23682</v>
      </c>
      <c r="B82" s="28">
        <v>317.68</v>
      </c>
      <c r="C82" s="28">
        <f t="shared" si="5"/>
        <v>316.87</v>
      </c>
      <c r="D82" s="28">
        <f t="shared" si="5"/>
        <v>316.7</v>
      </c>
      <c r="E82" s="28">
        <f t="shared" si="5"/>
        <v>318.69</v>
      </c>
      <c r="F82" s="28">
        <f t="shared" si="5"/>
        <v>320.44</v>
      </c>
      <c r="G82" s="28">
        <f t="shared" si="5"/>
        <v>321.89</v>
      </c>
      <c r="H82" s="28">
        <f t="shared" si="5"/>
        <v>322.26</v>
      </c>
      <c r="I82" s="28">
        <f t="shared" si="5"/>
        <v>321.59305785123968</v>
      </c>
      <c r="J82" s="28">
        <f t="shared" si="5"/>
        <v>320.90388429752062</v>
      </c>
      <c r="K82" s="28">
        <f t="shared" si="5"/>
        <v>320.25917355371899</v>
      </c>
      <c r="L82" s="28">
        <f t="shared" si="5"/>
        <v>319.57</v>
      </c>
      <c r="M82" s="28">
        <f t="shared" si="5"/>
        <v>318.35000000000002</v>
      </c>
      <c r="N82" s="28">
        <f t="shared" si="5"/>
        <v>317.07</v>
      </c>
    </row>
    <row r="83" spans="1:14" x14ac:dyDescent="0.4">
      <c r="A83" s="1">
        <v>23712</v>
      </c>
      <c r="B83" s="28">
        <v>318.70999999999998</v>
      </c>
      <c r="C83" s="28">
        <f t="shared" si="5"/>
        <v>317.68</v>
      </c>
      <c r="D83" s="28">
        <f t="shared" si="5"/>
        <v>316.87</v>
      </c>
      <c r="E83" s="28">
        <f t="shared" si="5"/>
        <v>316.7</v>
      </c>
      <c r="F83" s="28">
        <f t="shared" si="5"/>
        <v>318.69</v>
      </c>
      <c r="G83" s="28">
        <f t="shared" si="5"/>
        <v>320.44</v>
      </c>
      <c r="H83" s="28">
        <f t="shared" si="5"/>
        <v>321.89</v>
      </c>
      <c r="I83" s="28">
        <f t="shared" si="5"/>
        <v>322.26</v>
      </c>
      <c r="J83" s="28">
        <f t="shared" si="5"/>
        <v>321.59305785123968</v>
      </c>
      <c r="K83" s="28">
        <f t="shared" si="5"/>
        <v>320.90388429752062</v>
      </c>
      <c r="L83" s="28">
        <f t="shared" si="5"/>
        <v>320.25917355371899</v>
      </c>
      <c r="M83" s="28">
        <f t="shared" si="5"/>
        <v>319.57</v>
      </c>
      <c r="N83" s="28">
        <f t="shared" si="5"/>
        <v>318.35000000000002</v>
      </c>
    </row>
    <row r="84" spans="1:14" x14ac:dyDescent="0.4">
      <c r="A84" s="1">
        <v>23743</v>
      </c>
      <c r="B84" s="28">
        <v>319.44</v>
      </c>
      <c r="C84" s="28">
        <f t="shared" si="5"/>
        <v>318.70999999999998</v>
      </c>
      <c r="D84" s="28">
        <f t="shared" si="5"/>
        <v>317.68</v>
      </c>
      <c r="E84" s="28">
        <f t="shared" si="5"/>
        <v>316.87</v>
      </c>
      <c r="F84" s="28">
        <f t="shared" si="5"/>
        <v>316.7</v>
      </c>
      <c r="G84" s="28">
        <f t="shared" si="5"/>
        <v>318.69</v>
      </c>
      <c r="H84" s="28">
        <f t="shared" si="5"/>
        <v>320.44</v>
      </c>
      <c r="I84" s="28">
        <f t="shared" si="5"/>
        <v>321.89</v>
      </c>
      <c r="J84" s="28">
        <f t="shared" si="5"/>
        <v>322.26</v>
      </c>
      <c r="K84" s="28">
        <f t="shared" si="5"/>
        <v>321.59305785123968</v>
      </c>
      <c r="L84" s="28">
        <f t="shared" si="5"/>
        <v>320.90388429752062</v>
      </c>
      <c r="M84" s="28">
        <f t="shared" si="5"/>
        <v>320.25917355371899</v>
      </c>
      <c r="N84" s="28">
        <f t="shared" si="5"/>
        <v>319.57</v>
      </c>
    </row>
    <row r="85" spans="1:14" x14ac:dyDescent="0.4">
      <c r="A85" s="1">
        <v>23774</v>
      </c>
      <c r="B85" s="28">
        <v>320.44</v>
      </c>
      <c r="C85" s="28">
        <f t="shared" si="5"/>
        <v>319.44</v>
      </c>
      <c r="D85" s="28">
        <f t="shared" si="5"/>
        <v>318.70999999999998</v>
      </c>
      <c r="E85" s="28">
        <f t="shared" si="5"/>
        <v>317.68</v>
      </c>
      <c r="F85" s="28">
        <f t="shared" si="5"/>
        <v>316.87</v>
      </c>
      <c r="G85" s="28">
        <f t="shared" si="5"/>
        <v>316.7</v>
      </c>
      <c r="H85" s="28">
        <f t="shared" ref="D85:N100" si="6">IF(G84=0,"",G84)</f>
        <v>318.69</v>
      </c>
      <c r="I85" s="28">
        <f t="shared" si="6"/>
        <v>320.44</v>
      </c>
      <c r="J85" s="28">
        <f t="shared" si="6"/>
        <v>321.89</v>
      </c>
      <c r="K85" s="28">
        <f t="shared" si="6"/>
        <v>322.26</v>
      </c>
      <c r="L85" s="28">
        <f t="shared" si="6"/>
        <v>321.59305785123968</v>
      </c>
      <c r="M85" s="28">
        <f t="shared" si="6"/>
        <v>320.90388429752062</v>
      </c>
      <c r="N85" s="28">
        <f t="shared" si="6"/>
        <v>320.25917355371899</v>
      </c>
    </row>
    <row r="86" spans="1:14" x14ac:dyDescent="0.4">
      <c r="A86" s="1">
        <v>23802</v>
      </c>
      <c r="B86" s="28">
        <v>320.89</v>
      </c>
      <c r="C86" s="28">
        <f t="shared" si="5"/>
        <v>320.44</v>
      </c>
      <c r="D86" s="28">
        <f t="shared" si="6"/>
        <v>319.44</v>
      </c>
      <c r="E86" s="28">
        <f t="shared" si="6"/>
        <v>318.70999999999998</v>
      </c>
      <c r="F86" s="28">
        <f t="shared" si="6"/>
        <v>317.68</v>
      </c>
      <c r="G86" s="28">
        <f t="shared" si="6"/>
        <v>316.87</v>
      </c>
      <c r="H86" s="28">
        <f t="shared" si="6"/>
        <v>316.7</v>
      </c>
      <c r="I86" s="28">
        <f t="shared" si="6"/>
        <v>318.69</v>
      </c>
      <c r="J86" s="28">
        <f t="shared" si="6"/>
        <v>320.44</v>
      </c>
      <c r="K86" s="28">
        <f t="shared" si="6"/>
        <v>321.89</v>
      </c>
      <c r="L86" s="28">
        <f t="shared" si="6"/>
        <v>322.26</v>
      </c>
      <c r="M86" s="28">
        <f t="shared" si="6"/>
        <v>321.59305785123968</v>
      </c>
      <c r="N86" s="28">
        <f t="shared" si="6"/>
        <v>320.90388429752062</v>
      </c>
    </row>
    <row r="87" spans="1:14" x14ac:dyDescent="0.4">
      <c r="A87" s="1">
        <v>23833</v>
      </c>
      <c r="B87" s="28">
        <v>322.14</v>
      </c>
      <c r="C87" s="28">
        <f t="shared" si="5"/>
        <v>320.89</v>
      </c>
      <c r="D87" s="28">
        <f t="shared" si="6"/>
        <v>320.44</v>
      </c>
      <c r="E87" s="28">
        <f t="shared" si="6"/>
        <v>319.44</v>
      </c>
      <c r="F87" s="28">
        <f t="shared" si="6"/>
        <v>318.70999999999998</v>
      </c>
      <c r="G87" s="28">
        <f t="shared" si="6"/>
        <v>317.68</v>
      </c>
      <c r="H87" s="28">
        <f t="shared" si="6"/>
        <v>316.87</v>
      </c>
      <c r="I87" s="28">
        <f t="shared" si="6"/>
        <v>316.7</v>
      </c>
      <c r="J87" s="28">
        <f t="shared" si="6"/>
        <v>318.69</v>
      </c>
      <c r="K87" s="28">
        <f t="shared" si="6"/>
        <v>320.44</v>
      </c>
      <c r="L87" s="28">
        <f t="shared" si="6"/>
        <v>321.89</v>
      </c>
      <c r="M87" s="28">
        <f t="shared" si="6"/>
        <v>322.26</v>
      </c>
      <c r="N87" s="28">
        <f t="shared" si="6"/>
        <v>321.59305785123968</v>
      </c>
    </row>
    <row r="88" spans="1:14" x14ac:dyDescent="0.4">
      <c r="A88" s="1">
        <v>23863</v>
      </c>
      <c r="B88" s="28">
        <v>322.17</v>
      </c>
      <c r="C88" s="28">
        <f t="shared" si="5"/>
        <v>322.14</v>
      </c>
      <c r="D88" s="28">
        <f t="shared" si="6"/>
        <v>320.89</v>
      </c>
      <c r="E88" s="28">
        <f t="shared" si="6"/>
        <v>320.44</v>
      </c>
      <c r="F88" s="28">
        <f t="shared" si="6"/>
        <v>319.44</v>
      </c>
      <c r="G88" s="28">
        <f t="shared" si="6"/>
        <v>318.70999999999998</v>
      </c>
      <c r="H88" s="28">
        <f t="shared" si="6"/>
        <v>317.68</v>
      </c>
      <c r="I88" s="28">
        <f t="shared" si="6"/>
        <v>316.87</v>
      </c>
      <c r="J88" s="28">
        <f t="shared" si="6"/>
        <v>316.7</v>
      </c>
      <c r="K88" s="28">
        <f t="shared" si="6"/>
        <v>318.69</v>
      </c>
      <c r="L88" s="28">
        <f t="shared" si="6"/>
        <v>320.44</v>
      </c>
      <c r="M88" s="28">
        <f t="shared" si="6"/>
        <v>321.89</v>
      </c>
      <c r="N88" s="28">
        <f t="shared" si="6"/>
        <v>322.26</v>
      </c>
    </row>
    <row r="89" spans="1:14" x14ac:dyDescent="0.4">
      <c r="A89" s="1">
        <v>23894</v>
      </c>
      <c r="B89" s="28">
        <v>321.87</v>
      </c>
      <c r="C89" s="28">
        <f t="shared" si="5"/>
        <v>322.17</v>
      </c>
      <c r="D89" s="28">
        <f t="shared" si="6"/>
        <v>322.14</v>
      </c>
      <c r="E89" s="28">
        <f t="shared" si="6"/>
        <v>320.89</v>
      </c>
      <c r="F89" s="28">
        <f t="shared" si="6"/>
        <v>320.44</v>
      </c>
      <c r="G89" s="28">
        <f t="shared" si="6"/>
        <v>319.44</v>
      </c>
      <c r="H89" s="28">
        <f t="shared" si="6"/>
        <v>318.70999999999998</v>
      </c>
      <c r="I89" s="28">
        <f t="shared" si="6"/>
        <v>317.68</v>
      </c>
      <c r="J89" s="28">
        <f t="shared" si="6"/>
        <v>316.87</v>
      </c>
      <c r="K89" s="28">
        <f t="shared" si="6"/>
        <v>316.7</v>
      </c>
      <c r="L89" s="28">
        <f t="shared" si="6"/>
        <v>318.69</v>
      </c>
      <c r="M89" s="28">
        <f t="shared" si="6"/>
        <v>320.44</v>
      </c>
      <c r="N89" s="28">
        <f t="shared" si="6"/>
        <v>321.89</v>
      </c>
    </row>
    <row r="90" spans="1:14" x14ac:dyDescent="0.4">
      <c r="A90" s="1">
        <v>23924</v>
      </c>
      <c r="B90" s="28">
        <v>321.20999999999998</v>
      </c>
      <c r="C90" s="28">
        <f t="shared" si="5"/>
        <v>321.87</v>
      </c>
      <c r="D90" s="28">
        <f t="shared" si="6"/>
        <v>322.17</v>
      </c>
      <c r="E90" s="28">
        <f t="shared" si="6"/>
        <v>322.14</v>
      </c>
      <c r="F90" s="28">
        <f t="shared" si="6"/>
        <v>320.89</v>
      </c>
      <c r="G90" s="28">
        <f t="shared" si="6"/>
        <v>320.44</v>
      </c>
      <c r="H90" s="28">
        <f t="shared" si="6"/>
        <v>319.44</v>
      </c>
      <c r="I90" s="28">
        <f t="shared" si="6"/>
        <v>318.70999999999998</v>
      </c>
      <c r="J90" s="28">
        <f t="shared" si="6"/>
        <v>317.68</v>
      </c>
      <c r="K90" s="28">
        <f t="shared" si="6"/>
        <v>316.87</v>
      </c>
      <c r="L90" s="28">
        <f t="shared" si="6"/>
        <v>316.7</v>
      </c>
      <c r="M90" s="28">
        <f t="shared" si="6"/>
        <v>318.69</v>
      </c>
      <c r="N90" s="28">
        <f t="shared" si="6"/>
        <v>320.44</v>
      </c>
    </row>
    <row r="91" spans="1:14" x14ac:dyDescent="0.4">
      <c r="A91" s="1">
        <v>23955</v>
      </c>
      <c r="B91" s="28">
        <v>318.87</v>
      </c>
      <c r="C91" s="28">
        <f t="shared" si="5"/>
        <v>321.20999999999998</v>
      </c>
      <c r="D91" s="28">
        <f t="shared" si="6"/>
        <v>321.87</v>
      </c>
      <c r="E91" s="28">
        <f t="shared" si="6"/>
        <v>322.17</v>
      </c>
      <c r="F91" s="28">
        <f t="shared" si="6"/>
        <v>322.14</v>
      </c>
      <c r="G91" s="28">
        <f t="shared" si="6"/>
        <v>320.89</v>
      </c>
      <c r="H91" s="28">
        <f t="shared" si="6"/>
        <v>320.44</v>
      </c>
      <c r="I91" s="28">
        <f t="shared" si="6"/>
        <v>319.44</v>
      </c>
      <c r="J91" s="28">
        <f t="shared" si="6"/>
        <v>318.70999999999998</v>
      </c>
      <c r="K91" s="28">
        <f t="shared" si="6"/>
        <v>317.68</v>
      </c>
      <c r="L91" s="28">
        <f t="shared" si="6"/>
        <v>316.87</v>
      </c>
      <c r="M91" s="28">
        <f t="shared" si="6"/>
        <v>316.7</v>
      </c>
      <c r="N91" s="28">
        <f t="shared" si="6"/>
        <v>318.69</v>
      </c>
    </row>
    <row r="92" spans="1:14" x14ac:dyDescent="0.4">
      <c r="A92" s="1">
        <v>23986</v>
      </c>
      <c r="B92" s="28">
        <v>317.81</v>
      </c>
      <c r="C92" s="28">
        <f t="shared" si="5"/>
        <v>318.87</v>
      </c>
      <c r="D92" s="28">
        <f t="shared" si="6"/>
        <v>321.20999999999998</v>
      </c>
      <c r="E92" s="28">
        <f t="shared" si="6"/>
        <v>321.87</v>
      </c>
      <c r="F92" s="28">
        <f t="shared" si="6"/>
        <v>322.17</v>
      </c>
      <c r="G92" s="28">
        <f t="shared" si="6"/>
        <v>322.14</v>
      </c>
      <c r="H92" s="28">
        <f t="shared" si="6"/>
        <v>320.89</v>
      </c>
      <c r="I92" s="28">
        <f t="shared" si="6"/>
        <v>320.44</v>
      </c>
      <c r="J92" s="28">
        <f t="shared" si="6"/>
        <v>319.44</v>
      </c>
      <c r="K92" s="28">
        <f t="shared" si="6"/>
        <v>318.70999999999998</v>
      </c>
      <c r="L92" s="28">
        <f t="shared" si="6"/>
        <v>317.68</v>
      </c>
      <c r="M92" s="28">
        <f t="shared" si="6"/>
        <v>316.87</v>
      </c>
      <c r="N92" s="28">
        <f t="shared" si="6"/>
        <v>316.7</v>
      </c>
    </row>
    <row r="93" spans="1:14" x14ac:dyDescent="0.4">
      <c r="A93" s="1">
        <v>24016</v>
      </c>
      <c r="B93" s="28">
        <v>317.3</v>
      </c>
      <c r="C93" s="28">
        <f t="shared" si="5"/>
        <v>317.81</v>
      </c>
      <c r="D93" s="28">
        <f t="shared" si="6"/>
        <v>318.87</v>
      </c>
      <c r="E93" s="28">
        <f t="shared" si="6"/>
        <v>321.20999999999998</v>
      </c>
      <c r="F93" s="28">
        <f t="shared" si="6"/>
        <v>321.87</v>
      </c>
      <c r="G93" s="28">
        <f t="shared" si="6"/>
        <v>322.17</v>
      </c>
      <c r="H93" s="28">
        <f t="shared" si="6"/>
        <v>322.14</v>
      </c>
      <c r="I93" s="28">
        <f t="shared" si="6"/>
        <v>320.89</v>
      </c>
      <c r="J93" s="28">
        <f t="shared" si="6"/>
        <v>320.44</v>
      </c>
      <c r="K93" s="28">
        <f t="shared" si="6"/>
        <v>319.44</v>
      </c>
      <c r="L93" s="28">
        <f t="shared" si="6"/>
        <v>318.70999999999998</v>
      </c>
      <c r="M93" s="28">
        <f t="shared" si="6"/>
        <v>317.68</v>
      </c>
      <c r="N93" s="28">
        <f t="shared" si="6"/>
        <v>316.87</v>
      </c>
    </row>
    <row r="94" spans="1:14" x14ac:dyDescent="0.4">
      <c r="A94" s="1">
        <v>24047</v>
      </c>
      <c r="B94" s="28">
        <v>318.87</v>
      </c>
      <c r="C94" s="28">
        <f t="shared" si="5"/>
        <v>317.3</v>
      </c>
      <c r="D94" s="28">
        <f t="shared" si="6"/>
        <v>317.81</v>
      </c>
      <c r="E94" s="28">
        <f t="shared" si="6"/>
        <v>318.87</v>
      </c>
      <c r="F94" s="28">
        <f t="shared" si="6"/>
        <v>321.20999999999998</v>
      </c>
      <c r="G94" s="28">
        <f t="shared" si="6"/>
        <v>321.87</v>
      </c>
      <c r="H94" s="28">
        <f t="shared" si="6"/>
        <v>322.17</v>
      </c>
      <c r="I94" s="28">
        <f t="shared" si="6"/>
        <v>322.14</v>
      </c>
      <c r="J94" s="28">
        <f t="shared" si="6"/>
        <v>320.89</v>
      </c>
      <c r="K94" s="28">
        <f t="shared" si="6"/>
        <v>320.44</v>
      </c>
      <c r="L94" s="28">
        <f t="shared" si="6"/>
        <v>319.44</v>
      </c>
      <c r="M94" s="28">
        <f t="shared" si="6"/>
        <v>318.70999999999998</v>
      </c>
      <c r="N94" s="28">
        <f t="shared" si="6"/>
        <v>317.68</v>
      </c>
    </row>
    <row r="95" spans="1:14" x14ac:dyDescent="0.4">
      <c r="A95" s="1">
        <v>24077</v>
      </c>
      <c r="B95" s="28">
        <v>319.42</v>
      </c>
      <c r="C95" s="28">
        <f t="shared" si="5"/>
        <v>318.87</v>
      </c>
      <c r="D95" s="28">
        <f t="shared" si="6"/>
        <v>317.3</v>
      </c>
      <c r="E95" s="28">
        <f t="shared" si="6"/>
        <v>317.81</v>
      </c>
      <c r="F95" s="28">
        <f t="shared" si="6"/>
        <v>318.87</v>
      </c>
      <c r="G95" s="28">
        <f t="shared" si="6"/>
        <v>321.20999999999998</v>
      </c>
      <c r="H95" s="28">
        <f t="shared" si="6"/>
        <v>321.87</v>
      </c>
      <c r="I95" s="28">
        <f t="shared" si="6"/>
        <v>322.17</v>
      </c>
      <c r="J95" s="28">
        <f t="shared" si="6"/>
        <v>322.14</v>
      </c>
      <c r="K95" s="28">
        <f t="shared" si="6"/>
        <v>320.89</v>
      </c>
      <c r="L95" s="28">
        <f t="shared" si="6"/>
        <v>320.44</v>
      </c>
      <c r="M95" s="28">
        <f t="shared" si="6"/>
        <v>319.44</v>
      </c>
      <c r="N95" s="28">
        <f t="shared" si="6"/>
        <v>318.70999999999998</v>
      </c>
    </row>
    <row r="96" spans="1:14" x14ac:dyDescent="0.4">
      <c r="A96" s="1">
        <v>24108</v>
      </c>
      <c r="B96" s="28">
        <v>320.62</v>
      </c>
      <c r="C96" s="28">
        <f t="shared" si="5"/>
        <v>319.42</v>
      </c>
      <c r="D96" s="28">
        <f t="shared" si="6"/>
        <v>318.87</v>
      </c>
      <c r="E96" s="28">
        <f t="shared" si="6"/>
        <v>317.3</v>
      </c>
      <c r="F96" s="28">
        <f t="shared" si="6"/>
        <v>317.81</v>
      </c>
      <c r="G96" s="28">
        <f t="shared" si="6"/>
        <v>318.87</v>
      </c>
      <c r="H96" s="28">
        <f t="shared" si="6"/>
        <v>321.20999999999998</v>
      </c>
      <c r="I96" s="28">
        <f t="shared" si="6"/>
        <v>321.87</v>
      </c>
      <c r="J96" s="28">
        <f t="shared" si="6"/>
        <v>322.17</v>
      </c>
      <c r="K96" s="28">
        <f t="shared" si="6"/>
        <v>322.14</v>
      </c>
      <c r="L96" s="28">
        <f t="shared" si="6"/>
        <v>320.89</v>
      </c>
      <c r="M96" s="28">
        <f t="shared" si="6"/>
        <v>320.44</v>
      </c>
      <c r="N96" s="28">
        <f t="shared" si="6"/>
        <v>319.44</v>
      </c>
    </row>
    <row r="97" spans="1:14" x14ac:dyDescent="0.4">
      <c r="A97" s="1">
        <v>24139</v>
      </c>
      <c r="B97" s="28">
        <v>321.60000000000002</v>
      </c>
      <c r="C97" s="28">
        <f t="shared" si="5"/>
        <v>320.62</v>
      </c>
      <c r="D97" s="28">
        <f t="shared" si="6"/>
        <v>319.42</v>
      </c>
      <c r="E97" s="28">
        <f t="shared" si="6"/>
        <v>318.87</v>
      </c>
      <c r="F97" s="28">
        <f t="shared" si="6"/>
        <v>317.3</v>
      </c>
      <c r="G97" s="28">
        <f t="shared" si="6"/>
        <v>317.81</v>
      </c>
      <c r="H97" s="28">
        <f t="shared" si="6"/>
        <v>318.87</v>
      </c>
      <c r="I97" s="28">
        <f t="shared" si="6"/>
        <v>321.20999999999998</v>
      </c>
      <c r="J97" s="28">
        <f t="shared" si="6"/>
        <v>321.87</v>
      </c>
      <c r="K97" s="28">
        <f t="shared" si="6"/>
        <v>322.17</v>
      </c>
      <c r="L97" s="28">
        <f t="shared" si="6"/>
        <v>322.14</v>
      </c>
      <c r="M97" s="28">
        <f t="shared" si="6"/>
        <v>320.89</v>
      </c>
      <c r="N97" s="28">
        <f t="shared" si="6"/>
        <v>320.44</v>
      </c>
    </row>
    <row r="98" spans="1:14" x14ac:dyDescent="0.4">
      <c r="A98" s="1">
        <v>24167</v>
      </c>
      <c r="B98" s="28">
        <v>322.39</v>
      </c>
      <c r="C98" s="28">
        <f t="shared" si="5"/>
        <v>321.60000000000002</v>
      </c>
      <c r="D98" s="28">
        <f t="shared" si="6"/>
        <v>320.62</v>
      </c>
      <c r="E98" s="28">
        <f t="shared" si="6"/>
        <v>319.42</v>
      </c>
      <c r="F98" s="28">
        <f t="shared" si="6"/>
        <v>318.87</v>
      </c>
      <c r="G98" s="28">
        <f t="shared" si="6"/>
        <v>317.3</v>
      </c>
      <c r="H98" s="28">
        <f t="shared" si="6"/>
        <v>317.81</v>
      </c>
      <c r="I98" s="28">
        <f t="shared" si="6"/>
        <v>318.87</v>
      </c>
      <c r="J98" s="28">
        <f t="shared" si="6"/>
        <v>321.20999999999998</v>
      </c>
      <c r="K98" s="28">
        <f t="shared" si="6"/>
        <v>321.87</v>
      </c>
      <c r="L98" s="28">
        <f t="shared" si="6"/>
        <v>322.17</v>
      </c>
      <c r="M98" s="28">
        <f t="shared" si="6"/>
        <v>322.14</v>
      </c>
      <c r="N98" s="28">
        <f t="shared" si="6"/>
        <v>320.89</v>
      </c>
    </row>
    <row r="99" spans="1:14" x14ac:dyDescent="0.4">
      <c r="A99" s="1">
        <v>24198</v>
      </c>
      <c r="B99" s="28">
        <v>323.7</v>
      </c>
      <c r="C99" s="28">
        <f t="shared" si="5"/>
        <v>322.39</v>
      </c>
      <c r="D99" s="28">
        <f t="shared" si="6"/>
        <v>321.60000000000002</v>
      </c>
      <c r="E99" s="28">
        <f t="shared" si="6"/>
        <v>320.62</v>
      </c>
      <c r="F99" s="28">
        <f t="shared" si="6"/>
        <v>319.42</v>
      </c>
      <c r="G99" s="28">
        <f t="shared" si="6"/>
        <v>318.87</v>
      </c>
      <c r="H99" s="28">
        <f t="shared" si="6"/>
        <v>317.3</v>
      </c>
      <c r="I99" s="28">
        <f t="shared" si="6"/>
        <v>317.81</v>
      </c>
      <c r="J99" s="28">
        <f t="shared" si="6"/>
        <v>318.87</v>
      </c>
      <c r="K99" s="28">
        <f t="shared" si="6"/>
        <v>321.20999999999998</v>
      </c>
      <c r="L99" s="28">
        <f t="shared" si="6"/>
        <v>321.87</v>
      </c>
      <c r="M99" s="28">
        <f t="shared" si="6"/>
        <v>322.17</v>
      </c>
      <c r="N99" s="28">
        <f t="shared" si="6"/>
        <v>322.14</v>
      </c>
    </row>
    <row r="100" spans="1:14" x14ac:dyDescent="0.4">
      <c r="A100" s="1">
        <v>24228</v>
      </c>
      <c r="B100" s="28">
        <v>324.08</v>
      </c>
      <c r="C100" s="28">
        <f t="shared" si="5"/>
        <v>323.7</v>
      </c>
      <c r="D100" s="28">
        <f t="shared" si="6"/>
        <v>322.39</v>
      </c>
      <c r="E100" s="28">
        <f t="shared" si="6"/>
        <v>321.60000000000002</v>
      </c>
      <c r="F100" s="28">
        <f t="shared" si="6"/>
        <v>320.62</v>
      </c>
      <c r="G100" s="28">
        <f t="shared" si="6"/>
        <v>319.42</v>
      </c>
      <c r="H100" s="28">
        <f t="shared" si="6"/>
        <v>318.87</v>
      </c>
      <c r="I100" s="28">
        <f t="shared" si="6"/>
        <v>317.3</v>
      </c>
      <c r="J100" s="28">
        <f t="shared" si="6"/>
        <v>317.81</v>
      </c>
      <c r="K100" s="28">
        <f t="shared" si="6"/>
        <v>318.87</v>
      </c>
      <c r="L100" s="28">
        <f t="shared" si="6"/>
        <v>321.20999999999998</v>
      </c>
      <c r="M100" s="28">
        <f t="shared" si="6"/>
        <v>321.87</v>
      </c>
      <c r="N100" s="28">
        <f t="shared" si="6"/>
        <v>322.17</v>
      </c>
    </row>
    <row r="101" spans="1:14" x14ac:dyDescent="0.4">
      <c r="A101" s="1">
        <v>24259</v>
      </c>
      <c r="B101" s="28">
        <v>323.75</v>
      </c>
      <c r="C101" s="28">
        <f t="shared" si="5"/>
        <v>324.08</v>
      </c>
      <c r="D101" s="28">
        <f t="shared" ref="D101:N116" si="7">IF(C100=0,"",C100)</f>
        <v>323.7</v>
      </c>
      <c r="E101" s="28">
        <f t="shared" si="7"/>
        <v>322.39</v>
      </c>
      <c r="F101" s="28">
        <f t="shared" si="7"/>
        <v>321.60000000000002</v>
      </c>
      <c r="G101" s="28">
        <f t="shared" si="7"/>
        <v>320.62</v>
      </c>
      <c r="H101" s="28">
        <f t="shared" si="7"/>
        <v>319.42</v>
      </c>
      <c r="I101" s="28">
        <f t="shared" si="7"/>
        <v>318.87</v>
      </c>
      <c r="J101" s="28">
        <f t="shared" si="7"/>
        <v>317.3</v>
      </c>
      <c r="K101" s="28">
        <f t="shared" si="7"/>
        <v>317.81</v>
      </c>
      <c r="L101" s="28">
        <f t="shared" si="7"/>
        <v>318.87</v>
      </c>
      <c r="M101" s="28">
        <f t="shared" si="7"/>
        <v>321.20999999999998</v>
      </c>
      <c r="N101" s="28">
        <f t="shared" si="7"/>
        <v>321.87</v>
      </c>
    </row>
    <row r="102" spans="1:14" x14ac:dyDescent="0.4">
      <c r="A102" s="1">
        <v>24289</v>
      </c>
      <c r="B102" s="28">
        <v>322.38</v>
      </c>
      <c r="C102" s="28">
        <f t="shared" si="5"/>
        <v>323.75</v>
      </c>
      <c r="D102" s="28">
        <f t="shared" si="7"/>
        <v>324.08</v>
      </c>
      <c r="E102" s="28">
        <f t="shared" si="7"/>
        <v>323.7</v>
      </c>
      <c r="F102" s="28">
        <f t="shared" si="7"/>
        <v>322.39</v>
      </c>
      <c r="G102" s="28">
        <f t="shared" si="7"/>
        <v>321.60000000000002</v>
      </c>
      <c r="H102" s="28">
        <f t="shared" si="7"/>
        <v>320.62</v>
      </c>
      <c r="I102" s="28">
        <f t="shared" si="7"/>
        <v>319.42</v>
      </c>
      <c r="J102" s="28">
        <f t="shared" si="7"/>
        <v>318.87</v>
      </c>
      <c r="K102" s="28">
        <f t="shared" si="7"/>
        <v>317.3</v>
      </c>
      <c r="L102" s="28">
        <f t="shared" si="7"/>
        <v>317.81</v>
      </c>
      <c r="M102" s="28">
        <f t="shared" si="7"/>
        <v>318.87</v>
      </c>
      <c r="N102" s="28">
        <f t="shared" si="7"/>
        <v>321.20999999999998</v>
      </c>
    </row>
    <row r="103" spans="1:14" x14ac:dyDescent="0.4">
      <c r="A103" s="1">
        <v>24320</v>
      </c>
      <c r="B103" s="28">
        <v>320.36</v>
      </c>
      <c r="C103" s="28">
        <f t="shared" si="5"/>
        <v>322.38</v>
      </c>
      <c r="D103" s="28">
        <f t="shared" si="7"/>
        <v>323.75</v>
      </c>
      <c r="E103" s="28">
        <f t="shared" si="7"/>
        <v>324.08</v>
      </c>
      <c r="F103" s="28">
        <f t="shared" si="7"/>
        <v>323.7</v>
      </c>
      <c r="G103" s="28">
        <f t="shared" si="7"/>
        <v>322.39</v>
      </c>
      <c r="H103" s="28">
        <f t="shared" si="7"/>
        <v>321.60000000000002</v>
      </c>
      <c r="I103" s="28">
        <f t="shared" si="7"/>
        <v>320.62</v>
      </c>
      <c r="J103" s="28">
        <f t="shared" si="7"/>
        <v>319.42</v>
      </c>
      <c r="K103" s="28">
        <f t="shared" si="7"/>
        <v>318.87</v>
      </c>
      <c r="L103" s="28">
        <f t="shared" si="7"/>
        <v>317.3</v>
      </c>
      <c r="M103" s="28">
        <f t="shared" si="7"/>
        <v>317.81</v>
      </c>
      <c r="N103" s="28">
        <f t="shared" si="7"/>
        <v>318.87</v>
      </c>
    </row>
    <row r="104" spans="1:14" x14ac:dyDescent="0.4">
      <c r="A104" s="1">
        <v>24351</v>
      </c>
      <c r="B104" s="28">
        <v>318.64</v>
      </c>
      <c r="C104" s="28">
        <f t="shared" si="5"/>
        <v>320.36</v>
      </c>
      <c r="D104" s="28">
        <f t="shared" si="7"/>
        <v>322.38</v>
      </c>
      <c r="E104" s="28">
        <f t="shared" si="7"/>
        <v>323.75</v>
      </c>
      <c r="F104" s="28">
        <f t="shared" si="7"/>
        <v>324.08</v>
      </c>
      <c r="G104" s="28">
        <f t="shared" si="7"/>
        <v>323.7</v>
      </c>
      <c r="H104" s="28">
        <f t="shared" si="7"/>
        <v>322.39</v>
      </c>
      <c r="I104" s="28">
        <f t="shared" si="7"/>
        <v>321.60000000000002</v>
      </c>
      <c r="J104" s="28">
        <f t="shared" si="7"/>
        <v>320.62</v>
      </c>
      <c r="K104" s="28">
        <f t="shared" si="7"/>
        <v>319.42</v>
      </c>
      <c r="L104" s="28">
        <f t="shared" si="7"/>
        <v>318.87</v>
      </c>
      <c r="M104" s="28">
        <f t="shared" si="7"/>
        <v>317.3</v>
      </c>
      <c r="N104" s="28">
        <f t="shared" si="7"/>
        <v>317.81</v>
      </c>
    </row>
    <row r="105" spans="1:14" x14ac:dyDescent="0.4">
      <c r="A105" s="1">
        <v>24381</v>
      </c>
      <c r="B105" s="28">
        <v>318.10000000000002</v>
      </c>
      <c r="C105" s="28">
        <f t="shared" si="5"/>
        <v>318.64</v>
      </c>
      <c r="D105" s="28">
        <f t="shared" si="7"/>
        <v>320.36</v>
      </c>
      <c r="E105" s="28">
        <f t="shared" si="7"/>
        <v>322.38</v>
      </c>
      <c r="F105" s="28">
        <f t="shared" si="7"/>
        <v>323.75</v>
      </c>
      <c r="G105" s="28">
        <f t="shared" si="7"/>
        <v>324.08</v>
      </c>
      <c r="H105" s="28">
        <f t="shared" si="7"/>
        <v>323.7</v>
      </c>
      <c r="I105" s="28">
        <f t="shared" si="7"/>
        <v>322.39</v>
      </c>
      <c r="J105" s="28">
        <f t="shared" si="7"/>
        <v>321.60000000000002</v>
      </c>
      <c r="K105" s="28">
        <f t="shared" si="7"/>
        <v>320.62</v>
      </c>
      <c r="L105" s="28">
        <f t="shared" si="7"/>
        <v>319.42</v>
      </c>
      <c r="M105" s="28">
        <f t="shared" si="7"/>
        <v>318.87</v>
      </c>
      <c r="N105" s="28">
        <f t="shared" si="7"/>
        <v>317.3</v>
      </c>
    </row>
    <row r="106" spans="1:14" x14ac:dyDescent="0.4">
      <c r="A106" s="1">
        <v>24412</v>
      </c>
      <c r="B106" s="28">
        <v>319.77999999999997</v>
      </c>
      <c r="C106" s="28">
        <f t="shared" si="5"/>
        <v>318.10000000000002</v>
      </c>
      <c r="D106" s="28">
        <f t="shared" si="7"/>
        <v>318.64</v>
      </c>
      <c r="E106" s="28">
        <f t="shared" si="7"/>
        <v>320.36</v>
      </c>
      <c r="F106" s="28">
        <f t="shared" si="7"/>
        <v>322.38</v>
      </c>
      <c r="G106" s="28">
        <f t="shared" si="7"/>
        <v>323.75</v>
      </c>
      <c r="H106" s="28">
        <f t="shared" si="7"/>
        <v>324.08</v>
      </c>
      <c r="I106" s="28">
        <f t="shared" si="7"/>
        <v>323.7</v>
      </c>
      <c r="J106" s="28">
        <f t="shared" si="7"/>
        <v>322.39</v>
      </c>
      <c r="K106" s="28">
        <f t="shared" si="7"/>
        <v>321.60000000000002</v>
      </c>
      <c r="L106" s="28">
        <f t="shared" si="7"/>
        <v>320.62</v>
      </c>
      <c r="M106" s="28">
        <f t="shared" si="7"/>
        <v>319.42</v>
      </c>
      <c r="N106" s="28">
        <f t="shared" si="7"/>
        <v>318.87</v>
      </c>
    </row>
    <row r="107" spans="1:14" x14ac:dyDescent="0.4">
      <c r="A107" s="1">
        <v>24442</v>
      </c>
      <c r="B107" s="28">
        <v>321.02999999999997</v>
      </c>
      <c r="C107" s="28">
        <f t="shared" si="5"/>
        <v>319.77999999999997</v>
      </c>
      <c r="D107" s="28">
        <f t="shared" si="7"/>
        <v>318.10000000000002</v>
      </c>
      <c r="E107" s="28">
        <f t="shared" si="7"/>
        <v>318.64</v>
      </c>
      <c r="F107" s="28">
        <f t="shared" si="7"/>
        <v>320.36</v>
      </c>
      <c r="G107" s="28">
        <f t="shared" si="7"/>
        <v>322.38</v>
      </c>
      <c r="H107" s="28">
        <f t="shared" si="7"/>
        <v>323.75</v>
      </c>
      <c r="I107" s="28">
        <f t="shared" si="7"/>
        <v>324.08</v>
      </c>
      <c r="J107" s="28">
        <f t="shared" si="7"/>
        <v>323.7</v>
      </c>
      <c r="K107" s="28">
        <f t="shared" si="7"/>
        <v>322.39</v>
      </c>
      <c r="L107" s="28">
        <f t="shared" si="7"/>
        <v>321.60000000000002</v>
      </c>
      <c r="M107" s="28">
        <f t="shared" si="7"/>
        <v>320.62</v>
      </c>
      <c r="N107" s="28">
        <f t="shared" si="7"/>
        <v>319.42</v>
      </c>
    </row>
    <row r="108" spans="1:14" x14ac:dyDescent="0.4">
      <c r="A108" s="1">
        <v>24473</v>
      </c>
      <c r="B108" s="28">
        <v>322.33</v>
      </c>
      <c r="C108" s="28">
        <f t="shared" si="5"/>
        <v>321.02999999999997</v>
      </c>
      <c r="D108" s="28">
        <f t="shared" si="7"/>
        <v>319.77999999999997</v>
      </c>
      <c r="E108" s="28">
        <f t="shared" si="7"/>
        <v>318.10000000000002</v>
      </c>
      <c r="F108" s="28">
        <f t="shared" si="7"/>
        <v>318.64</v>
      </c>
      <c r="G108" s="28">
        <f t="shared" si="7"/>
        <v>320.36</v>
      </c>
      <c r="H108" s="28">
        <f t="shared" si="7"/>
        <v>322.38</v>
      </c>
      <c r="I108" s="28">
        <f t="shared" si="7"/>
        <v>323.75</v>
      </c>
      <c r="J108" s="28">
        <f t="shared" si="7"/>
        <v>324.08</v>
      </c>
      <c r="K108" s="28">
        <f t="shared" si="7"/>
        <v>323.7</v>
      </c>
      <c r="L108" s="28">
        <f t="shared" si="7"/>
        <v>322.39</v>
      </c>
      <c r="M108" s="28">
        <f t="shared" si="7"/>
        <v>321.60000000000002</v>
      </c>
      <c r="N108" s="28">
        <f t="shared" si="7"/>
        <v>320.62</v>
      </c>
    </row>
    <row r="109" spans="1:14" x14ac:dyDescent="0.4">
      <c r="A109" s="1">
        <v>24504</v>
      </c>
      <c r="B109" s="28">
        <v>322.5</v>
      </c>
      <c r="C109" s="28">
        <f t="shared" si="5"/>
        <v>322.33</v>
      </c>
      <c r="D109" s="28">
        <f t="shared" si="7"/>
        <v>321.02999999999997</v>
      </c>
      <c r="E109" s="28">
        <f t="shared" si="7"/>
        <v>319.77999999999997</v>
      </c>
      <c r="F109" s="28">
        <f t="shared" si="7"/>
        <v>318.10000000000002</v>
      </c>
      <c r="G109" s="28">
        <f t="shared" si="7"/>
        <v>318.64</v>
      </c>
      <c r="H109" s="28">
        <f t="shared" si="7"/>
        <v>320.36</v>
      </c>
      <c r="I109" s="28">
        <f t="shared" si="7"/>
        <v>322.38</v>
      </c>
      <c r="J109" s="28">
        <f t="shared" si="7"/>
        <v>323.75</v>
      </c>
      <c r="K109" s="28">
        <f t="shared" si="7"/>
        <v>324.08</v>
      </c>
      <c r="L109" s="28">
        <f t="shared" si="7"/>
        <v>323.7</v>
      </c>
      <c r="M109" s="28">
        <f t="shared" si="7"/>
        <v>322.39</v>
      </c>
      <c r="N109" s="28">
        <f t="shared" si="7"/>
        <v>321.60000000000002</v>
      </c>
    </row>
    <row r="110" spans="1:14" x14ac:dyDescent="0.4">
      <c r="A110" s="1">
        <v>24532</v>
      </c>
      <c r="B110" s="28">
        <v>323.04000000000002</v>
      </c>
      <c r="C110" s="28">
        <f t="shared" si="5"/>
        <v>322.5</v>
      </c>
      <c r="D110" s="28">
        <f t="shared" si="7"/>
        <v>322.33</v>
      </c>
      <c r="E110" s="28">
        <f t="shared" si="7"/>
        <v>321.02999999999997</v>
      </c>
      <c r="F110" s="28">
        <f t="shared" si="7"/>
        <v>319.77999999999997</v>
      </c>
      <c r="G110" s="28">
        <f t="shared" si="7"/>
        <v>318.10000000000002</v>
      </c>
      <c r="H110" s="28">
        <f t="shared" si="7"/>
        <v>318.64</v>
      </c>
      <c r="I110" s="28">
        <f t="shared" si="7"/>
        <v>320.36</v>
      </c>
      <c r="J110" s="28">
        <f t="shared" si="7"/>
        <v>322.38</v>
      </c>
      <c r="K110" s="28">
        <f t="shared" si="7"/>
        <v>323.75</v>
      </c>
      <c r="L110" s="28">
        <f t="shared" si="7"/>
        <v>324.08</v>
      </c>
      <c r="M110" s="28">
        <f t="shared" si="7"/>
        <v>323.7</v>
      </c>
      <c r="N110" s="28">
        <f t="shared" si="7"/>
        <v>322.39</v>
      </c>
    </row>
    <row r="111" spans="1:14" x14ac:dyDescent="0.4">
      <c r="A111" s="1">
        <v>24563</v>
      </c>
      <c r="B111" s="28">
        <v>324.42</v>
      </c>
      <c r="C111" s="28">
        <f t="shared" si="5"/>
        <v>323.04000000000002</v>
      </c>
      <c r="D111" s="28">
        <f t="shared" si="7"/>
        <v>322.5</v>
      </c>
      <c r="E111" s="28">
        <f t="shared" si="7"/>
        <v>322.33</v>
      </c>
      <c r="F111" s="28">
        <f t="shared" si="7"/>
        <v>321.02999999999997</v>
      </c>
      <c r="G111" s="28">
        <f t="shared" si="7"/>
        <v>319.77999999999997</v>
      </c>
      <c r="H111" s="28">
        <f t="shared" si="7"/>
        <v>318.10000000000002</v>
      </c>
      <c r="I111" s="28">
        <f t="shared" si="7"/>
        <v>318.64</v>
      </c>
      <c r="J111" s="28">
        <f t="shared" si="7"/>
        <v>320.36</v>
      </c>
      <c r="K111" s="28">
        <f t="shared" si="7"/>
        <v>322.38</v>
      </c>
      <c r="L111" s="28">
        <f t="shared" si="7"/>
        <v>323.75</v>
      </c>
      <c r="M111" s="28">
        <f t="shared" si="7"/>
        <v>324.08</v>
      </c>
      <c r="N111" s="28">
        <f t="shared" si="7"/>
        <v>323.7</v>
      </c>
    </row>
    <row r="112" spans="1:14" x14ac:dyDescent="0.4">
      <c r="A112" s="1">
        <v>24593</v>
      </c>
      <c r="B112" s="28">
        <v>325</v>
      </c>
      <c r="C112" s="28">
        <f t="shared" si="5"/>
        <v>324.42</v>
      </c>
      <c r="D112" s="28">
        <f t="shared" si="7"/>
        <v>323.04000000000002</v>
      </c>
      <c r="E112" s="28">
        <f t="shared" si="7"/>
        <v>322.5</v>
      </c>
      <c r="F112" s="28">
        <f t="shared" si="7"/>
        <v>322.33</v>
      </c>
      <c r="G112" s="28">
        <f t="shared" si="7"/>
        <v>321.02999999999997</v>
      </c>
      <c r="H112" s="28">
        <f t="shared" si="7"/>
        <v>319.77999999999997</v>
      </c>
      <c r="I112" s="28">
        <f t="shared" si="7"/>
        <v>318.10000000000002</v>
      </c>
      <c r="J112" s="28">
        <f t="shared" si="7"/>
        <v>318.64</v>
      </c>
      <c r="K112" s="28">
        <f t="shared" si="7"/>
        <v>320.36</v>
      </c>
      <c r="L112" s="28">
        <f t="shared" si="7"/>
        <v>322.38</v>
      </c>
      <c r="M112" s="28">
        <f t="shared" si="7"/>
        <v>323.75</v>
      </c>
      <c r="N112" s="28">
        <f t="shared" si="7"/>
        <v>324.08</v>
      </c>
    </row>
    <row r="113" spans="1:14" x14ac:dyDescent="0.4">
      <c r="A113" s="1">
        <v>24624</v>
      </c>
      <c r="B113" s="28">
        <v>324.08999999999997</v>
      </c>
      <c r="C113" s="28">
        <f t="shared" si="5"/>
        <v>325</v>
      </c>
      <c r="D113" s="28">
        <f t="shared" si="7"/>
        <v>324.42</v>
      </c>
      <c r="E113" s="28">
        <f t="shared" si="7"/>
        <v>323.04000000000002</v>
      </c>
      <c r="F113" s="28">
        <f t="shared" si="7"/>
        <v>322.5</v>
      </c>
      <c r="G113" s="28">
        <f t="shared" si="7"/>
        <v>322.33</v>
      </c>
      <c r="H113" s="28">
        <f t="shared" si="7"/>
        <v>321.02999999999997</v>
      </c>
      <c r="I113" s="28">
        <f t="shared" si="7"/>
        <v>319.77999999999997</v>
      </c>
      <c r="J113" s="28">
        <f t="shared" si="7"/>
        <v>318.10000000000002</v>
      </c>
      <c r="K113" s="28">
        <f t="shared" si="7"/>
        <v>318.64</v>
      </c>
      <c r="L113" s="28">
        <f t="shared" si="7"/>
        <v>320.36</v>
      </c>
      <c r="M113" s="28">
        <f t="shared" si="7"/>
        <v>322.38</v>
      </c>
      <c r="N113" s="28">
        <f t="shared" si="7"/>
        <v>323.75</v>
      </c>
    </row>
    <row r="114" spans="1:14" x14ac:dyDescent="0.4">
      <c r="A114" s="1">
        <v>24654</v>
      </c>
      <c r="B114" s="28">
        <v>322.54000000000002</v>
      </c>
      <c r="C114" s="28">
        <f t="shared" si="5"/>
        <v>324.08999999999997</v>
      </c>
      <c r="D114" s="28">
        <f t="shared" si="7"/>
        <v>325</v>
      </c>
      <c r="E114" s="28">
        <f t="shared" si="7"/>
        <v>324.42</v>
      </c>
      <c r="F114" s="28">
        <f t="shared" si="7"/>
        <v>323.04000000000002</v>
      </c>
      <c r="G114" s="28">
        <f t="shared" si="7"/>
        <v>322.5</v>
      </c>
      <c r="H114" s="28">
        <f t="shared" si="7"/>
        <v>322.33</v>
      </c>
      <c r="I114" s="28">
        <f t="shared" si="7"/>
        <v>321.02999999999997</v>
      </c>
      <c r="J114" s="28">
        <f t="shared" si="7"/>
        <v>319.77999999999997</v>
      </c>
      <c r="K114" s="28">
        <f t="shared" si="7"/>
        <v>318.10000000000002</v>
      </c>
      <c r="L114" s="28">
        <f t="shared" si="7"/>
        <v>318.64</v>
      </c>
      <c r="M114" s="28">
        <f t="shared" si="7"/>
        <v>320.36</v>
      </c>
      <c r="N114" s="28">
        <f t="shared" si="7"/>
        <v>322.38</v>
      </c>
    </row>
    <row r="115" spans="1:14" x14ac:dyDescent="0.4">
      <c r="A115" s="1">
        <v>24685</v>
      </c>
      <c r="B115" s="28">
        <v>320.92</v>
      </c>
      <c r="C115" s="28">
        <f t="shared" si="5"/>
        <v>322.54000000000002</v>
      </c>
      <c r="D115" s="28">
        <f t="shared" si="7"/>
        <v>324.08999999999997</v>
      </c>
      <c r="E115" s="28">
        <f t="shared" si="7"/>
        <v>325</v>
      </c>
      <c r="F115" s="28">
        <f t="shared" si="7"/>
        <v>324.42</v>
      </c>
      <c r="G115" s="28">
        <f t="shared" si="7"/>
        <v>323.04000000000002</v>
      </c>
      <c r="H115" s="28">
        <f t="shared" si="7"/>
        <v>322.5</v>
      </c>
      <c r="I115" s="28">
        <f t="shared" si="7"/>
        <v>322.33</v>
      </c>
      <c r="J115" s="28">
        <f t="shared" si="7"/>
        <v>321.02999999999997</v>
      </c>
      <c r="K115" s="28">
        <f t="shared" si="7"/>
        <v>319.77999999999997</v>
      </c>
      <c r="L115" s="28">
        <f t="shared" si="7"/>
        <v>318.10000000000002</v>
      </c>
      <c r="M115" s="28">
        <f t="shared" si="7"/>
        <v>318.64</v>
      </c>
      <c r="N115" s="28">
        <f t="shared" si="7"/>
        <v>320.36</v>
      </c>
    </row>
    <row r="116" spans="1:14" x14ac:dyDescent="0.4">
      <c r="A116" s="1">
        <v>24716</v>
      </c>
      <c r="B116" s="28">
        <v>319.25</v>
      </c>
      <c r="C116" s="28">
        <f t="shared" si="5"/>
        <v>320.92</v>
      </c>
      <c r="D116" s="28">
        <f t="shared" si="7"/>
        <v>322.54000000000002</v>
      </c>
      <c r="E116" s="28">
        <f t="shared" si="7"/>
        <v>324.08999999999997</v>
      </c>
      <c r="F116" s="28">
        <f t="shared" si="7"/>
        <v>325</v>
      </c>
      <c r="G116" s="28">
        <f t="shared" si="7"/>
        <v>324.42</v>
      </c>
      <c r="H116" s="28">
        <f t="shared" si="7"/>
        <v>323.04000000000002</v>
      </c>
      <c r="I116" s="28">
        <f t="shared" si="7"/>
        <v>322.5</v>
      </c>
      <c r="J116" s="28">
        <f t="shared" si="7"/>
        <v>322.33</v>
      </c>
      <c r="K116" s="28">
        <f t="shared" si="7"/>
        <v>321.02999999999997</v>
      </c>
      <c r="L116" s="28">
        <f t="shared" si="7"/>
        <v>319.77999999999997</v>
      </c>
      <c r="M116" s="28">
        <f t="shared" si="7"/>
        <v>318.10000000000002</v>
      </c>
      <c r="N116" s="28">
        <f t="shared" si="7"/>
        <v>318.64</v>
      </c>
    </row>
    <row r="117" spans="1:14" x14ac:dyDescent="0.4">
      <c r="A117" s="1">
        <v>24746</v>
      </c>
      <c r="B117" s="28">
        <v>319.39</v>
      </c>
      <c r="C117" s="28">
        <f t="shared" si="5"/>
        <v>319.25</v>
      </c>
      <c r="D117" s="28">
        <f t="shared" ref="D117:N131" si="8">IF(C116=0,"",C116)</f>
        <v>320.92</v>
      </c>
      <c r="E117" s="28">
        <f t="shared" si="8"/>
        <v>322.54000000000002</v>
      </c>
      <c r="F117" s="28">
        <f t="shared" si="8"/>
        <v>324.08999999999997</v>
      </c>
      <c r="G117" s="28">
        <f t="shared" si="8"/>
        <v>325</v>
      </c>
      <c r="H117" s="28">
        <f t="shared" si="8"/>
        <v>324.42</v>
      </c>
      <c r="I117" s="28">
        <f t="shared" si="8"/>
        <v>323.04000000000002</v>
      </c>
      <c r="J117" s="28">
        <f t="shared" si="8"/>
        <v>322.5</v>
      </c>
      <c r="K117" s="28">
        <f t="shared" si="8"/>
        <v>322.33</v>
      </c>
      <c r="L117" s="28">
        <f t="shared" si="8"/>
        <v>321.02999999999997</v>
      </c>
      <c r="M117" s="28">
        <f t="shared" si="8"/>
        <v>319.77999999999997</v>
      </c>
      <c r="N117" s="28">
        <f t="shared" si="8"/>
        <v>318.10000000000002</v>
      </c>
    </row>
    <row r="118" spans="1:14" x14ac:dyDescent="0.4">
      <c r="A118" s="1">
        <v>24777</v>
      </c>
      <c r="B118" s="28">
        <v>320.73</v>
      </c>
      <c r="C118" s="28">
        <f t="shared" si="5"/>
        <v>319.39</v>
      </c>
      <c r="D118" s="28">
        <f t="shared" si="8"/>
        <v>319.25</v>
      </c>
      <c r="E118" s="28">
        <f t="shared" si="8"/>
        <v>320.92</v>
      </c>
      <c r="F118" s="28">
        <f t="shared" si="8"/>
        <v>322.54000000000002</v>
      </c>
      <c r="G118" s="28">
        <f t="shared" si="8"/>
        <v>324.08999999999997</v>
      </c>
      <c r="H118" s="28">
        <f t="shared" si="8"/>
        <v>325</v>
      </c>
      <c r="I118" s="28">
        <f t="shared" si="8"/>
        <v>324.42</v>
      </c>
      <c r="J118" s="28">
        <f t="shared" si="8"/>
        <v>323.04000000000002</v>
      </c>
      <c r="K118" s="28">
        <f t="shared" si="8"/>
        <v>322.5</v>
      </c>
      <c r="L118" s="28">
        <f t="shared" si="8"/>
        <v>322.33</v>
      </c>
      <c r="M118" s="28">
        <f t="shared" si="8"/>
        <v>321.02999999999997</v>
      </c>
      <c r="N118" s="28">
        <f t="shared" si="8"/>
        <v>319.77999999999997</v>
      </c>
    </row>
    <row r="119" spans="1:14" x14ac:dyDescent="0.4">
      <c r="A119" s="1">
        <v>24807</v>
      </c>
      <c r="B119" s="28">
        <v>321.95999999999998</v>
      </c>
      <c r="C119" s="28">
        <f t="shared" si="5"/>
        <v>320.73</v>
      </c>
      <c r="D119" s="28">
        <f t="shared" si="8"/>
        <v>319.39</v>
      </c>
      <c r="E119" s="28">
        <f t="shared" si="8"/>
        <v>319.25</v>
      </c>
      <c r="F119" s="28">
        <f t="shared" si="8"/>
        <v>320.92</v>
      </c>
      <c r="G119" s="28">
        <f t="shared" si="8"/>
        <v>322.54000000000002</v>
      </c>
      <c r="H119" s="28">
        <f t="shared" si="8"/>
        <v>324.08999999999997</v>
      </c>
      <c r="I119" s="28">
        <f t="shared" si="8"/>
        <v>325</v>
      </c>
      <c r="J119" s="28">
        <f t="shared" si="8"/>
        <v>324.42</v>
      </c>
      <c r="K119" s="28">
        <f t="shared" si="8"/>
        <v>323.04000000000002</v>
      </c>
      <c r="L119" s="28">
        <f t="shared" si="8"/>
        <v>322.5</v>
      </c>
      <c r="M119" s="28">
        <f t="shared" si="8"/>
        <v>322.33</v>
      </c>
      <c r="N119" s="28">
        <f t="shared" si="8"/>
        <v>321.02999999999997</v>
      </c>
    </row>
    <row r="120" spans="1:14" x14ac:dyDescent="0.4">
      <c r="A120" s="1">
        <v>24838</v>
      </c>
      <c r="B120" s="28">
        <v>322.57</v>
      </c>
      <c r="C120" s="28">
        <f t="shared" si="5"/>
        <v>321.95999999999998</v>
      </c>
      <c r="D120" s="28">
        <f t="shared" si="8"/>
        <v>320.73</v>
      </c>
      <c r="E120" s="28">
        <f t="shared" si="8"/>
        <v>319.39</v>
      </c>
      <c r="F120" s="28">
        <f t="shared" si="8"/>
        <v>319.25</v>
      </c>
      <c r="G120" s="28">
        <f t="shared" si="8"/>
        <v>320.92</v>
      </c>
      <c r="H120" s="28">
        <f t="shared" si="8"/>
        <v>322.54000000000002</v>
      </c>
      <c r="I120" s="28">
        <f t="shared" si="8"/>
        <v>324.08999999999997</v>
      </c>
      <c r="J120" s="28">
        <f t="shared" si="8"/>
        <v>325</v>
      </c>
      <c r="K120" s="28">
        <f t="shared" si="8"/>
        <v>324.42</v>
      </c>
      <c r="L120" s="28">
        <f t="shared" si="8"/>
        <v>323.04000000000002</v>
      </c>
      <c r="M120" s="28">
        <f t="shared" si="8"/>
        <v>322.5</v>
      </c>
      <c r="N120" s="28">
        <f t="shared" si="8"/>
        <v>322.33</v>
      </c>
    </row>
    <row r="121" spans="1:14" x14ac:dyDescent="0.4">
      <c r="A121" s="1">
        <v>24869</v>
      </c>
      <c r="B121" s="28">
        <v>323.14999999999998</v>
      </c>
      <c r="C121" s="28">
        <f t="shared" si="5"/>
        <v>322.57</v>
      </c>
      <c r="D121" s="28">
        <f t="shared" si="8"/>
        <v>321.95999999999998</v>
      </c>
      <c r="E121" s="28">
        <f t="shared" si="8"/>
        <v>320.73</v>
      </c>
      <c r="F121" s="28">
        <f t="shared" si="8"/>
        <v>319.39</v>
      </c>
      <c r="G121" s="28">
        <f t="shared" si="8"/>
        <v>319.25</v>
      </c>
      <c r="H121" s="28">
        <f t="shared" si="8"/>
        <v>320.92</v>
      </c>
      <c r="I121" s="28">
        <f t="shared" si="8"/>
        <v>322.54000000000002</v>
      </c>
      <c r="J121" s="28">
        <f t="shared" si="8"/>
        <v>324.08999999999997</v>
      </c>
      <c r="K121" s="28">
        <f t="shared" si="8"/>
        <v>325</v>
      </c>
      <c r="L121" s="28">
        <f t="shared" si="8"/>
        <v>324.42</v>
      </c>
      <c r="M121" s="28">
        <f t="shared" si="8"/>
        <v>323.04000000000002</v>
      </c>
      <c r="N121" s="28">
        <f t="shared" si="8"/>
        <v>322.5</v>
      </c>
    </row>
    <row r="122" spans="1:14" x14ac:dyDescent="0.4">
      <c r="A122" s="1">
        <v>24898</v>
      </c>
      <c r="B122" s="28">
        <v>323.89</v>
      </c>
      <c r="C122" s="28">
        <f t="shared" si="5"/>
        <v>323.14999999999998</v>
      </c>
      <c r="D122" s="28">
        <f t="shared" si="8"/>
        <v>322.57</v>
      </c>
      <c r="E122" s="28">
        <f t="shared" si="8"/>
        <v>321.95999999999998</v>
      </c>
      <c r="F122" s="28">
        <f t="shared" si="8"/>
        <v>320.73</v>
      </c>
      <c r="G122" s="28">
        <f t="shared" si="8"/>
        <v>319.39</v>
      </c>
      <c r="H122" s="28">
        <f t="shared" si="8"/>
        <v>319.25</v>
      </c>
      <c r="I122" s="28">
        <f t="shared" si="8"/>
        <v>320.92</v>
      </c>
      <c r="J122" s="28">
        <f t="shared" si="8"/>
        <v>322.54000000000002</v>
      </c>
      <c r="K122" s="28">
        <f t="shared" si="8"/>
        <v>324.08999999999997</v>
      </c>
      <c r="L122" s="28">
        <f t="shared" si="8"/>
        <v>325</v>
      </c>
      <c r="M122" s="28">
        <f t="shared" si="8"/>
        <v>324.42</v>
      </c>
      <c r="N122" s="28">
        <f t="shared" si="8"/>
        <v>323.04000000000002</v>
      </c>
    </row>
    <row r="123" spans="1:14" x14ac:dyDescent="0.4">
      <c r="A123" s="1">
        <v>24929</v>
      </c>
      <c r="B123" s="28">
        <v>325.02</v>
      </c>
      <c r="C123" s="28">
        <f t="shared" si="5"/>
        <v>323.89</v>
      </c>
      <c r="D123" s="28">
        <f t="shared" si="8"/>
        <v>323.14999999999998</v>
      </c>
      <c r="E123" s="28">
        <f t="shared" si="8"/>
        <v>322.57</v>
      </c>
      <c r="F123" s="28">
        <f t="shared" si="8"/>
        <v>321.95999999999998</v>
      </c>
      <c r="G123" s="28">
        <f t="shared" si="8"/>
        <v>320.73</v>
      </c>
      <c r="H123" s="28">
        <f t="shared" si="8"/>
        <v>319.39</v>
      </c>
      <c r="I123" s="28">
        <f t="shared" si="8"/>
        <v>319.25</v>
      </c>
      <c r="J123" s="28">
        <f t="shared" si="8"/>
        <v>320.92</v>
      </c>
      <c r="K123" s="28">
        <f t="shared" si="8"/>
        <v>322.54000000000002</v>
      </c>
      <c r="L123" s="28">
        <f t="shared" si="8"/>
        <v>324.08999999999997</v>
      </c>
      <c r="M123" s="28">
        <f t="shared" si="8"/>
        <v>325</v>
      </c>
      <c r="N123" s="28">
        <f t="shared" si="8"/>
        <v>324.42</v>
      </c>
    </row>
    <row r="124" spans="1:14" x14ac:dyDescent="0.4">
      <c r="A124" s="1">
        <v>24959</v>
      </c>
      <c r="B124" s="28">
        <v>325.57</v>
      </c>
      <c r="C124" s="28">
        <f t="shared" si="5"/>
        <v>325.02</v>
      </c>
      <c r="D124" s="28">
        <f t="shared" si="8"/>
        <v>323.89</v>
      </c>
      <c r="E124" s="28">
        <f t="shared" si="8"/>
        <v>323.14999999999998</v>
      </c>
      <c r="F124" s="28">
        <f t="shared" si="8"/>
        <v>322.57</v>
      </c>
      <c r="G124" s="28">
        <f t="shared" si="8"/>
        <v>321.95999999999998</v>
      </c>
      <c r="H124" s="28">
        <f t="shared" si="8"/>
        <v>320.73</v>
      </c>
      <c r="I124" s="28">
        <f t="shared" si="8"/>
        <v>319.39</v>
      </c>
      <c r="J124" s="28">
        <f t="shared" si="8"/>
        <v>319.25</v>
      </c>
      <c r="K124" s="28">
        <f t="shared" si="8"/>
        <v>320.92</v>
      </c>
      <c r="L124" s="28">
        <f t="shared" si="8"/>
        <v>322.54000000000002</v>
      </c>
      <c r="M124" s="28">
        <f t="shared" si="8"/>
        <v>324.08999999999997</v>
      </c>
      <c r="N124" s="28">
        <f t="shared" si="8"/>
        <v>325</v>
      </c>
    </row>
    <row r="125" spans="1:14" x14ac:dyDescent="0.4">
      <c r="A125" s="1">
        <v>24990</v>
      </c>
      <c r="B125" s="28">
        <v>325.36</v>
      </c>
      <c r="C125" s="28">
        <f t="shared" si="5"/>
        <v>325.57</v>
      </c>
      <c r="D125" s="28">
        <f t="shared" si="8"/>
        <v>325.02</v>
      </c>
      <c r="E125" s="28">
        <f t="shared" si="8"/>
        <v>323.89</v>
      </c>
      <c r="F125" s="28">
        <f t="shared" si="8"/>
        <v>323.14999999999998</v>
      </c>
      <c r="G125" s="28">
        <f t="shared" si="8"/>
        <v>322.57</v>
      </c>
      <c r="H125" s="28">
        <f t="shared" si="8"/>
        <v>321.95999999999998</v>
      </c>
      <c r="I125" s="28">
        <f t="shared" si="8"/>
        <v>320.73</v>
      </c>
      <c r="J125" s="28">
        <f t="shared" si="8"/>
        <v>319.39</v>
      </c>
      <c r="K125" s="28">
        <f t="shared" si="8"/>
        <v>319.25</v>
      </c>
      <c r="L125" s="28">
        <f t="shared" si="8"/>
        <v>320.92</v>
      </c>
      <c r="M125" s="28">
        <f t="shared" si="8"/>
        <v>322.54000000000002</v>
      </c>
      <c r="N125" s="28">
        <f t="shared" si="8"/>
        <v>324.08999999999997</v>
      </c>
    </row>
    <row r="126" spans="1:14" x14ac:dyDescent="0.4">
      <c r="A126" s="1">
        <v>25020</v>
      </c>
      <c r="B126" s="28">
        <v>324.14</v>
      </c>
      <c r="C126" s="28">
        <f t="shared" si="5"/>
        <v>325.36</v>
      </c>
      <c r="D126" s="28">
        <f t="shared" si="8"/>
        <v>325.57</v>
      </c>
      <c r="E126" s="28">
        <f t="shared" si="8"/>
        <v>325.02</v>
      </c>
      <c r="F126" s="28">
        <f t="shared" si="8"/>
        <v>323.89</v>
      </c>
      <c r="G126" s="28">
        <f t="shared" si="8"/>
        <v>323.14999999999998</v>
      </c>
      <c r="H126" s="28">
        <f t="shared" si="8"/>
        <v>322.57</v>
      </c>
      <c r="I126" s="28">
        <f t="shared" si="8"/>
        <v>321.95999999999998</v>
      </c>
      <c r="J126" s="28">
        <f t="shared" si="8"/>
        <v>320.73</v>
      </c>
      <c r="K126" s="28">
        <f t="shared" si="8"/>
        <v>319.39</v>
      </c>
      <c r="L126" s="28">
        <f t="shared" si="8"/>
        <v>319.25</v>
      </c>
      <c r="M126" s="28">
        <f t="shared" si="8"/>
        <v>320.92</v>
      </c>
      <c r="N126" s="28">
        <f t="shared" si="8"/>
        <v>322.54000000000002</v>
      </c>
    </row>
    <row r="127" spans="1:14" x14ac:dyDescent="0.4">
      <c r="A127" s="1">
        <v>25051</v>
      </c>
      <c r="B127" s="28">
        <v>322.11</v>
      </c>
      <c r="C127" s="28">
        <f t="shared" si="5"/>
        <v>324.14</v>
      </c>
      <c r="D127" s="28">
        <f t="shared" si="8"/>
        <v>325.36</v>
      </c>
      <c r="E127" s="28">
        <f t="shared" si="8"/>
        <v>325.57</v>
      </c>
      <c r="F127" s="28">
        <f t="shared" si="8"/>
        <v>325.02</v>
      </c>
      <c r="G127" s="28">
        <f t="shared" si="8"/>
        <v>323.89</v>
      </c>
      <c r="H127" s="28">
        <f t="shared" si="8"/>
        <v>323.14999999999998</v>
      </c>
      <c r="I127" s="28">
        <f t="shared" si="8"/>
        <v>322.57</v>
      </c>
      <c r="J127" s="28">
        <f t="shared" si="8"/>
        <v>321.95999999999998</v>
      </c>
      <c r="K127" s="28">
        <f t="shared" si="8"/>
        <v>320.73</v>
      </c>
      <c r="L127" s="28">
        <f t="shared" si="8"/>
        <v>319.39</v>
      </c>
      <c r="M127" s="28">
        <f t="shared" si="8"/>
        <v>319.25</v>
      </c>
      <c r="N127" s="28">
        <f t="shared" si="8"/>
        <v>320.92</v>
      </c>
    </row>
    <row r="128" spans="1:14" x14ac:dyDescent="0.4">
      <c r="A128" s="1">
        <v>25082</v>
      </c>
      <c r="B128" s="28">
        <v>320.33</v>
      </c>
      <c r="C128" s="28">
        <f t="shared" si="5"/>
        <v>322.11</v>
      </c>
      <c r="D128" s="28">
        <f t="shared" si="8"/>
        <v>324.14</v>
      </c>
      <c r="E128" s="28">
        <f t="shared" si="8"/>
        <v>325.36</v>
      </c>
      <c r="F128" s="28">
        <f t="shared" si="8"/>
        <v>325.57</v>
      </c>
      <c r="G128" s="28">
        <f t="shared" si="8"/>
        <v>325.02</v>
      </c>
      <c r="H128" s="28">
        <f t="shared" si="8"/>
        <v>323.89</v>
      </c>
      <c r="I128" s="28">
        <f t="shared" si="8"/>
        <v>323.14999999999998</v>
      </c>
      <c r="J128" s="28">
        <f t="shared" si="8"/>
        <v>322.57</v>
      </c>
      <c r="K128" s="28">
        <f t="shared" si="8"/>
        <v>321.95999999999998</v>
      </c>
      <c r="L128" s="28">
        <f t="shared" si="8"/>
        <v>320.73</v>
      </c>
      <c r="M128" s="28">
        <f t="shared" si="8"/>
        <v>319.39</v>
      </c>
      <c r="N128" s="28">
        <f t="shared" si="8"/>
        <v>319.25</v>
      </c>
    </row>
    <row r="129" spans="1:14" x14ac:dyDescent="0.4">
      <c r="A129" s="1">
        <v>25112</v>
      </c>
      <c r="B129" s="28">
        <v>320.25</v>
      </c>
      <c r="C129" s="28">
        <f t="shared" si="5"/>
        <v>320.33</v>
      </c>
      <c r="D129" s="28">
        <f t="shared" si="8"/>
        <v>322.11</v>
      </c>
      <c r="E129" s="28">
        <f t="shared" si="8"/>
        <v>324.14</v>
      </c>
      <c r="F129" s="28">
        <f t="shared" si="8"/>
        <v>325.36</v>
      </c>
      <c r="G129" s="28">
        <f t="shared" si="8"/>
        <v>325.57</v>
      </c>
      <c r="H129" s="28">
        <f t="shared" si="8"/>
        <v>325.02</v>
      </c>
      <c r="I129" s="28">
        <f t="shared" si="8"/>
        <v>323.89</v>
      </c>
      <c r="J129" s="28">
        <f t="shared" si="8"/>
        <v>323.14999999999998</v>
      </c>
      <c r="K129" s="28">
        <f t="shared" si="8"/>
        <v>322.57</v>
      </c>
      <c r="L129" s="28">
        <f t="shared" si="8"/>
        <v>321.95999999999998</v>
      </c>
      <c r="M129" s="28">
        <f t="shared" si="8"/>
        <v>320.73</v>
      </c>
      <c r="N129" s="28">
        <f t="shared" si="8"/>
        <v>319.39</v>
      </c>
    </row>
    <row r="130" spans="1:14" x14ac:dyDescent="0.4">
      <c r="A130" s="1">
        <v>25143</v>
      </c>
      <c r="B130" s="28">
        <v>321.32</v>
      </c>
      <c r="C130" s="28">
        <f t="shared" si="5"/>
        <v>320.25</v>
      </c>
      <c r="D130" s="28">
        <f t="shared" si="8"/>
        <v>320.33</v>
      </c>
      <c r="E130" s="28">
        <f t="shared" si="8"/>
        <v>322.11</v>
      </c>
      <c r="F130" s="28">
        <f t="shared" si="8"/>
        <v>324.14</v>
      </c>
      <c r="G130" s="28">
        <f t="shared" si="8"/>
        <v>325.36</v>
      </c>
      <c r="H130" s="28">
        <f t="shared" si="8"/>
        <v>325.57</v>
      </c>
      <c r="I130" s="28">
        <f t="shared" si="8"/>
        <v>325.02</v>
      </c>
      <c r="J130" s="28">
        <f t="shared" si="8"/>
        <v>323.89</v>
      </c>
      <c r="K130" s="28">
        <f t="shared" si="8"/>
        <v>323.14999999999998</v>
      </c>
      <c r="L130" s="28">
        <f t="shared" si="8"/>
        <v>322.57</v>
      </c>
      <c r="M130" s="28">
        <f t="shared" si="8"/>
        <v>321.95999999999998</v>
      </c>
      <c r="N130" s="28">
        <f t="shared" si="8"/>
        <v>320.73</v>
      </c>
    </row>
    <row r="131" spans="1:14" x14ac:dyDescent="0.4">
      <c r="A131" s="1">
        <v>25173</v>
      </c>
      <c r="B131" s="28">
        <v>322.89</v>
      </c>
      <c r="C131" s="28">
        <f t="shared" si="5"/>
        <v>321.32</v>
      </c>
      <c r="D131" s="28">
        <f t="shared" si="8"/>
        <v>320.25</v>
      </c>
      <c r="E131" s="28">
        <f t="shared" si="8"/>
        <v>320.33</v>
      </c>
      <c r="F131" s="28">
        <f t="shared" si="8"/>
        <v>322.11</v>
      </c>
      <c r="G131" s="28">
        <f t="shared" si="8"/>
        <v>324.14</v>
      </c>
      <c r="H131" s="28">
        <f t="shared" si="8"/>
        <v>325.36</v>
      </c>
      <c r="I131" s="28">
        <f t="shared" si="8"/>
        <v>325.57</v>
      </c>
      <c r="J131" s="28">
        <f t="shared" si="8"/>
        <v>325.02</v>
      </c>
      <c r="K131" s="28">
        <f t="shared" si="8"/>
        <v>323.89</v>
      </c>
      <c r="L131" s="28">
        <f t="shared" si="8"/>
        <v>323.14999999999998</v>
      </c>
      <c r="M131" s="28">
        <f t="shared" si="8"/>
        <v>322.57</v>
      </c>
      <c r="N131" s="28">
        <f t="shared" si="8"/>
        <v>321.95999999999998</v>
      </c>
    </row>
    <row r="132" spans="1:14" x14ac:dyDescent="0.4">
      <c r="A132" s="1">
        <v>25204</v>
      </c>
      <c r="B132" s="28">
        <v>324</v>
      </c>
      <c r="C132" s="28">
        <f t="shared" ref="C132:N195" si="9">IF(B131=0,"",B131)</f>
        <v>322.89</v>
      </c>
      <c r="D132" s="28">
        <f t="shared" si="9"/>
        <v>321.32</v>
      </c>
      <c r="E132" s="28">
        <f t="shared" si="9"/>
        <v>320.25</v>
      </c>
      <c r="F132" s="28">
        <f t="shared" si="9"/>
        <v>320.33</v>
      </c>
      <c r="G132" s="28">
        <f t="shared" si="9"/>
        <v>322.11</v>
      </c>
      <c r="H132" s="28">
        <f t="shared" si="9"/>
        <v>324.14</v>
      </c>
      <c r="I132" s="28">
        <f t="shared" si="9"/>
        <v>325.36</v>
      </c>
      <c r="J132" s="28">
        <f t="shared" si="9"/>
        <v>325.57</v>
      </c>
      <c r="K132" s="28">
        <f t="shared" si="9"/>
        <v>325.02</v>
      </c>
      <c r="L132" s="28">
        <f t="shared" si="9"/>
        <v>323.89</v>
      </c>
      <c r="M132" s="28">
        <f t="shared" si="9"/>
        <v>323.14999999999998</v>
      </c>
      <c r="N132" s="28">
        <f t="shared" si="9"/>
        <v>322.57</v>
      </c>
    </row>
    <row r="133" spans="1:14" x14ac:dyDescent="0.4">
      <c r="A133" s="1">
        <v>25235</v>
      </c>
      <c r="B133" s="28">
        <v>324.41000000000003</v>
      </c>
      <c r="C133" s="28">
        <f t="shared" si="9"/>
        <v>324</v>
      </c>
      <c r="D133" s="28">
        <f t="shared" si="9"/>
        <v>322.89</v>
      </c>
      <c r="E133" s="28">
        <f t="shared" si="9"/>
        <v>321.32</v>
      </c>
      <c r="F133" s="28">
        <f t="shared" si="9"/>
        <v>320.25</v>
      </c>
      <c r="G133" s="28">
        <f t="shared" si="9"/>
        <v>320.33</v>
      </c>
      <c r="H133" s="28">
        <f t="shared" si="9"/>
        <v>322.11</v>
      </c>
      <c r="I133" s="28">
        <f t="shared" si="9"/>
        <v>324.14</v>
      </c>
      <c r="J133" s="28">
        <f t="shared" si="9"/>
        <v>325.36</v>
      </c>
      <c r="K133" s="28">
        <f t="shared" si="9"/>
        <v>325.57</v>
      </c>
      <c r="L133" s="28">
        <f t="shared" si="9"/>
        <v>325.02</v>
      </c>
      <c r="M133" s="28">
        <f t="shared" si="9"/>
        <v>323.89</v>
      </c>
      <c r="N133" s="28">
        <f t="shared" si="9"/>
        <v>323.14999999999998</v>
      </c>
    </row>
    <row r="134" spans="1:14" x14ac:dyDescent="0.4">
      <c r="A134" s="1">
        <v>25263</v>
      </c>
      <c r="B134" s="28">
        <v>325.63</v>
      </c>
      <c r="C134" s="28">
        <f t="shared" si="9"/>
        <v>324.41000000000003</v>
      </c>
      <c r="D134" s="28">
        <f t="shared" si="9"/>
        <v>324</v>
      </c>
      <c r="E134" s="28">
        <f t="shared" si="9"/>
        <v>322.89</v>
      </c>
      <c r="F134" s="28">
        <f t="shared" si="9"/>
        <v>321.32</v>
      </c>
      <c r="G134" s="28">
        <f t="shared" si="9"/>
        <v>320.25</v>
      </c>
      <c r="H134" s="28">
        <f t="shared" si="9"/>
        <v>320.33</v>
      </c>
      <c r="I134" s="28">
        <f t="shared" si="9"/>
        <v>322.11</v>
      </c>
      <c r="J134" s="28">
        <f t="shared" si="9"/>
        <v>324.14</v>
      </c>
      <c r="K134" s="28">
        <f t="shared" si="9"/>
        <v>325.36</v>
      </c>
      <c r="L134" s="28">
        <f t="shared" si="9"/>
        <v>325.57</v>
      </c>
      <c r="M134" s="28">
        <f t="shared" si="9"/>
        <v>325.02</v>
      </c>
      <c r="N134" s="28">
        <f t="shared" si="9"/>
        <v>323.89</v>
      </c>
    </row>
    <row r="135" spans="1:14" x14ac:dyDescent="0.4">
      <c r="A135" s="1">
        <v>25294</v>
      </c>
      <c r="B135" s="28">
        <v>326.66000000000003</v>
      </c>
      <c r="C135" s="28">
        <f t="shared" si="9"/>
        <v>325.63</v>
      </c>
      <c r="D135" s="28">
        <f t="shared" si="9"/>
        <v>324.41000000000003</v>
      </c>
      <c r="E135" s="28">
        <f t="shared" si="9"/>
        <v>324</v>
      </c>
      <c r="F135" s="28">
        <f t="shared" si="9"/>
        <v>322.89</v>
      </c>
      <c r="G135" s="28">
        <f t="shared" si="9"/>
        <v>321.32</v>
      </c>
      <c r="H135" s="28">
        <f t="shared" si="9"/>
        <v>320.25</v>
      </c>
      <c r="I135" s="28">
        <f t="shared" si="9"/>
        <v>320.33</v>
      </c>
      <c r="J135" s="28">
        <f t="shared" si="9"/>
        <v>322.11</v>
      </c>
      <c r="K135" s="28">
        <f t="shared" si="9"/>
        <v>324.14</v>
      </c>
      <c r="L135" s="28">
        <f t="shared" si="9"/>
        <v>325.36</v>
      </c>
      <c r="M135" s="28">
        <f t="shared" si="9"/>
        <v>325.57</v>
      </c>
      <c r="N135" s="28">
        <f t="shared" si="9"/>
        <v>325.02</v>
      </c>
    </row>
    <row r="136" spans="1:14" x14ac:dyDescent="0.4">
      <c r="A136" s="1">
        <v>25324</v>
      </c>
      <c r="B136" s="28">
        <v>327.38</v>
      </c>
      <c r="C136" s="28">
        <f t="shared" si="9"/>
        <v>326.66000000000003</v>
      </c>
      <c r="D136" s="28">
        <f t="shared" si="9"/>
        <v>325.63</v>
      </c>
      <c r="E136" s="28">
        <f t="shared" si="9"/>
        <v>324.41000000000003</v>
      </c>
      <c r="F136" s="28">
        <f t="shared" si="9"/>
        <v>324</v>
      </c>
      <c r="G136" s="28">
        <f t="shared" si="9"/>
        <v>322.89</v>
      </c>
      <c r="H136" s="28">
        <f t="shared" si="9"/>
        <v>321.32</v>
      </c>
      <c r="I136" s="28">
        <f t="shared" si="9"/>
        <v>320.25</v>
      </c>
      <c r="J136" s="28">
        <f t="shared" si="9"/>
        <v>320.33</v>
      </c>
      <c r="K136" s="28">
        <f t="shared" si="9"/>
        <v>322.11</v>
      </c>
      <c r="L136" s="28">
        <f t="shared" si="9"/>
        <v>324.14</v>
      </c>
      <c r="M136" s="28">
        <f t="shared" si="9"/>
        <v>325.36</v>
      </c>
      <c r="N136" s="28">
        <f t="shared" si="9"/>
        <v>325.57</v>
      </c>
    </row>
    <row r="137" spans="1:14" x14ac:dyDescent="0.4">
      <c r="A137" s="1">
        <v>25355</v>
      </c>
      <c r="B137" s="28">
        <v>326.70999999999998</v>
      </c>
      <c r="C137" s="28">
        <f t="shared" si="9"/>
        <v>327.38</v>
      </c>
      <c r="D137" s="28">
        <f t="shared" si="9"/>
        <v>326.66000000000003</v>
      </c>
      <c r="E137" s="28">
        <f t="shared" si="9"/>
        <v>325.63</v>
      </c>
      <c r="F137" s="28">
        <f t="shared" si="9"/>
        <v>324.41000000000003</v>
      </c>
      <c r="G137" s="28">
        <f t="shared" si="9"/>
        <v>324</v>
      </c>
      <c r="H137" s="28">
        <f t="shared" si="9"/>
        <v>322.89</v>
      </c>
      <c r="I137" s="28">
        <f t="shared" si="9"/>
        <v>321.32</v>
      </c>
      <c r="J137" s="28">
        <f t="shared" si="9"/>
        <v>320.25</v>
      </c>
      <c r="K137" s="28">
        <f t="shared" si="9"/>
        <v>320.33</v>
      </c>
      <c r="L137" s="28">
        <f t="shared" si="9"/>
        <v>322.11</v>
      </c>
      <c r="M137" s="28">
        <f t="shared" si="9"/>
        <v>324.14</v>
      </c>
      <c r="N137" s="28">
        <f t="shared" si="9"/>
        <v>325.36</v>
      </c>
    </row>
    <row r="138" spans="1:14" x14ac:dyDescent="0.4">
      <c r="A138" s="1">
        <v>25385</v>
      </c>
      <c r="B138" s="28">
        <v>325.88</v>
      </c>
      <c r="C138" s="28">
        <f t="shared" si="9"/>
        <v>326.70999999999998</v>
      </c>
      <c r="D138" s="28">
        <f t="shared" si="9"/>
        <v>327.38</v>
      </c>
      <c r="E138" s="28">
        <f t="shared" si="9"/>
        <v>326.66000000000003</v>
      </c>
      <c r="F138" s="28">
        <f t="shared" si="9"/>
        <v>325.63</v>
      </c>
      <c r="G138" s="28">
        <f t="shared" si="9"/>
        <v>324.41000000000003</v>
      </c>
      <c r="H138" s="28">
        <f t="shared" si="9"/>
        <v>324</v>
      </c>
      <c r="I138" s="28">
        <f t="shared" si="9"/>
        <v>322.89</v>
      </c>
      <c r="J138" s="28">
        <f t="shared" si="9"/>
        <v>321.32</v>
      </c>
      <c r="K138" s="28">
        <f t="shared" si="9"/>
        <v>320.25</v>
      </c>
      <c r="L138" s="28">
        <f t="shared" si="9"/>
        <v>320.33</v>
      </c>
      <c r="M138" s="28">
        <f t="shared" si="9"/>
        <v>322.11</v>
      </c>
      <c r="N138" s="28">
        <f t="shared" si="9"/>
        <v>324.14</v>
      </c>
    </row>
    <row r="139" spans="1:14" x14ac:dyDescent="0.4">
      <c r="A139" s="1">
        <v>25416</v>
      </c>
      <c r="B139" s="28">
        <v>323.66000000000003</v>
      </c>
      <c r="C139" s="28">
        <f t="shared" si="9"/>
        <v>325.88</v>
      </c>
      <c r="D139" s="28">
        <f t="shared" si="9"/>
        <v>326.70999999999998</v>
      </c>
      <c r="E139" s="28">
        <f t="shared" si="9"/>
        <v>327.38</v>
      </c>
      <c r="F139" s="28">
        <f t="shared" si="9"/>
        <v>326.66000000000003</v>
      </c>
      <c r="G139" s="28">
        <f t="shared" si="9"/>
        <v>325.63</v>
      </c>
      <c r="H139" s="28">
        <f t="shared" si="9"/>
        <v>324.41000000000003</v>
      </c>
      <c r="I139" s="28">
        <f t="shared" si="9"/>
        <v>324</v>
      </c>
      <c r="J139" s="28">
        <f t="shared" si="9"/>
        <v>322.89</v>
      </c>
      <c r="K139" s="28">
        <f t="shared" si="9"/>
        <v>321.32</v>
      </c>
      <c r="L139" s="28">
        <f t="shared" si="9"/>
        <v>320.25</v>
      </c>
      <c r="M139" s="28">
        <f t="shared" si="9"/>
        <v>320.33</v>
      </c>
      <c r="N139" s="28">
        <f t="shared" si="9"/>
        <v>322.11</v>
      </c>
    </row>
    <row r="140" spans="1:14" x14ac:dyDescent="0.4">
      <c r="A140" s="1">
        <v>25447</v>
      </c>
      <c r="B140" s="28">
        <v>322.38</v>
      </c>
      <c r="C140" s="28">
        <f t="shared" si="9"/>
        <v>323.66000000000003</v>
      </c>
      <c r="D140" s="28">
        <f t="shared" si="9"/>
        <v>325.88</v>
      </c>
      <c r="E140" s="28">
        <f t="shared" si="9"/>
        <v>326.70999999999998</v>
      </c>
      <c r="F140" s="28">
        <f t="shared" si="9"/>
        <v>327.38</v>
      </c>
      <c r="G140" s="28">
        <f t="shared" si="9"/>
        <v>326.66000000000003</v>
      </c>
      <c r="H140" s="28">
        <f t="shared" si="9"/>
        <v>325.63</v>
      </c>
      <c r="I140" s="28">
        <f t="shared" si="9"/>
        <v>324.41000000000003</v>
      </c>
      <c r="J140" s="28">
        <f t="shared" si="9"/>
        <v>324</v>
      </c>
      <c r="K140" s="28">
        <f t="shared" si="9"/>
        <v>322.89</v>
      </c>
      <c r="L140" s="28">
        <f t="shared" si="9"/>
        <v>321.32</v>
      </c>
      <c r="M140" s="28">
        <f t="shared" si="9"/>
        <v>320.25</v>
      </c>
      <c r="N140" s="28">
        <f t="shared" si="9"/>
        <v>320.33</v>
      </c>
    </row>
    <row r="141" spans="1:14" x14ac:dyDescent="0.4">
      <c r="A141" s="1">
        <v>25477</v>
      </c>
      <c r="B141" s="28">
        <v>321.77999999999997</v>
      </c>
      <c r="C141" s="28">
        <f t="shared" si="9"/>
        <v>322.38</v>
      </c>
      <c r="D141" s="28">
        <f t="shared" si="9"/>
        <v>323.66000000000003</v>
      </c>
      <c r="E141" s="28">
        <f t="shared" si="9"/>
        <v>325.88</v>
      </c>
      <c r="F141" s="28">
        <f t="shared" si="9"/>
        <v>326.70999999999998</v>
      </c>
      <c r="G141" s="28">
        <f t="shared" si="9"/>
        <v>327.38</v>
      </c>
      <c r="H141" s="28">
        <f t="shared" si="9"/>
        <v>326.66000000000003</v>
      </c>
      <c r="I141" s="28">
        <f t="shared" si="9"/>
        <v>325.63</v>
      </c>
      <c r="J141" s="28">
        <f t="shared" si="9"/>
        <v>324.41000000000003</v>
      </c>
      <c r="K141" s="28">
        <f t="shared" si="9"/>
        <v>324</v>
      </c>
      <c r="L141" s="28">
        <f t="shared" si="9"/>
        <v>322.89</v>
      </c>
      <c r="M141" s="28">
        <f t="shared" si="9"/>
        <v>321.32</v>
      </c>
      <c r="N141" s="28">
        <f t="shared" si="9"/>
        <v>320.25</v>
      </c>
    </row>
    <row r="142" spans="1:14" x14ac:dyDescent="0.4">
      <c r="A142" s="1">
        <v>25508</v>
      </c>
      <c r="B142" s="28">
        <v>322.85000000000002</v>
      </c>
      <c r="C142" s="28">
        <f t="shared" si="9"/>
        <v>321.77999999999997</v>
      </c>
      <c r="D142" s="28">
        <f t="shared" si="9"/>
        <v>322.38</v>
      </c>
      <c r="E142" s="28">
        <f t="shared" si="9"/>
        <v>323.66000000000003</v>
      </c>
      <c r="F142" s="28">
        <f t="shared" si="9"/>
        <v>325.88</v>
      </c>
      <c r="G142" s="28">
        <f t="shared" si="9"/>
        <v>326.70999999999998</v>
      </c>
      <c r="H142" s="28">
        <f t="shared" si="9"/>
        <v>327.38</v>
      </c>
      <c r="I142" s="28">
        <f t="shared" si="9"/>
        <v>326.66000000000003</v>
      </c>
      <c r="J142" s="28">
        <f t="shared" si="9"/>
        <v>325.63</v>
      </c>
      <c r="K142" s="28">
        <f t="shared" si="9"/>
        <v>324.41000000000003</v>
      </c>
      <c r="L142" s="28">
        <f t="shared" si="9"/>
        <v>324</v>
      </c>
      <c r="M142" s="28">
        <f t="shared" si="9"/>
        <v>322.89</v>
      </c>
      <c r="N142" s="28">
        <f t="shared" si="9"/>
        <v>321.32</v>
      </c>
    </row>
    <row r="143" spans="1:14" x14ac:dyDescent="0.4">
      <c r="A143" s="1">
        <v>25538</v>
      </c>
      <c r="B143" s="28">
        <v>324.12</v>
      </c>
      <c r="C143" s="28">
        <f t="shared" si="9"/>
        <v>322.85000000000002</v>
      </c>
      <c r="D143" s="28">
        <f t="shared" si="9"/>
        <v>321.77999999999997</v>
      </c>
      <c r="E143" s="28">
        <f t="shared" si="9"/>
        <v>322.38</v>
      </c>
      <c r="F143" s="28">
        <f t="shared" si="9"/>
        <v>323.66000000000003</v>
      </c>
      <c r="G143" s="28">
        <f t="shared" si="9"/>
        <v>325.88</v>
      </c>
      <c r="H143" s="28">
        <f t="shared" si="9"/>
        <v>326.70999999999998</v>
      </c>
      <c r="I143" s="28">
        <f t="shared" si="9"/>
        <v>327.38</v>
      </c>
      <c r="J143" s="28">
        <f t="shared" si="9"/>
        <v>326.66000000000003</v>
      </c>
      <c r="K143" s="28">
        <f t="shared" si="9"/>
        <v>325.63</v>
      </c>
      <c r="L143" s="28">
        <f t="shared" si="9"/>
        <v>324.41000000000003</v>
      </c>
      <c r="M143" s="28">
        <f t="shared" si="9"/>
        <v>324</v>
      </c>
      <c r="N143" s="28">
        <f t="shared" si="9"/>
        <v>322.89</v>
      </c>
    </row>
    <row r="144" spans="1:14" x14ac:dyDescent="0.4">
      <c r="A144" s="1">
        <v>25569</v>
      </c>
      <c r="B144" s="28">
        <v>325.06</v>
      </c>
      <c r="C144" s="28">
        <f t="shared" si="9"/>
        <v>324.12</v>
      </c>
      <c r="D144" s="28">
        <f t="shared" si="9"/>
        <v>322.85000000000002</v>
      </c>
      <c r="E144" s="28">
        <f t="shared" si="9"/>
        <v>321.77999999999997</v>
      </c>
      <c r="F144" s="28">
        <f t="shared" si="9"/>
        <v>322.38</v>
      </c>
      <c r="G144" s="28">
        <f t="shared" si="9"/>
        <v>323.66000000000003</v>
      </c>
      <c r="H144" s="28">
        <f t="shared" si="9"/>
        <v>325.88</v>
      </c>
      <c r="I144" s="28">
        <f t="shared" si="9"/>
        <v>326.70999999999998</v>
      </c>
      <c r="J144" s="28">
        <f t="shared" si="9"/>
        <v>327.38</v>
      </c>
      <c r="K144" s="28">
        <f t="shared" si="9"/>
        <v>326.66000000000003</v>
      </c>
      <c r="L144" s="28">
        <f t="shared" si="9"/>
        <v>325.63</v>
      </c>
      <c r="M144" s="28">
        <f t="shared" si="9"/>
        <v>324.41000000000003</v>
      </c>
      <c r="N144" s="28">
        <f t="shared" si="9"/>
        <v>324</v>
      </c>
    </row>
    <row r="145" spans="1:14" x14ac:dyDescent="0.4">
      <c r="A145" s="1">
        <v>25600</v>
      </c>
      <c r="B145" s="28">
        <v>325.98</v>
      </c>
      <c r="C145" s="28">
        <f t="shared" si="9"/>
        <v>325.06</v>
      </c>
      <c r="D145" s="28">
        <f t="shared" si="9"/>
        <v>324.12</v>
      </c>
      <c r="E145" s="28">
        <f t="shared" si="9"/>
        <v>322.85000000000002</v>
      </c>
      <c r="F145" s="28">
        <f t="shared" si="9"/>
        <v>321.77999999999997</v>
      </c>
      <c r="G145" s="28">
        <f t="shared" si="9"/>
        <v>322.38</v>
      </c>
      <c r="H145" s="28">
        <f t="shared" si="9"/>
        <v>323.66000000000003</v>
      </c>
      <c r="I145" s="28">
        <f t="shared" si="9"/>
        <v>325.88</v>
      </c>
      <c r="J145" s="28">
        <f t="shared" si="9"/>
        <v>326.70999999999998</v>
      </c>
      <c r="K145" s="28">
        <f t="shared" si="9"/>
        <v>327.38</v>
      </c>
      <c r="L145" s="28">
        <f t="shared" si="9"/>
        <v>326.66000000000003</v>
      </c>
      <c r="M145" s="28">
        <f t="shared" si="9"/>
        <v>325.63</v>
      </c>
      <c r="N145" s="28">
        <f t="shared" si="9"/>
        <v>324.41000000000003</v>
      </c>
    </row>
    <row r="146" spans="1:14" x14ac:dyDescent="0.4">
      <c r="A146" s="1">
        <v>25628</v>
      </c>
      <c r="B146" s="28">
        <v>326.93</v>
      </c>
      <c r="C146" s="28">
        <f t="shared" si="9"/>
        <v>325.98</v>
      </c>
      <c r="D146" s="28">
        <f t="shared" si="9"/>
        <v>325.06</v>
      </c>
      <c r="E146" s="28">
        <f t="shared" si="9"/>
        <v>324.12</v>
      </c>
      <c r="F146" s="28">
        <f t="shared" si="9"/>
        <v>322.85000000000002</v>
      </c>
      <c r="G146" s="28">
        <f t="shared" si="9"/>
        <v>321.77999999999997</v>
      </c>
      <c r="H146" s="28">
        <f t="shared" si="9"/>
        <v>322.38</v>
      </c>
      <c r="I146" s="28">
        <f t="shared" si="9"/>
        <v>323.66000000000003</v>
      </c>
      <c r="J146" s="28">
        <f t="shared" si="9"/>
        <v>325.88</v>
      </c>
      <c r="K146" s="28">
        <f t="shared" si="9"/>
        <v>326.70999999999998</v>
      </c>
      <c r="L146" s="28">
        <f t="shared" si="9"/>
        <v>327.38</v>
      </c>
      <c r="M146" s="28">
        <f t="shared" si="9"/>
        <v>326.66000000000003</v>
      </c>
      <c r="N146" s="28">
        <f t="shared" si="9"/>
        <v>325.63</v>
      </c>
    </row>
    <row r="147" spans="1:14" x14ac:dyDescent="0.4">
      <c r="A147" s="1">
        <v>25659</v>
      </c>
      <c r="B147" s="28">
        <v>328.13</v>
      </c>
      <c r="C147" s="28">
        <f t="shared" si="9"/>
        <v>326.93</v>
      </c>
      <c r="D147" s="28">
        <f t="shared" si="9"/>
        <v>325.98</v>
      </c>
      <c r="E147" s="28">
        <f t="shared" si="9"/>
        <v>325.06</v>
      </c>
      <c r="F147" s="28">
        <f t="shared" si="9"/>
        <v>324.12</v>
      </c>
      <c r="G147" s="28">
        <f t="shared" si="9"/>
        <v>322.85000000000002</v>
      </c>
      <c r="H147" s="28">
        <f t="shared" si="9"/>
        <v>321.77999999999997</v>
      </c>
      <c r="I147" s="28">
        <f t="shared" si="9"/>
        <v>322.38</v>
      </c>
      <c r="J147" s="28">
        <f t="shared" si="9"/>
        <v>323.66000000000003</v>
      </c>
      <c r="K147" s="28">
        <f t="shared" si="9"/>
        <v>325.88</v>
      </c>
      <c r="L147" s="28">
        <f t="shared" si="9"/>
        <v>326.70999999999998</v>
      </c>
      <c r="M147" s="28">
        <f t="shared" si="9"/>
        <v>327.38</v>
      </c>
      <c r="N147" s="28">
        <f t="shared" si="9"/>
        <v>326.66000000000003</v>
      </c>
    </row>
    <row r="148" spans="1:14" x14ac:dyDescent="0.4">
      <c r="A148" s="1">
        <v>25689</v>
      </c>
      <c r="B148" s="28">
        <v>328.08</v>
      </c>
      <c r="C148" s="28">
        <f t="shared" si="9"/>
        <v>328.13</v>
      </c>
      <c r="D148" s="28">
        <f t="shared" si="9"/>
        <v>326.93</v>
      </c>
      <c r="E148" s="28">
        <f t="shared" si="9"/>
        <v>325.98</v>
      </c>
      <c r="F148" s="28">
        <f t="shared" si="9"/>
        <v>325.06</v>
      </c>
      <c r="G148" s="28">
        <f t="shared" si="9"/>
        <v>324.12</v>
      </c>
      <c r="H148" s="28">
        <f t="shared" si="9"/>
        <v>322.85000000000002</v>
      </c>
      <c r="I148" s="28">
        <f t="shared" si="9"/>
        <v>321.77999999999997</v>
      </c>
      <c r="J148" s="28">
        <f t="shared" si="9"/>
        <v>322.38</v>
      </c>
      <c r="K148" s="28">
        <f t="shared" si="9"/>
        <v>323.66000000000003</v>
      </c>
      <c r="L148" s="28">
        <f t="shared" si="9"/>
        <v>325.88</v>
      </c>
      <c r="M148" s="28">
        <f t="shared" si="9"/>
        <v>326.70999999999998</v>
      </c>
      <c r="N148" s="28">
        <f t="shared" si="9"/>
        <v>327.38</v>
      </c>
    </row>
    <row r="149" spans="1:14" x14ac:dyDescent="0.4">
      <c r="A149" s="1">
        <v>25720</v>
      </c>
      <c r="B149" s="28">
        <v>327.67</v>
      </c>
      <c r="C149" s="28">
        <f t="shared" si="9"/>
        <v>328.08</v>
      </c>
      <c r="D149" s="28">
        <f t="shared" si="9"/>
        <v>328.13</v>
      </c>
      <c r="E149" s="28">
        <f t="shared" si="9"/>
        <v>326.93</v>
      </c>
      <c r="F149" s="28">
        <f t="shared" si="9"/>
        <v>325.98</v>
      </c>
      <c r="G149" s="28">
        <f t="shared" si="9"/>
        <v>325.06</v>
      </c>
      <c r="H149" s="28">
        <f t="shared" ref="D149:N164" si="10">IF(G148=0,"",G148)</f>
        <v>324.12</v>
      </c>
      <c r="I149" s="28">
        <f t="shared" si="10"/>
        <v>322.85000000000002</v>
      </c>
      <c r="J149" s="28">
        <f t="shared" si="10"/>
        <v>321.77999999999997</v>
      </c>
      <c r="K149" s="28">
        <f t="shared" si="10"/>
        <v>322.38</v>
      </c>
      <c r="L149" s="28">
        <f t="shared" si="10"/>
        <v>323.66000000000003</v>
      </c>
      <c r="M149" s="28">
        <f t="shared" si="10"/>
        <v>325.88</v>
      </c>
      <c r="N149" s="28">
        <f t="shared" si="10"/>
        <v>326.70999999999998</v>
      </c>
    </row>
    <row r="150" spans="1:14" x14ac:dyDescent="0.4">
      <c r="A150" s="1">
        <v>25750</v>
      </c>
      <c r="B150" s="28">
        <v>326.33999999999997</v>
      </c>
      <c r="C150" s="28">
        <f t="shared" si="9"/>
        <v>327.67</v>
      </c>
      <c r="D150" s="28">
        <f t="shared" si="10"/>
        <v>328.08</v>
      </c>
      <c r="E150" s="28">
        <f t="shared" si="10"/>
        <v>328.13</v>
      </c>
      <c r="F150" s="28">
        <f t="shared" si="10"/>
        <v>326.93</v>
      </c>
      <c r="G150" s="28">
        <f t="shared" si="10"/>
        <v>325.98</v>
      </c>
      <c r="H150" s="28">
        <f t="shared" si="10"/>
        <v>325.06</v>
      </c>
      <c r="I150" s="28">
        <f t="shared" si="10"/>
        <v>324.12</v>
      </c>
      <c r="J150" s="28">
        <f t="shared" si="10"/>
        <v>322.85000000000002</v>
      </c>
      <c r="K150" s="28">
        <f t="shared" si="10"/>
        <v>321.77999999999997</v>
      </c>
      <c r="L150" s="28">
        <f t="shared" si="10"/>
        <v>322.38</v>
      </c>
      <c r="M150" s="28">
        <f t="shared" si="10"/>
        <v>323.66000000000003</v>
      </c>
      <c r="N150" s="28">
        <f t="shared" si="10"/>
        <v>325.88</v>
      </c>
    </row>
    <row r="151" spans="1:14" x14ac:dyDescent="0.4">
      <c r="A151" s="1">
        <v>25781</v>
      </c>
      <c r="B151" s="28">
        <v>324.69</v>
      </c>
      <c r="C151" s="28">
        <f t="shared" si="9"/>
        <v>326.33999999999997</v>
      </c>
      <c r="D151" s="28">
        <f t="shared" si="10"/>
        <v>327.67</v>
      </c>
      <c r="E151" s="28">
        <f t="shared" si="10"/>
        <v>328.08</v>
      </c>
      <c r="F151" s="28">
        <f t="shared" si="10"/>
        <v>328.13</v>
      </c>
      <c r="G151" s="28">
        <f t="shared" si="10"/>
        <v>326.93</v>
      </c>
      <c r="H151" s="28">
        <f t="shared" si="10"/>
        <v>325.98</v>
      </c>
      <c r="I151" s="28">
        <f t="shared" si="10"/>
        <v>325.06</v>
      </c>
      <c r="J151" s="28">
        <f t="shared" si="10"/>
        <v>324.12</v>
      </c>
      <c r="K151" s="28">
        <f t="shared" si="10"/>
        <v>322.85000000000002</v>
      </c>
      <c r="L151" s="28">
        <f t="shared" si="10"/>
        <v>321.77999999999997</v>
      </c>
      <c r="M151" s="28">
        <f t="shared" si="10"/>
        <v>322.38</v>
      </c>
      <c r="N151" s="28">
        <f t="shared" si="10"/>
        <v>323.66000000000003</v>
      </c>
    </row>
    <row r="152" spans="1:14" x14ac:dyDescent="0.4">
      <c r="A152" s="1">
        <v>25812</v>
      </c>
      <c r="B152" s="28">
        <v>323.10000000000002</v>
      </c>
      <c r="C152" s="28">
        <f t="shared" si="9"/>
        <v>324.69</v>
      </c>
      <c r="D152" s="28">
        <f t="shared" si="10"/>
        <v>326.33999999999997</v>
      </c>
      <c r="E152" s="28">
        <f t="shared" si="10"/>
        <v>327.67</v>
      </c>
      <c r="F152" s="28">
        <f t="shared" si="10"/>
        <v>328.08</v>
      </c>
      <c r="G152" s="28">
        <f t="shared" si="10"/>
        <v>328.13</v>
      </c>
      <c r="H152" s="28">
        <f t="shared" si="10"/>
        <v>326.93</v>
      </c>
      <c r="I152" s="28">
        <f t="shared" si="10"/>
        <v>325.98</v>
      </c>
      <c r="J152" s="28">
        <f t="shared" si="10"/>
        <v>325.06</v>
      </c>
      <c r="K152" s="28">
        <f t="shared" si="10"/>
        <v>324.12</v>
      </c>
      <c r="L152" s="28">
        <f t="shared" si="10"/>
        <v>322.85000000000002</v>
      </c>
      <c r="M152" s="28">
        <f t="shared" si="10"/>
        <v>321.77999999999997</v>
      </c>
      <c r="N152" s="28">
        <f t="shared" si="10"/>
        <v>322.38</v>
      </c>
    </row>
    <row r="153" spans="1:14" x14ac:dyDescent="0.4">
      <c r="A153" s="1">
        <v>25842</v>
      </c>
      <c r="B153" s="28">
        <v>323.06</v>
      </c>
      <c r="C153" s="28">
        <f t="shared" si="9"/>
        <v>323.10000000000002</v>
      </c>
      <c r="D153" s="28">
        <f t="shared" si="10"/>
        <v>324.69</v>
      </c>
      <c r="E153" s="28">
        <f t="shared" si="10"/>
        <v>326.33999999999997</v>
      </c>
      <c r="F153" s="28">
        <f t="shared" si="10"/>
        <v>327.67</v>
      </c>
      <c r="G153" s="28">
        <f t="shared" si="10"/>
        <v>328.08</v>
      </c>
      <c r="H153" s="28">
        <f t="shared" si="10"/>
        <v>328.13</v>
      </c>
      <c r="I153" s="28">
        <f t="shared" si="10"/>
        <v>326.93</v>
      </c>
      <c r="J153" s="28">
        <f t="shared" si="10"/>
        <v>325.98</v>
      </c>
      <c r="K153" s="28">
        <f t="shared" si="10"/>
        <v>325.06</v>
      </c>
      <c r="L153" s="28">
        <f t="shared" si="10"/>
        <v>324.12</v>
      </c>
      <c r="M153" s="28">
        <f t="shared" si="10"/>
        <v>322.85000000000002</v>
      </c>
      <c r="N153" s="28">
        <f t="shared" si="10"/>
        <v>321.77999999999997</v>
      </c>
    </row>
    <row r="154" spans="1:14" x14ac:dyDescent="0.4">
      <c r="A154" s="1">
        <v>25873</v>
      </c>
      <c r="B154" s="28">
        <v>324.01</v>
      </c>
      <c r="C154" s="28">
        <f t="shared" si="9"/>
        <v>323.06</v>
      </c>
      <c r="D154" s="28">
        <f t="shared" si="10"/>
        <v>323.10000000000002</v>
      </c>
      <c r="E154" s="28">
        <f t="shared" si="10"/>
        <v>324.69</v>
      </c>
      <c r="F154" s="28">
        <f t="shared" si="10"/>
        <v>326.33999999999997</v>
      </c>
      <c r="G154" s="28">
        <f t="shared" si="10"/>
        <v>327.67</v>
      </c>
      <c r="H154" s="28">
        <f t="shared" si="10"/>
        <v>328.08</v>
      </c>
      <c r="I154" s="28">
        <f t="shared" si="10"/>
        <v>328.13</v>
      </c>
      <c r="J154" s="28">
        <f t="shared" si="10"/>
        <v>326.93</v>
      </c>
      <c r="K154" s="28">
        <f t="shared" si="10"/>
        <v>325.98</v>
      </c>
      <c r="L154" s="28">
        <f t="shared" si="10"/>
        <v>325.06</v>
      </c>
      <c r="M154" s="28">
        <f t="shared" si="10"/>
        <v>324.12</v>
      </c>
      <c r="N154" s="28">
        <f t="shared" si="10"/>
        <v>322.85000000000002</v>
      </c>
    </row>
    <row r="155" spans="1:14" x14ac:dyDescent="0.4">
      <c r="A155" s="1">
        <v>25903</v>
      </c>
      <c r="B155" s="28">
        <v>325.13</v>
      </c>
      <c r="C155" s="28">
        <f t="shared" si="9"/>
        <v>324.01</v>
      </c>
      <c r="D155" s="28">
        <f t="shared" si="10"/>
        <v>323.06</v>
      </c>
      <c r="E155" s="28">
        <f t="shared" si="10"/>
        <v>323.10000000000002</v>
      </c>
      <c r="F155" s="28">
        <f t="shared" si="10"/>
        <v>324.69</v>
      </c>
      <c r="G155" s="28">
        <f t="shared" si="10"/>
        <v>326.33999999999997</v>
      </c>
      <c r="H155" s="28">
        <f t="shared" si="10"/>
        <v>327.67</v>
      </c>
      <c r="I155" s="28">
        <f t="shared" si="10"/>
        <v>328.08</v>
      </c>
      <c r="J155" s="28">
        <f t="shared" si="10"/>
        <v>328.13</v>
      </c>
      <c r="K155" s="28">
        <f t="shared" si="10"/>
        <v>326.93</v>
      </c>
      <c r="L155" s="28">
        <f t="shared" si="10"/>
        <v>325.98</v>
      </c>
      <c r="M155" s="28">
        <f t="shared" si="10"/>
        <v>325.06</v>
      </c>
      <c r="N155" s="28">
        <f t="shared" si="10"/>
        <v>324.12</v>
      </c>
    </row>
    <row r="156" spans="1:14" x14ac:dyDescent="0.4">
      <c r="A156" s="1">
        <v>25934</v>
      </c>
      <c r="B156" s="28">
        <v>326.17</v>
      </c>
      <c r="C156" s="28">
        <f t="shared" si="9"/>
        <v>325.13</v>
      </c>
      <c r="D156" s="28">
        <f t="shared" si="10"/>
        <v>324.01</v>
      </c>
      <c r="E156" s="28">
        <f t="shared" si="10"/>
        <v>323.06</v>
      </c>
      <c r="F156" s="28">
        <f t="shared" si="10"/>
        <v>323.10000000000002</v>
      </c>
      <c r="G156" s="28">
        <f t="shared" si="10"/>
        <v>324.69</v>
      </c>
      <c r="H156" s="28">
        <f t="shared" si="10"/>
        <v>326.33999999999997</v>
      </c>
      <c r="I156" s="28">
        <f t="shared" si="10"/>
        <v>327.67</v>
      </c>
      <c r="J156" s="28">
        <f t="shared" si="10"/>
        <v>328.08</v>
      </c>
      <c r="K156" s="28">
        <f t="shared" si="10"/>
        <v>328.13</v>
      </c>
      <c r="L156" s="28">
        <f t="shared" si="10"/>
        <v>326.93</v>
      </c>
      <c r="M156" s="28">
        <f t="shared" si="10"/>
        <v>325.98</v>
      </c>
      <c r="N156" s="28">
        <f t="shared" si="10"/>
        <v>325.06</v>
      </c>
    </row>
    <row r="157" spans="1:14" x14ac:dyDescent="0.4">
      <c r="A157" s="1">
        <v>25965</v>
      </c>
      <c r="B157" s="28">
        <v>326.68</v>
      </c>
      <c r="C157" s="28">
        <f t="shared" si="9"/>
        <v>326.17</v>
      </c>
      <c r="D157" s="28">
        <f t="shared" si="10"/>
        <v>325.13</v>
      </c>
      <c r="E157" s="28">
        <f t="shared" si="10"/>
        <v>324.01</v>
      </c>
      <c r="F157" s="28">
        <f t="shared" si="10"/>
        <v>323.06</v>
      </c>
      <c r="G157" s="28">
        <f t="shared" si="10"/>
        <v>323.10000000000002</v>
      </c>
      <c r="H157" s="28">
        <f t="shared" si="10"/>
        <v>324.69</v>
      </c>
      <c r="I157" s="28">
        <f t="shared" si="10"/>
        <v>326.33999999999997</v>
      </c>
      <c r="J157" s="28">
        <f t="shared" si="10"/>
        <v>327.67</v>
      </c>
      <c r="K157" s="28">
        <f t="shared" si="10"/>
        <v>328.08</v>
      </c>
      <c r="L157" s="28">
        <f t="shared" si="10"/>
        <v>328.13</v>
      </c>
      <c r="M157" s="28">
        <f t="shared" si="10"/>
        <v>326.93</v>
      </c>
      <c r="N157" s="28">
        <f t="shared" si="10"/>
        <v>325.98</v>
      </c>
    </row>
    <row r="158" spans="1:14" x14ac:dyDescent="0.4">
      <c r="A158" s="1">
        <v>25993</v>
      </c>
      <c r="B158" s="28">
        <v>327.17</v>
      </c>
      <c r="C158" s="28">
        <f t="shared" si="9"/>
        <v>326.68</v>
      </c>
      <c r="D158" s="28">
        <f t="shared" si="10"/>
        <v>326.17</v>
      </c>
      <c r="E158" s="28">
        <f t="shared" si="10"/>
        <v>325.13</v>
      </c>
      <c r="F158" s="28">
        <f t="shared" si="10"/>
        <v>324.01</v>
      </c>
      <c r="G158" s="28">
        <f t="shared" si="10"/>
        <v>323.06</v>
      </c>
      <c r="H158" s="28">
        <f t="shared" si="10"/>
        <v>323.10000000000002</v>
      </c>
      <c r="I158" s="28">
        <f t="shared" si="10"/>
        <v>324.69</v>
      </c>
      <c r="J158" s="28">
        <f t="shared" si="10"/>
        <v>326.33999999999997</v>
      </c>
      <c r="K158" s="28">
        <f t="shared" si="10"/>
        <v>327.67</v>
      </c>
      <c r="L158" s="28">
        <f t="shared" si="10"/>
        <v>328.08</v>
      </c>
      <c r="M158" s="28">
        <f t="shared" si="10"/>
        <v>328.13</v>
      </c>
      <c r="N158" s="28">
        <f t="shared" si="10"/>
        <v>326.93</v>
      </c>
    </row>
    <row r="159" spans="1:14" x14ac:dyDescent="0.4">
      <c r="A159" s="1">
        <v>26024</v>
      </c>
      <c r="B159" s="28">
        <v>327.79</v>
      </c>
      <c r="C159" s="28">
        <f t="shared" si="9"/>
        <v>327.17</v>
      </c>
      <c r="D159" s="28">
        <f t="shared" si="10"/>
        <v>326.68</v>
      </c>
      <c r="E159" s="28">
        <f t="shared" si="10"/>
        <v>326.17</v>
      </c>
      <c r="F159" s="28">
        <f t="shared" si="10"/>
        <v>325.13</v>
      </c>
      <c r="G159" s="28">
        <f t="shared" si="10"/>
        <v>324.01</v>
      </c>
      <c r="H159" s="28">
        <f t="shared" si="10"/>
        <v>323.06</v>
      </c>
      <c r="I159" s="28">
        <f t="shared" si="10"/>
        <v>323.10000000000002</v>
      </c>
      <c r="J159" s="28">
        <f t="shared" si="10"/>
        <v>324.69</v>
      </c>
      <c r="K159" s="28">
        <f t="shared" si="10"/>
        <v>326.33999999999997</v>
      </c>
      <c r="L159" s="28">
        <f t="shared" si="10"/>
        <v>327.67</v>
      </c>
      <c r="M159" s="28">
        <f t="shared" si="10"/>
        <v>328.08</v>
      </c>
      <c r="N159" s="28">
        <f t="shared" si="10"/>
        <v>328.13</v>
      </c>
    </row>
    <row r="160" spans="1:14" x14ac:dyDescent="0.4">
      <c r="A160" s="1">
        <v>26054</v>
      </c>
      <c r="B160" s="28">
        <v>328.93</v>
      </c>
      <c r="C160" s="28">
        <f t="shared" si="9"/>
        <v>327.79</v>
      </c>
      <c r="D160" s="28">
        <f t="shared" si="10"/>
        <v>327.17</v>
      </c>
      <c r="E160" s="28">
        <f t="shared" si="10"/>
        <v>326.68</v>
      </c>
      <c r="F160" s="28">
        <f t="shared" si="10"/>
        <v>326.17</v>
      </c>
      <c r="G160" s="28">
        <f t="shared" si="10"/>
        <v>325.13</v>
      </c>
      <c r="H160" s="28">
        <f t="shared" si="10"/>
        <v>324.01</v>
      </c>
      <c r="I160" s="28">
        <f t="shared" si="10"/>
        <v>323.06</v>
      </c>
      <c r="J160" s="28">
        <f t="shared" si="10"/>
        <v>323.10000000000002</v>
      </c>
      <c r="K160" s="28">
        <f t="shared" si="10"/>
        <v>324.69</v>
      </c>
      <c r="L160" s="28">
        <f t="shared" si="10"/>
        <v>326.33999999999997</v>
      </c>
      <c r="M160" s="28">
        <f t="shared" si="10"/>
        <v>327.67</v>
      </c>
      <c r="N160" s="28">
        <f t="shared" si="10"/>
        <v>328.08</v>
      </c>
    </row>
    <row r="161" spans="1:14" x14ac:dyDescent="0.4">
      <c r="A161" s="1">
        <v>26085</v>
      </c>
      <c r="B161" s="28">
        <v>328.57</v>
      </c>
      <c r="C161" s="28">
        <f t="shared" si="9"/>
        <v>328.93</v>
      </c>
      <c r="D161" s="28">
        <f t="shared" si="10"/>
        <v>327.79</v>
      </c>
      <c r="E161" s="28">
        <f t="shared" si="10"/>
        <v>327.17</v>
      </c>
      <c r="F161" s="28">
        <f t="shared" si="10"/>
        <v>326.68</v>
      </c>
      <c r="G161" s="28">
        <f t="shared" si="10"/>
        <v>326.17</v>
      </c>
      <c r="H161" s="28">
        <f t="shared" si="10"/>
        <v>325.13</v>
      </c>
      <c r="I161" s="28">
        <f t="shared" si="10"/>
        <v>324.01</v>
      </c>
      <c r="J161" s="28">
        <f t="shared" si="10"/>
        <v>323.06</v>
      </c>
      <c r="K161" s="28">
        <f t="shared" si="10"/>
        <v>323.10000000000002</v>
      </c>
      <c r="L161" s="28">
        <f t="shared" si="10"/>
        <v>324.69</v>
      </c>
      <c r="M161" s="28">
        <f t="shared" si="10"/>
        <v>326.33999999999997</v>
      </c>
      <c r="N161" s="28">
        <f t="shared" si="10"/>
        <v>327.67</v>
      </c>
    </row>
    <row r="162" spans="1:14" x14ac:dyDescent="0.4">
      <c r="A162" s="1">
        <v>26115</v>
      </c>
      <c r="B162" s="28">
        <v>327.36</v>
      </c>
      <c r="C162" s="28">
        <f t="shared" si="9"/>
        <v>328.57</v>
      </c>
      <c r="D162" s="28">
        <f t="shared" si="10"/>
        <v>328.93</v>
      </c>
      <c r="E162" s="28">
        <f t="shared" si="10"/>
        <v>327.79</v>
      </c>
      <c r="F162" s="28">
        <f t="shared" si="10"/>
        <v>327.17</v>
      </c>
      <c r="G162" s="28">
        <f t="shared" si="10"/>
        <v>326.68</v>
      </c>
      <c r="H162" s="28">
        <f t="shared" si="10"/>
        <v>326.17</v>
      </c>
      <c r="I162" s="28">
        <f t="shared" si="10"/>
        <v>325.13</v>
      </c>
      <c r="J162" s="28">
        <f t="shared" si="10"/>
        <v>324.01</v>
      </c>
      <c r="K162" s="28">
        <f t="shared" si="10"/>
        <v>323.06</v>
      </c>
      <c r="L162" s="28">
        <f t="shared" si="10"/>
        <v>323.10000000000002</v>
      </c>
      <c r="M162" s="28">
        <f t="shared" si="10"/>
        <v>324.69</v>
      </c>
      <c r="N162" s="28">
        <f t="shared" si="10"/>
        <v>326.33999999999997</v>
      </c>
    </row>
    <row r="163" spans="1:14" x14ac:dyDescent="0.4">
      <c r="A163" s="1">
        <v>26146</v>
      </c>
      <c r="B163" s="28">
        <v>325.43</v>
      </c>
      <c r="C163" s="28">
        <f t="shared" si="9"/>
        <v>327.36</v>
      </c>
      <c r="D163" s="28">
        <f t="shared" si="10"/>
        <v>328.57</v>
      </c>
      <c r="E163" s="28">
        <f t="shared" si="10"/>
        <v>328.93</v>
      </c>
      <c r="F163" s="28">
        <f t="shared" si="10"/>
        <v>327.79</v>
      </c>
      <c r="G163" s="28">
        <f t="shared" si="10"/>
        <v>327.17</v>
      </c>
      <c r="H163" s="28">
        <f t="shared" si="10"/>
        <v>326.68</v>
      </c>
      <c r="I163" s="28">
        <f t="shared" si="10"/>
        <v>326.17</v>
      </c>
      <c r="J163" s="28">
        <f t="shared" si="10"/>
        <v>325.13</v>
      </c>
      <c r="K163" s="28">
        <f t="shared" si="10"/>
        <v>324.01</v>
      </c>
      <c r="L163" s="28">
        <f t="shared" si="10"/>
        <v>323.06</v>
      </c>
      <c r="M163" s="28">
        <f t="shared" si="10"/>
        <v>323.10000000000002</v>
      </c>
      <c r="N163" s="28">
        <f t="shared" si="10"/>
        <v>324.69</v>
      </c>
    </row>
    <row r="164" spans="1:14" x14ac:dyDescent="0.4">
      <c r="A164" s="1">
        <v>26177</v>
      </c>
      <c r="B164" s="28">
        <v>323.36</v>
      </c>
      <c r="C164" s="28">
        <f t="shared" si="9"/>
        <v>325.43</v>
      </c>
      <c r="D164" s="28">
        <f t="shared" si="10"/>
        <v>327.36</v>
      </c>
      <c r="E164" s="28">
        <f t="shared" si="10"/>
        <v>328.57</v>
      </c>
      <c r="F164" s="28">
        <f t="shared" si="10"/>
        <v>328.93</v>
      </c>
      <c r="G164" s="28">
        <f t="shared" si="10"/>
        <v>327.79</v>
      </c>
      <c r="H164" s="28">
        <f t="shared" si="10"/>
        <v>327.17</v>
      </c>
      <c r="I164" s="28">
        <f t="shared" si="10"/>
        <v>326.68</v>
      </c>
      <c r="J164" s="28">
        <f t="shared" si="10"/>
        <v>326.17</v>
      </c>
      <c r="K164" s="28">
        <f t="shared" si="10"/>
        <v>325.13</v>
      </c>
      <c r="L164" s="28">
        <f t="shared" si="10"/>
        <v>324.01</v>
      </c>
      <c r="M164" s="28">
        <f t="shared" si="10"/>
        <v>323.06</v>
      </c>
      <c r="N164" s="28">
        <f t="shared" si="10"/>
        <v>323.10000000000002</v>
      </c>
    </row>
    <row r="165" spans="1:14" x14ac:dyDescent="0.4">
      <c r="A165" s="1">
        <v>26207</v>
      </c>
      <c r="B165" s="28">
        <v>323.56</v>
      </c>
      <c r="C165" s="28">
        <f t="shared" si="9"/>
        <v>323.36</v>
      </c>
      <c r="D165" s="28">
        <f t="shared" ref="D165:N180" si="11">IF(C164=0,"",C164)</f>
        <v>325.43</v>
      </c>
      <c r="E165" s="28">
        <f t="shared" si="11"/>
        <v>327.36</v>
      </c>
      <c r="F165" s="28">
        <f t="shared" si="11"/>
        <v>328.57</v>
      </c>
      <c r="G165" s="28">
        <f t="shared" si="11"/>
        <v>328.93</v>
      </c>
      <c r="H165" s="28">
        <f t="shared" si="11"/>
        <v>327.79</v>
      </c>
      <c r="I165" s="28">
        <f t="shared" si="11"/>
        <v>327.17</v>
      </c>
      <c r="J165" s="28">
        <f t="shared" si="11"/>
        <v>326.68</v>
      </c>
      <c r="K165" s="28">
        <f t="shared" si="11"/>
        <v>326.17</v>
      </c>
      <c r="L165" s="28">
        <f t="shared" si="11"/>
        <v>325.13</v>
      </c>
      <c r="M165" s="28">
        <f t="shared" si="11"/>
        <v>324.01</v>
      </c>
      <c r="N165" s="28">
        <f t="shared" si="11"/>
        <v>323.06</v>
      </c>
    </row>
    <row r="166" spans="1:14" x14ac:dyDescent="0.4">
      <c r="A166" s="1">
        <v>26238</v>
      </c>
      <c r="B166" s="28">
        <v>324.8</v>
      </c>
      <c r="C166" s="28">
        <f t="shared" si="9"/>
        <v>323.56</v>
      </c>
      <c r="D166" s="28">
        <f t="shared" si="11"/>
        <v>323.36</v>
      </c>
      <c r="E166" s="28">
        <f t="shared" si="11"/>
        <v>325.43</v>
      </c>
      <c r="F166" s="28">
        <f t="shared" si="11"/>
        <v>327.36</v>
      </c>
      <c r="G166" s="28">
        <f t="shared" si="11"/>
        <v>328.57</v>
      </c>
      <c r="H166" s="28">
        <f t="shared" si="11"/>
        <v>328.93</v>
      </c>
      <c r="I166" s="28">
        <f t="shared" si="11"/>
        <v>327.79</v>
      </c>
      <c r="J166" s="28">
        <f t="shared" si="11"/>
        <v>327.17</v>
      </c>
      <c r="K166" s="28">
        <f t="shared" si="11"/>
        <v>326.68</v>
      </c>
      <c r="L166" s="28">
        <f t="shared" si="11"/>
        <v>326.17</v>
      </c>
      <c r="M166" s="28">
        <f t="shared" si="11"/>
        <v>325.13</v>
      </c>
      <c r="N166" s="28">
        <f t="shared" si="11"/>
        <v>324.01</v>
      </c>
    </row>
    <row r="167" spans="1:14" x14ac:dyDescent="0.4">
      <c r="A167" s="1">
        <v>26268</v>
      </c>
      <c r="B167" s="28">
        <v>326.01</v>
      </c>
      <c r="C167" s="28">
        <f t="shared" si="9"/>
        <v>324.8</v>
      </c>
      <c r="D167" s="28">
        <f t="shared" si="11"/>
        <v>323.56</v>
      </c>
      <c r="E167" s="28">
        <f t="shared" si="11"/>
        <v>323.36</v>
      </c>
      <c r="F167" s="28">
        <f t="shared" si="11"/>
        <v>325.43</v>
      </c>
      <c r="G167" s="28">
        <f t="shared" si="11"/>
        <v>327.36</v>
      </c>
      <c r="H167" s="28">
        <f t="shared" si="11"/>
        <v>328.57</v>
      </c>
      <c r="I167" s="28">
        <f t="shared" si="11"/>
        <v>328.93</v>
      </c>
      <c r="J167" s="28">
        <f t="shared" si="11"/>
        <v>327.79</v>
      </c>
      <c r="K167" s="28">
        <f t="shared" si="11"/>
        <v>327.17</v>
      </c>
      <c r="L167" s="28">
        <f t="shared" si="11"/>
        <v>326.68</v>
      </c>
      <c r="M167" s="28">
        <f t="shared" si="11"/>
        <v>326.17</v>
      </c>
      <c r="N167" s="28">
        <f t="shared" si="11"/>
        <v>325.13</v>
      </c>
    </row>
    <row r="168" spans="1:14" x14ac:dyDescent="0.4">
      <c r="A168" s="1">
        <v>26299</v>
      </c>
      <c r="B168" s="28">
        <v>326.77</v>
      </c>
      <c r="C168" s="28">
        <f t="shared" si="9"/>
        <v>326.01</v>
      </c>
      <c r="D168" s="28">
        <f t="shared" si="11"/>
        <v>324.8</v>
      </c>
      <c r="E168" s="28">
        <f t="shared" si="11"/>
        <v>323.56</v>
      </c>
      <c r="F168" s="28">
        <f t="shared" si="11"/>
        <v>323.36</v>
      </c>
      <c r="G168" s="28">
        <f t="shared" si="11"/>
        <v>325.43</v>
      </c>
      <c r="H168" s="28">
        <f t="shared" si="11"/>
        <v>327.36</v>
      </c>
      <c r="I168" s="28">
        <f t="shared" si="11"/>
        <v>328.57</v>
      </c>
      <c r="J168" s="28">
        <f t="shared" si="11"/>
        <v>328.93</v>
      </c>
      <c r="K168" s="28">
        <f t="shared" si="11"/>
        <v>327.79</v>
      </c>
      <c r="L168" s="28">
        <f t="shared" si="11"/>
        <v>327.17</v>
      </c>
      <c r="M168" s="28">
        <f t="shared" si="11"/>
        <v>326.68</v>
      </c>
      <c r="N168" s="28">
        <f t="shared" si="11"/>
        <v>326.17</v>
      </c>
    </row>
    <row r="169" spans="1:14" x14ac:dyDescent="0.4">
      <c r="A169" s="1">
        <v>26330</v>
      </c>
      <c r="B169" s="28">
        <v>327.63</v>
      </c>
      <c r="C169" s="28">
        <f t="shared" si="9"/>
        <v>326.77</v>
      </c>
      <c r="D169" s="28">
        <f t="shared" si="11"/>
        <v>326.01</v>
      </c>
      <c r="E169" s="28">
        <f t="shared" si="11"/>
        <v>324.8</v>
      </c>
      <c r="F169" s="28">
        <f t="shared" si="11"/>
        <v>323.56</v>
      </c>
      <c r="G169" s="28">
        <f t="shared" si="11"/>
        <v>323.36</v>
      </c>
      <c r="H169" s="28">
        <f t="shared" si="11"/>
        <v>325.43</v>
      </c>
      <c r="I169" s="28">
        <f t="shared" si="11"/>
        <v>327.36</v>
      </c>
      <c r="J169" s="28">
        <f t="shared" si="11"/>
        <v>328.57</v>
      </c>
      <c r="K169" s="28">
        <f t="shared" si="11"/>
        <v>328.93</v>
      </c>
      <c r="L169" s="28">
        <f t="shared" si="11"/>
        <v>327.79</v>
      </c>
      <c r="M169" s="28">
        <f t="shared" si="11"/>
        <v>327.17</v>
      </c>
      <c r="N169" s="28">
        <f t="shared" si="11"/>
        <v>326.68</v>
      </c>
    </row>
    <row r="170" spans="1:14" x14ac:dyDescent="0.4">
      <c r="A170" s="1">
        <v>26359</v>
      </c>
      <c r="B170" s="28">
        <v>327.75</v>
      </c>
      <c r="C170" s="28">
        <f t="shared" si="9"/>
        <v>327.63</v>
      </c>
      <c r="D170" s="28">
        <f t="shared" si="11"/>
        <v>326.77</v>
      </c>
      <c r="E170" s="28">
        <f t="shared" si="11"/>
        <v>326.01</v>
      </c>
      <c r="F170" s="28">
        <f t="shared" si="11"/>
        <v>324.8</v>
      </c>
      <c r="G170" s="28">
        <f t="shared" si="11"/>
        <v>323.56</v>
      </c>
      <c r="H170" s="28">
        <f t="shared" si="11"/>
        <v>323.36</v>
      </c>
      <c r="I170" s="28">
        <f t="shared" si="11"/>
        <v>325.43</v>
      </c>
      <c r="J170" s="28">
        <f t="shared" si="11"/>
        <v>327.36</v>
      </c>
      <c r="K170" s="28">
        <f t="shared" si="11"/>
        <v>328.57</v>
      </c>
      <c r="L170" s="28">
        <f t="shared" si="11"/>
        <v>328.93</v>
      </c>
      <c r="M170" s="28">
        <f t="shared" si="11"/>
        <v>327.79</v>
      </c>
      <c r="N170" s="28">
        <f t="shared" si="11"/>
        <v>327.17</v>
      </c>
    </row>
    <row r="171" spans="1:14" x14ac:dyDescent="0.4">
      <c r="A171" s="1">
        <v>26390</v>
      </c>
      <c r="B171" s="28">
        <v>329.72</v>
      </c>
      <c r="C171" s="28">
        <f t="shared" si="9"/>
        <v>327.75</v>
      </c>
      <c r="D171" s="28">
        <f t="shared" si="11"/>
        <v>327.63</v>
      </c>
      <c r="E171" s="28">
        <f t="shared" si="11"/>
        <v>326.77</v>
      </c>
      <c r="F171" s="28">
        <f t="shared" si="11"/>
        <v>326.01</v>
      </c>
      <c r="G171" s="28">
        <f t="shared" si="11"/>
        <v>324.8</v>
      </c>
      <c r="H171" s="28">
        <f t="shared" si="11"/>
        <v>323.56</v>
      </c>
      <c r="I171" s="28">
        <f t="shared" si="11"/>
        <v>323.36</v>
      </c>
      <c r="J171" s="28">
        <f t="shared" si="11"/>
        <v>325.43</v>
      </c>
      <c r="K171" s="28">
        <f t="shared" si="11"/>
        <v>327.36</v>
      </c>
      <c r="L171" s="28">
        <f t="shared" si="11"/>
        <v>328.57</v>
      </c>
      <c r="M171" s="28">
        <f t="shared" si="11"/>
        <v>328.93</v>
      </c>
      <c r="N171" s="28">
        <f t="shared" si="11"/>
        <v>327.79</v>
      </c>
    </row>
    <row r="172" spans="1:14" x14ac:dyDescent="0.4">
      <c r="A172" s="1">
        <v>26420</v>
      </c>
      <c r="B172" s="28">
        <v>330.07</v>
      </c>
      <c r="C172" s="28">
        <f t="shared" si="9"/>
        <v>329.72</v>
      </c>
      <c r="D172" s="28">
        <f t="shared" si="11"/>
        <v>327.75</v>
      </c>
      <c r="E172" s="28">
        <f t="shared" si="11"/>
        <v>327.63</v>
      </c>
      <c r="F172" s="28">
        <f t="shared" si="11"/>
        <v>326.77</v>
      </c>
      <c r="G172" s="28">
        <f t="shared" si="11"/>
        <v>326.01</v>
      </c>
      <c r="H172" s="28">
        <f t="shared" si="11"/>
        <v>324.8</v>
      </c>
      <c r="I172" s="28">
        <f t="shared" si="11"/>
        <v>323.56</v>
      </c>
      <c r="J172" s="28">
        <f t="shared" si="11"/>
        <v>323.36</v>
      </c>
      <c r="K172" s="28">
        <f t="shared" si="11"/>
        <v>325.43</v>
      </c>
      <c r="L172" s="28">
        <f t="shared" si="11"/>
        <v>327.36</v>
      </c>
      <c r="M172" s="28">
        <f t="shared" si="11"/>
        <v>328.57</v>
      </c>
      <c r="N172" s="28">
        <f t="shared" si="11"/>
        <v>328.93</v>
      </c>
    </row>
    <row r="173" spans="1:14" x14ac:dyDescent="0.4">
      <c r="A173" s="1">
        <v>26451</v>
      </c>
      <c r="B173" s="28">
        <v>329.09</v>
      </c>
      <c r="C173" s="28">
        <f t="shared" si="9"/>
        <v>330.07</v>
      </c>
      <c r="D173" s="28">
        <f t="shared" si="11"/>
        <v>329.72</v>
      </c>
      <c r="E173" s="28">
        <f t="shared" si="11"/>
        <v>327.75</v>
      </c>
      <c r="F173" s="28">
        <f t="shared" si="11"/>
        <v>327.63</v>
      </c>
      <c r="G173" s="28">
        <f t="shared" si="11"/>
        <v>326.77</v>
      </c>
      <c r="H173" s="28">
        <f t="shared" si="11"/>
        <v>326.01</v>
      </c>
      <c r="I173" s="28">
        <f t="shared" si="11"/>
        <v>324.8</v>
      </c>
      <c r="J173" s="28">
        <f t="shared" si="11"/>
        <v>323.56</v>
      </c>
      <c r="K173" s="28">
        <f t="shared" si="11"/>
        <v>323.36</v>
      </c>
      <c r="L173" s="28">
        <f t="shared" si="11"/>
        <v>325.43</v>
      </c>
      <c r="M173" s="28">
        <f t="shared" si="11"/>
        <v>327.36</v>
      </c>
      <c r="N173" s="28">
        <f t="shared" si="11"/>
        <v>328.57</v>
      </c>
    </row>
    <row r="174" spans="1:14" x14ac:dyDescent="0.4">
      <c r="A174" s="1">
        <v>26481</v>
      </c>
      <c r="B174" s="28">
        <v>328.04</v>
      </c>
      <c r="C174" s="28">
        <f t="shared" si="9"/>
        <v>329.09</v>
      </c>
      <c r="D174" s="28">
        <f t="shared" si="11"/>
        <v>330.07</v>
      </c>
      <c r="E174" s="28">
        <f t="shared" si="11"/>
        <v>329.72</v>
      </c>
      <c r="F174" s="28">
        <f t="shared" si="11"/>
        <v>327.75</v>
      </c>
      <c r="G174" s="28">
        <f t="shared" si="11"/>
        <v>327.63</v>
      </c>
      <c r="H174" s="28">
        <f t="shared" si="11"/>
        <v>326.77</v>
      </c>
      <c r="I174" s="28">
        <f t="shared" si="11"/>
        <v>326.01</v>
      </c>
      <c r="J174" s="28">
        <f t="shared" si="11"/>
        <v>324.8</v>
      </c>
      <c r="K174" s="28">
        <f t="shared" si="11"/>
        <v>323.56</v>
      </c>
      <c r="L174" s="28">
        <f t="shared" si="11"/>
        <v>323.36</v>
      </c>
      <c r="M174" s="28">
        <f t="shared" si="11"/>
        <v>325.43</v>
      </c>
      <c r="N174" s="28">
        <f t="shared" si="11"/>
        <v>327.36</v>
      </c>
    </row>
    <row r="175" spans="1:14" x14ac:dyDescent="0.4">
      <c r="A175" s="1">
        <v>26512</v>
      </c>
      <c r="B175" s="28">
        <v>326.32</v>
      </c>
      <c r="C175" s="28">
        <f t="shared" si="9"/>
        <v>328.04</v>
      </c>
      <c r="D175" s="28">
        <f t="shared" si="11"/>
        <v>329.09</v>
      </c>
      <c r="E175" s="28">
        <f t="shared" si="11"/>
        <v>330.07</v>
      </c>
      <c r="F175" s="28">
        <f t="shared" si="11"/>
        <v>329.72</v>
      </c>
      <c r="G175" s="28">
        <f t="shared" si="11"/>
        <v>327.75</v>
      </c>
      <c r="H175" s="28">
        <f t="shared" si="11"/>
        <v>327.63</v>
      </c>
      <c r="I175" s="28">
        <f t="shared" si="11"/>
        <v>326.77</v>
      </c>
      <c r="J175" s="28">
        <f t="shared" si="11"/>
        <v>326.01</v>
      </c>
      <c r="K175" s="28">
        <f t="shared" si="11"/>
        <v>324.8</v>
      </c>
      <c r="L175" s="28">
        <f t="shared" si="11"/>
        <v>323.56</v>
      </c>
      <c r="M175" s="28">
        <f t="shared" si="11"/>
        <v>323.36</v>
      </c>
      <c r="N175" s="28">
        <f t="shared" si="11"/>
        <v>325.43</v>
      </c>
    </row>
    <row r="176" spans="1:14" x14ac:dyDescent="0.4">
      <c r="A176" s="1">
        <v>26543</v>
      </c>
      <c r="B176" s="28">
        <v>324.83999999999997</v>
      </c>
      <c r="C176" s="28">
        <f t="shared" si="9"/>
        <v>326.32</v>
      </c>
      <c r="D176" s="28">
        <f t="shared" si="11"/>
        <v>328.04</v>
      </c>
      <c r="E176" s="28">
        <f t="shared" si="11"/>
        <v>329.09</v>
      </c>
      <c r="F176" s="28">
        <f t="shared" si="11"/>
        <v>330.07</v>
      </c>
      <c r="G176" s="28">
        <f t="shared" si="11"/>
        <v>329.72</v>
      </c>
      <c r="H176" s="28">
        <f t="shared" si="11"/>
        <v>327.75</v>
      </c>
      <c r="I176" s="28">
        <f t="shared" si="11"/>
        <v>327.63</v>
      </c>
      <c r="J176" s="28">
        <f t="shared" si="11"/>
        <v>326.77</v>
      </c>
      <c r="K176" s="28">
        <f t="shared" si="11"/>
        <v>326.01</v>
      </c>
      <c r="L176" s="28">
        <f t="shared" si="11"/>
        <v>324.8</v>
      </c>
      <c r="M176" s="28">
        <f t="shared" si="11"/>
        <v>323.56</v>
      </c>
      <c r="N176" s="28">
        <f t="shared" si="11"/>
        <v>323.36</v>
      </c>
    </row>
    <row r="177" spans="1:14" x14ac:dyDescent="0.4">
      <c r="A177" s="1">
        <v>26573</v>
      </c>
      <c r="B177" s="28">
        <v>325.2</v>
      </c>
      <c r="C177" s="28">
        <f t="shared" si="9"/>
        <v>324.83999999999997</v>
      </c>
      <c r="D177" s="28">
        <f t="shared" si="11"/>
        <v>326.32</v>
      </c>
      <c r="E177" s="28">
        <f t="shared" si="11"/>
        <v>328.04</v>
      </c>
      <c r="F177" s="28">
        <f t="shared" si="11"/>
        <v>329.09</v>
      </c>
      <c r="G177" s="28">
        <f t="shared" si="11"/>
        <v>330.07</v>
      </c>
      <c r="H177" s="28">
        <f t="shared" si="11"/>
        <v>329.72</v>
      </c>
      <c r="I177" s="28">
        <f t="shared" si="11"/>
        <v>327.75</v>
      </c>
      <c r="J177" s="28">
        <f t="shared" si="11"/>
        <v>327.63</v>
      </c>
      <c r="K177" s="28">
        <f t="shared" si="11"/>
        <v>326.77</v>
      </c>
      <c r="L177" s="28">
        <f t="shared" si="11"/>
        <v>326.01</v>
      </c>
      <c r="M177" s="28">
        <f t="shared" si="11"/>
        <v>324.8</v>
      </c>
      <c r="N177" s="28">
        <f t="shared" si="11"/>
        <v>323.56</v>
      </c>
    </row>
    <row r="178" spans="1:14" x14ac:dyDescent="0.4">
      <c r="A178" s="1">
        <v>26604</v>
      </c>
      <c r="B178" s="28">
        <v>326.5</v>
      </c>
      <c r="C178" s="28">
        <f t="shared" si="9"/>
        <v>325.2</v>
      </c>
      <c r="D178" s="28">
        <f t="shared" si="11"/>
        <v>324.83999999999997</v>
      </c>
      <c r="E178" s="28">
        <f t="shared" si="11"/>
        <v>326.32</v>
      </c>
      <c r="F178" s="28">
        <f t="shared" si="11"/>
        <v>328.04</v>
      </c>
      <c r="G178" s="28">
        <f t="shared" si="11"/>
        <v>329.09</v>
      </c>
      <c r="H178" s="28">
        <f t="shared" si="11"/>
        <v>330.07</v>
      </c>
      <c r="I178" s="28">
        <f t="shared" si="11"/>
        <v>329.72</v>
      </c>
      <c r="J178" s="28">
        <f t="shared" si="11"/>
        <v>327.75</v>
      </c>
      <c r="K178" s="28">
        <f t="shared" si="11"/>
        <v>327.63</v>
      </c>
      <c r="L178" s="28">
        <f t="shared" si="11"/>
        <v>326.77</v>
      </c>
      <c r="M178" s="28">
        <f t="shared" si="11"/>
        <v>326.01</v>
      </c>
      <c r="N178" s="28">
        <f t="shared" si="11"/>
        <v>324.8</v>
      </c>
    </row>
    <row r="179" spans="1:14" x14ac:dyDescent="0.4">
      <c r="A179" s="1">
        <v>26634</v>
      </c>
      <c r="B179" s="28">
        <v>327.55</v>
      </c>
      <c r="C179" s="28">
        <f t="shared" si="9"/>
        <v>326.5</v>
      </c>
      <c r="D179" s="28">
        <f t="shared" si="11"/>
        <v>325.2</v>
      </c>
      <c r="E179" s="28">
        <f t="shared" si="11"/>
        <v>324.83999999999997</v>
      </c>
      <c r="F179" s="28">
        <f t="shared" si="11"/>
        <v>326.32</v>
      </c>
      <c r="G179" s="28">
        <f t="shared" si="11"/>
        <v>328.04</v>
      </c>
      <c r="H179" s="28">
        <f t="shared" si="11"/>
        <v>329.09</v>
      </c>
      <c r="I179" s="28">
        <f t="shared" si="11"/>
        <v>330.07</v>
      </c>
      <c r="J179" s="28">
        <f t="shared" si="11"/>
        <v>329.72</v>
      </c>
      <c r="K179" s="28">
        <f t="shared" si="11"/>
        <v>327.75</v>
      </c>
      <c r="L179" s="28">
        <f t="shared" si="11"/>
        <v>327.63</v>
      </c>
      <c r="M179" s="28">
        <f t="shared" si="11"/>
        <v>326.77</v>
      </c>
      <c r="N179" s="28">
        <f t="shared" si="11"/>
        <v>326.01</v>
      </c>
    </row>
    <row r="180" spans="1:14" x14ac:dyDescent="0.4">
      <c r="A180" s="1">
        <v>26665</v>
      </c>
      <c r="B180" s="28">
        <v>328.55</v>
      </c>
      <c r="C180" s="28">
        <f t="shared" si="9"/>
        <v>327.55</v>
      </c>
      <c r="D180" s="28">
        <f t="shared" si="11"/>
        <v>326.5</v>
      </c>
      <c r="E180" s="28">
        <f t="shared" si="11"/>
        <v>325.2</v>
      </c>
      <c r="F180" s="28">
        <f t="shared" si="11"/>
        <v>324.83999999999997</v>
      </c>
      <c r="G180" s="28">
        <f t="shared" si="11"/>
        <v>326.32</v>
      </c>
      <c r="H180" s="28">
        <f t="shared" si="11"/>
        <v>328.04</v>
      </c>
      <c r="I180" s="28">
        <f t="shared" si="11"/>
        <v>329.09</v>
      </c>
      <c r="J180" s="28">
        <f t="shared" si="11"/>
        <v>330.07</v>
      </c>
      <c r="K180" s="28">
        <f t="shared" si="11"/>
        <v>329.72</v>
      </c>
      <c r="L180" s="28">
        <f t="shared" si="11"/>
        <v>327.75</v>
      </c>
      <c r="M180" s="28">
        <f t="shared" si="11"/>
        <v>327.63</v>
      </c>
      <c r="N180" s="28">
        <f t="shared" si="11"/>
        <v>326.77</v>
      </c>
    </row>
    <row r="181" spans="1:14" x14ac:dyDescent="0.4">
      <c r="A181" s="1">
        <v>26696</v>
      </c>
      <c r="B181" s="28">
        <v>329.56</v>
      </c>
      <c r="C181" s="28">
        <f t="shared" si="9"/>
        <v>328.55</v>
      </c>
      <c r="D181" s="28">
        <f t="shared" ref="D181:N195" si="12">IF(C180=0,"",C180)</f>
        <v>327.55</v>
      </c>
      <c r="E181" s="28">
        <f t="shared" si="12"/>
        <v>326.5</v>
      </c>
      <c r="F181" s="28">
        <f t="shared" si="12"/>
        <v>325.2</v>
      </c>
      <c r="G181" s="28">
        <f t="shared" si="12"/>
        <v>324.83999999999997</v>
      </c>
      <c r="H181" s="28">
        <f t="shared" si="12"/>
        <v>326.32</v>
      </c>
      <c r="I181" s="28">
        <f t="shared" si="12"/>
        <v>328.04</v>
      </c>
      <c r="J181" s="28">
        <f t="shared" si="12"/>
        <v>329.09</v>
      </c>
      <c r="K181" s="28">
        <f t="shared" si="12"/>
        <v>330.07</v>
      </c>
      <c r="L181" s="28">
        <f t="shared" si="12"/>
        <v>329.72</v>
      </c>
      <c r="M181" s="28">
        <f t="shared" si="12"/>
        <v>327.75</v>
      </c>
      <c r="N181" s="28">
        <f t="shared" si="12"/>
        <v>327.63</v>
      </c>
    </row>
    <row r="182" spans="1:14" x14ac:dyDescent="0.4">
      <c r="A182" s="1">
        <v>26724</v>
      </c>
      <c r="B182" s="28">
        <v>330.3</v>
      </c>
      <c r="C182" s="28">
        <f t="shared" si="9"/>
        <v>329.56</v>
      </c>
      <c r="D182" s="28">
        <f t="shared" si="12"/>
        <v>328.55</v>
      </c>
      <c r="E182" s="28">
        <f t="shared" si="12"/>
        <v>327.55</v>
      </c>
      <c r="F182" s="28">
        <f t="shared" si="12"/>
        <v>326.5</v>
      </c>
      <c r="G182" s="28">
        <f t="shared" si="12"/>
        <v>325.2</v>
      </c>
      <c r="H182" s="28">
        <f t="shared" si="12"/>
        <v>324.83999999999997</v>
      </c>
      <c r="I182" s="28">
        <f t="shared" si="12"/>
        <v>326.32</v>
      </c>
      <c r="J182" s="28">
        <f t="shared" si="12"/>
        <v>328.04</v>
      </c>
      <c r="K182" s="28">
        <f t="shared" si="12"/>
        <v>329.09</v>
      </c>
      <c r="L182" s="28">
        <f t="shared" si="12"/>
        <v>330.07</v>
      </c>
      <c r="M182" s="28">
        <f t="shared" si="12"/>
        <v>329.72</v>
      </c>
      <c r="N182" s="28">
        <f t="shared" si="12"/>
        <v>327.75</v>
      </c>
    </row>
    <row r="183" spans="1:14" x14ac:dyDescent="0.4">
      <c r="A183" s="1">
        <v>26755</v>
      </c>
      <c r="B183" s="28">
        <v>331.5</v>
      </c>
      <c r="C183" s="28">
        <f t="shared" si="9"/>
        <v>330.3</v>
      </c>
      <c r="D183" s="28">
        <f t="shared" si="12"/>
        <v>329.56</v>
      </c>
      <c r="E183" s="28">
        <f t="shared" si="12"/>
        <v>328.55</v>
      </c>
      <c r="F183" s="28">
        <f t="shared" si="12"/>
        <v>327.55</v>
      </c>
      <c r="G183" s="28">
        <f t="shared" si="12"/>
        <v>326.5</v>
      </c>
      <c r="H183" s="28">
        <f t="shared" si="12"/>
        <v>325.2</v>
      </c>
      <c r="I183" s="28">
        <f t="shared" si="12"/>
        <v>324.83999999999997</v>
      </c>
      <c r="J183" s="28">
        <f t="shared" si="12"/>
        <v>326.32</v>
      </c>
      <c r="K183" s="28">
        <f t="shared" si="12"/>
        <v>328.04</v>
      </c>
      <c r="L183" s="28">
        <f t="shared" si="12"/>
        <v>329.09</v>
      </c>
      <c r="M183" s="28">
        <f t="shared" si="12"/>
        <v>330.07</v>
      </c>
      <c r="N183" s="28">
        <f t="shared" si="12"/>
        <v>329.72</v>
      </c>
    </row>
    <row r="184" spans="1:14" x14ac:dyDescent="0.4">
      <c r="A184" s="1">
        <v>26785</v>
      </c>
      <c r="B184" s="28">
        <v>332.48</v>
      </c>
      <c r="C184" s="28">
        <f t="shared" si="9"/>
        <v>331.5</v>
      </c>
      <c r="D184" s="28">
        <f t="shared" si="12"/>
        <v>330.3</v>
      </c>
      <c r="E184" s="28">
        <f t="shared" si="12"/>
        <v>329.56</v>
      </c>
      <c r="F184" s="28">
        <f t="shared" si="12"/>
        <v>328.55</v>
      </c>
      <c r="G184" s="28">
        <f t="shared" si="12"/>
        <v>327.55</v>
      </c>
      <c r="H184" s="28">
        <f t="shared" si="12"/>
        <v>326.5</v>
      </c>
      <c r="I184" s="28">
        <f t="shared" si="12"/>
        <v>325.2</v>
      </c>
      <c r="J184" s="28">
        <f t="shared" si="12"/>
        <v>324.83999999999997</v>
      </c>
      <c r="K184" s="28">
        <f t="shared" si="12"/>
        <v>326.32</v>
      </c>
      <c r="L184" s="28">
        <f t="shared" si="12"/>
        <v>328.04</v>
      </c>
      <c r="M184" s="28">
        <f t="shared" si="12"/>
        <v>329.09</v>
      </c>
      <c r="N184" s="28">
        <f t="shared" si="12"/>
        <v>330.07</v>
      </c>
    </row>
    <row r="185" spans="1:14" x14ac:dyDescent="0.4">
      <c r="A185" s="1">
        <v>26816</v>
      </c>
      <c r="B185" s="28">
        <v>332.07</v>
      </c>
      <c r="C185" s="28">
        <f t="shared" si="9"/>
        <v>332.48</v>
      </c>
      <c r="D185" s="28">
        <f t="shared" si="12"/>
        <v>331.5</v>
      </c>
      <c r="E185" s="28">
        <f t="shared" si="12"/>
        <v>330.3</v>
      </c>
      <c r="F185" s="28">
        <f t="shared" si="12"/>
        <v>329.56</v>
      </c>
      <c r="G185" s="28">
        <f t="shared" si="12"/>
        <v>328.55</v>
      </c>
      <c r="H185" s="28">
        <f t="shared" si="12"/>
        <v>327.55</v>
      </c>
      <c r="I185" s="28">
        <f t="shared" si="12"/>
        <v>326.5</v>
      </c>
      <c r="J185" s="28">
        <f t="shared" si="12"/>
        <v>325.2</v>
      </c>
      <c r="K185" s="28">
        <f t="shared" si="12"/>
        <v>324.83999999999997</v>
      </c>
      <c r="L185" s="28">
        <f t="shared" si="12"/>
        <v>326.32</v>
      </c>
      <c r="M185" s="28">
        <f t="shared" si="12"/>
        <v>328.04</v>
      </c>
      <c r="N185" s="28">
        <f t="shared" si="12"/>
        <v>329.09</v>
      </c>
    </row>
    <row r="186" spans="1:14" x14ac:dyDescent="0.4">
      <c r="A186" s="1">
        <v>26846</v>
      </c>
      <c r="B186" s="28">
        <v>330.87</v>
      </c>
      <c r="C186" s="28">
        <f t="shared" si="9"/>
        <v>332.07</v>
      </c>
      <c r="D186" s="28">
        <f t="shared" si="12"/>
        <v>332.48</v>
      </c>
      <c r="E186" s="28">
        <f t="shared" si="12"/>
        <v>331.5</v>
      </c>
      <c r="F186" s="28">
        <f t="shared" si="12"/>
        <v>330.3</v>
      </c>
      <c r="G186" s="28">
        <f t="shared" si="12"/>
        <v>329.56</v>
      </c>
      <c r="H186" s="28">
        <f t="shared" si="12"/>
        <v>328.55</v>
      </c>
      <c r="I186" s="28">
        <f t="shared" si="12"/>
        <v>327.55</v>
      </c>
      <c r="J186" s="28">
        <f t="shared" si="12"/>
        <v>326.5</v>
      </c>
      <c r="K186" s="28">
        <f t="shared" si="12"/>
        <v>325.2</v>
      </c>
      <c r="L186" s="28">
        <f t="shared" si="12"/>
        <v>324.83999999999997</v>
      </c>
      <c r="M186" s="28">
        <f t="shared" si="12"/>
        <v>326.32</v>
      </c>
      <c r="N186" s="28">
        <f t="shared" si="12"/>
        <v>328.04</v>
      </c>
    </row>
    <row r="187" spans="1:14" x14ac:dyDescent="0.4">
      <c r="A187" s="1">
        <v>26877</v>
      </c>
      <c r="B187" s="28">
        <v>329.31</v>
      </c>
      <c r="C187" s="28">
        <f t="shared" si="9"/>
        <v>330.87</v>
      </c>
      <c r="D187" s="28">
        <f t="shared" si="12"/>
        <v>332.07</v>
      </c>
      <c r="E187" s="28">
        <f t="shared" si="12"/>
        <v>332.48</v>
      </c>
      <c r="F187" s="28">
        <f t="shared" si="12"/>
        <v>331.5</v>
      </c>
      <c r="G187" s="28">
        <f t="shared" si="12"/>
        <v>330.3</v>
      </c>
      <c r="H187" s="28">
        <f t="shared" si="12"/>
        <v>329.56</v>
      </c>
      <c r="I187" s="28">
        <f t="shared" si="12"/>
        <v>328.55</v>
      </c>
      <c r="J187" s="28">
        <f t="shared" si="12"/>
        <v>327.55</v>
      </c>
      <c r="K187" s="28">
        <f t="shared" si="12"/>
        <v>326.5</v>
      </c>
      <c r="L187" s="28">
        <f t="shared" si="12"/>
        <v>325.2</v>
      </c>
      <c r="M187" s="28">
        <f t="shared" si="12"/>
        <v>324.83999999999997</v>
      </c>
      <c r="N187" s="28">
        <f t="shared" si="12"/>
        <v>326.32</v>
      </c>
    </row>
    <row r="188" spans="1:14" x14ac:dyDescent="0.4">
      <c r="A188" s="1">
        <v>26908</v>
      </c>
      <c r="B188" s="28">
        <v>327.51</v>
      </c>
      <c r="C188" s="28">
        <f t="shared" si="9"/>
        <v>329.31</v>
      </c>
      <c r="D188" s="28">
        <f t="shared" si="12"/>
        <v>330.87</v>
      </c>
      <c r="E188" s="28">
        <f t="shared" si="12"/>
        <v>332.07</v>
      </c>
      <c r="F188" s="28">
        <f t="shared" si="12"/>
        <v>332.48</v>
      </c>
      <c r="G188" s="28">
        <f t="shared" si="12"/>
        <v>331.5</v>
      </c>
      <c r="H188" s="28">
        <f t="shared" si="12"/>
        <v>330.3</v>
      </c>
      <c r="I188" s="28">
        <f t="shared" si="12"/>
        <v>329.56</v>
      </c>
      <c r="J188" s="28">
        <f t="shared" si="12"/>
        <v>328.55</v>
      </c>
      <c r="K188" s="28">
        <f t="shared" si="12"/>
        <v>327.55</v>
      </c>
      <c r="L188" s="28">
        <f t="shared" si="12"/>
        <v>326.5</v>
      </c>
      <c r="M188" s="28">
        <f t="shared" si="12"/>
        <v>325.2</v>
      </c>
      <c r="N188" s="28">
        <f t="shared" si="12"/>
        <v>324.83999999999997</v>
      </c>
    </row>
    <row r="189" spans="1:14" x14ac:dyDescent="0.4">
      <c r="A189" s="1">
        <v>26938</v>
      </c>
      <c r="B189" s="28">
        <v>327.18</v>
      </c>
      <c r="C189" s="28">
        <f t="shared" si="9"/>
        <v>327.51</v>
      </c>
      <c r="D189" s="28">
        <f t="shared" si="12"/>
        <v>329.31</v>
      </c>
      <c r="E189" s="28">
        <f t="shared" si="12"/>
        <v>330.87</v>
      </c>
      <c r="F189" s="28">
        <f t="shared" si="12"/>
        <v>332.07</v>
      </c>
      <c r="G189" s="28">
        <f t="shared" si="12"/>
        <v>332.48</v>
      </c>
      <c r="H189" s="28">
        <f t="shared" si="12"/>
        <v>331.5</v>
      </c>
      <c r="I189" s="28">
        <f t="shared" si="12"/>
        <v>330.3</v>
      </c>
      <c r="J189" s="28">
        <f t="shared" si="12"/>
        <v>329.56</v>
      </c>
      <c r="K189" s="28">
        <f t="shared" si="12"/>
        <v>328.55</v>
      </c>
      <c r="L189" s="28">
        <f t="shared" si="12"/>
        <v>327.55</v>
      </c>
      <c r="M189" s="28">
        <f t="shared" si="12"/>
        <v>326.5</v>
      </c>
      <c r="N189" s="28">
        <f t="shared" si="12"/>
        <v>325.2</v>
      </c>
    </row>
    <row r="190" spans="1:14" x14ac:dyDescent="0.4">
      <c r="A190" s="1">
        <v>26969</v>
      </c>
      <c r="B190" s="28">
        <v>328.16</v>
      </c>
      <c r="C190" s="28">
        <f t="shared" si="9"/>
        <v>327.18</v>
      </c>
      <c r="D190" s="28">
        <f t="shared" si="12"/>
        <v>327.51</v>
      </c>
      <c r="E190" s="28">
        <f t="shared" si="12"/>
        <v>329.31</v>
      </c>
      <c r="F190" s="28">
        <f t="shared" si="12"/>
        <v>330.87</v>
      </c>
      <c r="G190" s="28">
        <f t="shared" si="12"/>
        <v>332.07</v>
      </c>
      <c r="H190" s="28">
        <f t="shared" si="12"/>
        <v>332.48</v>
      </c>
      <c r="I190" s="28">
        <f t="shared" si="12"/>
        <v>331.5</v>
      </c>
      <c r="J190" s="28">
        <f t="shared" si="12"/>
        <v>330.3</v>
      </c>
      <c r="K190" s="28">
        <f t="shared" si="12"/>
        <v>329.56</v>
      </c>
      <c r="L190" s="28">
        <f t="shared" si="12"/>
        <v>328.55</v>
      </c>
      <c r="M190" s="28">
        <f t="shared" si="12"/>
        <v>327.55</v>
      </c>
      <c r="N190" s="28">
        <f t="shared" si="12"/>
        <v>326.5</v>
      </c>
    </row>
    <row r="191" spans="1:14" x14ac:dyDescent="0.4">
      <c r="A191" s="1">
        <v>26999</v>
      </c>
      <c r="B191" s="28">
        <v>328.64</v>
      </c>
      <c r="C191" s="28">
        <f t="shared" si="9"/>
        <v>328.16</v>
      </c>
      <c r="D191" s="28">
        <f t="shared" si="12"/>
        <v>327.18</v>
      </c>
      <c r="E191" s="28">
        <f t="shared" si="12"/>
        <v>327.51</v>
      </c>
      <c r="F191" s="28">
        <f t="shared" si="12"/>
        <v>329.31</v>
      </c>
      <c r="G191" s="28">
        <f t="shared" si="12"/>
        <v>330.87</v>
      </c>
      <c r="H191" s="28">
        <f t="shared" si="12"/>
        <v>332.07</v>
      </c>
      <c r="I191" s="28">
        <f t="shared" si="12"/>
        <v>332.48</v>
      </c>
      <c r="J191" s="28">
        <f t="shared" si="12"/>
        <v>331.5</v>
      </c>
      <c r="K191" s="28">
        <f t="shared" si="12"/>
        <v>330.3</v>
      </c>
      <c r="L191" s="28">
        <f t="shared" si="12"/>
        <v>329.56</v>
      </c>
      <c r="M191" s="28">
        <f t="shared" si="12"/>
        <v>328.55</v>
      </c>
      <c r="N191" s="28">
        <f t="shared" si="12"/>
        <v>327.55</v>
      </c>
    </row>
    <row r="192" spans="1:14" x14ac:dyDescent="0.4">
      <c r="A192" s="1">
        <v>27030</v>
      </c>
      <c r="B192" s="28">
        <v>329.35</v>
      </c>
      <c r="C192" s="28">
        <f t="shared" si="9"/>
        <v>328.64</v>
      </c>
      <c r="D192" s="28">
        <f t="shared" si="12"/>
        <v>328.16</v>
      </c>
      <c r="E192" s="28">
        <f t="shared" si="12"/>
        <v>327.18</v>
      </c>
      <c r="F192" s="28">
        <f t="shared" si="12"/>
        <v>327.51</v>
      </c>
      <c r="G192" s="28">
        <f t="shared" si="12"/>
        <v>329.31</v>
      </c>
      <c r="H192" s="28">
        <f t="shared" si="12"/>
        <v>330.87</v>
      </c>
      <c r="I192" s="28">
        <f t="shared" si="12"/>
        <v>332.07</v>
      </c>
      <c r="J192" s="28">
        <f t="shared" si="12"/>
        <v>332.48</v>
      </c>
      <c r="K192" s="28">
        <f t="shared" si="12"/>
        <v>331.5</v>
      </c>
      <c r="L192" s="28">
        <f t="shared" si="12"/>
        <v>330.3</v>
      </c>
      <c r="M192" s="28">
        <f t="shared" si="12"/>
        <v>329.56</v>
      </c>
      <c r="N192" s="28">
        <f t="shared" si="12"/>
        <v>328.55</v>
      </c>
    </row>
    <row r="193" spans="1:14" x14ac:dyDescent="0.4">
      <c r="A193" s="1">
        <v>27061</v>
      </c>
      <c r="B193" s="28">
        <v>330.71</v>
      </c>
      <c r="C193" s="28">
        <f t="shared" si="9"/>
        <v>329.35</v>
      </c>
      <c r="D193" s="28">
        <f t="shared" si="12"/>
        <v>328.64</v>
      </c>
      <c r="E193" s="28">
        <f t="shared" si="12"/>
        <v>328.16</v>
      </c>
      <c r="F193" s="28">
        <f t="shared" si="12"/>
        <v>327.18</v>
      </c>
      <c r="G193" s="28">
        <f t="shared" si="12"/>
        <v>327.51</v>
      </c>
      <c r="H193" s="28">
        <f t="shared" si="12"/>
        <v>329.31</v>
      </c>
      <c r="I193" s="28">
        <f t="shared" si="12"/>
        <v>330.87</v>
      </c>
      <c r="J193" s="28">
        <f t="shared" si="12"/>
        <v>332.07</v>
      </c>
      <c r="K193" s="28">
        <f t="shared" si="12"/>
        <v>332.48</v>
      </c>
      <c r="L193" s="28">
        <f t="shared" si="12"/>
        <v>331.5</v>
      </c>
      <c r="M193" s="28">
        <f t="shared" si="12"/>
        <v>330.3</v>
      </c>
      <c r="N193" s="28">
        <f t="shared" si="12"/>
        <v>329.56</v>
      </c>
    </row>
    <row r="194" spans="1:14" x14ac:dyDescent="0.4">
      <c r="A194" s="1">
        <v>27089</v>
      </c>
      <c r="B194" s="28">
        <v>331.48</v>
      </c>
      <c r="C194" s="28">
        <f t="shared" si="9"/>
        <v>330.71</v>
      </c>
      <c r="D194" s="28">
        <f t="shared" si="12"/>
        <v>329.35</v>
      </c>
      <c r="E194" s="28">
        <f t="shared" si="12"/>
        <v>328.64</v>
      </c>
      <c r="F194" s="28">
        <f t="shared" si="12"/>
        <v>328.16</v>
      </c>
      <c r="G194" s="28">
        <f t="shared" si="12"/>
        <v>327.18</v>
      </c>
      <c r="H194" s="28">
        <f t="shared" si="12"/>
        <v>327.51</v>
      </c>
      <c r="I194" s="28">
        <f t="shared" si="12"/>
        <v>329.31</v>
      </c>
      <c r="J194" s="28">
        <f t="shared" si="12"/>
        <v>330.87</v>
      </c>
      <c r="K194" s="28">
        <f t="shared" si="12"/>
        <v>332.07</v>
      </c>
      <c r="L194" s="28">
        <f t="shared" si="12"/>
        <v>332.48</v>
      </c>
      <c r="M194" s="28">
        <f t="shared" si="12"/>
        <v>331.5</v>
      </c>
      <c r="N194" s="28">
        <f t="shared" si="12"/>
        <v>330.3</v>
      </c>
    </row>
    <row r="195" spans="1:14" x14ac:dyDescent="0.4">
      <c r="A195" s="1">
        <v>27120</v>
      </c>
      <c r="B195" s="28">
        <v>332.65</v>
      </c>
      <c r="C195" s="28">
        <f t="shared" si="9"/>
        <v>331.48</v>
      </c>
      <c r="D195" s="28">
        <f t="shared" si="12"/>
        <v>330.71</v>
      </c>
      <c r="E195" s="28">
        <f t="shared" si="12"/>
        <v>329.35</v>
      </c>
      <c r="F195" s="28">
        <f t="shared" si="12"/>
        <v>328.64</v>
      </c>
      <c r="G195" s="28">
        <f t="shared" si="12"/>
        <v>328.16</v>
      </c>
      <c r="H195" s="28">
        <f t="shared" si="12"/>
        <v>327.18</v>
      </c>
      <c r="I195" s="28">
        <f t="shared" si="12"/>
        <v>327.51</v>
      </c>
      <c r="J195" s="28">
        <f t="shared" si="12"/>
        <v>329.31</v>
      </c>
      <c r="K195" s="28">
        <f t="shared" si="12"/>
        <v>330.87</v>
      </c>
      <c r="L195" s="28">
        <f t="shared" si="12"/>
        <v>332.07</v>
      </c>
      <c r="M195" s="28">
        <f t="shared" si="12"/>
        <v>332.48</v>
      </c>
      <c r="N195" s="28">
        <f t="shared" si="12"/>
        <v>331.5</v>
      </c>
    </row>
    <row r="196" spans="1:14" x14ac:dyDescent="0.4">
      <c r="A196" s="1">
        <v>27150</v>
      </c>
      <c r="B196" s="28">
        <v>333.09</v>
      </c>
      <c r="C196" s="28">
        <f t="shared" ref="C196:N259" si="13">IF(B195=0,"",B195)</f>
        <v>332.65</v>
      </c>
      <c r="D196" s="28">
        <f t="shared" si="13"/>
        <v>331.48</v>
      </c>
      <c r="E196" s="28">
        <f t="shared" si="13"/>
        <v>330.71</v>
      </c>
      <c r="F196" s="28">
        <f t="shared" si="13"/>
        <v>329.35</v>
      </c>
      <c r="G196" s="28">
        <f t="shared" si="13"/>
        <v>328.64</v>
      </c>
      <c r="H196" s="28">
        <f t="shared" si="13"/>
        <v>328.16</v>
      </c>
      <c r="I196" s="28">
        <f t="shared" si="13"/>
        <v>327.18</v>
      </c>
      <c r="J196" s="28">
        <f t="shared" si="13"/>
        <v>327.51</v>
      </c>
      <c r="K196" s="28">
        <f t="shared" si="13"/>
        <v>329.31</v>
      </c>
      <c r="L196" s="28">
        <f t="shared" si="13"/>
        <v>330.87</v>
      </c>
      <c r="M196" s="28">
        <f t="shared" si="13"/>
        <v>332.07</v>
      </c>
      <c r="N196" s="28">
        <f t="shared" si="13"/>
        <v>332.48</v>
      </c>
    </row>
    <row r="197" spans="1:14" x14ac:dyDescent="0.4">
      <c r="A197" s="1">
        <v>27181</v>
      </c>
      <c r="B197" s="28">
        <v>332.25</v>
      </c>
      <c r="C197" s="28">
        <f t="shared" si="13"/>
        <v>333.09</v>
      </c>
      <c r="D197" s="28">
        <f t="shared" si="13"/>
        <v>332.65</v>
      </c>
      <c r="E197" s="28">
        <f t="shared" si="13"/>
        <v>331.48</v>
      </c>
      <c r="F197" s="28">
        <f t="shared" si="13"/>
        <v>330.71</v>
      </c>
      <c r="G197" s="28">
        <f t="shared" si="13"/>
        <v>329.35</v>
      </c>
      <c r="H197" s="28">
        <f t="shared" si="13"/>
        <v>328.64</v>
      </c>
      <c r="I197" s="28">
        <f t="shared" si="13"/>
        <v>328.16</v>
      </c>
      <c r="J197" s="28">
        <f t="shared" si="13"/>
        <v>327.18</v>
      </c>
      <c r="K197" s="28">
        <f t="shared" si="13"/>
        <v>327.51</v>
      </c>
      <c r="L197" s="28">
        <f t="shared" si="13"/>
        <v>329.31</v>
      </c>
      <c r="M197" s="28">
        <f t="shared" si="13"/>
        <v>330.87</v>
      </c>
      <c r="N197" s="28">
        <f t="shared" si="13"/>
        <v>332.07</v>
      </c>
    </row>
    <row r="198" spans="1:14" x14ac:dyDescent="0.4">
      <c r="A198" s="1">
        <v>27211</v>
      </c>
      <c r="B198" s="28">
        <v>331.18</v>
      </c>
      <c r="C198" s="28">
        <f t="shared" si="13"/>
        <v>332.25</v>
      </c>
      <c r="D198" s="28">
        <f t="shared" si="13"/>
        <v>333.09</v>
      </c>
      <c r="E198" s="28">
        <f t="shared" si="13"/>
        <v>332.65</v>
      </c>
      <c r="F198" s="28">
        <f t="shared" si="13"/>
        <v>331.48</v>
      </c>
      <c r="G198" s="28">
        <f t="shared" si="13"/>
        <v>330.71</v>
      </c>
      <c r="H198" s="28">
        <f t="shared" si="13"/>
        <v>329.35</v>
      </c>
      <c r="I198" s="28">
        <f t="shared" si="13"/>
        <v>328.64</v>
      </c>
      <c r="J198" s="28">
        <f t="shared" si="13"/>
        <v>328.16</v>
      </c>
      <c r="K198" s="28">
        <f t="shared" si="13"/>
        <v>327.18</v>
      </c>
      <c r="L198" s="28">
        <f t="shared" si="13"/>
        <v>327.51</v>
      </c>
      <c r="M198" s="28">
        <f t="shared" si="13"/>
        <v>329.31</v>
      </c>
      <c r="N198" s="28">
        <f t="shared" si="13"/>
        <v>330.87</v>
      </c>
    </row>
    <row r="199" spans="1:14" x14ac:dyDescent="0.4">
      <c r="A199" s="1">
        <v>27242</v>
      </c>
      <c r="B199" s="28">
        <v>329.39</v>
      </c>
      <c r="C199" s="28">
        <f t="shared" si="13"/>
        <v>331.18</v>
      </c>
      <c r="D199" s="28">
        <f t="shared" si="13"/>
        <v>332.25</v>
      </c>
      <c r="E199" s="28">
        <f t="shared" si="13"/>
        <v>333.09</v>
      </c>
      <c r="F199" s="28">
        <f t="shared" si="13"/>
        <v>332.65</v>
      </c>
      <c r="G199" s="28">
        <f t="shared" si="13"/>
        <v>331.48</v>
      </c>
      <c r="H199" s="28">
        <f t="shared" si="13"/>
        <v>330.71</v>
      </c>
      <c r="I199" s="28">
        <f t="shared" si="13"/>
        <v>329.35</v>
      </c>
      <c r="J199" s="28">
        <f t="shared" si="13"/>
        <v>328.64</v>
      </c>
      <c r="K199" s="28">
        <f t="shared" si="13"/>
        <v>328.16</v>
      </c>
      <c r="L199" s="28">
        <f t="shared" si="13"/>
        <v>327.18</v>
      </c>
      <c r="M199" s="28">
        <f t="shared" si="13"/>
        <v>327.51</v>
      </c>
      <c r="N199" s="28">
        <f t="shared" si="13"/>
        <v>329.31</v>
      </c>
    </row>
    <row r="200" spans="1:14" x14ac:dyDescent="0.4">
      <c r="A200" s="1">
        <v>27273</v>
      </c>
      <c r="B200" s="28">
        <v>327.43</v>
      </c>
      <c r="C200" s="28">
        <f t="shared" si="13"/>
        <v>329.39</v>
      </c>
      <c r="D200" s="28">
        <f t="shared" si="13"/>
        <v>331.18</v>
      </c>
      <c r="E200" s="28">
        <f t="shared" si="13"/>
        <v>332.25</v>
      </c>
      <c r="F200" s="28">
        <f t="shared" si="13"/>
        <v>333.09</v>
      </c>
      <c r="G200" s="28">
        <f t="shared" si="13"/>
        <v>332.65</v>
      </c>
      <c r="H200" s="28">
        <f t="shared" si="13"/>
        <v>331.48</v>
      </c>
      <c r="I200" s="28">
        <f t="shared" si="13"/>
        <v>330.71</v>
      </c>
      <c r="J200" s="28">
        <f t="shared" si="13"/>
        <v>329.35</v>
      </c>
      <c r="K200" s="28">
        <f t="shared" si="13"/>
        <v>328.64</v>
      </c>
      <c r="L200" s="28">
        <f t="shared" si="13"/>
        <v>328.16</v>
      </c>
      <c r="M200" s="28">
        <f t="shared" si="13"/>
        <v>327.18</v>
      </c>
      <c r="N200" s="28">
        <f t="shared" si="13"/>
        <v>327.51</v>
      </c>
    </row>
    <row r="201" spans="1:14" x14ac:dyDescent="0.4">
      <c r="A201" s="1">
        <v>27303</v>
      </c>
      <c r="B201" s="28">
        <v>327.37</v>
      </c>
      <c r="C201" s="28">
        <f t="shared" si="13"/>
        <v>327.43</v>
      </c>
      <c r="D201" s="28">
        <f t="shared" si="13"/>
        <v>329.39</v>
      </c>
      <c r="E201" s="28">
        <f t="shared" si="13"/>
        <v>331.18</v>
      </c>
      <c r="F201" s="28">
        <f t="shared" si="13"/>
        <v>332.25</v>
      </c>
      <c r="G201" s="28">
        <f t="shared" si="13"/>
        <v>333.09</v>
      </c>
      <c r="H201" s="28">
        <f t="shared" si="13"/>
        <v>332.65</v>
      </c>
      <c r="I201" s="28">
        <f t="shared" si="13"/>
        <v>331.48</v>
      </c>
      <c r="J201" s="28">
        <f t="shared" si="13"/>
        <v>330.71</v>
      </c>
      <c r="K201" s="28">
        <f t="shared" si="13"/>
        <v>329.35</v>
      </c>
      <c r="L201" s="28">
        <f t="shared" si="13"/>
        <v>328.64</v>
      </c>
      <c r="M201" s="28">
        <f t="shared" si="13"/>
        <v>328.16</v>
      </c>
      <c r="N201" s="28">
        <f t="shared" si="13"/>
        <v>327.18</v>
      </c>
    </row>
    <row r="202" spans="1:14" x14ac:dyDescent="0.4">
      <c r="A202" s="1">
        <v>27334</v>
      </c>
      <c r="B202" s="28">
        <v>328.46</v>
      </c>
      <c r="C202" s="28">
        <f t="shared" si="13"/>
        <v>327.37</v>
      </c>
      <c r="D202" s="28">
        <f t="shared" si="13"/>
        <v>327.43</v>
      </c>
      <c r="E202" s="28">
        <f t="shared" si="13"/>
        <v>329.39</v>
      </c>
      <c r="F202" s="28">
        <f t="shared" si="13"/>
        <v>331.18</v>
      </c>
      <c r="G202" s="28">
        <f t="shared" si="13"/>
        <v>332.25</v>
      </c>
      <c r="H202" s="28">
        <f t="shared" si="13"/>
        <v>333.09</v>
      </c>
      <c r="I202" s="28">
        <f t="shared" si="13"/>
        <v>332.65</v>
      </c>
      <c r="J202" s="28">
        <f t="shared" si="13"/>
        <v>331.48</v>
      </c>
      <c r="K202" s="28">
        <f t="shared" si="13"/>
        <v>330.71</v>
      </c>
      <c r="L202" s="28">
        <f t="shared" si="13"/>
        <v>329.35</v>
      </c>
      <c r="M202" s="28">
        <f t="shared" si="13"/>
        <v>328.64</v>
      </c>
      <c r="N202" s="28">
        <f t="shared" si="13"/>
        <v>328.16</v>
      </c>
    </row>
    <row r="203" spans="1:14" x14ac:dyDescent="0.4">
      <c r="A203" s="1">
        <v>27364</v>
      </c>
      <c r="B203" s="28">
        <v>329.57</v>
      </c>
      <c r="C203" s="28">
        <f t="shared" si="13"/>
        <v>328.46</v>
      </c>
      <c r="D203" s="28">
        <f t="shared" si="13"/>
        <v>327.37</v>
      </c>
      <c r="E203" s="28">
        <f t="shared" si="13"/>
        <v>327.43</v>
      </c>
      <c r="F203" s="28">
        <f t="shared" si="13"/>
        <v>329.39</v>
      </c>
      <c r="G203" s="28">
        <f t="shared" si="13"/>
        <v>331.18</v>
      </c>
      <c r="H203" s="28">
        <f t="shared" si="13"/>
        <v>332.25</v>
      </c>
      <c r="I203" s="28">
        <f t="shared" si="13"/>
        <v>333.09</v>
      </c>
      <c r="J203" s="28">
        <f t="shared" si="13"/>
        <v>332.65</v>
      </c>
      <c r="K203" s="28">
        <f t="shared" si="13"/>
        <v>331.48</v>
      </c>
      <c r="L203" s="28">
        <f t="shared" si="13"/>
        <v>330.71</v>
      </c>
      <c r="M203" s="28">
        <f t="shared" si="13"/>
        <v>329.35</v>
      </c>
      <c r="N203" s="28">
        <f t="shared" si="13"/>
        <v>328.64</v>
      </c>
    </row>
    <row r="204" spans="1:14" x14ac:dyDescent="0.4">
      <c r="A204" s="1">
        <v>27395</v>
      </c>
      <c r="B204" s="28">
        <v>330.4</v>
      </c>
      <c r="C204" s="28">
        <f t="shared" si="13"/>
        <v>329.57</v>
      </c>
      <c r="D204" s="28">
        <f t="shared" si="13"/>
        <v>328.46</v>
      </c>
      <c r="E204" s="28">
        <f t="shared" si="13"/>
        <v>327.37</v>
      </c>
      <c r="F204" s="28">
        <f t="shared" si="13"/>
        <v>327.43</v>
      </c>
      <c r="G204" s="28">
        <f t="shared" si="13"/>
        <v>329.39</v>
      </c>
      <c r="H204" s="28">
        <f t="shared" si="13"/>
        <v>331.18</v>
      </c>
      <c r="I204" s="28">
        <f t="shared" si="13"/>
        <v>332.25</v>
      </c>
      <c r="J204" s="28">
        <f t="shared" si="13"/>
        <v>333.09</v>
      </c>
      <c r="K204" s="28">
        <f t="shared" si="13"/>
        <v>332.65</v>
      </c>
      <c r="L204" s="28">
        <f t="shared" si="13"/>
        <v>331.48</v>
      </c>
      <c r="M204" s="28">
        <f t="shared" si="13"/>
        <v>330.71</v>
      </c>
      <c r="N204" s="28">
        <f t="shared" si="13"/>
        <v>329.35</v>
      </c>
    </row>
    <row r="205" spans="1:14" x14ac:dyDescent="0.4">
      <c r="A205" s="1">
        <v>27426</v>
      </c>
      <c r="B205" s="28">
        <v>331.4</v>
      </c>
      <c r="C205" s="28">
        <f t="shared" si="13"/>
        <v>330.4</v>
      </c>
      <c r="D205" s="28">
        <f t="shared" si="13"/>
        <v>329.57</v>
      </c>
      <c r="E205" s="28">
        <f t="shared" si="13"/>
        <v>328.46</v>
      </c>
      <c r="F205" s="28">
        <f t="shared" si="13"/>
        <v>327.37</v>
      </c>
      <c r="G205" s="28">
        <f t="shared" si="13"/>
        <v>327.43</v>
      </c>
      <c r="H205" s="28">
        <f t="shared" si="13"/>
        <v>329.39</v>
      </c>
      <c r="I205" s="28">
        <f t="shared" si="13"/>
        <v>331.18</v>
      </c>
      <c r="J205" s="28">
        <f t="shared" si="13"/>
        <v>332.25</v>
      </c>
      <c r="K205" s="28">
        <f t="shared" si="13"/>
        <v>333.09</v>
      </c>
      <c r="L205" s="28">
        <f t="shared" si="13"/>
        <v>332.65</v>
      </c>
      <c r="M205" s="28">
        <f t="shared" si="13"/>
        <v>331.48</v>
      </c>
      <c r="N205" s="28">
        <f t="shared" si="13"/>
        <v>330.71</v>
      </c>
    </row>
    <row r="206" spans="1:14" x14ac:dyDescent="0.4">
      <c r="A206" s="1">
        <v>27454</v>
      </c>
      <c r="B206" s="28">
        <v>332.04</v>
      </c>
      <c r="C206" s="28">
        <f t="shared" si="13"/>
        <v>331.4</v>
      </c>
      <c r="D206" s="28">
        <f t="shared" si="13"/>
        <v>330.4</v>
      </c>
      <c r="E206" s="28">
        <f t="shared" si="13"/>
        <v>329.57</v>
      </c>
      <c r="F206" s="28">
        <f t="shared" si="13"/>
        <v>328.46</v>
      </c>
      <c r="G206" s="28">
        <f t="shared" si="13"/>
        <v>327.37</v>
      </c>
      <c r="H206" s="28">
        <f t="shared" si="13"/>
        <v>327.43</v>
      </c>
      <c r="I206" s="28">
        <f t="shared" si="13"/>
        <v>329.39</v>
      </c>
      <c r="J206" s="28">
        <f t="shared" si="13"/>
        <v>331.18</v>
      </c>
      <c r="K206" s="28">
        <f t="shared" si="13"/>
        <v>332.25</v>
      </c>
      <c r="L206" s="28">
        <f t="shared" si="13"/>
        <v>333.09</v>
      </c>
      <c r="M206" s="28">
        <f t="shared" si="13"/>
        <v>332.65</v>
      </c>
      <c r="N206" s="28">
        <f t="shared" si="13"/>
        <v>331.48</v>
      </c>
    </row>
    <row r="207" spans="1:14" x14ac:dyDescent="0.4">
      <c r="A207" s="1">
        <v>27485</v>
      </c>
      <c r="B207" s="28">
        <v>333.31</v>
      </c>
      <c r="C207" s="28">
        <f t="shared" si="13"/>
        <v>332.04</v>
      </c>
      <c r="D207" s="28">
        <f t="shared" si="13"/>
        <v>331.4</v>
      </c>
      <c r="E207" s="28">
        <f t="shared" si="13"/>
        <v>330.4</v>
      </c>
      <c r="F207" s="28">
        <f t="shared" si="13"/>
        <v>329.57</v>
      </c>
      <c r="G207" s="28">
        <f t="shared" si="13"/>
        <v>328.46</v>
      </c>
      <c r="H207" s="28">
        <f t="shared" si="13"/>
        <v>327.37</v>
      </c>
      <c r="I207" s="28">
        <f t="shared" si="13"/>
        <v>327.43</v>
      </c>
      <c r="J207" s="28">
        <f t="shared" si="13"/>
        <v>329.39</v>
      </c>
      <c r="K207" s="28">
        <f t="shared" si="13"/>
        <v>331.18</v>
      </c>
      <c r="L207" s="28">
        <f t="shared" si="13"/>
        <v>332.25</v>
      </c>
      <c r="M207" s="28">
        <f t="shared" si="13"/>
        <v>333.09</v>
      </c>
      <c r="N207" s="28">
        <f t="shared" si="13"/>
        <v>332.65</v>
      </c>
    </row>
    <row r="208" spans="1:14" x14ac:dyDescent="0.4">
      <c r="A208" s="1">
        <v>27515</v>
      </c>
      <c r="B208" s="28">
        <v>333.97</v>
      </c>
      <c r="C208" s="28">
        <f t="shared" si="13"/>
        <v>333.31</v>
      </c>
      <c r="D208" s="28">
        <f t="shared" si="13"/>
        <v>332.04</v>
      </c>
      <c r="E208" s="28">
        <f t="shared" si="13"/>
        <v>331.4</v>
      </c>
      <c r="F208" s="28">
        <f t="shared" si="13"/>
        <v>330.4</v>
      </c>
      <c r="G208" s="28">
        <f t="shared" si="13"/>
        <v>329.57</v>
      </c>
      <c r="H208" s="28">
        <f t="shared" si="13"/>
        <v>328.46</v>
      </c>
      <c r="I208" s="28">
        <f t="shared" si="13"/>
        <v>327.37</v>
      </c>
      <c r="J208" s="28">
        <f t="shared" si="13"/>
        <v>327.43</v>
      </c>
      <c r="K208" s="28">
        <f t="shared" si="13"/>
        <v>329.39</v>
      </c>
      <c r="L208" s="28">
        <f t="shared" si="13"/>
        <v>331.18</v>
      </c>
      <c r="M208" s="28">
        <f t="shared" si="13"/>
        <v>332.25</v>
      </c>
      <c r="N208" s="28">
        <f t="shared" si="13"/>
        <v>333.09</v>
      </c>
    </row>
    <row r="209" spans="1:14" x14ac:dyDescent="0.4">
      <c r="A209" s="1">
        <v>27546</v>
      </c>
      <c r="B209" s="28">
        <v>333.6</v>
      </c>
      <c r="C209" s="28">
        <f t="shared" si="13"/>
        <v>333.97</v>
      </c>
      <c r="D209" s="28">
        <f t="shared" si="13"/>
        <v>333.31</v>
      </c>
      <c r="E209" s="28">
        <f t="shared" si="13"/>
        <v>332.04</v>
      </c>
      <c r="F209" s="28">
        <f t="shared" si="13"/>
        <v>331.4</v>
      </c>
      <c r="G209" s="28">
        <f t="shared" si="13"/>
        <v>330.4</v>
      </c>
      <c r="H209" s="28">
        <f t="shared" si="13"/>
        <v>329.57</v>
      </c>
      <c r="I209" s="28">
        <f t="shared" si="13"/>
        <v>328.46</v>
      </c>
      <c r="J209" s="28">
        <f t="shared" si="13"/>
        <v>327.37</v>
      </c>
      <c r="K209" s="28">
        <f t="shared" si="13"/>
        <v>327.43</v>
      </c>
      <c r="L209" s="28">
        <f t="shared" si="13"/>
        <v>329.39</v>
      </c>
      <c r="M209" s="28">
        <f t="shared" si="13"/>
        <v>331.18</v>
      </c>
      <c r="N209" s="28">
        <f t="shared" si="13"/>
        <v>332.25</v>
      </c>
    </row>
    <row r="210" spans="1:14" x14ac:dyDescent="0.4">
      <c r="A210" s="1">
        <v>27576</v>
      </c>
      <c r="B210" s="28">
        <v>331.9</v>
      </c>
      <c r="C210" s="28">
        <f t="shared" si="13"/>
        <v>333.6</v>
      </c>
      <c r="D210" s="28">
        <f t="shared" si="13"/>
        <v>333.97</v>
      </c>
      <c r="E210" s="28">
        <f t="shared" si="13"/>
        <v>333.31</v>
      </c>
      <c r="F210" s="28">
        <f t="shared" si="13"/>
        <v>332.04</v>
      </c>
      <c r="G210" s="28">
        <f t="shared" si="13"/>
        <v>331.4</v>
      </c>
      <c r="H210" s="28">
        <f t="shared" si="13"/>
        <v>330.4</v>
      </c>
      <c r="I210" s="28">
        <f t="shared" si="13"/>
        <v>329.57</v>
      </c>
      <c r="J210" s="28">
        <f t="shared" si="13"/>
        <v>328.46</v>
      </c>
      <c r="K210" s="28">
        <f t="shared" si="13"/>
        <v>327.37</v>
      </c>
      <c r="L210" s="28">
        <f t="shared" si="13"/>
        <v>327.43</v>
      </c>
      <c r="M210" s="28">
        <f t="shared" si="13"/>
        <v>329.39</v>
      </c>
      <c r="N210" s="28">
        <f t="shared" si="13"/>
        <v>331.18</v>
      </c>
    </row>
    <row r="211" spans="1:14" x14ac:dyDescent="0.4">
      <c r="A211" s="1">
        <v>27607</v>
      </c>
      <c r="B211" s="28">
        <v>330.06</v>
      </c>
      <c r="C211" s="28">
        <f t="shared" si="13"/>
        <v>331.9</v>
      </c>
      <c r="D211" s="28">
        <f t="shared" si="13"/>
        <v>333.6</v>
      </c>
      <c r="E211" s="28">
        <f t="shared" si="13"/>
        <v>333.97</v>
      </c>
      <c r="F211" s="28">
        <f t="shared" si="13"/>
        <v>333.31</v>
      </c>
      <c r="G211" s="28">
        <f t="shared" si="13"/>
        <v>332.04</v>
      </c>
      <c r="H211" s="28">
        <f t="shared" si="13"/>
        <v>331.4</v>
      </c>
      <c r="I211" s="28">
        <f t="shared" si="13"/>
        <v>330.4</v>
      </c>
      <c r="J211" s="28">
        <f t="shared" si="13"/>
        <v>329.57</v>
      </c>
      <c r="K211" s="28">
        <f t="shared" si="13"/>
        <v>328.46</v>
      </c>
      <c r="L211" s="28">
        <f t="shared" si="13"/>
        <v>327.37</v>
      </c>
      <c r="M211" s="28">
        <f t="shared" si="13"/>
        <v>327.43</v>
      </c>
      <c r="N211" s="28">
        <f t="shared" si="13"/>
        <v>329.39</v>
      </c>
    </row>
    <row r="212" spans="1:14" x14ac:dyDescent="0.4">
      <c r="A212" s="1">
        <v>27638</v>
      </c>
      <c r="B212" s="28">
        <v>328.56</v>
      </c>
      <c r="C212" s="28">
        <f t="shared" si="13"/>
        <v>330.06</v>
      </c>
      <c r="D212" s="28">
        <f t="shared" si="13"/>
        <v>331.9</v>
      </c>
      <c r="E212" s="28">
        <f t="shared" si="13"/>
        <v>333.6</v>
      </c>
      <c r="F212" s="28">
        <f t="shared" si="13"/>
        <v>333.97</v>
      </c>
      <c r="G212" s="28">
        <f t="shared" si="13"/>
        <v>333.31</v>
      </c>
      <c r="H212" s="28">
        <f t="shared" si="13"/>
        <v>332.04</v>
      </c>
      <c r="I212" s="28">
        <f t="shared" si="13"/>
        <v>331.4</v>
      </c>
      <c r="J212" s="28">
        <f t="shared" si="13"/>
        <v>330.4</v>
      </c>
      <c r="K212" s="28">
        <f t="shared" si="13"/>
        <v>329.57</v>
      </c>
      <c r="L212" s="28">
        <f t="shared" si="13"/>
        <v>328.46</v>
      </c>
      <c r="M212" s="28">
        <f t="shared" si="13"/>
        <v>327.37</v>
      </c>
      <c r="N212" s="28">
        <f t="shared" si="13"/>
        <v>327.43</v>
      </c>
    </row>
    <row r="213" spans="1:14" x14ac:dyDescent="0.4">
      <c r="A213" s="1">
        <v>27668</v>
      </c>
      <c r="B213" s="28">
        <v>328.34</v>
      </c>
      <c r="C213" s="28">
        <f t="shared" si="13"/>
        <v>328.56</v>
      </c>
      <c r="D213" s="28">
        <f t="shared" si="13"/>
        <v>330.06</v>
      </c>
      <c r="E213" s="28">
        <f t="shared" si="13"/>
        <v>331.9</v>
      </c>
      <c r="F213" s="28">
        <f t="shared" si="13"/>
        <v>333.6</v>
      </c>
      <c r="G213" s="28">
        <f t="shared" si="13"/>
        <v>333.97</v>
      </c>
      <c r="H213" s="28">
        <f t="shared" ref="D213:N228" si="14">IF(G212=0,"",G212)</f>
        <v>333.31</v>
      </c>
      <c r="I213" s="28">
        <f t="shared" si="14"/>
        <v>332.04</v>
      </c>
      <c r="J213" s="28">
        <f t="shared" si="14"/>
        <v>331.4</v>
      </c>
      <c r="K213" s="28">
        <f t="shared" si="14"/>
        <v>330.4</v>
      </c>
      <c r="L213" s="28">
        <f t="shared" si="14"/>
        <v>329.57</v>
      </c>
      <c r="M213" s="28">
        <f t="shared" si="14"/>
        <v>328.46</v>
      </c>
      <c r="N213" s="28">
        <f t="shared" si="14"/>
        <v>327.37</v>
      </c>
    </row>
    <row r="214" spans="1:14" x14ac:dyDescent="0.4">
      <c r="A214" s="1">
        <v>27699</v>
      </c>
      <c r="B214" s="28">
        <v>329.49</v>
      </c>
      <c r="C214" s="28">
        <f t="shared" si="13"/>
        <v>328.34</v>
      </c>
      <c r="D214" s="28">
        <f t="shared" si="14"/>
        <v>328.56</v>
      </c>
      <c r="E214" s="28">
        <f t="shared" si="14"/>
        <v>330.06</v>
      </c>
      <c r="F214" s="28">
        <f t="shared" si="14"/>
        <v>331.9</v>
      </c>
      <c r="G214" s="28">
        <f t="shared" si="14"/>
        <v>333.6</v>
      </c>
      <c r="H214" s="28">
        <f t="shared" si="14"/>
        <v>333.97</v>
      </c>
      <c r="I214" s="28">
        <f t="shared" si="14"/>
        <v>333.31</v>
      </c>
      <c r="J214" s="28">
        <f t="shared" si="14"/>
        <v>332.04</v>
      </c>
      <c r="K214" s="28">
        <f t="shared" si="14"/>
        <v>331.4</v>
      </c>
      <c r="L214" s="28">
        <f t="shared" si="14"/>
        <v>330.4</v>
      </c>
      <c r="M214" s="28">
        <f t="shared" si="14"/>
        <v>329.57</v>
      </c>
      <c r="N214" s="28">
        <f t="shared" si="14"/>
        <v>328.46</v>
      </c>
    </row>
    <row r="215" spans="1:14" x14ac:dyDescent="0.4">
      <c r="A215" s="1">
        <v>27729</v>
      </c>
      <c r="B215" s="28">
        <v>330.76</v>
      </c>
      <c r="C215" s="28">
        <f t="shared" si="13"/>
        <v>329.49</v>
      </c>
      <c r="D215" s="28">
        <f t="shared" si="14"/>
        <v>328.34</v>
      </c>
      <c r="E215" s="28">
        <f t="shared" si="14"/>
        <v>328.56</v>
      </c>
      <c r="F215" s="28">
        <f t="shared" si="14"/>
        <v>330.06</v>
      </c>
      <c r="G215" s="28">
        <f t="shared" si="14"/>
        <v>331.9</v>
      </c>
      <c r="H215" s="28">
        <f t="shared" si="14"/>
        <v>333.6</v>
      </c>
      <c r="I215" s="28">
        <f t="shared" si="14"/>
        <v>333.97</v>
      </c>
      <c r="J215" s="28">
        <f t="shared" si="14"/>
        <v>333.31</v>
      </c>
      <c r="K215" s="28">
        <f t="shared" si="14"/>
        <v>332.04</v>
      </c>
      <c r="L215" s="28">
        <f t="shared" si="14"/>
        <v>331.4</v>
      </c>
      <c r="M215" s="28">
        <f t="shared" si="14"/>
        <v>330.4</v>
      </c>
      <c r="N215" s="28">
        <f t="shared" si="14"/>
        <v>329.57</v>
      </c>
    </row>
    <row r="216" spans="1:14" x14ac:dyDescent="0.4">
      <c r="A216" s="1">
        <v>27760</v>
      </c>
      <c r="B216" s="28">
        <v>331.75</v>
      </c>
      <c r="C216" s="28">
        <f t="shared" si="13"/>
        <v>330.76</v>
      </c>
      <c r="D216" s="28">
        <f t="shared" si="14"/>
        <v>329.49</v>
      </c>
      <c r="E216" s="28">
        <f t="shared" si="14"/>
        <v>328.34</v>
      </c>
      <c r="F216" s="28">
        <f t="shared" si="14"/>
        <v>328.56</v>
      </c>
      <c r="G216" s="28">
        <f t="shared" si="14"/>
        <v>330.06</v>
      </c>
      <c r="H216" s="28">
        <f t="shared" si="14"/>
        <v>331.9</v>
      </c>
      <c r="I216" s="28">
        <f t="shared" si="14"/>
        <v>333.6</v>
      </c>
      <c r="J216" s="28">
        <f t="shared" si="14"/>
        <v>333.97</v>
      </c>
      <c r="K216" s="28">
        <f t="shared" si="14"/>
        <v>333.31</v>
      </c>
      <c r="L216" s="28">
        <f t="shared" si="14"/>
        <v>332.04</v>
      </c>
      <c r="M216" s="28">
        <f t="shared" si="14"/>
        <v>331.4</v>
      </c>
      <c r="N216" s="28">
        <f t="shared" si="14"/>
        <v>330.4</v>
      </c>
    </row>
    <row r="217" spans="1:14" x14ac:dyDescent="0.4">
      <c r="A217" s="1">
        <v>27791</v>
      </c>
      <c r="B217" s="28">
        <v>332.57</v>
      </c>
      <c r="C217" s="28">
        <f t="shared" si="13"/>
        <v>331.75</v>
      </c>
      <c r="D217" s="28">
        <f t="shared" si="14"/>
        <v>330.76</v>
      </c>
      <c r="E217" s="28">
        <f t="shared" si="14"/>
        <v>329.49</v>
      </c>
      <c r="F217" s="28">
        <f t="shared" si="14"/>
        <v>328.34</v>
      </c>
      <c r="G217" s="28">
        <f t="shared" si="14"/>
        <v>328.56</v>
      </c>
      <c r="H217" s="28">
        <f t="shared" si="14"/>
        <v>330.06</v>
      </c>
      <c r="I217" s="28">
        <f t="shared" si="14"/>
        <v>331.9</v>
      </c>
      <c r="J217" s="28">
        <f t="shared" si="14"/>
        <v>333.6</v>
      </c>
      <c r="K217" s="28">
        <f t="shared" si="14"/>
        <v>333.97</v>
      </c>
      <c r="L217" s="28">
        <f t="shared" si="14"/>
        <v>333.31</v>
      </c>
      <c r="M217" s="28">
        <f t="shared" si="14"/>
        <v>332.04</v>
      </c>
      <c r="N217" s="28">
        <f t="shared" si="14"/>
        <v>331.4</v>
      </c>
    </row>
    <row r="218" spans="1:14" x14ac:dyDescent="0.4">
      <c r="A218" s="1">
        <v>27820</v>
      </c>
      <c r="B218" s="28">
        <v>333.5</v>
      </c>
      <c r="C218" s="28">
        <f t="shared" si="13"/>
        <v>332.57</v>
      </c>
      <c r="D218" s="28">
        <f t="shared" si="14"/>
        <v>331.75</v>
      </c>
      <c r="E218" s="28">
        <f t="shared" si="14"/>
        <v>330.76</v>
      </c>
      <c r="F218" s="28">
        <f t="shared" si="14"/>
        <v>329.49</v>
      </c>
      <c r="G218" s="28">
        <f t="shared" si="14"/>
        <v>328.34</v>
      </c>
      <c r="H218" s="28">
        <f t="shared" si="14"/>
        <v>328.56</v>
      </c>
      <c r="I218" s="28">
        <f t="shared" si="14"/>
        <v>330.06</v>
      </c>
      <c r="J218" s="28">
        <f t="shared" si="14"/>
        <v>331.9</v>
      </c>
      <c r="K218" s="28">
        <f t="shared" si="14"/>
        <v>333.6</v>
      </c>
      <c r="L218" s="28">
        <f t="shared" si="14"/>
        <v>333.97</v>
      </c>
      <c r="M218" s="28">
        <f t="shared" si="14"/>
        <v>333.31</v>
      </c>
      <c r="N218" s="28">
        <f t="shared" si="14"/>
        <v>332.04</v>
      </c>
    </row>
    <row r="219" spans="1:14" x14ac:dyDescent="0.4">
      <c r="A219" s="1">
        <v>27851</v>
      </c>
      <c r="B219" s="28">
        <v>334.58</v>
      </c>
      <c r="C219" s="28">
        <f t="shared" si="13"/>
        <v>333.5</v>
      </c>
      <c r="D219" s="28">
        <f t="shared" si="14"/>
        <v>332.57</v>
      </c>
      <c r="E219" s="28">
        <f t="shared" si="14"/>
        <v>331.75</v>
      </c>
      <c r="F219" s="28">
        <f t="shared" si="14"/>
        <v>330.76</v>
      </c>
      <c r="G219" s="28">
        <f t="shared" si="14"/>
        <v>329.49</v>
      </c>
      <c r="H219" s="28">
        <f t="shared" si="14"/>
        <v>328.34</v>
      </c>
      <c r="I219" s="28">
        <f t="shared" si="14"/>
        <v>328.56</v>
      </c>
      <c r="J219" s="28">
        <f t="shared" si="14"/>
        <v>330.06</v>
      </c>
      <c r="K219" s="28">
        <f t="shared" si="14"/>
        <v>331.9</v>
      </c>
      <c r="L219" s="28">
        <f t="shared" si="14"/>
        <v>333.6</v>
      </c>
      <c r="M219" s="28">
        <f t="shared" si="14"/>
        <v>333.97</v>
      </c>
      <c r="N219" s="28">
        <f t="shared" si="14"/>
        <v>333.31</v>
      </c>
    </row>
    <row r="220" spans="1:14" x14ac:dyDescent="0.4">
      <c r="A220" s="1">
        <v>27881</v>
      </c>
      <c r="B220" s="28">
        <v>334.88</v>
      </c>
      <c r="C220" s="28">
        <f t="shared" si="13"/>
        <v>334.58</v>
      </c>
      <c r="D220" s="28">
        <f t="shared" si="14"/>
        <v>333.5</v>
      </c>
      <c r="E220" s="28">
        <f t="shared" si="14"/>
        <v>332.57</v>
      </c>
      <c r="F220" s="28">
        <f t="shared" si="14"/>
        <v>331.75</v>
      </c>
      <c r="G220" s="28">
        <f t="shared" si="14"/>
        <v>330.76</v>
      </c>
      <c r="H220" s="28">
        <f t="shared" si="14"/>
        <v>329.49</v>
      </c>
      <c r="I220" s="28">
        <f t="shared" si="14"/>
        <v>328.34</v>
      </c>
      <c r="J220" s="28">
        <f t="shared" si="14"/>
        <v>328.56</v>
      </c>
      <c r="K220" s="28">
        <f t="shared" si="14"/>
        <v>330.06</v>
      </c>
      <c r="L220" s="28">
        <f t="shared" si="14"/>
        <v>331.9</v>
      </c>
      <c r="M220" s="28">
        <f t="shared" si="14"/>
        <v>333.6</v>
      </c>
      <c r="N220" s="28">
        <f t="shared" si="14"/>
        <v>333.97</v>
      </c>
    </row>
    <row r="221" spans="1:14" x14ac:dyDescent="0.4">
      <c r="A221" s="1">
        <v>27912</v>
      </c>
      <c r="B221" s="28">
        <v>334.33</v>
      </c>
      <c r="C221" s="28">
        <f t="shared" si="13"/>
        <v>334.88</v>
      </c>
      <c r="D221" s="28">
        <f t="shared" si="14"/>
        <v>334.58</v>
      </c>
      <c r="E221" s="28">
        <f t="shared" si="14"/>
        <v>333.5</v>
      </c>
      <c r="F221" s="28">
        <f t="shared" si="14"/>
        <v>332.57</v>
      </c>
      <c r="G221" s="28">
        <f t="shared" si="14"/>
        <v>331.75</v>
      </c>
      <c r="H221" s="28">
        <f t="shared" si="14"/>
        <v>330.76</v>
      </c>
      <c r="I221" s="28">
        <f t="shared" si="14"/>
        <v>329.49</v>
      </c>
      <c r="J221" s="28">
        <f t="shared" si="14"/>
        <v>328.34</v>
      </c>
      <c r="K221" s="28">
        <f t="shared" si="14"/>
        <v>328.56</v>
      </c>
      <c r="L221" s="28">
        <f t="shared" si="14"/>
        <v>330.06</v>
      </c>
      <c r="M221" s="28">
        <f t="shared" si="14"/>
        <v>331.9</v>
      </c>
      <c r="N221" s="28">
        <f t="shared" si="14"/>
        <v>333.6</v>
      </c>
    </row>
    <row r="222" spans="1:14" x14ac:dyDescent="0.4">
      <c r="A222" s="1">
        <v>27942</v>
      </c>
      <c r="B222" s="28">
        <v>333.05</v>
      </c>
      <c r="C222" s="28">
        <f t="shared" si="13"/>
        <v>334.33</v>
      </c>
      <c r="D222" s="28">
        <f t="shared" si="14"/>
        <v>334.88</v>
      </c>
      <c r="E222" s="28">
        <f t="shared" si="14"/>
        <v>334.58</v>
      </c>
      <c r="F222" s="28">
        <f t="shared" si="14"/>
        <v>333.5</v>
      </c>
      <c r="G222" s="28">
        <f t="shared" si="14"/>
        <v>332.57</v>
      </c>
      <c r="H222" s="28">
        <f t="shared" si="14"/>
        <v>331.75</v>
      </c>
      <c r="I222" s="28">
        <f t="shared" si="14"/>
        <v>330.76</v>
      </c>
      <c r="J222" s="28">
        <f t="shared" si="14"/>
        <v>329.49</v>
      </c>
      <c r="K222" s="28">
        <f t="shared" si="14"/>
        <v>328.34</v>
      </c>
      <c r="L222" s="28">
        <f t="shared" si="14"/>
        <v>328.56</v>
      </c>
      <c r="M222" s="28">
        <f t="shared" si="14"/>
        <v>330.06</v>
      </c>
      <c r="N222" s="28">
        <f t="shared" si="14"/>
        <v>331.9</v>
      </c>
    </row>
    <row r="223" spans="1:14" x14ac:dyDescent="0.4">
      <c r="A223" s="1">
        <v>27973</v>
      </c>
      <c r="B223" s="28">
        <v>330.94</v>
      </c>
      <c r="C223" s="28">
        <f t="shared" si="13"/>
        <v>333.05</v>
      </c>
      <c r="D223" s="28">
        <f t="shared" si="14"/>
        <v>334.33</v>
      </c>
      <c r="E223" s="28">
        <f t="shared" si="14"/>
        <v>334.88</v>
      </c>
      <c r="F223" s="28">
        <f t="shared" si="14"/>
        <v>334.58</v>
      </c>
      <c r="G223" s="28">
        <f t="shared" si="14"/>
        <v>333.5</v>
      </c>
      <c r="H223" s="28">
        <f t="shared" si="14"/>
        <v>332.57</v>
      </c>
      <c r="I223" s="28">
        <f t="shared" si="14"/>
        <v>331.75</v>
      </c>
      <c r="J223" s="28">
        <f t="shared" si="14"/>
        <v>330.76</v>
      </c>
      <c r="K223" s="28">
        <f t="shared" si="14"/>
        <v>329.49</v>
      </c>
      <c r="L223" s="28">
        <f t="shared" si="14"/>
        <v>328.34</v>
      </c>
      <c r="M223" s="28">
        <f t="shared" si="14"/>
        <v>328.56</v>
      </c>
      <c r="N223" s="28">
        <f t="shared" si="14"/>
        <v>330.06</v>
      </c>
    </row>
    <row r="224" spans="1:14" x14ac:dyDescent="0.4">
      <c r="A224" s="1">
        <v>28004</v>
      </c>
      <c r="B224" s="28">
        <v>329.3</v>
      </c>
      <c r="C224" s="28">
        <f t="shared" si="13"/>
        <v>330.94</v>
      </c>
      <c r="D224" s="28">
        <f t="shared" si="14"/>
        <v>333.05</v>
      </c>
      <c r="E224" s="28">
        <f t="shared" si="14"/>
        <v>334.33</v>
      </c>
      <c r="F224" s="28">
        <f t="shared" si="14"/>
        <v>334.88</v>
      </c>
      <c r="G224" s="28">
        <f t="shared" si="14"/>
        <v>334.58</v>
      </c>
      <c r="H224" s="28">
        <f t="shared" si="14"/>
        <v>333.5</v>
      </c>
      <c r="I224" s="28">
        <f t="shared" si="14"/>
        <v>332.57</v>
      </c>
      <c r="J224" s="28">
        <f t="shared" si="14"/>
        <v>331.75</v>
      </c>
      <c r="K224" s="28">
        <f t="shared" si="14"/>
        <v>330.76</v>
      </c>
      <c r="L224" s="28">
        <f t="shared" si="14"/>
        <v>329.49</v>
      </c>
      <c r="M224" s="28">
        <f t="shared" si="14"/>
        <v>328.34</v>
      </c>
      <c r="N224" s="28">
        <f t="shared" si="14"/>
        <v>328.56</v>
      </c>
    </row>
    <row r="225" spans="1:14" x14ac:dyDescent="0.4">
      <c r="A225" s="1">
        <v>28034</v>
      </c>
      <c r="B225" s="28">
        <v>328.94</v>
      </c>
      <c r="C225" s="28">
        <f t="shared" si="13"/>
        <v>329.3</v>
      </c>
      <c r="D225" s="28">
        <f t="shared" si="14"/>
        <v>330.94</v>
      </c>
      <c r="E225" s="28">
        <f t="shared" si="14"/>
        <v>333.05</v>
      </c>
      <c r="F225" s="28">
        <f t="shared" si="14"/>
        <v>334.33</v>
      </c>
      <c r="G225" s="28">
        <f t="shared" si="14"/>
        <v>334.88</v>
      </c>
      <c r="H225" s="28">
        <f t="shared" si="14"/>
        <v>334.58</v>
      </c>
      <c r="I225" s="28">
        <f t="shared" si="14"/>
        <v>333.5</v>
      </c>
      <c r="J225" s="28">
        <f t="shared" si="14"/>
        <v>332.57</v>
      </c>
      <c r="K225" s="28">
        <f t="shared" si="14"/>
        <v>331.75</v>
      </c>
      <c r="L225" s="28">
        <f t="shared" si="14"/>
        <v>330.76</v>
      </c>
      <c r="M225" s="28">
        <f t="shared" si="14"/>
        <v>329.49</v>
      </c>
      <c r="N225" s="28">
        <f t="shared" si="14"/>
        <v>328.34</v>
      </c>
    </row>
    <row r="226" spans="1:14" x14ac:dyDescent="0.4">
      <c r="A226" s="1">
        <v>28065</v>
      </c>
      <c r="B226" s="28">
        <v>330.31</v>
      </c>
      <c r="C226" s="28">
        <f t="shared" si="13"/>
        <v>328.94</v>
      </c>
      <c r="D226" s="28">
        <f t="shared" si="14"/>
        <v>329.3</v>
      </c>
      <c r="E226" s="28">
        <f t="shared" si="14"/>
        <v>330.94</v>
      </c>
      <c r="F226" s="28">
        <f t="shared" si="14"/>
        <v>333.05</v>
      </c>
      <c r="G226" s="28">
        <f t="shared" si="14"/>
        <v>334.33</v>
      </c>
      <c r="H226" s="28">
        <f t="shared" si="14"/>
        <v>334.88</v>
      </c>
      <c r="I226" s="28">
        <f t="shared" si="14"/>
        <v>334.58</v>
      </c>
      <c r="J226" s="28">
        <f t="shared" si="14"/>
        <v>333.5</v>
      </c>
      <c r="K226" s="28">
        <f t="shared" si="14"/>
        <v>332.57</v>
      </c>
      <c r="L226" s="28">
        <f t="shared" si="14"/>
        <v>331.75</v>
      </c>
      <c r="M226" s="28">
        <f t="shared" si="14"/>
        <v>330.76</v>
      </c>
      <c r="N226" s="28">
        <f t="shared" si="14"/>
        <v>329.49</v>
      </c>
    </row>
    <row r="227" spans="1:14" x14ac:dyDescent="0.4">
      <c r="A227" s="1">
        <v>28095</v>
      </c>
      <c r="B227" s="28">
        <v>331.68</v>
      </c>
      <c r="C227" s="28">
        <f t="shared" si="13"/>
        <v>330.31</v>
      </c>
      <c r="D227" s="28">
        <f t="shared" si="14"/>
        <v>328.94</v>
      </c>
      <c r="E227" s="28">
        <f t="shared" si="14"/>
        <v>329.3</v>
      </c>
      <c r="F227" s="28">
        <f t="shared" si="14"/>
        <v>330.94</v>
      </c>
      <c r="G227" s="28">
        <f t="shared" si="14"/>
        <v>333.05</v>
      </c>
      <c r="H227" s="28">
        <f t="shared" si="14"/>
        <v>334.33</v>
      </c>
      <c r="I227" s="28">
        <f t="shared" si="14"/>
        <v>334.88</v>
      </c>
      <c r="J227" s="28">
        <f t="shared" si="14"/>
        <v>334.58</v>
      </c>
      <c r="K227" s="28">
        <f t="shared" si="14"/>
        <v>333.5</v>
      </c>
      <c r="L227" s="28">
        <f t="shared" si="14"/>
        <v>332.57</v>
      </c>
      <c r="M227" s="28">
        <f t="shared" si="14"/>
        <v>331.75</v>
      </c>
      <c r="N227" s="28">
        <f t="shared" si="14"/>
        <v>330.76</v>
      </c>
    </row>
    <row r="228" spans="1:14" x14ac:dyDescent="0.4">
      <c r="A228" s="1">
        <v>28126</v>
      </c>
      <c r="B228" s="28">
        <v>332.93</v>
      </c>
      <c r="C228" s="28">
        <f t="shared" si="13"/>
        <v>331.68</v>
      </c>
      <c r="D228" s="28">
        <f t="shared" si="14"/>
        <v>330.31</v>
      </c>
      <c r="E228" s="28">
        <f t="shared" si="14"/>
        <v>328.94</v>
      </c>
      <c r="F228" s="28">
        <f t="shared" si="14"/>
        <v>329.3</v>
      </c>
      <c r="G228" s="28">
        <f t="shared" si="14"/>
        <v>330.94</v>
      </c>
      <c r="H228" s="28">
        <f t="shared" si="14"/>
        <v>333.05</v>
      </c>
      <c r="I228" s="28">
        <f t="shared" si="14"/>
        <v>334.33</v>
      </c>
      <c r="J228" s="28">
        <f t="shared" si="14"/>
        <v>334.88</v>
      </c>
      <c r="K228" s="28">
        <f t="shared" si="14"/>
        <v>334.58</v>
      </c>
      <c r="L228" s="28">
        <f t="shared" si="14"/>
        <v>333.5</v>
      </c>
      <c r="M228" s="28">
        <f t="shared" si="14"/>
        <v>332.57</v>
      </c>
      <c r="N228" s="28">
        <f t="shared" si="14"/>
        <v>331.75</v>
      </c>
    </row>
    <row r="229" spans="1:14" x14ac:dyDescent="0.4">
      <c r="A229" s="1">
        <v>28157</v>
      </c>
      <c r="B229" s="28">
        <v>333.42</v>
      </c>
      <c r="C229" s="28">
        <f t="shared" si="13"/>
        <v>332.93</v>
      </c>
      <c r="D229" s="28">
        <f t="shared" ref="D229:N244" si="15">IF(C228=0,"",C228)</f>
        <v>331.68</v>
      </c>
      <c r="E229" s="28">
        <f t="shared" si="15"/>
        <v>330.31</v>
      </c>
      <c r="F229" s="28">
        <f t="shared" si="15"/>
        <v>328.94</v>
      </c>
      <c r="G229" s="28">
        <f t="shared" si="15"/>
        <v>329.3</v>
      </c>
      <c r="H229" s="28">
        <f t="shared" si="15"/>
        <v>330.94</v>
      </c>
      <c r="I229" s="28">
        <f t="shared" si="15"/>
        <v>333.05</v>
      </c>
      <c r="J229" s="28">
        <f t="shared" si="15"/>
        <v>334.33</v>
      </c>
      <c r="K229" s="28">
        <f t="shared" si="15"/>
        <v>334.88</v>
      </c>
      <c r="L229" s="28">
        <f t="shared" si="15"/>
        <v>334.58</v>
      </c>
      <c r="M229" s="28">
        <f t="shared" si="15"/>
        <v>333.5</v>
      </c>
      <c r="N229" s="28">
        <f t="shared" si="15"/>
        <v>332.57</v>
      </c>
    </row>
    <row r="230" spans="1:14" x14ac:dyDescent="0.4">
      <c r="A230" s="1">
        <v>28185</v>
      </c>
      <c r="B230" s="28">
        <v>334.7</v>
      </c>
      <c r="C230" s="28">
        <f t="shared" si="13"/>
        <v>333.42</v>
      </c>
      <c r="D230" s="28">
        <f t="shared" si="15"/>
        <v>332.93</v>
      </c>
      <c r="E230" s="28">
        <f t="shared" si="15"/>
        <v>331.68</v>
      </c>
      <c r="F230" s="28">
        <f t="shared" si="15"/>
        <v>330.31</v>
      </c>
      <c r="G230" s="28">
        <f t="shared" si="15"/>
        <v>328.94</v>
      </c>
      <c r="H230" s="28">
        <f t="shared" si="15"/>
        <v>329.3</v>
      </c>
      <c r="I230" s="28">
        <f t="shared" si="15"/>
        <v>330.94</v>
      </c>
      <c r="J230" s="28">
        <f t="shared" si="15"/>
        <v>333.05</v>
      </c>
      <c r="K230" s="28">
        <f t="shared" si="15"/>
        <v>334.33</v>
      </c>
      <c r="L230" s="28">
        <f t="shared" si="15"/>
        <v>334.88</v>
      </c>
      <c r="M230" s="28">
        <f t="shared" si="15"/>
        <v>334.58</v>
      </c>
      <c r="N230" s="28">
        <f t="shared" si="15"/>
        <v>333.5</v>
      </c>
    </row>
    <row r="231" spans="1:14" x14ac:dyDescent="0.4">
      <c r="A231" s="1">
        <v>28216</v>
      </c>
      <c r="B231" s="28">
        <v>336.07</v>
      </c>
      <c r="C231" s="28">
        <f t="shared" si="13"/>
        <v>334.7</v>
      </c>
      <c r="D231" s="28">
        <f t="shared" si="15"/>
        <v>333.42</v>
      </c>
      <c r="E231" s="28">
        <f t="shared" si="15"/>
        <v>332.93</v>
      </c>
      <c r="F231" s="28">
        <f t="shared" si="15"/>
        <v>331.68</v>
      </c>
      <c r="G231" s="28">
        <f t="shared" si="15"/>
        <v>330.31</v>
      </c>
      <c r="H231" s="28">
        <f t="shared" si="15"/>
        <v>328.94</v>
      </c>
      <c r="I231" s="28">
        <f t="shared" si="15"/>
        <v>329.3</v>
      </c>
      <c r="J231" s="28">
        <f t="shared" si="15"/>
        <v>330.94</v>
      </c>
      <c r="K231" s="28">
        <f t="shared" si="15"/>
        <v>333.05</v>
      </c>
      <c r="L231" s="28">
        <f t="shared" si="15"/>
        <v>334.33</v>
      </c>
      <c r="M231" s="28">
        <f t="shared" si="15"/>
        <v>334.88</v>
      </c>
      <c r="N231" s="28">
        <f t="shared" si="15"/>
        <v>334.58</v>
      </c>
    </row>
    <row r="232" spans="1:14" x14ac:dyDescent="0.4">
      <c r="A232" s="1">
        <v>28246</v>
      </c>
      <c r="B232" s="28">
        <v>336.75</v>
      </c>
      <c r="C232" s="28">
        <f t="shared" si="13"/>
        <v>336.07</v>
      </c>
      <c r="D232" s="28">
        <f t="shared" si="15"/>
        <v>334.7</v>
      </c>
      <c r="E232" s="28">
        <f t="shared" si="15"/>
        <v>333.42</v>
      </c>
      <c r="F232" s="28">
        <f t="shared" si="15"/>
        <v>332.93</v>
      </c>
      <c r="G232" s="28">
        <f t="shared" si="15"/>
        <v>331.68</v>
      </c>
      <c r="H232" s="28">
        <f t="shared" si="15"/>
        <v>330.31</v>
      </c>
      <c r="I232" s="28">
        <f t="shared" si="15"/>
        <v>328.94</v>
      </c>
      <c r="J232" s="28">
        <f t="shared" si="15"/>
        <v>329.3</v>
      </c>
      <c r="K232" s="28">
        <f t="shared" si="15"/>
        <v>330.94</v>
      </c>
      <c r="L232" s="28">
        <f t="shared" si="15"/>
        <v>333.05</v>
      </c>
      <c r="M232" s="28">
        <f t="shared" si="15"/>
        <v>334.33</v>
      </c>
      <c r="N232" s="28">
        <f t="shared" si="15"/>
        <v>334.88</v>
      </c>
    </row>
    <row r="233" spans="1:14" x14ac:dyDescent="0.4">
      <c r="A233" s="1">
        <v>28277</v>
      </c>
      <c r="B233" s="28">
        <v>336.27</v>
      </c>
      <c r="C233" s="28">
        <f t="shared" si="13"/>
        <v>336.75</v>
      </c>
      <c r="D233" s="28">
        <f t="shared" si="15"/>
        <v>336.07</v>
      </c>
      <c r="E233" s="28">
        <f t="shared" si="15"/>
        <v>334.7</v>
      </c>
      <c r="F233" s="28">
        <f t="shared" si="15"/>
        <v>333.42</v>
      </c>
      <c r="G233" s="28">
        <f t="shared" si="15"/>
        <v>332.93</v>
      </c>
      <c r="H233" s="28">
        <f t="shared" si="15"/>
        <v>331.68</v>
      </c>
      <c r="I233" s="28">
        <f t="shared" si="15"/>
        <v>330.31</v>
      </c>
      <c r="J233" s="28">
        <f t="shared" si="15"/>
        <v>328.94</v>
      </c>
      <c r="K233" s="28">
        <f t="shared" si="15"/>
        <v>329.3</v>
      </c>
      <c r="L233" s="28">
        <f t="shared" si="15"/>
        <v>330.94</v>
      </c>
      <c r="M233" s="28">
        <f t="shared" si="15"/>
        <v>333.05</v>
      </c>
      <c r="N233" s="28">
        <f t="shared" si="15"/>
        <v>334.33</v>
      </c>
    </row>
    <row r="234" spans="1:14" x14ac:dyDescent="0.4">
      <c r="A234" s="1">
        <v>28307</v>
      </c>
      <c r="B234" s="28">
        <v>334.92</v>
      </c>
      <c r="C234" s="28">
        <f t="shared" si="13"/>
        <v>336.27</v>
      </c>
      <c r="D234" s="28">
        <f t="shared" si="15"/>
        <v>336.75</v>
      </c>
      <c r="E234" s="28">
        <f t="shared" si="15"/>
        <v>336.07</v>
      </c>
      <c r="F234" s="28">
        <f t="shared" si="15"/>
        <v>334.7</v>
      </c>
      <c r="G234" s="28">
        <f t="shared" si="15"/>
        <v>333.42</v>
      </c>
      <c r="H234" s="28">
        <f t="shared" si="15"/>
        <v>332.93</v>
      </c>
      <c r="I234" s="28">
        <f t="shared" si="15"/>
        <v>331.68</v>
      </c>
      <c r="J234" s="28">
        <f t="shared" si="15"/>
        <v>330.31</v>
      </c>
      <c r="K234" s="28">
        <f t="shared" si="15"/>
        <v>328.94</v>
      </c>
      <c r="L234" s="28">
        <f t="shared" si="15"/>
        <v>329.3</v>
      </c>
      <c r="M234" s="28">
        <f t="shared" si="15"/>
        <v>330.94</v>
      </c>
      <c r="N234" s="28">
        <f t="shared" si="15"/>
        <v>333.05</v>
      </c>
    </row>
    <row r="235" spans="1:14" x14ac:dyDescent="0.4">
      <c r="A235" s="1">
        <v>28338</v>
      </c>
      <c r="B235" s="28">
        <v>332.75</v>
      </c>
      <c r="C235" s="28">
        <f t="shared" si="13"/>
        <v>334.92</v>
      </c>
      <c r="D235" s="28">
        <f t="shared" si="15"/>
        <v>336.27</v>
      </c>
      <c r="E235" s="28">
        <f t="shared" si="15"/>
        <v>336.75</v>
      </c>
      <c r="F235" s="28">
        <f t="shared" si="15"/>
        <v>336.07</v>
      </c>
      <c r="G235" s="28">
        <f t="shared" si="15"/>
        <v>334.7</v>
      </c>
      <c r="H235" s="28">
        <f t="shared" si="15"/>
        <v>333.42</v>
      </c>
      <c r="I235" s="28">
        <f t="shared" si="15"/>
        <v>332.93</v>
      </c>
      <c r="J235" s="28">
        <f t="shared" si="15"/>
        <v>331.68</v>
      </c>
      <c r="K235" s="28">
        <f t="shared" si="15"/>
        <v>330.31</v>
      </c>
      <c r="L235" s="28">
        <f t="shared" si="15"/>
        <v>328.94</v>
      </c>
      <c r="M235" s="28">
        <f t="shared" si="15"/>
        <v>329.3</v>
      </c>
      <c r="N235" s="28">
        <f t="shared" si="15"/>
        <v>330.94</v>
      </c>
    </row>
    <row r="236" spans="1:14" x14ac:dyDescent="0.4">
      <c r="A236" s="1">
        <v>28369</v>
      </c>
      <c r="B236" s="28">
        <v>331.59</v>
      </c>
      <c r="C236" s="28">
        <f t="shared" si="13"/>
        <v>332.75</v>
      </c>
      <c r="D236" s="28">
        <f t="shared" si="15"/>
        <v>334.92</v>
      </c>
      <c r="E236" s="28">
        <f t="shared" si="15"/>
        <v>336.27</v>
      </c>
      <c r="F236" s="28">
        <f t="shared" si="15"/>
        <v>336.75</v>
      </c>
      <c r="G236" s="28">
        <f t="shared" si="15"/>
        <v>336.07</v>
      </c>
      <c r="H236" s="28">
        <f t="shared" si="15"/>
        <v>334.7</v>
      </c>
      <c r="I236" s="28">
        <f t="shared" si="15"/>
        <v>333.42</v>
      </c>
      <c r="J236" s="28">
        <f t="shared" si="15"/>
        <v>332.93</v>
      </c>
      <c r="K236" s="28">
        <f t="shared" si="15"/>
        <v>331.68</v>
      </c>
      <c r="L236" s="28">
        <f t="shared" si="15"/>
        <v>330.31</v>
      </c>
      <c r="M236" s="28">
        <f t="shared" si="15"/>
        <v>328.94</v>
      </c>
      <c r="N236" s="28">
        <f t="shared" si="15"/>
        <v>329.3</v>
      </c>
    </row>
    <row r="237" spans="1:14" x14ac:dyDescent="0.4">
      <c r="A237" s="1">
        <v>28399</v>
      </c>
      <c r="B237" s="28">
        <v>331.16</v>
      </c>
      <c r="C237" s="28">
        <f t="shared" si="13"/>
        <v>331.59</v>
      </c>
      <c r="D237" s="28">
        <f t="shared" si="15"/>
        <v>332.75</v>
      </c>
      <c r="E237" s="28">
        <f t="shared" si="15"/>
        <v>334.92</v>
      </c>
      <c r="F237" s="28">
        <f t="shared" si="15"/>
        <v>336.27</v>
      </c>
      <c r="G237" s="28">
        <f t="shared" si="15"/>
        <v>336.75</v>
      </c>
      <c r="H237" s="28">
        <f t="shared" si="15"/>
        <v>336.07</v>
      </c>
      <c r="I237" s="28">
        <f t="shared" si="15"/>
        <v>334.7</v>
      </c>
      <c r="J237" s="28">
        <f t="shared" si="15"/>
        <v>333.42</v>
      </c>
      <c r="K237" s="28">
        <f t="shared" si="15"/>
        <v>332.93</v>
      </c>
      <c r="L237" s="28">
        <f t="shared" si="15"/>
        <v>331.68</v>
      </c>
      <c r="M237" s="28">
        <f t="shared" si="15"/>
        <v>330.31</v>
      </c>
      <c r="N237" s="28">
        <f t="shared" si="15"/>
        <v>328.94</v>
      </c>
    </row>
    <row r="238" spans="1:14" x14ac:dyDescent="0.4">
      <c r="A238" s="1">
        <v>28430</v>
      </c>
      <c r="B238" s="28">
        <v>332.4</v>
      </c>
      <c r="C238" s="28">
        <f t="shared" si="13"/>
        <v>331.16</v>
      </c>
      <c r="D238" s="28">
        <f t="shared" si="15"/>
        <v>331.59</v>
      </c>
      <c r="E238" s="28">
        <f t="shared" si="15"/>
        <v>332.75</v>
      </c>
      <c r="F238" s="28">
        <f t="shared" si="15"/>
        <v>334.92</v>
      </c>
      <c r="G238" s="28">
        <f t="shared" si="15"/>
        <v>336.27</v>
      </c>
      <c r="H238" s="28">
        <f t="shared" si="15"/>
        <v>336.75</v>
      </c>
      <c r="I238" s="28">
        <f t="shared" si="15"/>
        <v>336.07</v>
      </c>
      <c r="J238" s="28">
        <f t="shared" si="15"/>
        <v>334.7</v>
      </c>
      <c r="K238" s="28">
        <f t="shared" si="15"/>
        <v>333.42</v>
      </c>
      <c r="L238" s="28">
        <f t="shared" si="15"/>
        <v>332.93</v>
      </c>
      <c r="M238" s="28">
        <f t="shared" si="15"/>
        <v>331.68</v>
      </c>
      <c r="N238" s="28">
        <f t="shared" si="15"/>
        <v>330.31</v>
      </c>
    </row>
    <row r="239" spans="1:14" x14ac:dyDescent="0.4">
      <c r="A239" s="1">
        <v>28460</v>
      </c>
      <c r="B239" s="28">
        <v>333.85</v>
      </c>
      <c r="C239" s="28">
        <f t="shared" si="13"/>
        <v>332.4</v>
      </c>
      <c r="D239" s="28">
        <f t="shared" si="15"/>
        <v>331.16</v>
      </c>
      <c r="E239" s="28">
        <f t="shared" si="15"/>
        <v>331.59</v>
      </c>
      <c r="F239" s="28">
        <f t="shared" si="15"/>
        <v>332.75</v>
      </c>
      <c r="G239" s="28">
        <f t="shared" si="15"/>
        <v>334.92</v>
      </c>
      <c r="H239" s="28">
        <f t="shared" si="15"/>
        <v>336.27</v>
      </c>
      <c r="I239" s="28">
        <f t="shared" si="15"/>
        <v>336.75</v>
      </c>
      <c r="J239" s="28">
        <f t="shared" si="15"/>
        <v>336.07</v>
      </c>
      <c r="K239" s="28">
        <f t="shared" si="15"/>
        <v>334.7</v>
      </c>
      <c r="L239" s="28">
        <f t="shared" si="15"/>
        <v>333.42</v>
      </c>
      <c r="M239" s="28">
        <f t="shared" si="15"/>
        <v>332.93</v>
      </c>
      <c r="N239" s="28">
        <f t="shared" si="15"/>
        <v>331.68</v>
      </c>
    </row>
    <row r="240" spans="1:14" x14ac:dyDescent="0.4">
      <c r="A240" s="1">
        <v>28491</v>
      </c>
      <c r="B240" s="28">
        <v>334.97</v>
      </c>
      <c r="C240" s="28">
        <f t="shared" si="13"/>
        <v>333.85</v>
      </c>
      <c r="D240" s="28">
        <f t="shared" si="15"/>
        <v>332.4</v>
      </c>
      <c r="E240" s="28">
        <f t="shared" si="15"/>
        <v>331.16</v>
      </c>
      <c r="F240" s="28">
        <f t="shared" si="15"/>
        <v>331.59</v>
      </c>
      <c r="G240" s="28">
        <f t="shared" si="15"/>
        <v>332.75</v>
      </c>
      <c r="H240" s="28">
        <f t="shared" si="15"/>
        <v>334.92</v>
      </c>
      <c r="I240" s="28">
        <f t="shared" si="15"/>
        <v>336.27</v>
      </c>
      <c r="J240" s="28">
        <f t="shared" si="15"/>
        <v>336.75</v>
      </c>
      <c r="K240" s="28">
        <f t="shared" si="15"/>
        <v>336.07</v>
      </c>
      <c r="L240" s="28">
        <f t="shared" si="15"/>
        <v>334.7</v>
      </c>
      <c r="M240" s="28">
        <f t="shared" si="15"/>
        <v>333.42</v>
      </c>
      <c r="N240" s="28">
        <f t="shared" si="15"/>
        <v>332.93</v>
      </c>
    </row>
    <row r="241" spans="1:14" x14ac:dyDescent="0.4">
      <c r="A241" s="1">
        <v>28522</v>
      </c>
      <c r="B241" s="28">
        <v>335.39</v>
      </c>
      <c r="C241" s="28">
        <f t="shared" si="13"/>
        <v>334.97</v>
      </c>
      <c r="D241" s="28">
        <f t="shared" si="15"/>
        <v>333.85</v>
      </c>
      <c r="E241" s="28">
        <f t="shared" si="15"/>
        <v>332.4</v>
      </c>
      <c r="F241" s="28">
        <f t="shared" si="15"/>
        <v>331.16</v>
      </c>
      <c r="G241" s="28">
        <f t="shared" si="15"/>
        <v>331.59</v>
      </c>
      <c r="H241" s="28">
        <f t="shared" si="15"/>
        <v>332.75</v>
      </c>
      <c r="I241" s="28">
        <f t="shared" si="15"/>
        <v>334.92</v>
      </c>
      <c r="J241" s="28">
        <f t="shared" si="15"/>
        <v>336.27</v>
      </c>
      <c r="K241" s="28">
        <f t="shared" si="15"/>
        <v>336.75</v>
      </c>
      <c r="L241" s="28">
        <f t="shared" si="15"/>
        <v>336.07</v>
      </c>
      <c r="M241" s="28">
        <f t="shared" si="15"/>
        <v>334.7</v>
      </c>
      <c r="N241" s="28">
        <f t="shared" si="15"/>
        <v>333.42</v>
      </c>
    </row>
    <row r="242" spans="1:14" x14ac:dyDescent="0.4">
      <c r="A242" s="1">
        <v>28550</v>
      </c>
      <c r="B242" s="28">
        <v>336.64</v>
      </c>
      <c r="C242" s="28">
        <f t="shared" si="13"/>
        <v>335.39</v>
      </c>
      <c r="D242" s="28">
        <f t="shared" si="15"/>
        <v>334.97</v>
      </c>
      <c r="E242" s="28">
        <f t="shared" si="15"/>
        <v>333.85</v>
      </c>
      <c r="F242" s="28">
        <f t="shared" si="15"/>
        <v>332.4</v>
      </c>
      <c r="G242" s="28">
        <f t="shared" si="15"/>
        <v>331.16</v>
      </c>
      <c r="H242" s="28">
        <f t="shared" si="15"/>
        <v>331.59</v>
      </c>
      <c r="I242" s="28">
        <f t="shared" si="15"/>
        <v>332.75</v>
      </c>
      <c r="J242" s="28">
        <f t="shared" si="15"/>
        <v>334.92</v>
      </c>
      <c r="K242" s="28">
        <f t="shared" si="15"/>
        <v>336.27</v>
      </c>
      <c r="L242" s="28">
        <f t="shared" si="15"/>
        <v>336.75</v>
      </c>
      <c r="M242" s="28">
        <f t="shared" si="15"/>
        <v>336.07</v>
      </c>
      <c r="N242" s="28">
        <f t="shared" si="15"/>
        <v>334.7</v>
      </c>
    </row>
    <row r="243" spans="1:14" x14ac:dyDescent="0.4">
      <c r="A243" s="1">
        <v>28581</v>
      </c>
      <c r="B243" s="28">
        <v>337.76</v>
      </c>
      <c r="C243" s="28">
        <f t="shared" si="13"/>
        <v>336.64</v>
      </c>
      <c r="D243" s="28">
        <f t="shared" si="15"/>
        <v>335.39</v>
      </c>
      <c r="E243" s="28">
        <f t="shared" si="15"/>
        <v>334.97</v>
      </c>
      <c r="F243" s="28">
        <f t="shared" si="15"/>
        <v>333.85</v>
      </c>
      <c r="G243" s="28">
        <f t="shared" si="15"/>
        <v>332.4</v>
      </c>
      <c r="H243" s="28">
        <f t="shared" si="15"/>
        <v>331.16</v>
      </c>
      <c r="I243" s="28">
        <f t="shared" si="15"/>
        <v>331.59</v>
      </c>
      <c r="J243" s="28">
        <f t="shared" si="15"/>
        <v>332.75</v>
      </c>
      <c r="K243" s="28">
        <f t="shared" si="15"/>
        <v>334.92</v>
      </c>
      <c r="L243" s="28">
        <f t="shared" si="15"/>
        <v>336.27</v>
      </c>
      <c r="M243" s="28">
        <f t="shared" si="15"/>
        <v>336.75</v>
      </c>
      <c r="N243" s="28">
        <f t="shared" si="15"/>
        <v>336.07</v>
      </c>
    </row>
    <row r="244" spans="1:14" x14ac:dyDescent="0.4">
      <c r="A244" s="1">
        <v>28611</v>
      </c>
      <c r="B244" s="28">
        <v>338.01</v>
      </c>
      <c r="C244" s="28">
        <f t="shared" si="13"/>
        <v>337.76</v>
      </c>
      <c r="D244" s="28">
        <f t="shared" si="15"/>
        <v>336.64</v>
      </c>
      <c r="E244" s="28">
        <f t="shared" si="15"/>
        <v>335.39</v>
      </c>
      <c r="F244" s="28">
        <f t="shared" si="15"/>
        <v>334.97</v>
      </c>
      <c r="G244" s="28">
        <f t="shared" si="15"/>
        <v>333.85</v>
      </c>
      <c r="H244" s="28">
        <f t="shared" si="15"/>
        <v>332.4</v>
      </c>
      <c r="I244" s="28">
        <f t="shared" si="15"/>
        <v>331.16</v>
      </c>
      <c r="J244" s="28">
        <f t="shared" si="15"/>
        <v>331.59</v>
      </c>
      <c r="K244" s="28">
        <f t="shared" si="15"/>
        <v>332.75</v>
      </c>
      <c r="L244" s="28">
        <f t="shared" si="15"/>
        <v>334.92</v>
      </c>
      <c r="M244" s="28">
        <f t="shared" si="15"/>
        <v>336.27</v>
      </c>
      <c r="N244" s="28">
        <f t="shared" si="15"/>
        <v>336.75</v>
      </c>
    </row>
    <row r="245" spans="1:14" x14ac:dyDescent="0.4">
      <c r="A245" s="1">
        <v>28642</v>
      </c>
      <c r="B245" s="28">
        <v>337.9</v>
      </c>
      <c r="C245" s="28">
        <f t="shared" si="13"/>
        <v>338.01</v>
      </c>
      <c r="D245" s="28">
        <f t="shared" ref="D245:N259" si="16">IF(C244=0,"",C244)</f>
        <v>337.76</v>
      </c>
      <c r="E245" s="28">
        <f t="shared" si="16"/>
        <v>336.64</v>
      </c>
      <c r="F245" s="28">
        <f t="shared" si="16"/>
        <v>335.39</v>
      </c>
      <c r="G245" s="28">
        <f t="shared" si="16"/>
        <v>334.97</v>
      </c>
      <c r="H245" s="28">
        <f t="shared" si="16"/>
        <v>333.85</v>
      </c>
      <c r="I245" s="28">
        <f t="shared" si="16"/>
        <v>332.4</v>
      </c>
      <c r="J245" s="28">
        <f t="shared" si="16"/>
        <v>331.16</v>
      </c>
      <c r="K245" s="28">
        <f t="shared" si="16"/>
        <v>331.59</v>
      </c>
      <c r="L245" s="28">
        <f t="shared" si="16"/>
        <v>332.75</v>
      </c>
      <c r="M245" s="28">
        <f t="shared" si="16"/>
        <v>334.92</v>
      </c>
      <c r="N245" s="28">
        <f t="shared" si="16"/>
        <v>336.27</v>
      </c>
    </row>
    <row r="246" spans="1:14" x14ac:dyDescent="0.4">
      <c r="A246" s="1">
        <v>28672</v>
      </c>
      <c r="B246" s="28">
        <v>336.54</v>
      </c>
      <c r="C246" s="28">
        <f t="shared" si="13"/>
        <v>337.9</v>
      </c>
      <c r="D246" s="28">
        <f t="shared" si="16"/>
        <v>338.01</v>
      </c>
      <c r="E246" s="28">
        <f t="shared" si="16"/>
        <v>337.76</v>
      </c>
      <c r="F246" s="28">
        <f t="shared" si="16"/>
        <v>336.64</v>
      </c>
      <c r="G246" s="28">
        <f t="shared" si="16"/>
        <v>335.39</v>
      </c>
      <c r="H246" s="28">
        <f t="shared" si="16"/>
        <v>334.97</v>
      </c>
      <c r="I246" s="28">
        <f t="shared" si="16"/>
        <v>333.85</v>
      </c>
      <c r="J246" s="28">
        <f t="shared" si="16"/>
        <v>332.4</v>
      </c>
      <c r="K246" s="28">
        <f t="shared" si="16"/>
        <v>331.16</v>
      </c>
      <c r="L246" s="28">
        <f t="shared" si="16"/>
        <v>331.59</v>
      </c>
      <c r="M246" s="28">
        <f t="shared" si="16"/>
        <v>332.75</v>
      </c>
      <c r="N246" s="28">
        <f t="shared" si="16"/>
        <v>334.92</v>
      </c>
    </row>
    <row r="247" spans="1:14" x14ac:dyDescent="0.4">
      <c r="A247" s="1">
        <v>28703</v>
      </c>
      <c r="B247" s="28">
        <v>334.68</v>
      </c>
      <c r="C247" s="28">
        <f t="shared" si="13"/>
        <v>336.54</v>
      </c>
      <c r="D247" s="28">
        <f t="shared" si="16"/>
        <v>337.9</v>
      </c>
      <c r="E247" s="28">
        <f t="shared" si="16"/>
        <v>338.01</v>
      </c>
      <c r="F247" s="28">
        <f t="shared" si="16"/>
        <v>337.76</v>
      </c>
      <c r="G247" s="28">
        <f t="shared" si="16"/>
        <v>336.64</v>
      </c>
      <c r="H247" s="28">
        <f t="shared" si="16"/>
        <v>335.39</v>
      </c>
      <c r="I247" s="28">
        <f t="shared" si="16"/>
        <v>334.97</v>
      </c>
      <c r="J247" s="28">
        <f t="shared" si="16"/>
        <v>333.85</v>
      </c>
      <c r="K247" s="28">
        <f t="shared" si="16"/>
        <v>332.4</v>
      </c>
      <c r="L247" s="28">
        <f t="shared" si="16"/>
        <v>331.16</v>
      </c>
      <c r="M247" s="28">
        <f t="shared" si="16"/>
        <v>331.59</v>
      </c>
      <c r="N247" s="28">
        <f t="shared" si="16"/>
        <v>332.75</v>
      </c>
    </row>
    <row r="248" spans="1:14" x14ac:dyDescent="0.4">
      <c r="A248" s="1">
        <v>28734</v>
      </c>
      <c r="B248" s="28">
        <v>332.76</v>
      </c>
      <c r="C248" s="28">
        <f t="shared" si="13"/>
        <v>334.68</v>
      </c>
      <c r="D248" s="28">
        <f t="shared" si="16"/>
        <v>336.54</v>
      </c>
      <c r="E248" s="28">
        <f t="shared" si="16"/>
        <v>337.9</v>
      </c>
      <c r="F248" s="28">
        <f t="shared" si="16"/>
        <v>338.01</v>
      </c>
      <c r="G248" s="28">
        <f t="shared" si="16"/>
        <v>337.76</v>
      </c>
      <c r="H248" s="28">
        <f t="shared" si="16"/>
        <v>336.64</v>
      </c>
      <c r="I248" s="28">
        <f t="shared" si="16"/>
        <v>335.39</v>
      </c>
      <c r="J248" s="28">
        <f t="shared" si="16"/>
        <v>334.97</v>
      </c>
      <c r="K248" s="28">
        <f t="shared" si="16"/>
        <v>333.85</v>
      </c>
      <c r="L248" s="28">
        <f t="shared" si="16"/>
        <v>332.4</v>
      </c>
      <c r="M248" s="28">
        <f t="shared" si="16"/>
        <v>331.16</v>
      </c>
      <c r="N248" s="28">
        <f t="shared" si="16"/>
        <v>331.59</v>
      </c>
    </row>
    <row r="249" spans="1:14" x14ac:dyDescent="0.4">
      <c r="A249" s="1">
        <v>28764</v>
      </c>
      <c r="B249" s="28">
        <v>332.55</v>
      </c>
      <c r="C249" s="28">
        <f t="shared" si="13"/>
        <v>332.76</v>
      </c>
      <c r="D249" s="28">
        <f t="shared" si="16"/>
        <v>334.68</v>
      </c>
      <c r="E249" s="28">
        <f t="shared" si="16"/>
        <v>336.54</v>
      </c>
      <c r="F249" s="28">
        <f t="shared" si="16"/>
        <v>337.9</v>
      </c>
      <c r="G249" s="28">
        <f t="shared" si="16"/>
        <v>338.01</v>
      </c>
      <c r="H249" s="28">
        <f t="shared" si="16"/>
        <v>337.76</v>
      </c>
      <c r="I249" s="28">
        <f t="shared" si="16"/>
        <v>336.64</v>
      </c>
      <c r="J249" s="28">
        <f t="shared" si="16"/>
        <v>335.39</v>
      </c>
      <c r="K249" s="28">
        <f t="shared" si="16"/>
        <v>334.97</v>
      </c>
      <c r="L249" s="28">
        <f t="shared" si="16"/>
        <v>333.85</v>
      </c>
      <c r="M249" s="28">
        <f t="shared" si="16"/>
        <v>332.4</v>
      </c>
      <c r="N249" s="28">
        <f t="shared" si="16"/>
        <v>331.16</v>
      </c>
    </row>
    <row r="250" spans="1:14" x14ac:dyDescent="0.4">
      <c r="A250" s="1">
        <v>28795</v>
      </c>
      <c r="B250" s="28">
        <v>333.92</v>
      </c>
      <c r="C250" s="28">
        <f t="shared" si="13"/>
        <v>332.55</v>
      </c>
      <c r="D250" s="28">
        <f t="shared" si="16"/>
        <v>332.76</v>
      </c>
      <c r="E250" s="28">
        <f t="shared" si="16"/>
        <v>334.68</v>
      </c>
      <c r="F250" s="28">
        <f t="shared" si="16"/>
        <v>336.54</v>
      </c>
      <c r="G250" s="28">
        <f t="shared" si="16"/>
        <v>337.9</v>
      </c>
      <c r="H250" s="28">
        <f t="shared" si="16"/>
        <v>338.01</v>
      </c>
      <c r="I250" s="28">
        <f t="shared" si="16"/>
        <v>337.76</v>
      </c>
      <c r="J250" s="28">
        <f t="shared" si="16"/>
        <v>336.64</v>
      </c>
      <c r="K250" s="28">
        <f t="shared" si="16"/>
        <v>335.39</v>
      </c>
      <c r="L250" s="28">
        <f t="shared" si="16"/>
        <v>334.97</v>
      </c>
      <c r="M250" s="28">
        <f t="shared" si="16"/>
        <v>333.85</v>
      </c>
      <c r="N250" s="28">
        <f t="shared" si="16"/>
        <v>332.4</v>
      </c>
    </row>
    <row r="251" spans="1:14" x14ac:dyDescent="0.4">
      <c r="A251" s="1">
        <v>28825</v>
      </c>
      <c r="B251" s="28">
        <v>334.95</v>
      </c>
      <c r="C251" s="28">
        <f t="shared" si="13"/>
        <v>333.92</v>
      </c>
      <c r="D251" s="28">
        <f t="shared" si="16"/>
        <v>332.55</v>
      </c>
      <c r="E251" s="28">
        <f t="shared" si="16"/>
        <v>332.76</v>
      </c>
      <c r="F251" s="28">
        <f t="shared" si="16"/>
        <v>334.68</v>
      </c>
      <c r="G251" s="28">
        <f t="shared" si="16"/>
        <v>336.54</v>
      </c>
      <c r="H251" s="28">
        <f t="shared" si="16"/>
        <v>337.9</v>
      </c>
      <c r="I251" s="28">
        <f t="shared" si="16"/>
        <v>338.01</v>
      </c>
      <c r="J251" s="28">
        <f t="shared" si="16"/>
        <v>337.76</v>
      </c>
      <c r="K251" s="28">
        <f t="shared" si="16"/>
        <v>336.64</v>
      </c>
      <c r="L251" s="28">
        <f t="shared" si="16"/>
        <v>335.39</v>
      </c>
      <c r="M251" s="28">
        <f t="shared" si="16"/>
        <v>334.97</v>
      </c>
      <c r="N251" s="28">
        <f t="shared" si="16"/>
        <v>333.85</v>
      </c>
    </row>
    <row r="252" spans="1:14" x14ac:dyDescent="0.4">
      <c r="A252" s="1">
        <v>28856</v>
      </c>
      <c r="B252" s="28">
        <v>336.23</v>
      </c>
      <c r="C252" s="28">
        <f t="shared" si="13"/>
        <v>334.95</v>
      </c>
      <c r="D252" s="28">
        <f t="shared" si="16"/>
        <v>333.92</v>
      </c>
      <c r="E252" s="28">
        <f t="shared" si="16"/>
        <v>332.55</v>
      </c>
      <c r="F252" s="28">
        <f t="shared" si="16"/>
        <v>332.76</v>
      </c>
      <c r="G252" s="28">
        <f t="shared" si="16"/>
        <v>334.68</v>
      </c>
      <c r="H252" s="28">
        <f t="shared" si="16"/>
        <v>336.54</v>
      </c>
      <c r="I252" s="28">
        <f t="shared" si="16"/>
        <v>337.9</v>
      </c>
      <c r="J252" s="28">
        <f t="shared" si="16"/>
        <v>338.01</v>
      </c>
      <c r="K252" s="28">
        <f t="shared" si="16"/>
        <v>337.76</v>
      </c>
      <c r="L252" s="28">
        <f t="shared" si="16"/>
        <v>336.64</v>
      </c>
      <c r="M252" s="28">
        <f t="shared" si="16"/>
        <v>335.39</v>
      </c>
      <c r="N252" s="28">
        <f t="shared" si="16"/>
        <v>334.97</v>
      </c>
    </row>
    <row r="253" spans="1:14" x14ac:dyDescent="0.4">
      <c r="A253" s="1">
        <v>28887</v>
      </c>
      <c r="B253" s="28">
        <v>336.76</v>
      </c>
      <c r="C253" s="28">
        <f t="shared" si="13"/>
        <v>336.23</v>
      </c>
      <c r="D253" s="28">
        <f t="shared" si="16"/>
        <v>334.95</v>
      </c>
      <c r="E253" s="28">
        <f t="shared" si="16"/>
        <v>333.92</v>
      </c>
      <c r="F253" s="28">
        <f t="shared" si="16"/>
        <v>332.55</v>
      </c>
      <c r="G253" s="28">
        <f t="shared" si="16"/>
        <v>332.76</v>
      </c>
      <c r="H253" s="28">
        <f t="shared" si="16"/>
        <v>334.68</v>
      </c>
      <c r="I253" s="28">
        <f t="shared" si="16"/>
        <v>336.54</v>
      </c>
      <c r="J253" s="28">
        <f t="shared" si="16"/>
        <v>337.9</v>
      </c>
      <c r="K253" s="28">
        <f t="shared" si="16"/>
        <v>338.01</v>
      </c>
      <c r="L253" s="28">
        <f t="shared" si="16"/>
        <v>337.76</v>
      </c>
      <c r="M253" s="28">
        <f t="shared" si="16"/>
        <v>336.64</v>
      </c>
      <c r="N253" s="28">
        <f t="shared" si="16"/>
        <v>335.39</v>
      </c>
    </row>
    <row r="254" spans="1:14" x14ac:dyDescent="0.4">
      <c r="A254" s="1">
        <v>28915</v>
      </c>
      <c r="B254" s="28">
        <v>337.96</v>
      </c>
      <c r="C254" s="28">
        <f t="shared" si="13"/>
        <v>336.76</v>
      </c>
      <c r="D254" s="28">
        <f t="shared" si="16"/>
        <v>336.23</v>
      </c>
      <c r="E254" s="28">
        <f t="shared" si="16"/>
        <v>334.95</v>
      </c>
      <c r="F254" s="28">
        <f t="shared" si="16"/>
        <v>333.92</v>
      </c>
      <c r="G254" s="28">
        <f t="shared" si="16"/>
        <v>332.55</v>
      </c>
      <c r="H254" s="28">
        <f t="shared" si="16"/>
        <v>332.76</v>
      </c>
      <c r="I254" s="28">
        <f t="shared" si="16"/>
        <v>334.68</v>
      </c>
      <c r="J254" s="28">
        <f t="shared" si="16"/>
        <v>336.54</v>
      </c>
      <c r="K254" s="28">
        <f t="shared" si="16"/>
        <v>337.9</v>
      </c>
      <c r="L254" s="28">
        <f t="shared" si="16"/>
        <v>338.01</v>
      </c>
      <c r="M254" s="28">
        <f t="shared" si="16"/>
        <v>337.76</v>
      </c>
      <c r="N254" s="28">
        <f t="shared" si="16"/>
        <v>336.64</v>
      </c>
    </row>
    <row r="255" spans="1:14" x14ac:dyDescent="0.4">
      <c r="A255" s="1">
        <v>28946</v>
      </c>
      <c r="B255" s="28">
        <v>338.88</v>
      </c>
      <c r="C255" s="28">
        <f t="shared" si="13"/>
        <v>337.96</v>
      </c>
      <c r="D255" s="28">
        <f t="shared" si="16"/>
        <v>336.76</v>
      </c>
      <c r="E255" s="28">
        <f t="shared" si="16"/>
        <v>336.23</v>
      </c>
      <c r="F255" s="28">
        <f t="shared" si="16"/>
        <v>334.95</v>
      </c>
      <c r="G255" s="28">
        <f t="shared" si="16"/>
        <v>333.92</v>
      </c>
      <c r="H255" s="28">
        <f t="shared" si="16"/>
        <v>332.55</v>
      </c>
      <c r="I255" s="28">
        <f t="shared" si="16"/>
        <v>332.76</v>
      </c>
      <c r="J255" s="28">
        <f t="shared" si="16"/>
        <v>334.68</v>
      </c>
      <c r="K255" s="28">
        <f t="shared" si="16"/>
        <v>336.54</v>
      </c>
      <c r="L255" s="28">
        <f t="shared" si="16"/>
        <v>337.9</v>
      </c>
      <c r="M255" s="28">
        <f t="shared" si="16"/>
        <v>338.01</v>
      </c>
      <c r="N255" s="28">
        <f t="shared" si="16"/>
        <v>337.76</v>
      </c>
    </row>
    <row r="256" spans="1:14" x14ac:dyDescent="0.4">
      <c r="A256" s="1">
        <v>28976</v>
      </c>
      <c r="B256" s="28">
        <v>339.47</v>
      </c>
      <c r="C256" s="28">
        <f t="shared" si="13"/>
        <v>338.88</v>
      </c>
      <c r="D256" s="28">
        <f t="shared" si="16"/>
        <v>337.96</v>
      </c>
      <c r="E256" s="28">
        <f t="shared" si="16"/>
        <v>336.76</v>
      </c>
      <c r="F256" s="28">
        <f t="shared" si="16"/>
        <v>336.23</v>
      </c>
      <c r="G256" s="28">
        <f t="shared" si="16"/>
        <v>334.95</v>
      </c>
      <c r="H256" s="28">
        <f t="shared" si="16"/>
        <v>333.92</v>
      </c>
      <c r="I256" s="28">
        <f t="shared" si="16"/>
        <v>332.55</v>
      </c>
      <c r="J256" s="28">
        <f t="shared" si="16"/>
        <v>332.76</v>
      </c>
      <c r="K256" s="28">
        <f t="shared" si="16"/>
        <v>334.68</v>
      </c>
      <c r="L256" s="28">
        <f t="shared" si="16"/>
        <v>336.54</v>
      </c>
      <c r="M256" s="28">
        <f t="shared" si="16"/>
        <v>337.9</v>
      </c>
      <c r="N256" s="28">
        <f t="shared" si="16"/>
        <v>338.01</v>
      </c>
    </row>
    <row r="257" spans="1:14" x14ac:dyDescent="0.4">
      <c r="A257" s="1">
        <v>29007</v>
      </c>
      <c r="B257" s="28">
        <v>339.29</v>
      </c>
      <c r="C257" s="28">
        <f t="shared" si="13"/>
        <v>339.47</v>
      </c>
      <c r="D257" s="28">
        <f t="shared" si="16"/>
        <v>338.88</v>
      </c>
      <c r="E257" s="28">
        <f t="shared" si="16"/>
        <v>337.96</v>
      </c>
      <c r="F257" s="28">
        <f t="shared" si="16"/>
        <v>336.76</v>
      </c>
      <c r="G257" s="28">
        <f t="shared" si="16"/>
        <v>336.23</v>
      </c>
      <c r="H257" s="28">
        <f t="shared" si="16"/>
        <v>334.95</v>
      </c>
      <c r="I257" s="28">
        <f t="shared" si="16"/>
        <v>333.92</v>
      </c>
      <c r="J257" s="28">
        <f t="shared" si="16"/>
        <v>332.55</v>
      </c>
      <c r="K257" s="28">
        <f t="shared" si="16"/>
        <v>332.76</v>
      </c>
      <c r="L257" s="28">
        <f t="shared" si="16"/>
        <v>334.68</v>
      </c>
      <c r="M257" s="28">
        <f t="shared" si="16"/>
        <v>336.54</v>
      </c>
      <c r="N257" s="28">
        <f t="shared" si="16"/>
        <v>337.9</v>
      </c>
    </row>
    <row r="258" spans="1:14" x14ac:dyDescent="0.4">
      <c r="A258" s="1">
        <v>29037</v>
      </c>
      <c r="B258" s="28">
        <v>337.73</v>
      </c>
      <c r="C258" s="28">
        <f t="shared" si="13"/>
        <v>339.29</v>
      </c>
      <c r="D258" s="28">
        <f t="shared" si="16"/>
        <v>339.47</v>
      </c>
      <c r="E258" s="28">
        <f t="shared" si="16"/>
        <v>338.88</v>
      </c>
      <c r="F258" s="28">
        <f t="shared" si="16"/>
        <v>337.96</v>
      </c>
      <c r="G258" s="28">
        <f t="shared" si="16"/>
        <v>336.76</v>
      </c>
      <c r="H258" s="28">
        <f t="shared" si="16"/>
        <v>336.23</v>
      </c>
      <c r="I258" s="28">
        <f t="shared" si="16"/>
        <v>334.95</v>
      </c>
      <c r="J258" s="28">
        <f t="shared" si="16"/>
        <v>333.92</v>
      </c>
      <c r="K258" s="28">
        <f t="shared" si="16"/>
        <v>332.55</v>
      </c>
      <c r="L258" s="28">
        <f t="shared" si="16"/>
        <v>332.76</v>
      </c>
      <c r="M258" s="28">
        <f t="shared" si="16"/>
        <v>334.68</v>
      </c>
      <c r="N258" s="28">
        <f t="shared" si="16"/>
        <v>336.54</v>
      </c>
    </row>
    <row r="259" spans="1:14" x14ac:dyDescent="0.4">
      <c r="A259" s="1">
        <v>29068</v>
      </c>
      <c r="B259" s="28">
        <v>336.09</v>
      </c>
      <c r="C259" s="28">
        <f t="shared" si="13"/>
        <v>337.73</v>
      </c>
      <c r="D259" s="28">
        <f t="shared" si="16"/>
        <v>339.29</v>
      </c>
      <c r="E259" s="28">
        <f t="shared" si="16"/>
        <v>339.47</v>
      </c>
      <c r="F259" s="28">
        <f t="shared" si="16"/>
        <v>338.88</v>
      </c>
      <c r="G259" s="28">
        <f t="shared" si="16"/>
        <v>337.96</v>
      </c>
      <c r="H259" s="28">
        <f t="shared" si="16"/>
        <v>336.76</v>
      </c>
      <c r="I259" s="28">
        <f t="shared" si="16"/>
        <v>336.23</v>
      </c>
      <c r="J259" s="28">
        <f t="shared" si="16"/>
        <v>334.95</v>
      </c>
      <c r="K259" s="28">
        <f t="shared" si="16"/>
        <v>333.92</v>
      </c>
      <c r="L259" s="28">
        <f t="shared" si="16"/>
        <v>332.55</v>
      </c>
      <c r="M259" s="28">
        <f t="shared" si="16"/>
        <v>332.76</v>
      </c>
      <c r="N259" s="28">
        <f t="shared" si="16"/>
        <v>334.68</v>
      </c>
    </row>
    <row r="260" spans="1:14" x14ac:dyDescent="0.4">
      <c r="A260" s="1">
        <v>29099</v>
      </c>
      <c r="B260" s="28">
        <v>333.92</v>
      </c>
      <c r="C260" s="28">
        <f t="shared" ref="C260:N323" si="17">IF(B259=0,"",B259)</f>
        <v>336.09</v>
      </c>
      <c r="D260" s="28">
        <f t="shared" si="17"/>
        <v>337.73</v>
      </c>
      <c r="E260" s="28">
        <f t="shared" si="17"/>
        <v>339.29</v>
      </c>
      <c r="F260" s="28">
        <f t="shared" si="17"/>
        <v>339.47</v>
      </c>
      <c r="G260" s="28">
        <f t="shared" si="17"/>
        <v>338.88</v>
      </c>
      <c r="H260" s="28">
        <f t="shared" si="17"/>
        <v>337.96</v>
      </c>
      <c r="I260" s="28">
        <f t="shared" si="17"/>
        <v>336.76</v>
      </c>
      <c r="J260" s="28">
        <f t="shared" si="17"/>
        <v>336.23</v>
      </c>
      <c r="K260" s="28">
        <f t="shared" si="17"/>
        <v>334.95</v>
      </c>
      <c r="L260" s="28">
        <f t="shared" si="17"/>
        <v>333.92</v>
      </c>
      <c r="M260" s="28">
        <f t="shared" si="17"/>
        <v>332.55</v>
      </c>
      <c r="N260" s="28">
        <f t="shared" si="17"/>
        <v>332.76</v>
      </c>
    </row>
    <row r="261" spans="1:14" x14ac:dyDescent="0.4">
      <c r="A261" s="1">
        <v>29129</v>
      </c>
      <c r="B261" s="28">
        <v>333.86</v>
      </c>
      <c r="C261" s="28">
        <f t="shared" si="17"/>
        <v>333.92</v>
      </c>
      <c r="D261" s="28">
        <f t="shared" si="17"/>
        <v>336.09</v>
      </c>
      <c r="E261" s="28">
        <f t="shared" si="17"/>
        <v>337.73</v>
      </c>
      <c r="F261" s="28">
        <f t="shared" si="17"/>
        <v>339.29</v>
      </c>
      <c r="G261" s="28">
        <f t="shared" si="17"/>
        <v>339.47</v>
      </c>
      <c r="H261" s="28">
        <f t="shared" si="17"/>
        <v>338.88</v>
      </c>
      <c r="I261" s="28">
        <f t="shared" si="17"/>
        <v>337.96</v>
      </c>
      <c r="J261" s="28">
        <f t="shared" si="17"/>
        <v>336.76</v>
      </c>
      <c r="K261" s="28">
        <f t="shared" si="17"/>
        <v>336.23</v>
      </c>
      <c r="L261" s="28">
        <f t="shared" si="17"/>
        <v>334.95</v>
      </c>
      <c r="M261" s="28">
        <f t="shared" si="17"/>
        <v>333.92</v>
      </c>
      <c r="N261" s="28">
        <f t="shared" si="17"/>
        <v>332.55</v>
      </c>
    </row>
    <row r="262" spans="1:14" x14ac:dyDescent="0.4">
      <c r="A262" s="1">
        <v>29160</v>
      </c>
      <c r="B262" s="28">
        <v>335.29</v>
      </c>
      <c r="C262" s="28">
        <f t="shared" si="17"/>
        <v>333.86</v>
      </c>
      <c r="D262" s="28">
        <f t="shared" si="17"/>
        <v>333.92</v>
      </c>
      <c r="E262" s="28">
        <f t="shared" si="17"/>
        <v>336.09</v>
      </c>
      <c r="F262" s="28">
        <f t="shared" si="17"/>
        <v>337.73</v>
      </c>
      <c r="G262" s="28">
        <f t="shared" si="17"/>
        <v>339.29</v>
      </c>
      <c r="H262" s="28">
        <f t="shared" si="17"/>
        <v>339.47</v>
      </c>
      <c r="I262" s="28">
        <f t="shared" si="17"/>
        <v>338.88</v>
      </c>
      <c r="J262" s="28">
        <f t="shared" si="17"/>
        <v>337.96</v>
      </c>
      <c r="K262" s="28">
        <f t="shared" si="17"/>
        <v>336.76</v>
      </c>
      <c r="L262" s="28">
        <f t="shared" si="17"/>
        <v>336.23</v>
      </c>
      <c r="M262" s="28">
        <f t="shared" si="17"/>
        <v>334.95</v>
      </c>
      <c r="N262" s="28">
        <f t="shared" si="17"/>
        <v>333.92</v>
      </c>
    </row>
    <row r="263" spans="1:14" x14ac:dyDescent="0.4">
      <c r="A263" s="1">
        <v>29190</v>
      </c>
      <c r="B263" s="28">
        <v>336.73</v>
      </c>
      <c r="C263" s="28">
        <f t="shared" si="17"/>
        <v>335.29</v>
      </c>
      <c r="D263" s="28">
        <f t="shared" si="17"/>
        <v>333.86</v>
      </c>
      <c r="E263" s="28">
        <f t="shared" si="17"/>
        <v>333.92</v>
      </c>
      <c r="F263" s="28">
        <f t="shared" si="17"/>
        <v>336.09</v>
      </c>
      <c r="G263" s="28">
        <f t="shared" si="17"/>
        <v>337.73</v>
      </c>
      <c r="H263" s="28">
        <f t="shared" si="17"/>
        <v>339.29</v>
      </c>
      <c r="I263" s="28">
        <f t="shared" si="17"/>
        <v>339.47</v>
      </c>
      <c r="J263" s="28">
        <f t="shared" si="17"/>
        <v>338.88</v>
      </c>
      <c r="K263" s="28">
        <f t="shared" si="17"/>
        <v>337.96</v>
      </c>
      <c r="L263" s="28">
        <f t="shared" si="17"/>
        <v>336.76</v>
      </c>
      <c r="M263" s="28">
        <f t="shared" si="17"/>
        <v>336.23</v>
      </c>
      <c r="N263" s="28">
        <f t="shared" si="17"/>
        <v>334.95</v>
      </c>
    </row>
    <row r="264" spans="1:14" x14ac:dyDescent="0.4">
      <c r="A264" s="1">
        <v>29221</v>
      </c>
      <c r="B264" s="28">
        <v>338.01</v>
      </c>
      <c r="C264" s="28">
        <f t="shared" si="17"/>
        <v>336.73</v>
      </c>
      <c r="D264" s="28">
        <f t="shared" si="17"/>
        <v>335.29</v>
      </c>
      <c r="E264" s="28">
        <f t="shared" si="17"/>
        <v>333.86</v>
      </c>
      <c r="F264" s="28">
        <f t="shared" si="17"/>
        <v>333.92</v>
      </c>
      <c r="G264" s="28">
        <f t="shared" si="17"/>
        <v>336.09</v>
      </c>
      <c r="H264" s="28">
        <f t="shared" si="17"/>
        <v>337.73</v>
      </c>
      <c r="I264" s="28">
        <f t="shared" si="17"/>
        <v>339.29</v>
      </c>
      <c r="J264" s="28">
        <f t="shared" si="17"/>
        <v>339.47</v>
      </c>
      <c r="K264" s="28">
        <f t="shared" si="17"/>
        <v>338.88</v>
      </c>
      <c r="L264" s="28">
        <f t="shared" si="17"/>
        <v>337.96</v>
      </c>
      <c r="M264" s="28">
        <f t="shared" si="17"/>
        <v>336.76</v>
      </c>
      <c r="N264" s="28">
        <f t="shared" si="17"/>
        <v>336.23</v>
      </c>
    </row>
    <row r="265" spans="1:14" x14ac:dyDescent="0.4">
      <c r="A265" s="1">
        <v>29252</v>
      </c>
      <c r="B265" s="28">
        <v>338.36</v>
      </c>
      <c r="C265" s="28">
        <f t="shared" si="17"/>
        <v>338.01</v>
      </c>
      <c r="D265" s="28">
        <f t="shared" si="17"/>
        <v>336.73</v>
      </c>
      <c r="E265" s="28">
        <f t="shared" si="17"/>
        <v>335.29</v>
      </c>
      <c r="F265" s="28">
        <f t="shared" si="17"/>
        <v>333.86</v>
      </c>
      <c r="G265" s="28">
        <f t="shared" si="17"/>
        <v>333.92</v>
      </c>
      <c r="H265" s="28">
        <f t="shared" si="17"/>
        <v>336.09</v>
      </c>
      <c r="I265" s="28">
        <f t="shared" si="17"/>
        <v>337.73</v>
      </c>
      <c r="J265" s="28">
        <f t="shared" si="17"/>
        <v>339.29</v>
      </c>
      <c r="K265" s="28">
        <f t="shared" si="17"/>
        <v>339.47</v>
      </c>
      <c r="L265" s="28">
        <f t="shared" si="17"/>
        <v>338.88</v>
      </c>
      <c r="M265" s="28">
        <f t="shared" si="17"/>
        <v>337.96</v>
      </c>
      <c r="N265" s="28">
        <f t="shared" si="17"/>
        <v>336.76</v>
      </c>
    </row>
    <row r="266" spans="1:14" x14ac:dyDescent="0.4">
      <c r="A266" s="1">
        <v>29281</v>
      </c>
      <c r="B266" s="28">
        <v>340.07</v>
      </c>
      <c r="C266" s="28">
        <f t="shared" si="17"/>
        <v>338.36</v>
      </c>
      <c r="D266" s="28">
        <f t="shared" si="17"/>
        <v>338.01</v>
      </c>
      <c r="E266" s="28">
        <f t="shared" si="17"/>
        <v>336.73</v>
      </c>
      <c r="F266" s="28">
        <f t="shared" si="17"/>
        <v>335.29</v>
      </c>
      <c r="G266" s="28">
        <f t="shared" si="17"/>
        <v>333.86</v>
      </c>
      <c r="H266" s="28">
        <f t="shared" si="17"/>
        <v>333.92</v>
      </c>
      <c r="I266" s="28">
        <f t="shared" si="17"/>
        <v>336.09</v>
      </c>
      <c r="J266" s="28">
        <f t="shared" si="17"/>
        <v>337.73</v>
      </c>
      <c r="K266" s="28">
        <f t="shared" si="17"/>
        <v>339.29</v>
      </c>
      <c r="L266" s="28">
        <f t="shared" si="17"/>
        <v>339.47</v>
      </c>
      <c r="M266" s="28">
        <f t="shared" si="17"/>
        <v>338.88</v>
      </c>
      <c r="N266" s="28">
        <f t="shared" si="17"/>
        <v>337.96</v>
      </c>
    </row>
    <row r="267" spans="1:14" x14ac:dyDescent="0.4">
      <c r="A267" s="1">
        <v>29312</v>
      </c>
      <c r="B267" s="28">
        <v>340.76</v>
      </c>
      <c r="C267" s="28">
        <f t="shared" si="17"/>
        <v>340.07</v>
      </c>
      <c r="D267" s="28">
        <f t="shared" si="17"/>
        <v>338.36</v>
      </c>
      <c r="E267" s="28">
        <f t="shared" si="17"/>
        <v>338.01</v>
      </c>
      <c r="F267" s="28">
        <f t="shared" si="17"/>
        <v>336.73</v>
      </c>
      <c r="G267" s="28">
        <f t="shared" si="17"/>
        <v>335.29</v>
      </c>
      <c r="H267" s="28">
        <f t="shared" si="17"/>
        <v>333.86</v>
      </c>
      <c r="I267" s="28">
        <f t="shared" si="17"/>
        <v>333.92</v>
      </c>
      <c r="J267" s="28">
        <f t="shared" si="17"/>
        <v>336.09</v>
      </c>
      <c r="K267" s="28">
        <f t="shared" si="17"/>
        <v>337.73</v>
      </c>
      <c r="L267" s="28">
        <f t="shared" si="17"/>
        <v>339.29</v>
      </c>
      <c r="M267" s="28">
        <f t="shared" si="17"/>
        <v>339.47</v>
      </c>
      <c r="N267" s="28">
        <f t="shared" si="17"/>
        <v>338.88</v>
      </c>
    </row>
    <row r="268" spans="1:14" x14ac:dyDescent="0.4">
      <c r="A268" s="1">
        <v>29342</v>
      </c>
      <c r="B268" s="28">
        <v>341.47</v>
      </c>
      <c r="C268" s="28">
        <f t="shared" si="17"/>
        <v>340.76</v>
      </c>
      <c r="D268" s="28">
        <f t="shared" si="17"/>
        <v>340.07</v>
      </c>
      <c r="E268" s="28">
        <f t="shared" si="17"/>
        <v>338.36</v>
      </c>
      <c r="F268" s="28">
        <f t="shared" si="17"/>
        <v>338.01</v>
      </c>
      <c r="G268" s="28">
        <f t="shared" si="17"/>
        <v>336.73</v>
      </c>
      <c r="H268" s="28">
        <f t="shared" si="17"/>
        <v>335.29</v>
      </c>
      <c r="I268" s="28">
        <f t="shared" si="17"/>
        <v>333.86</v>
      </c>
      <c r="J268" s="28">
        <f t="shared" si="17"/>
        <v>333.92</v>
      </c>
      <c r="K268" s="28">
        <f t="shared" si="17"/>
        <v>336.09</v>
      </c>
      <c r="L268" s="28">
        <f t="shared" si="17"/>
        <v>337.73</v>
      </c>
      <c r="M268" s="28">
        <f t="shared" si="17"/>
        <v>339.29</v>
      </c>
      <c r="N268" s="28">
        <f t="shared" si="17"/>
        <v>339.47</v>
      </c>
    </row>
    <row r="269" spans="1:14" x14ac:dyDescent="0.4">
      <c r="A269" s="1">
        <v>29373</v>
      </c>
      <c r="B269" s="28">
        <v>341.17</v>
      </c>
      <c r="C269" s="28">
        <f t="shared" si="17"/>
        <v>341.47</v>
      </c>
      <c r="D269" s="28">
        <f t="shared" si="17"/>
        <v>340.76</v>
      </c>
      <c r="E269" s="28">
        <f t="shared" si="17"/>
        <v>340.07</v>
      </c>
      <c r="F269" s="28">
        <f t="shared" si="17"/>
        <v>338.36</v>
      </c>
      <c r="G269" s="28">
        <f t="shared" si="17"/>
        <v>338.01</v>
      </c>
      <c r="H269" s="28">
        <f t="shared" si="17"/>
        <v>336.73</v>
      </c>
      <c r="I269" s="28">
        <f t="shared" si="17"/>
        <v>335.29</v>
      </c>
      <c r="J269" s="28">
        <f t="shared" si="17"/>
        <v>333.86</v>
      </c>
      <c r="K269" s="28">
        <f t="shared" si="17"/>
        <v>333.92</v>
      </c>
      <c r="L269" s="28">
        <f t="shared" si="17"/>
        <v>336.09</v>
      </c>
      <c r="M269" s="28">
        <f t="shared" si="17"/>
        <v>337.73</v>
      </c>
      <c r="N269" s="28">
        <f t="shared" si="17"/>
        <v>339.29</v>
      </c>
    </row>
    <row r="270" spans="1:14" x14ac:dyDescent="0.4">
      <c r="A270" s="1">
        <v>29403</v>
      </c>
      <c r="B270" s="28">
        <v>339.56</v>
      </c>
      <c r="C270" s="28">
        <f t="shared" si="17"/>
        <v>341.17</v>
      </c>
      <c r="D270" s="28">
        <f t="shared" si="17"/>
        <v>341.47</v>
      </c>
      <c r="E270" s="28">
        <f t="shared" si="17"/>
        <v>340.76</v>
      </c>
      <c r="F270" s="28">
        <f t="shared" si="17"/>
        <v>340.07</v>
      </c>
      <c r="G270" s="28">
        <f t="shared" si="17"/>
        <v>338.36</v>
      </c>
      <c r="H270" s="28">
        <f t="shared" si="17"/>
        <v>338.01</v>
      </c>
      <c r="I270" s="28">
        <f t="shared" si="17"/>
        <v>336.73</v>
      </c>
      <c r="J270" s="28">
        <f t="shared" si="17"/>
        <v>335.29</v>
      </c>
      <c r="K270" s="28">
        <f t="shared" si="17"/>
        <v>333.86</v>
      </c>
      <c r="L270" s="28">
        <f t="shared" si="17"/>
        <v>333.92</v>
      </c>
      <c r="M270" s="28">
        <f t="shared" si="17"/>
        <v>336.09</v>
      </c>
      <c r="N270" s="28">
        <f t="shared" si="17"/>
        <v>337.73</v>
      </c>
    </row>
    <row r="271" spans="1:14" x14ac:dyDescent="0.4">
      <c r="A271" s="1">
        <v>29434</v>
      </c>
      <c r="B271" s="28">
        <v>337.6</v>
      </c>
      <c r="C271" s="28">
        <f t="shared" si="17"/>
        <v>339.56</v>
      </c>
      <c r="D271" s="28">
        <f t="shared" si="17"/>
        <v>341.17</v>
      </c>
      <c r="E271" s="28">
        <f t="shared" si="17"/>
        <v>341.47</v>
      </c>
      <c r="F271" s="28">
        <f t="shared" si="17"/>
        <v>340.76</v>
      </c>
      <c r="G271" s="28">
        <f t="shared" si="17"/>
        <v>340.07</v>
      </c>
      <c r="H271" s="28">
        <f t="shared" si="17"/>
        <v>338.36</v>
      </c>
      <c r="I271" s="28">
        <f t="shared" si="17"/>
        <v>338.01</v>
      </c>
      <c r="J271" s="28">
        <f t="shared" si="17"/>
        <v>336.73</v>
      </c>
      <c r="K271" s="28">
        <f t="shared" si="17"/>
        <v>335.29</v>
      </c>
      <c r="L271" s="28">
        <f t="shared" si="17"/>
        <v>333.86</v>
      </c>
      <c r="M271" s="28">
        <f t="shared" si="17"/>
        <v>333.92</v>
      </c>
      <c r="N271" s="28">
        <f t="shared" si="17"/>
        <v>336.09</v>
      </c>
    </row>
    <row r="272" spans="1:14" x14ac:dyDescent="0.4">
      <c r="A272" s="1">
        <v>29465</v>
      </c>
      <c r="B272" s="28">
        <v>335.88</v>
      </c>
      <c r="C272" s="28">
        <f t="shared" si="17"/>
        <v>337.6</v>
      </c>
      <c r="D272" s="28">
        <f t="shared" si="17"/>
        <v>339.56</v>
      </c>
      <c r="E272" s="28">
        <f t="shared" si="17"/>
        <v>341.17</v>
      </c>
      <c r="F272" s="28">
        <f t="shared" si="17"/>
        <v>341.47</v>
      </c>
      <c r="G272" s="28">
        <f t="shared" si="17"/>
        <v>340.76</v>
      </c>
      <c r="H272" s="28">
        <f t="shared" si="17"/>
        <v>340.07</v>
      </c>
      <c r="I272" s="28">
        <f t="shared" si="17"/>
        <v>338.36</v>
      </c>
      <c r="J272" s="28">
        <f t="shared" si="17"/>
        <v>338.01</v>
      </c>
      <c r="K272" s="28">
        <f t="shared" si="17"/>
        <v>336.73</v>
      </c>
      <c r="L272" s="28">
        <f t="shared" si="17"/>
        <v>335.29</v>
      </c>
      <c r="M272" s="28">
        <f t="shared" si="17"/>
        <v>333.86</v>
      </c>
      <c r="N272" s="28">
        <f t="shared" si="17"/>
        <v>333.92</v>
      </c>
    </row>
    <row r="273" spans="1:14" x14ac:dyDescent="0.4">
      <c r="A273" s="1">
        <v>29495</v>
      </c>
      <c r="B273" s="28">
        <v>336.02</v>
      </c>
      <c r="C273" s="28">
        <f t="shared" si="17"/>
        <v>335.88</v>
      </c>
      <c r="D273" s="28">
        <f t="shared" si="17"/>
        <v>337.6</v>
      </c>
      <c r="E273" s="28">
        <f t="shared" si="17"/>
        <v>339.56</v>
      </c>
      <c r="F273" s="28">
        <f t="shared" si="17"/>
        <v>341.17</v>
      </c>
      <c r="G273" s="28">
        <f t="shared" si="17"/>
        <v>341.47</v>
      </c>
      <c r="H273" s="28">
        <f t="shared" si="17"/>
        <v>340.76</v>
      </c>
      <c r="I273" s="28">
        <f t="shared" si="17"/>
        <v>340.07</v>
      </c>
      <c r="J273" s="28">
        <f t="shared" si="17"/>
        <v>338.36</v>
      </c>
      <c r="K273" s="28">
        <f t="shared" si="17"/>
        <v>338.01</v>
      </c>
      <c r="L273" s="28">
        <f t="shared" si="17"/>
        <v>336.73</v>
      </c>
      <c r="M273" s="28">
        <f t="shared" si="17"/>
        <v>335.29</v>
      </c>
      <c r="N273" s="28">
        <f t="shared" si="17"/>
        <v>333.86</v>
      </c>
    </row>
    <row r="274" spans="1:14" x14ac:dyDescent="0.4">
      <c r="A274" s="1">
        <v>29526</v>
      </c>
      <c r="B274" s="28">
        <v>337.1</v>
      </c>
      <c r="C274" s="28">
        <f t="shared" si="17"/>
        <v>336.02</v>
      </c>
      <c r="D274" s="28">
        <f t="shared" si="17"/>
        <v>335.88</v>
      </c>
      <c r="E274" s="28">
        <f t="shared" si="17"/>
        <v>337.6</v>
      </c>
      <c r="F274" s="28">
        <f t="shared" si="17"/>
        <v>339.56</v>
      </c>
      <c r="G274" s="28">
        <f t="shared" si="17"/>
        <v>341.17</v>
      </c>
      <c r="H274" s="28">
        <f t="shared" si="17"/>
        <v>341.47</v>
      </c>
      <c r="I274" s="28">
        <f t="shared" si="17"/>
        <v>340.76</v>
      </c>
      <c r="J274" s="28">
        <f t="shared" si="17"/>
        <v>340.07</v>
      </c>
      <c r="K274" s="28">
        <f t="shared" si="17"/>
        <v>338.36</v>
      </c>
      <c r="L274" s="28">
        <f t="shared" si="17"/>
        <v>338.01</v>
      </c>
      <c r="M274" s="28">
        <f t="shared" si="17"/>
        <v>336.73</v>
      </c>
      <c r="N274" s="28">
        <f t="shared" si="17"/>
        <v>335.29</v>
      </c>
    </row>
    <row r="275" spans="1:14" x14ac:dyDescent="0.4">
      <c r="A275" s="1">
        <v>29556</v>
      </c>
      <c r="B275" s="28">
        <v>338.21</v>
      </c>
      <c r="C275" s="28">
        <f t="shared" si="17"/>
        <v>337.1</v>
      </c>
      <c r="D275" s="28">
        <f t="shared" si="17"/>
        <v>336.02</v>
      </c>
      <c r="E275" s="28">
        <f t="shared" si="17"/>
        <v>335.88</v>
      </c>
      <c r="F275" s="28">
        <f t="shared" si="17"/>
        <v>337.6</v>
      </c>
      <c r="G275" s="28">
        <f t="shared" si="17"/>
        <v>339.56</v>
      </c>
      <c r="H275" s="28">
        <f t="shared" si="17"/>
        <v>341.17</v>
      </c>
      <c r="I275" s="28">
        <f t="shared" si="17"/>
        <v>341.47</v>
      </c>
      <c r="J275" s="28">
        <f t="shared" si="17"/>
        <v>340.76</v>
      </c>
      <c r="K275" s="28">
        <f t="shared" si="17"/>
        <v>340.07</v>
      </c>
      <c r="L275" s="28">
        <f t="shared" si="17"/>
        <v>338.36</v>
      </c>
      <c r="M275" s="28">
        <f t="shared" si="17"/>
        <v>338.01</v>
      </c>
      <c r="N275" s="28">
        <f t="shared" si="17"/>
        <v>336.73</v>
      </c>
    </row>
    <row r="276" spans="1:14" x14ac:dyDescent="0.4">
      <c r="A276" s="1">
        <v>29587</v>
      </c>
      <c r="B276" s="28">
        <v>339.24</v>
      </c>
      <c r="C276" s="28">
        <f t="shared" si="17"/>
        <v>338.21</v>
      </c>
      <c r="D276" s="28">
        <f t="shared" si="17"/>
        <v>337.1</v>
      </c>
      <c r="E276" s="28">
        <f t="shared" si="17"/>
        <v>336.02</v>
      </c>
      <c r="F276" s="28">
        <f t="shared" si="17"/>
        <v>335.88</v>
      </c>
      <c r="G276" s="28">
        <f t="shared" si="17"/>
        <v>337.6</v>
      </c>
      <c r="H276" s="28">
        <f t="shared" si="17"/>
        <v>339.56</v>
      </c>
      <c r="I276" s="28">
        <f t="shared" si="17"/>
        <v>341.17</v>
      </c>
      <c r="J276" s="28">
        <f t="shared" si="17"/>
        <v>341.47</v>
      </c>
      <c r="K276" s="28">
        <f t="shared" si="17"/>
        <v>340.76</v>
      </c>
      <c r="L276" s="28">
        <f t="shared" si="17"/>
        <v>340.07</v>
      </c>
      <c r="M276" s="28">
        <f t="shared" si="17"/>
        <v>338.36</v>
      </c>
      <c r="N276" s="28">
        <f t="shared" si="17"/>
        <v>338.01</v>
      </c>
    </row>
    <row r="277" spans="1:14" x14ac:dyDescent="0.4">
      <c r="A277" s="1">
        <v>29618</v>
      </c>
      <c r="B277" s="28">
        <v>340.48</v>
      </c>
      <c r="C277" s="28">
        <f t="shared" si="17"/>
        <v>339.24</v>
      </c>
      <c r="D277" s="28">
        <f t="shared" si="17"/>
        <v>338.21</v>
      </c>
      <c r="E277" s="28">
        <f t="shared" si="17"/>
        <v>337.1</v>
      </c>
      <c r="F277" s="28">
        <f t="shared" si="17"/>
        <v>336.02</v>
      </c>
      <c r="G277" s="28">
        <f t="shared" si="17"/>
        <v>335.88</v>
      </c>
      <c r="H277" s="28">
        <f t="shared" ref="D277:N292" si="18">IF(G276=0,"",G276)</f>
        <v>337.6</v>
      </c>
      <c r="I277" s="28">
        <f t="shared" si="18"/>
        <v>339.56</v>
      </c>
      <c r="J277" s="28">
        <f t="shared" si="18"/>
        <v>341.17</v>
      </c>
      <c r="K277" s="28">
        <f t="shared" si="18"/>
        <v>341.47</v>
      </c>
      <c r="L277" s="28">
        <f t="shared" si="18"/>
        <v>340.76</v>
      </c>
      <c r="M277" s="28">
        <f t="shared" si="18"/>
        <v>340.07</v>
      </c>
      <c r="N277" s="28">
        <f t="shared" si="18"/>
        <v>338.36</v>
      </c>
    </row>
    <row r="278" spans="1:14" x14ac:dyDescent="0.4">
      <c r="A278" s="1">
        <v>29646</v>
      </c>
      <c r="B278" s="28">
        <v>341.38</v>
      </c>
      <c r="C278" s="28">
        <f t="shared" si="17"/>
        <v>340.48</v>
      </c>
      <c r="D278" s="28">
        <f t="shared" si="18"/>
        <v>339.24</v>
      </c>
      <c r="E278" s="28">
        <f t="shared" si="18"/>
        <v>338.21</v>
      </c>
      <c r="F278" s="28">
        <f t="shared" si="18"/>
        <v>337.1</v>
      </c>
      <c r="G278" s="28">
        <f t="shared" si="18"/>
        <v>336.02</v>
      </c>
      <c r="H278" s="28">
        <f t="shared" si="18"/>
        <v>335.88</v>
      </c>
      <c r="I278" s="28">
        <f t="shared" si="18"/>
        <v>337.6</v>
      </c>
      <c r="J278" s="28">
        <f t="shared" si="18"/>
        <v>339.56</v>
      </c>
      <c r="K278" s="28">
        <f t="shared" si="18"/>
        <v>341.17</v>
      </c>
      <c r="L278" s="28">
        <f t="shared" si="18"/>
        <v>341.47</v>
      </c>
      <c r="M278" s="28">
        <f t="shared" si="18"/>
        <v>340.76</v>
      </c>
      <c r="N278" s="28">
        <f t="shared" si="18"/>
        <v>340.07</v>
      </c>
    </row>
    <row r="279" spans="1:14" x14ac:dyDescent="0.4">
      <c r="A279" s="1">
        <v>29677</v>
      </c>
      <c r="B279" s="28">
        <v>342.5</v>
      </c>
      <c r="C279" s="28">
        <f t="shared" si="17"/>
        <v>341.38</v>
      </c>
      <c r="D279" s="28">
        <f t="shared" si="18"/>
        <v>340.48</v>
      </c>
      <c r="E279" s="28">
        <f t="shared" si="18"/>
        <v>339.24</v>
      </c>
      <c r="F279" s="28">
        <f t="shared" si="18"/>
        <v>338.21</v>
      </c>
      <c r="G279" s="28">
        <f t="shared" si="18"/>
        <v>337.1</v>
      </c>
      <c r="H279" s="28">
        <f t="shared" si="18"/>
        <v>336.02</v>
      </c>
      <c r="I279" s="28">
        <f t="shared" si="18"/>
        <v>335.88</v>
      </c>
      <c r="J279" s="28">
        <f t="shared" si="18"/>
        <v>337.6</v>
      </c>
      <c r="K279" s="28">
        <f t="shared" si="18"/>
        <v>339.56</v>
      </c>
      <c r="L279" s="28">
        <f t="shared" si="18"/>
        <v>341.17</v>
      </c>
      <c r="M279" s="28">
        <f t="shared" si="18"/>
        <v>341.47</v>
      </c>
      <c r="N279" s="28">
        <f t="shared" si="18"/>
        <v>340.76</v>
      </c>
    </row>
    <row r="280" spans="1:14" x14ac:dyDescent="0.4">
      <c r="A280" s="1">
        <v>29707</v>
      </c>
      <c r="B280" s="28">
        <v>342.91</v>
      </c>
      <c r="C280" s="28">
        <f t="shared" si="17"/>
        <v>342.5</v>
      </c>
      <c r="D280" s="28">
        <f t="shared" si="18"/>
        <v>341.38</v>
      </c>
      <c r="E280" s="28">
        <f t="shared" si="18"/>
        <v>340.48</v>
      </c>
      <c r="F280" s="28">
        <f t="shared" si="18"/>
        <v>339.24</v>
      </c>
      <c r="G280" s="28">
        <f t="shared" si="18"/>
        <v>338.21</v>
      </c>
      <c r="H280" s="28">
        <f t="shared" si="18"/>
        <v>337.1</v>
      </c>
      <c r="I280" s="28">
        <f t="shared" si="18"/>
        <v>336.02</v>
      </c>
      <c r="J280" s="28">
        <f t="shared" si="18"/>
        <v>335.88</v>
      </c>
      <c r="K280" s="28">
        <f t="shared" si="18"/>
        <v>337.6</v>
      </c>
      <c r="L280" s="28">
        <f t="shared" si="18"/>
        <v>339.56</v>
      </c>
      <c r="M280" s="28">
        <f t="shared" si="18"/>
        <v>341.17</v>
      </c>
      <c r="N280" s="28">
        <f t="shared" si="18"/>
        <v>341.47</v>
      </c>
    </row>
    <row r="281" spans="1:14" x14ac:dyDescent="0.4">
      <c r="A281" s="1">
        <v>29738</v>
      </c>
      <c r="B281" s="28">
        <v>342.25</v>
      </c>
      <c r="C281" s="28">
        <f t="shared" si="17"/>
        <v>342.91</v>
      </c>
      <c r="D281" s="28">
        <f t="shared" si="18"/>
        <v>342.5</v>
      </c>
      <c r="E281" s="28">
        <f t="shared" si="18"/>
        <v>341.38</v>
      </c>
      <c r="F281" s="28">
        <f t="shared" si="18"/>
        <v>340.48</v>
      </c>
      <c r="G281" s="28">
        <f t="shared" si="18"/>
        <v>339.24</v>
      </c>
      <c r="H281" s="28">
        <f t="shared" si="18"/>
        <v>338.21</v>
      </c>
      <c r="I281" s="28">
        <f t="shared" si="18"/>
        <v>337.1</v>
      </c>
      <c r="J281" s="28">
        <f t="shared" si="18"/>
        <v>336.02</v>
      </c>
      <c r="K281" s="28">
        <f t="shared" si="18"/>
        <v>335.88</v>
      </c>
      <c r="L281" s="28">
        <f t="shared" si="18"/>
        <v>337.6</v>
      </c>
      <c r="M281" s="28">
        <f t="shared" si="18"/>
        <v>339.56</v>
      </c>
      <c r="N281" s="28">
        <f t="shared" si="18"/>
        <v>341.17</v>
      </c>
    </row>
    <row r="282" spans="1:14" x14ac:dyDescent="0.4">
      <c r="A282" s="1">
        <v>29768</v>
      </c>
      <c r="B282" s="28">
        <v>340.49</v>
      </c>
      <c r="C282" s="28">
        <f t="shared" si="17"/>
        <v>342.25</v>
      </c>
      <c r="D282" s="28">
        <f t="shared" si="18"/>
        <v>342.91</v>
      </c>
      <c r="E282" s="28">
        <f t="shared" si="18"/>
        <v>342.5</v>
      </c>
      <c r="F282" s="28">
        <f t="shared" si="18"/>
        <v>341.38</v>
      </c>
      <c r="G282" s="28">
        <f t="shared" si="18"/>
        <v>340.48</v>
      </c>
      <c r="H282" s="28">
        <f t="shared" si="18"/>
        <v>339.24</v>
      </c>
      <c r="I282" s="28">
        <f t="shared" si="18"/>
        <v>338.21</v>
      </c>
      <c r="J282" s="28">
        <f t="shared" si="18"/>
        <v>337.1</v>
      </c>
      <c r="K282" s="28">
        <f t="shared" si="18"/>
        <v>336.02</v>
      </c>
      <c r="L282" s="28">
        <f t="shared" si="18"/>
        <v>335.88</v>
      </c>
      <c r="M282" s="28">
        <f t="shared" si="18"/>
        <v>337.6</v>
      </c>
      <c r="N282" s="28">
        <f t="shared" si="18"/>
        <v>339.56</v>
      </c>
    </row>
    <row r="283" spans="1:14" x14ac:dyDescent="0.4">
      <c r="A283" s="1">
        <v>29799</v>
      </c>
      <c r="B283" s="28">
        <v>338.43</v>
      </c>
      <c r="C283" s="28">
        <f t="shared" si="17"/>
        <v>340.49</v>
      </c>
      <c r="D283" s="28">
        <f t="shared" si="18"/>
        <v>342.25</v>
      </c>
      <c r="E283" s="28">
        <f t="shared" si="18"/>
        <v>342.91</v>
      </c>
      <c r="F283" s="28">
        <f t="shared" si="18"/>
        <v>342.5</v>
      </c>
      <c r="G283" s="28">
        <f t="shared" si="18"/>
        <v>341.38</v>
      </c>
      <c r="H283" s="28">
        <f t="shared" si="18"/>
        <v>340.48</v>
      </c>
      <c r="I283" s="28">
        <f t="shared" si="18"/>
        <v>339.24</v>
      </c>
      <c r="J283" s="28">
        <f t="shared" si="18"/>
        <v>338.21</v>
      </c>
      <c r="K283" s="28">
        <f t="shared" si="18"/>
        <v>337.1</v>
      </c>
      <c r="L283" s="28">
        <f t="shared" si="18"/>
        <v>336.02</v>
      </c>
      <c r="M283" s="28">
        <f t="shared" si="18"/>
        <v>335.88</v>
      </c>
      <c r="N283" s="28">
        <f t="shared" si="18"/>
        <v>337.6</v>
      </c>
    </row>
    <row r="284" spans="1:14" x14ac:dyDescent="0.4">
      <c r="A284" s="1">
        <v>29830</v>
      </c>
      <c r="B284" s="28">
        <v>336.69</v>
      </c>
      <c r="C284" s="28">
        <f t="shared" si="17"/>
        <v>338.43</v>
      </c>
      <c r="D284" s="28">
        <f t="shared" si="18"/>
        <v>340.49</v>
      </c>
      <c r="E284" s="28">
        <f t="shared" si="18"/>
        <v>342.25</v>
      </c>
      <c r="F284" s="28">
        <f t="shared" si="18"/>
        <v>342.91</v>
      </c>
      <c r="G284" s="28">
        <f t="shared" si="18"/>
        <v>342.5</v>
      </c>
      <c r="H284" s="28">
        <f t="shared" si="18"/>
        <v>341.38</v>
      </c>
      <c r="I284" s="28">
        <f t="shared" si="18"/>
        <v>340.48</v>
      </c>
      <c r="J284" s="28">
        <f t="shared" si="18"/>
        <v>339.24</v>
      </c>
      <c r="K284" s="28">
        <f t="shared" si="18"/>
        <v>338.21</v>
      </c>
      <c r="L284" s="28">
        <f t="shared" si="18"/>
        <v>337.1</v>
      </c>
      <c r="M284" s="28">
        <f t="shared" si="18"/>
        <v>336.02</v>
      </c>
      <c r="N284" s="28">
        <f t="shared" si="18"/>
        <v>335.88</v>
      </c>
    </row>
    <row r="285" spans="1:14" x14ac:dyDescent="0.4">
      <c r="A285" s="1">
        <v>29860</v>
      </c>
      <c r="B285" s="28">
        <v>336.86</v>
      </c>
      <c r="C285" s="28">
        <f t="shared" si="17"/>
        <v>336.69</v>
      </c>
      <c r="D285" s="28">
        <f t="shared" si="18"/>
        <v>338.43</v>
      </c>
      <c r="E285" s="28">
        <f t="shared" si="18"/>
        <v>340.49</v>
      </c>
      <c r="F285" s="28">
        <f t="shared" si="18"/>
        <v>342.25</v>
      </c>
      <c r="G285" s="28">
        <f t="shared" si="18"/>
        <v>342.91</v>
      </c>
      <c r="H285" s="28">
        <f t="shared" si="18"/>
        <v>342.5</v>
      </c>
      <c r="I285" s="28">
        <f t="shared" si="18"/>
        <v>341.38</v>
      </c>
      <c r="J285" s="28">
        <f t="shared" si="18"/>
        <v>340.48</v>
      </c>
      <c r="K285" s="28">
        <f t="shared" si="18"/>
        <v>339.24</v>
      </c>
      <c r="L285" s="28">
        <f t="shared" si="18"/>
        <v>338.21</v>
      </c>
      <c r="M285" s="28">
        <f t="shared" si="18"/>
        <v>337.1</v>
      </c>
      <c r="N285" s="28">
        <f t="shared" si="18"/>
        <v>336.02</v>
      </c>
    </row>
    <row r="286" spans="1:14" x14ac:dyDescent="0.4">
      <c r="A286" s="1">
        <v>29891</v>
      </c>
      <c r="B286" s="28">
        <v>338.36</v>
      </c>
      <c r="C286" s="28">
        <f t="shared" si="17"/>
        <v>336.86</v>
      </c>
      <c r="D286" s="28">
        <f t="shared" si="18"/>
        <v>336.69</v>
      </c>
      <c r="E286" s="28">
        <f t="shared" si="18"/>
        <v>338.43</v>
      </c>
      <c r="F286" s="28">
        <f t="shared" si="18"/>
        <v>340.49</v>
      </c>
      <c r="G286" s="28">
        <f t="shared" si="18"/>
        <v>342.25</v>
      </c>
      <c r="H286" s="28">
        <f t="shared" si="18"/>
        <v>342.91</v>
      </c>
      <c r="I286" s="28">
        <f t="shared" si="18"/>
        <v>342.5</v>
      </c>
      <c r="J286" s="28">
        <f t="shared" si="18"/>
        <v>341.38</v>
      </c>
      <c r="K286" s="28">
        <f t="shared" si="18"/>
        <v>340.48</v>
      </c>
      <c r="L286" s="28">
        <f t="shared" si="18"/>
        <v>339.24</v>
      </c>
      <c r="M286" s="28">
        <f t="shared" si="18"/>
        <v>338.21</v>
      </c>
      <c r="N286" s="28">
        <f t="shared" si="18"/>
        <v>337.1</v>
      </c>
    </row>
    <row r="287" spans="1:14" x14ac:dyDescent="0.4">
      <c r="A287" s="1">
        <v>29921</v>
      </c>
      <c r="B287" s="28">
        <v>339.61</v>
      </c>
      <c r="C287" s="28">
        <f t="shared" si="17"/>
        <v>338.36</v>
      </c>
      <c r="D287" s="28">
        <f t="shared" si="18"/>
        <v>336.86</v>
      </c>
      <c r="E287" s="28">
        <f t="shared" si="18"/>
        <v>336.69</v>
      </c>
      <c r="F287" s="28">
        <f t="shared" si="18"/>
        <v>338.43</v>
      </c>
      <c r="G287" s="28">
        <f t="shared" si="18"/>
        <v>340.49</v>
      </c>
      <c r="H287" s="28">
        <f t="shared" si="18"/>
        <v>342.25</v>
      </c>
      <c r="I287" s="28">
        <f t="shared" si="18"/>
        <v>342.91</v>
      </c>
      <c r="J287" s="28">
        <f t="shared" si="18"/>
        <v>342.5</v>
      </c>
      <c r="K287" s="28">
        <f t="shared" si="18"/>
        <v>341.38</v>
      </c>
      <c r="L287" s="28">
        <f t="shared" si="18"/>
        <v>340.48</v>
      </c>
      <c r="M287" s="28">
        <f t="shared" si="18"/>
        <v>339.24</v>
      </c>
      <c r="N287" s="28">
        <f t="shared" si="18"/>
        <v>338.21</v>
      </c>
    </row>
    <row r="288" spans="1:14" x14ac:dyDescent="0.4">
      <c r="A288" s="1">
        <v>29952</v>
      </c>
      <c r="B288" s="28">
        <v>340.75</v>
      </c>
      <c r="C288" s="28">
        <f t="shared" si="17"/>
        <v>339.61</v>
      </c>
      <c r="D288" s="28">
        <f t="shared" si="18"/>
        <v>338.36</v>
      </c>
      <c r="E288" s="28">
        <f t="shared" si="18"/>
        <v>336.86</v>
      </c>
      <c r="F288" s="28">
        <f t="shared" si="18"/>
        <v>336.69</v>
      </c>
      <c r="G288" s="28">
        <f t="shared" si="18"/>
        <v>338.43</v>
      </c>
      <c r="H288" s="28">
        <f t="shared" si="18"/>
        <v>340.49</v>
      </c>
      <c r="I288" s="28">
        <f t="shared" si="18"/>
        <v>342.25</v>
      </c>
      <c r="J288" s="28">
        <f t="shared" si="18"/>
        <v>342.91</v>
      </c>
      <c r="K288" s="28">
        <f t="shared" si="18"/>
        <v>342.5</v>
      </c>
      <c r="L288" s="28">
        <f t="shared" si="18"/>
        <v>341.38</v>
      </c>
      <c r="M288" s="28">
        <f t="shared" si="18"/>
        <v>340.48</v>
      </c>
      <c r="N288" s="28">
        <f t="shared" si="18"/>
        <v>339.24</v>
      </c>
    </row>
    <row r="289" spans="1:14" x14ac:dyDescent="0.4">
      <c r="A289" s="1">
        <v>29983</v>
      </c>
      <c r="B289" s="28">
        <v>341.61</v>
      </c>
      <c r="C289" s="28">
        <f t="shared" si="17"/>
        <v>340.75</v>
      </c>
      <c r="D289" s="28">
        <f t="shared" si="18"/>
        <v>339.61</v>
      </c>
      <c r="E289" s="28">
        <f t="shared" si="18"/>
        <v>338.36</v>
      </c>
      <c r="F289" s="28">
        <f t="shared" si="18"/>
        <v>336.86</v>
      </c>
      <c r="G289" s="28">
        <f t="shared" si="18"/>
        <v>336.69</v>
      </c>
      <c r="H289" s="28">
        <f t="shared" si="18"/>
        <v>338.43</v>
      </c>
      <c r="I289" s="28">
        <f t="shared" si="18"/>
        <v>340.49</v>
      </c>
      <c r="J289" s="28">
        <f t="shared" si="18"/>
        <v>342.25</v>
      </c>
      <c r="K289" s="28">
        <f t="shared" si="18"/>
        <v>342.91</v>
      </c>
      <c r="L289" s="28">
        <f t="shared" si="18"/>
        <v>342.5</v>
      </c>
      <c r="M289" s="28">
        <f t="shared" si="18"/>
        <v>341.38</v>
      </c>
      <c r="N289" s="28">
        <f t="shared" si="18"/>
        <v>340.48</v>
      </c>
    </row>
    <row r="290" spans="1:14" x14ac:dyDescent="0.4">
      <c r="A290" s="1">
        <v>30011</v>
      </c>
      <c r="B290" s="28">
        <v>342.7</v>
      </c>
      <c r="C290" s="28">
        <f t="shared" si="17"/>
        <v>341.61</v>
      </c>
      <c r="D290" s="28">
        <f t="shared" si="18"/>
        <v>340.75</v>
      </c>
      <c r="E290" s="28">
        <f t="shared" si="18"/>
        <v>339.61</v>
      </c>
      <c r="F290" s="28">
        <f t="shared" si="18"/>
        <v>338.36</v>
      </c>
      <c r="G290" s="28">
        <f t="shared" si="18"/>
        <v>336.86</v>
      </c>
      <c r="H290" s="28">
        <f t="shared" si="18"/>
        <v>336.69</v>
      </c>
      <c r="I290" s="28">
        <f t="shared" si="18"/>
        <v>338.43</v>
      </c>
      <c r="J290" s="28">
        <f t="shared" si="18"/>
        <v>340.49</v>
      </c>
      <c r="K290" s="28">
        <f t="shared" si="18"/>
        <v>342.25</v>
      </c>
      <c r="L290" s="28">
        <f t="shared" si="18"/>
        <v>342.91</v>
      </c>
      <c r="M290" s="28">
        <f t="shared" si="18"/>
        <v>342.5</v>
      </c>
      <c r="N290" s="28">
        <f t="shared" si="18"/>
        <v>341.38</v>
      </c>
    </row>
    <row r="291" spans="1:14" x14ac:dyDescent="0.4">
      <c r="A291" s="1">
        <v>30042</v>
      </c>
      <c r="B291" s="28">
        <v>343.57</v>
      </c>
      <c r="C291" s="28">
        <f t="shared" si="17"/>
        <v>342.7</v>
      </c>
      <c r="D291" s="28">
        <f t="shared" si="18"/>
        <v>341.61</v>
      </c>
      <c r="E291" s="28">
        <f t="shared" si="18"/>
        <v>340.75</v>
      </c>
      <c r="F291" s="28">
        <f t="shared" si="18"/>
        <v>339.61</v>
      </c>
      <c r="G291" s="28">
        <f t="shared" si="18"/>
        <v>338.36</v>
      </c>
      <c r="H291" s="28">
        <f t="shared" si="18"/>
        <v>336.86</v>
      </c>
      <c r="I291" s="28">
        <f t="shared" si="18"/>
        <v>336.69</v>
      </c>
      <c r="J291" s="28">
        <f t="shared" si="18"/>
        <v>338.43</v>
      </c>
      <c r="K291" s="28">
        <f t="shared" si="18"/>
        <v>340.49</v>
      </c>
      <c r="L291" s="28">
        <f t="shared" si="18"/>
        <v>342.25</v>
      </c>
      <c r="M291" s="28">
        <f t="shared" si="18"/>
        <v>342.91</v>
      </c>
      <c r="N291" s="28">
        <f t="shared" si="18"/>
        <v>342.5</v>
      </c>
    </row>
    <row r="292" spans="1:14" x14ac:dyDescent="0.4">
      <c r="A292" s="1">
        <v>30072</v>
      </c>
      <c r="B292" s="28">
        <v>344.14</v>
      </c>
      <c r="C292" s="28">
        <f t="shared" si="17"/>
        <v>343.57</v>
      </c>
      <c r="D292" s="28">
        <f t="shared" si="18"/>
        <v>342.7</v>
      </c>
      <c r="E292" s="28">
        <f t="shared" si="18"/>
        <v>341.61</v>
      </c>
      <c r="F292" s="28">
        <f t="shared" si="18"/>
        <v>340.75</v>
      </c>
      <c r="G292" s="28">
        <f t="shared" si="18"/>
        <v>339.61</v>
      </c>
      <c r="H292" s="28">
        <f t="shared" si="18"/>
        <v>338.36</v>
      </c>
      <c r="I292" s="28">
        <f t="shared" si="18"/>
        <v>336.86</v>
      </c>
      <c r="J292" s="28">
        <f t="shared" si="18"/>
        <v>336.69</v>
      </c>
      <c r="K292" s="28">
        <f t="shared" si="18"/>
        <v>338.43</v>
      </c>
      <c r="L292" s="28">
        <f t="shared" si="18"/>
        <v>340.49</v>
      </c>
      <c r="M292" s="28">
        <f t="shared" si="18"/>
        <v>342.25</v>
      </c>
      <c r="N292" s="28">
        <f t="shared" si="18"/>
        <v>342.91</v>
      </c>
    </row>
    <row r="293" spans="1:14" x14ac:dyDescent="0.4">
      <c r="A293" s="1">
        <v>30103</v>
      </c>
      <c r="B293" s="28">
        <v>343.35</v>
      </c>
      <c r="C293" s="28">
        <f t="shared" si="17"/>
        <v>344.14</v>
      </c>
      <c r="D293" s="28">
        <f t="shared" ref="D293:N308" si="19">IF(C292=0,"",C292)</f>
        <v>343.57</v>
      </c>
      <c r="E293" s="28">
        <f t="shared" si="19"/>
        <v>342.7</v>
      </c>
      <c r="F293" s="28">
        <f t="shared" si="19"/>
        <v>341.61</v>
      </c>
      <c r="G293" s="28">
        <f t="shared" si="19"/>
        <v>340.75</v>
      </c>
      <c r="H293" s="28">
        <f t="shared" si="19"/>
        <v>339.61</v>
      </c>
      <c r="I293" s="28">
        <f t="shared" si="19"/>
        <v>338.36</v>
      </c>
      <c r="J293" s="28">
        <f t="shared" si="19"/>
        <v>336.86</v>
      </c>
      <c r="K293" s="28">
        <f t="shared" si="19"/>
        <v>336.69</v>
      </c>
      <c r="L293" s="28">
        <f t="shared" si="19"/>
        <v>338.43</v>
      </c>
      <c r="M293" s="28">
        <f t="shared" si="19"/>
        <v>340.49</v>
      </c>
      <c r="N293" s="28">
        <f t="shared" si="19"/>
        <v>342.25</v>
      </c>
    </row>
    <row r="294" spans="1:14" x14ac:dyDescent="0.4">
      <c r="A294" s="1">
        <v>30133</v>
      </c>
      <c r="B294" s="28">
        <v>342.06</v>
      </c>
      <c r="C294" s="28">
        <f t="shared" si="17"/>
        <v>343.35</v>
      </c>
      <c r="D294" s="28">
        <f t="shared" si="19"/>
        <v>344.14</v>
      </c>
      <c r="E294" s="28">
        <f t="shared" si="19"/>
        <v>343.57</v>
      </c>
      <c r="F294" s="28">
        <f t="shared" si="19"/>
        <v>342.7</v>
      </c>
      <c r="G294" s="28">
        <f t="shared" si="19"/>
        <v>341.61</v>
      </c>
      <c r="H294" s="28">
        <f t="shared" si="19"/>
        <v>340.75</v>
      </c>
      <c r="I294" s="28">
        <f t="shared" si="19"/>
        <v>339.61</v>
      </c>
      <c r="J294" s="28">
        <f t="shared" si="19"/>
        <v>338.36</v>
      </c>
      <c r="K294" s="28">
        <f t="shared" si="19"/>
        <v>336.86</v>
      </c>
      <c r="L294" s="28">
        <f t="shared" si="19"/>
        <v>336.69</v>
      </c>
      <c r="M294" s="28">
        <f t="shared" si="19"/>
        <v>338.43</v>
      </c>
      <c r="N294" s="28">
        <f t="shared" si="19"/>
        <v>340.49</v>
      </c>
    </row>
    <row r="295" spans="1:14" x14ac:dyDescent="0.4">
      <c r="A295" s="1">
        <v>30164</v>
      </c>
      <c r="B295" s="28">
        <v>339.81</v>
      </c>
      <c r="C295" s="28">
        <f t="shared" si="17"/>
        <v>342.06</v>
      </c>
      <c r="D295" s="28">
        <f t="shared" si="19"/>
        <v>343.35</v>
      </c>
      <c r="E295" s="28">
        <f t="shared" si="19"/>
        <v>344.14</v>
      </c>
      <c r="F295" s="28">
        <f t="shared" si="19"/>
        <v>343.57</v>
      </c>
      <c r="G295" s="28">
        <f t="shared" si="19"/>
        <v>342.7</v>
      </c>
      <c r="H295" s="28">
        <f t="shared" si="19"/>
        <v>341.61</v>
      </c>
      <c r="I295" s="28">
        <f t="shared" si="19"/>
        <v>340.75</v>
      </c>
      <c r="J295" s="28">
        <f t="shared" si="19"/>
        <v>339.61</v>
      </c>
      <c r="K295" s="28">
        <f t="shared" si="19"/>
        <v>338.36</v>
      </c>
      <c r="L295" s="28">
        <f t="shared" si="19"/>
        <v>336.86</v>
      </c>
      <c r="M295" s="28">
        <f t="shared" si="19"/>
        <v>336.69</v>
      </c>
      <c r="N295" s="28">
        <f t="shared" si="19"/>
        <v>338.43</v>
      </c>
    </row>
    <row r="296" spans="1:14" x14ac:dyDescent="0.4">
      <c r="A296" s="1">
        <v>30195</v>
      </c>
      <c r="B296" s="28">
        <v>337.98</v>
      </c>
      <c r="C296" s="28">
        <f t="shared" si="17"/>
        <v>339.81</v>
      </c>
      <c r="D296" s="28">
        <f t="shared" si="19"/>
        <v>342.06</v>
      </c>
      <c r="E296" s="28">
        <f t="shared" si="19"/>
        <v>343.35</v>
      </c>
      <c r="F296" s="28">
        <f t="shared" si="19"/>
        <v>344.14</v>
      </c>
      <c r="G296" s="28">
        <f t="shared" si="19"/>
        <v>343.57</v>
      </c>
      <c r="H296" s="28">
        <f t="shared" si="19"/>
        <v>342.7</v>
      </c>
      <c r="I296" s="28">
        <f t="shared" si="19"/>
        <v>341.61</v>
      </c>
      <c r="J296" s="28">
        <f t="shared" si="19"/>
        <v>340.75</v>
      </c>
      <c r="K296" s="28">
        <f t="shared" si="19"/>
        <v>339.61</v>
      </c>
      <c r="L296" s="28">
        <f t="shared" si="19"/>
        <v>338.36</v>
      </c>
      <c r="M296" s="28">
        <f t="shared" si="19"/>
        <v>336.86</v>
      </c>
      <c r="N296" s="28">
        <f t="shared" si="19"/>
        <v>336.69</v>
      </c>
    </row>
    <row r="297" spans="1:14" x14ac:dyDescent="0.4">
      <c r="A297" s="1">
        <v>30225</v>
      </c>
      <c r="B297" s="28">
        <v>337.86</v>
      </c>
      <c r="C297" s="28">
        <f t="shared" si="17"/>
        <v>337.98</v>
      </c>
      <c r="D297" s="28">
        <f t="shared" si="19"/>
        <v>339.81</v>
      </c>
      <c r="E297" s="28">
        <f t="shared" si="19"/>
        <v>342.06</v>
      </c>
      <c r="F297" s="28">
        <f t="shared" si="19"/>
        <v>343.35</v>
      </c>
      <c r="G297" s="28">
        <f t="shared" si="19"/>
        <v>344.14</v>
      </c>
      <c r="H297" s="28">
        <f t="shared" si="19"/>
        <v>343.57</v>
      </c>
      <c r="I297" s="28">
        <f t="shared" si="19"/>
        <v>342.7</v>
      </c>
      <c r="J297" s="28">
        <f t="shared" si="19"/>
        <v>341.61</v>
      </c>
      <c r="K297" s="28">
        <f t="shared" si="19"/>
        <v>340.75</v>
      </c>
      <c r="L297" s="28">
        <f t="shared" si="19"/>
        <v>339.61</v>
      </c>
      <c r="M297" s="28">
        <f t="shared" si="19"/>
        <v>338.36</v>
      </c>
      <c r="N297" s="28">
        <f t="shared" si="19"/>
        <v>336.86</v>
      </c>
    </row>
    <row r="298" spans="1:14" x14ac:dyDescent="0.4">
      <c r="A298" s="1">
        <v>30256</v>
      </c>
      <c r="B298" s="28">
        <v>339.26</v>
      </c>
      <c r="C298" s="28">
        <f t="shared" si="17"/>
        <v>337.86</v>
      </c>
      <c r="D298" s="28">
        <f t="shared" si="19"/>
        <v>337.98</v>
      </c>
      <c r="E298" s="28">
        <f t="shared" si="19"/>
        <v>339.81</v>
      </c>
      <c r="F298" s="28">
        <f t="shared" si="19"/>
        <v>342.06</v>
      </c>
      <c r="G298" s="28">
        <f t="shared" si="19"/>
        <v>343.35</v>
      </c>
      <c r="H298" s="28">
        <f t="shared" si="19"/>
        <v>344.14</v>
      </c>
      <c r="I298" s="28">
        <f t="shared" si="19"/>
        <v>343.57</v>
      </c>
      <c r="J298" s="28">
        <f t="shared" si="19"/>
        <v>342.7</v>
      </c>
      <c r="K298" s="28">
        <f t="shared" si="19"/>
        <v>341.61</v>
      </c>
      <c r="L298" s="28">
        <f t="shared" si="19"/>
        <v>340.75</v>
      </c>
      <c r="M298" s="28">
        <f t="shared" si="19"/>
        <v>339.61</v>
      </c>
      <c r="N298" s="28">
        <f t="shared" si="19"/>
        <v>338.36</v>
      </c>
    </row>
    <row r="299" spans="1:14" x14ac:dyDescent="0.4">
      <c r="A299" s="1">
        <v>30286</v>
      </c>
      <c r="B299" s="28">
        <v>340.49</v>
      </c>
      <c r="C299" s="28">
        <f t="shared" si="17"/>
        <v>339.26</v>
      </c>
      <c r="D299" s="28">
        <f t="shared" si="19"/>
        <v>337.86</v>
      </c>
      <c r="E299" s="28">
        <f t="shared" si="19"/>
        <v>337.98</v>
      </c>
      <c r="F299" s="28">
        <f t="shared" si="19"/>
        <v>339.81</v>
      </c>
      <c r="G299" s="28">
        <f t="shared" si="19"/>
        <v>342.06</v>
      </c>
      <c r="H299" s="28">
        <f t="shared" si="19"/>
        <v>343.35</v>
      </c>
      <c r="I299" s="28">
        <f t="shared" si="19"/>
        <v>344.14</v>
      </c>
      <c r="J299" s="28">
        <f t="shared" si="19"/>
        <v>343.57</v>
      </c>
      <c r="K299" s="28">
        <f t="shared" si="19"/>
        <v>342.7</v>
      </c>
      <c r="L299" s="28">
        <f t="shared" si="19"/>
        <v>341.61</v>
      </c>
      <c r="M299" s="28">
        <f t="shared" si="19"/>
        <v>340.75</v>
      </c>
      <c r="N299" s="28">
        <f t="shared" si="19"/>
        <v>339.61</v>
      </c>
    </row>
    <row r="300" spans="1:14" x14ac:dyDescent="0.4">
      <c r="A300" s="1">
        <v>30317</v>
      </c>
      <c r="B300" s="28">
        <v>341.38</v>
      </c>
      <c r="C300" s="28">
        <f t="shared" si="17"/>
        <v>340.49</v>
      </c>
      <c r="D300" s="28">
        <f t="shared" si="19"/>
        <v>339.26</v>
      </c>
      <c r="E300" s="28">
        <f t="shared" si="19"/>
        <v>337.86</v>
      </c>
      <c r="F300" s="28">
        <f t="shared" si="19"/>
        <v>337.98</v>
      </c>
      <c r="G300" s="28">
        <f t="shared" si="19"/>
        <v>339.81</v>
      </c>
      <c r="H300" s="28">
        <f t="shared" si="19"/>
        <v>342.06</v>
      </c>
      <c r="I300" s="28">
        <f t="shared" si="19"/>
        <v>343.35</v>
      </c>
      <c r="J300" s="28">
        <f t="shared" si="19"/>
        <v>344.14</v>
      </c>
      <c r="K300" s="28">
        <f t="shared" si="19"/>
        <v>343.57</v>
      </c>
      <c r="L300" s="28">
        <f t="shared" si="19"/>
        <v>342.7</v>
      </c>
      <c r="M300" s="28">
        <f t="shared" si="19"/>
        <v>341.61</v>
      </c>
      <c r="N300" s="28">
        <f t="shared" si="19"/>
        <v>340.75</v>
      </c>
    </row>
    <row r="301" spans="1:14" x14ac:dyDescent="0.4">
      <c r="A301" s="1">
        <v>30348</v>
      </c>
      <c r="B301" s="28">
        <v>342.52</v>
      </c>
      <c r="C301" s="28">
        <f t="shared" si="17"/>
        <v>341.38</v>
      </c>
      <c r="D301" s="28">
        <f t="shared" si="19"/>
        <v>340.49</v>
      </c>
      <c r="E301" s="28">
        <f t="shared" si="19"/>
        <v>339.26</v>
      </c>
      <c r="F301" s="28">
        <f t="shared" si="19"/>
        <v>337.86</v>
      </c>
      <c r="G301" s="28">
        <f t="shared" si="19"/>
        <v>337.98</v>
      </c>
      <c r="H301" s="28">
        <f t="shared" si="19"/>
        <v>339.81</v>
      </c>
      <c r="I301" s="28">
        <f t="shared" si="19"/>
        <v>342.06</v>
      </c>
      <c r="J301" s="28">
        <f t="shared" si="19"/>
        <v>343.35</v>
      </c>
      <c r="K301" s="28">
        <f t="shared" si="19"/>
        <v>344.14</v>
      </c>
      <c r="L301" s="28">
        <f t="shared" si="19"/>
        <v>343.57</v>
      </c>
      <c r="M301" s="28">
        <f t="shared" si="19"/>
        <v>342.7</v>
      </c>
      <c r="N301" s="28">
        <f t="shared" si="19"/>
        <v>341.61</v>
      </c>
    </row>
    <row r="302" spans="1:14" x14ac:dyDescent="0.4">
      <c r="A302" s="1">
        <v>30376</v>
      </c>
      <c r="B302" s="28">
        <v>343.1</v>
      </c>
      <c r="C302" s="28">
        <f t="shared" si="17"/>
        <v>342.52</v>
      </c>
      <c r="D302" s="28">
        <f t="shared" si="19"/>
        <v>341.38</v>
      </c>
      <c r="E302" s="28">
        <f t="shared" si="19"/>
        <v>340.49</v>
      </c>
      <c r="F302" s="28">
        <f t="shared" si="19"/>
        <v>339.26</v>
      </c>
      <c r="G302" s="28">
        <f t="shared" si="19"/>
        <v>337.86</v>
      </c>
      <c r="H302" s="28">
        <f t="shared" si="19"/>
        <v>337.98</v>
      </c>
      <c r="I302" s="28">
        <f t="shared" si="19"/>
        <v>339.81</v>
      </c>
      <c r="J302" s="28">
        <f t="shared" si="19"/>
        <v>342.06</v>
      </c>
      <c r="K302" s="28">
        <f t="shared" si="19"/>
        <v>343.35</v>
      </c>
      <c r="L302" s="28">
        <f t="shared" si="19"/>
        <v>344.14</v>
      </c>
      <c r="M302" s="28">
        <f t="shared" si="19"/>
        <v>343.57</v>
      </c>
      <c r="N302" s="28">
        <f t="shared" si="19"/>
        <v>342.7</v>
      </c>
    </row>
    <row r="303" spans="1:14" x14ac:dyDescent="0.4">
      <c r="A303" s="1">
        <v>30407</v>
      </c>
      <c r="B303" s="28">
        <v>344.94</v>
      </c>
      <c r="C303" s="28">
        <f t="shared" si="17"/>
        <v>343.1</v>
      </c>
      <c r="D303" s="28">
        <f t="shared" si="19"/>
        <v>342.52</v>
      </c>
      <c r="E303" s="28">
        <f t="shared" si="19"/>
        <v>341.38</v>
      </c>
      <c r="F303" s="28">
        <f t="shared" si="19"/>
        <v>340.49</v>
      </c>
      <c r="G303" s="28">
        <f t="shared" si="19"/>
        <v>339.26</v>
      </c>
      <c r="H303" s="28">
        <f t="shared" si="19"/>
        <v>337.86</v>
      </c>
      <c r="I303" s="28">
        <f t="shared" si="19"/>
        <v>337.98</v>
      </c>
      <c r="J303" s="28">
        <f t="shared" si="19"/>
        <v>339.81</v>
      </c>
      <c r="K303" s="28">
        <f t="shared" si="19"/>
        <v>342.06</v>
      </c>
      <c r="L303" s="28">
        <f t="shared" si="19"/>
        <v>343.35</v>
      </c>
      <c r="M303" s="28">
        <f t="shared" si="19"/>
        <v>344.14</v>
      </c>
      <c r="N303" s="28">
        <f t="shared" si="19"/>
        <v>343.57</v>
      </c>
    </row>
    <row r="304" spans="1:14" x14ac:dyDescent="0.4">
      <c r="A304" s="1">
        <v>30437</v>
      </c>
      <c r="B304" s="28">
        <v>345.76</v>
      </c>
      <c r="C304" s="28">
        <f t="shared" si="17"/>
        <v>344.94</v>
      </c>
      <c r="D304" s="28">
        <f t="shared" si="19"/>
        <v>343.1</v>
      </c>
      <c r="E304" s="28">
        <f t="shared" si="19"/>
        <v>342.52</v>
      </c>
      <c r="F304" s="28">
        <f t="shared" si="19"/>
        <v>341.38</v>
      </c>
      <c r="G304" s="28">
        <f t="shared" si="19"/>
        <v>340.49</v>
      </c>
      <c r="H304" s="28">
        <f t="shared" si="19"/>
        <v>339.26</v>
      </c>
      <c r="I304" s="28">
        <f t="shared" si="19"/>
        <v>337.86</v>
      </c>
      <c r="J304" s="28">
        <f t="shared" si="19"/>
        <v>337.98</v>
      </c>
      <c r="K304" s="28">
        <f t="shared" si="19"/>
        <v>339.81</v>
      </c>
      <c r="L304" s="28">
        <f t="shared" si="19"/>
        <v>342.06</v>
      </c>
      <c r="M304" s="28">
        <f t="shared" si="19"/>
        <v>343.35</v>
      </c>
      <c r="N304" s="28">
        <f t="shared" si="19"/>
        <v>344.14</v>
      </c>
    </row>
    <row r="305" spans="1:14" x14ac:dyDescent="0.4">
      <c r="A305" s="1">
        <v>30468</v>
      </c>
      <c r="B305" s="28">
        <v>345.32</v>
      </c>
      <c r="C305" s="28">
        <f t="shared" si="17"/>
        <v>345.76</v>
      </c>
      <c r="D305" s="28">
        <f t="shared" si="19"/>
        <v>344.94</v>
      </c>
      <c r="E305" s="28">
        <f t="shared" si="19"/>
        <v>343.1</v>
      </c>
      <c r="F305" s="28">
        <f t="shared" si="19"/>
        <v>342.52</v>
      </c>
      <c r="G305" s="28">
        <f t="shared" si="19"/>
        <v>341.38</v>
      </c>
      <c r="H305" s="28">
        <f t="shared" si="19"/>
        <v>340.49</v>
      </c>
      <c r="I305" s="28">
        <f t="shared" si="19"/>
        <v>339.26</v>
      </c>
      <c r="J305" s="28">
        <f t="shared" si="19"/>
        <v>337.86</v>
      </c>
      <c r="K305" s="28">
        <f t="shared" si="19"/>
        <v>337.98</v>
      </c>
      <c r="L305" s="28">
        <f t="shared" si="19"/>
        <v>339.81</v>
      </c>
      <c r="M305" s="28">
        <f t="shared" si="19"/>
        <v>342.06</v>
      </c>
      <c r="N305" s="28">
        <f t="shared" si="19"/>
        <v>343.35</v>
      </c>
    </row>
    <row r="306" spans="1:14" x14ac:dyDescent="0.4">
      <c r="A306" s="1">
        <v>30498</v>
      </c>
      <c r="B306" s="28">
        <v>343.98</v>
      </c>
      <c r="C306" s="28">
        <f t="shared" si="17"/>
        <v>345.32</v>
      </c>
      <c r="D306" s="28">
        <f t="shared" si="19"/>
        <v>345.76</v>
      </c>
      <c r="E306" s="28">
        <f t="shared" si="19"/>
        <v>344.94</v>
      </c>
      <c r="F306" s="28">
        <f t="shared" si="19"/>
        <v>343.1</v>
      </c>
      <c r="G306" s="28">
        <f t="shared" si="19"/>
        <v>342.52</v>
      </c>
      <c r="H306" s="28">
        <f t="shared" si="19"/>
        <v>341.38</v>
      </c>
      <c r="I306" s="28">
        <f t="shared" si="19"/>
        <v>340.49</v>
      </c>
      <c r="J306" s="28">
        <f t="shared" si="19"/>
        <v>339.26</v>
      </c>
      <c r="K306" s="28">
        <f t="shared" si="19"/>
        <v>337.86</v>
      </c>
      <c r="L306" s="28">
        <f t="shared" si="19"/>
        <v>337.98</v>
      </c>
      <c r="M306" s="28">
        <f t="shared" si="19"/>
        <v>339.81</v>
      </c>
      <c r="N306" s="28">
        <f t="shared" si="19"/>
        <v>342.06</v>
      </c>
    </row>
    <row r="307" spans="1:14" x14ac:dyDescent="0.4">
      <c r="A307" s="1">
        <v>30529</v>
      </c>
      <c r="B307" s="28">
        <v>342.38</v>
      </c>
      <c r="C307" s="28">
        <f t="shared" si="17"/>
        <v>343.98</v>
      </c>
      <c r="D307" s="28">
        <f t="shared" si="19"/>
        <v>345.32</v>
      </c>
      <c r="E307" s="28">
        <f t="shared" si="19"/>
        <v>345.76</v>
      </c>
      <c r="F307" s="28">
        <f t="shared" si="19"/>
        <v>344.94</v>
      </c>
      <c r="G307" s="28">
        <f t="shared" si="19"/>
        <v>343.1</v>
      </c>
      <c r="H307" s="28">
        <f t="shared" si="19"/>
        <v>342.52</v>
      </c>
      <c r="I307" s="28">
        <f t="shared" si="19"/>
        <v>341.38</v>
      </c>
      <c r="J307" s="28">
        <f t="shared" si="19"/>
        <v>340.49</v>
      </c>
      <c r="K307" s="28">
        <f t="shared" si="19"/>
        <v>339.26</v>
      </c>
      <c r="L307" s="28">
        <f t="shared" si="19"/>
        <v>337.86</v>
      </c>
      <c r="M307" s="28">
        <f t="shared" si="19"/>
        <v>337.98</v>
      </c>
      <c r="N307" s="28">
        <f t="shared" si="19"/>
        <v>339.81</v>
      </c>
    </row>
    <row r="308" spans="1:14" x14ac:dyDescent="0.4">
      <c r="A308" s="1">
        <v>30560</v>
      </c>
      <c r="B308" s="28">
        <v>339.87</v>
      </c>
      <c r="C308" s="28">
        <f t="shared" si="17"/>
        <v>342.38</v>
      </c>
      <c r="D308" s="28">
        <f t="shared" si="19"/>
        <v>343.98</v>
      </c>
      <c r="E308" s="28">
        <f t="shared" si="19"/>
        <v>345.32</v>
      </c>
      <c r="F308" s="28">
        <f t="shared" si="19"/>
        <v>345.76</v>
      </c>
      <c r="G308" s="28">
        <f t="shared" si="19"/>
        <v>344.94</v>
      </c>
      <c r="H308" s="28">
        <f t="shared" si="19"/>
        <v>343.1</v>
      </c>
      <c r="I308" s="28">
        <f t="shared" si="19"/>
        <v>342.52</v>
      </c>
      <c r="J308" s="28">
        <f t="shared" si="19"/>
        <v>341.38</v>
      </c>
      <c r="K308" s="28">
        <f t="shared" si="19"/>
        <v>340.49</v>
      </c>
      <c r="L308" s="28">
        <f t="shared" si="19"/>
        <v>339.26</v>
      </c>
      <c r="M308" s="28">
        <f t="shared" si="19"/>
        <v>337.86</v>
      </c>
      <c r="N308" s="28">
        <f t="shared" si="19"/>
        <v>337.98</v>
      </c>
    </row>
    <row r="309" spans="1:14" x14ac:dyDescent="0.4">
      <c r="A309" s="1">
        <v>30590</v>
      </c>
      <c r="B309" s="28">
        <v>339.99</v>
      </c>
      <c r="C309" s="28">
        <f t="shared" si="17"/>
        <v>339.87</v>
      </c>
      <c r="D309" s="28">
        <f t="shared" ref="D309:N323" si="20">IF(C308=0,"",C308)</f>
        <v>342.38</v>
      </c>
      <c r="E309" s="28">
        <f t="shared" si="20"/>
        <v>343.98</v>
      </c>
      <c r="F309" s="28">
        <f t="shared" si="20"/>
        <v>345.32</v>
      </c>
      <c r="G309" s="28">
        <f t="shared" si="20"/>
        <v>345.76</v>
      </c>
      <c r="H309" s="28">
        <f t="shared" si="20"/>
        <v>344.94</v>
      </c>
      <c r="I309" s="28">
        <f t="shared" si="20"/>
        <v>343.1</v>
      </c>
      <c r="J309" s="28">
        <f t="shared" si="20"/>
        <v>342.52</v>
      </c>
      <c r="K309" s="28">
        <f t="shared" si="20"/>
        <v>341.38</v>
      </c>
      <c r="L309" s="28">
        <f t="shared" si="20"/>
        <v>340.49</v>
      </c>
      <c r="M309" s="28">
        <f t="shared" si="20"/>
        <v>339.26</v>
      </c>
      <c r="N309" s="28">
        <f t="shared" si="20"/>
        <v>337.86</v>
      </c>
    </row>
    <row r="310" spans="1:14" x14ac:dyDescent="0.4">
      <c r="A310" s="1">
        <v>30621</v>
      </c>
      <c r="B310" s="28">
        <v>341.15</v>
      </c>
      <c r="C310" s="28">
        <f t="shared" si="17"/>
        <v>339.99</v>
      </c>
      <c r="D310" s="28">
        <f t="shared" si="20"/>
        <v>339.87</v>
      </c>
      <c r="E310" s="28">
        <f t="shared" si="20"/>
        <v>342.38</v>
      </c>
      <c r="F310" s="28">
        <f t="shared" si="20"/>
        <v>343.98</v>
      </c>
      <c r="G310" s="28">
        <f t="shared" si="20"/>
        <v>345.32</v>
      </c>
      <c r="H310" s="28">
        <f t="shared" si="20"/>
        <v>345.76</v>
      </c>
      <c r="I310" s="28">
        <f t="shared" si="20"/>
        <v>344.94</v>
      </c>
      <c r="J310" s="28">
        <f t="shared" si="20"/>
        <v>343.1</v>
      </c>
      <c r="K310" s="28">
        <f t="shared" si="20"/>
        <v>342.52</v>
      </c>
      <c r="L310" s="28">
        <f t="shared" si="20"/>
        <v>341.38</v>
      </c>
      <c r="M310" s="28">
        <f t="shared" si="20"/>
        <v>340.49</v>
      </c>
      <c r="N310" s="28">
        <f t="shared" si="20"/>
        <v>339.26</v>
      </c>
    </row>
    <row r="311" spans="1:14" x14ac:dyDescent="0.4">
      <c r="A311" s="1">
        <v>30651</v>
      </c>
      <c r="B311" s="28">
        <v>342.99</v>
      </c>
      <c r="C311" s="28">
        <f t="shared" si="17"/>
        <v>341.15</v>
      </c>
      <c r="D311" s="28">
        <f t="shared" si="20"/>
        <v>339.99</v>
      </c>
      <c r="E311" s="28">
        <f t="shared" si="20"/>
        <v>339.87</v>
      </c>
      <c r="F311" s="28">
        <f t="shared" si="20"/>
        <v>342.38</v>
      </c>
      <c r="G311" s="28">
        <f t="shared" si="20"/>
        <v>343.98</v>
      </c>
      <c r="H311" s="28">
        <f t="shared" si="20"/>
        <v>345.32</v>
      </c>
      <c r="I311" s="28">
        <f t="shared" si="20"/>
        <v>345.76</v>
      </c>
      <c r="J311" s="28">
        <f t="shared" si="20"/>
        <v>344.94</v>
      </c>
      <c r="K311" s="28">
        <f t="shared" si="20"/>
        <v>343.1</v>
      </c>
      <c r="L311" s="28">
        <f t="shared" si="20"/>
        <v>342.52</v>
      </c>
      <c r="M311" s="28">
        <f t="shared" si="20"/>
        <v>341.38</v>
      </c>
      <c r="N311" s="28">
        <f t="shared" si="20"/>
        <v>340.49</v>
      </c>
    </row>
    <row r="312" spans="1:14" x14ac:dyDescent="0.4">
      <c r="A312" s="1">
        <v>30682</v>
      </c>
      <c r="B312" s="28">
        <v>343.7</v>
      </c>
      <c r="C312" s="28">
        <f t="shared" si="17"/>
        <v>342.99</v>
      </c>
      <c r="D312" s="28">
        <f t="shared" si="20"/>
        <v>341.15</v>
      </c>
      <c r="E312" s="28">
        <f t="shared" si="20"/>
        <v>339.99</v>
      </c>
      <c r="F312" s="28">
        <f t="shared" si="20"/>
        <v>339.87</v>
      </c>
      <c r="G312" s="28">
        <f t="shared" si="20"/>
        <v>342.38</v>
      </c>
      <c r="H312" s="28">
        <f t="shared" si="20"/>
        <v>343.98</v>
      </c>
      <c r="I312" s="28">
        <f t="shared" si="20"/>
        <v>345.32</v>
      </c>
      <c r="J312" s="28">
        <f t="shared" si="20"/>
        <v>345.76</v>
      </c>
      <c r="K312" s="28">
        <f t="shared" si="20"/>
        <v>344.94</v>
      </c>
      <c r="L312" s="28">
        <f t="shared" si="20"/>
        <v>343.1</v>
      </c>
      <c r="M312" s="28">
        <f t="shared" si="20"/>
        <v>342.52</v>
      </c>
      <c r="N312" s="28">
        <f t="shared" si="20"/>
        <v>341.38</v>
      </c>
    </row>
    <row r="313" spans="1:14" x14ac:dyDescent="0.4">
      <c r="A313" s="1">
        <v>30713</v>
      </c>
      <c r="B313" s="28">
        <v>344.5</v>
      </c>
      <c r="C313" s="28">
        <f t="shared" si="17"/>
        <v>343.7</v>
      </c>
      <c r="D313" s="28">
        <f t="shared" si="20"/>
        <v>342.99</v>
      </c>
      <c r="E313" s="28">
        <f t="shared" si="20"/>
        <v>341.15</v>
      </c>
      <c r="F313" s="28">
        <f t="shared" si="20"/>
        <v>339.99</v>
      </c>
      <c r="G313" s="28">
        <f t="shared" si="20"/>
        <v>339.87</v>
      </c>
      <c r="H313" s="28">
        <f t="shared" si="20"/>
        <v>342.38</v>
      </c>
      <c r="I313" s="28">
        <f t="shared" si="20"/>
        <v>343.98</v>
      </c>
      <c r="J313" s="28">
        <f t="shared" si="20"/>
        <v>345.32</v>
      </c>
      <c r="K313" s="28">
        <f t="shared" si="20"/>
        <v>345.76</v>
      </c>
      <c r="L313" s="28">
        <f t="shared" si="20"/>
        <v>344.94</v>
      </c>
      <c r="M313" s="28">
        <f t="shared" si="20"/>
        <v>343.1</v>
      </c>
      <c r="N313" s="28">
        <f t="shared" si="20"/>
        <v>342.52</v>
      </c>
    </row>
    <row r="314" spans="1:14" x14ac:dyDescent="0.4">
      <c r="A314" s="1">
        <v>30742</v>
      </c>
      <c r="B314" s="28">
        <v>345.28</v>
      </c>
      <c r="C314" s="28">
        <f t="shared" si="17"/>
        <v>344.5</v>
      </c>
      <c r="D314" s="28">
        <f t="shared" si="20"/>
        <v>343.7</v>
      </c>
      <c r="E314" s="28">
        <f t="shared" si="20"/>
        <v>342.99</v>
      </c>
      <c r="F314" s="28">
        <f t="shared" si="20"/>
        <v>341.15</v>
      </c>
      <c r="G314" s="28">
        <f t="shared" si="20"/>
        <v>339.99</v>
      </c>
      <c r="H314" s="28">
        <f t="shared" si="20"/>
        <v>339.87</v>
      </c>
      <c r="I314" s="28">
        <f t="shared" si="20"/>
        <v>342.38</v>
      </c>
      <c r="J314" s="28">
        <f t="shared" si="20"/>
        <v>343.98</v>
      </c>
      <c r="K314" s="28">
        <f t="shared" si="20"/>
        <v>345.32</v>
      </c>
      <c r="L314" s="28">
        <f t="shared" si="20"/>
        <v>345.76</v>
      </c>
      <c r="M314" s="28">
        <f t="shared" si="20"/>
        <v>344.94</v>
      </c>
      <c r="N314" s="28">
        <f t="shared" si="20"/>
        <v>343.1</v>
      </c>
    </row>
    <row r="315" spans="1:14" x14ac:dyDescent="0.4">
      <c r="A315" s="1">
        <v>30773</v>
      </c>
      <c r="B315" s="28">
        <v>347.05</v>
      </c>
      <c r="C315" s="28">
        <f t="shared" si="17"/>
        <v>345.28</v>
      </c>
      <c r="D315" s="28">
        <f t="shared" si="20"/>
        <v>344.5</v>
      </c>
      <c r="E315" s="28">
        <f t="shared" si="20"/>
        <v>343.7</v>
      </c>
      <c r="F315" s="28">
        <f t="shared" si="20"/>
        <v>342.99</v>
      </c>
      <c r="G315" s="28">
        <f t="shared" si="20"/>
        <v>341.15</v>
      </c>
      <c r="H315" s="28">
        <f t="shared" si="20"/>
        <v>339.99</v>
      </c>
      <c r="I315" s="28">
        <f t="shared" si="20"/>
        <v>339.87</v>
      </c>
      <c r="J315" s="28">
        <f t="shared" si="20"/>
        <v>342.38</v>
      </c>
      <c r="K315" s="28">
        <f t="shared" si="20"/>
        <v>343.98</v>
      </c>
      <c r="L315" s="28">
        <f t="shared" si="20"/>
        <v>345.32</v>
      </c>
      <c r="M315" s="28">
        <f t="shared" si="20"/>
        <v>345.76</v>
      </c>
      <c r="N315" s="28">
        <f t="shared" si="20"/>
        <v>344.94</v>
      </c>
    </row>
    <row r="316" spans="1:14" x14ac:dyDescent="0.4">
      <c r="A316" s="1">
        <v>30803</v>
      </c>
      <c r="B316" s="28">
        <v>347.43</v>
      </c>
      <c r="C316" s="28">
        <f t="shared" si="17"/>
        <v>347.05</v>
      </c>
      <c r="D316" s="28">
        <f t="shared" si="20"/>
        <v>345.28</v>
      </c>
      <c r="E316" s="28">
        <f t="shared" si="20"/>
        <v>344.5</v>
      </c>
      <c r="F316" s="28">
        <f t="shared" si="20"/>
        <v>343.7</v>
      </c>
      <c r="G316" s="28">
        <f t="shared" si="20"/>
        <v>342.99</v>
      </c>
      <c r="H316" s="28">
        <f t="shared" si="20"/>
        <v>341.15</v>
      </c>
      <c r="I316" s="28">
        <f t="shared" si="20"/>
        <v>339.99</v>
      </c>
      <c r="J316" s="28">
        <f t="shared" si="20"/>
        <v>339.87</v>
      </c>
      <c r="K316" s="28">
        <f t="shared" si="20"/>
        <v>342.38</v>
      </c>
      <c r="L316" s="28">
        <f t="shared" si="20"/>
        <v>343.98</v>
      </c>
      <c r="M316" s="28">
        <f t="shared" si="20"/>
        <v>345.32</v>
      </c>
      <c r="N316" s="28">
        <f t="shared" si="20"/>
        <v>345.76</v>
      </c>
    </row>
    <row r="317" spans="1:14" x14ac:dyDescent="0.4">
      <c r="A317" s="1">
        <v>30834</v>
      </c>
      <c r="B317" s="28">
        <v>346.8</v>
      </c>
      <c r="C317" s="28">
        <f t="shared" si="17"/>
        <v>347.43</v>
      </c>
      <c r="D317" s="28">
        <f t="shared" si="20"/>
        <v>347.05</v>
      </c>
      <c r="E317" s="28">
        <f t="shared" si="20"/>
        <v>345.28</v>
      </c>
      <c r="F317" s="28">
        <f t="shared" si="20"/>
        <v>344.5</v>
      </c>
      <c r="G317" s="28">
        <f t="shared" si="20"/>
        <v>343.7</v>
      </c>
      <c r="H317" s="28">
        <f t="shared" si="20"/>
        <v>342.99</v>
      </c>
      <c r="I317" s="28">
        <f t="shared" si="20"/>
        <v>341.15</v>
      </c>
      <c r="J317" s="28">
        <f t="shared" si="20"/>
        <v>339.99</v>
      </c>
      <c r="K317" s="28">
        <f t="shared" si="20"/>
        <v>339.87</v>
      </c>
      <c r="L317" s="28">
        <f t="shared" si="20"/>
        <v>342.38</v>
      </c>
      <c r="M317" s="28">
        <f t="shared" si="20"/>
        <v>343.98</v>
      </c>
      <c r="N317" s="28">
        <f t="shared" si="20"/>
        <v>345.32</v>
      </c>
    </row>
    <row r="318" spans="1:14" x14ac:dyDescent="0.4">
      <c r="A318" s="1">
        <v>30864</v>
      </c>
      <c r="B318" s="28">
        <v>345.39</v>
      </c>
      <c r="C318" s="28">
        <f t="shared" si="17"/>
        <v>346.8</v>
      </c>
      <c r="D318" s="28">
        <f t="shared" si="20"/>
        <v>347.43</v>
      </c>
      <c r="E318" s="28">
        <f t="shared" si="20"/>
        <v>347.05</v>
      </c>
      <c r="F318" s="28">
        <f t="shared" si="20"/>
        <v>345.28</v>
      </c>
      <c r="G318" s="28">
        <f t="shared" si="20"/>
        <v>344.5</v>
      </c>
      <c r="H318" s="28">
        <f t="shared" si="20"/>
        <v>343.7</v>
      </c>
      <c r="I318" s="28">
        <f t="shared" si="20"/>
        <v>342.99</v>
      </c>
      <c r="J318" s="28">
        <f t="shared" si="20"/>
        <v>341.15</v>
      </c>
      <c r="K318" s="28">
        <f t="shared" si="20"/>
        <v>339.99</v>
      </c>
      <c r="L318" s="28">
        <f t="shared" si="20"/>
        <v>339.87</v>
      </c>
      <c r="M318" s="28">
        <f t="shared" si="20"/>
        <v>342.38</v>
      </c>
      <c r="N318" s="28">
        <f t="shared" si="20"/>
        <v>343.98</v>
      </c>
    </row>
    <row r="319" spans="1:14" x14ac:dyDescent="0.4">
      <c r="A319" s="1">
        <v>30895</v>
      </c>
      <c r="B319" s="28">
        <v>343.28</v>
      </c>
      <c r="C319" s="28">
        <f t="shared" si="17"/>
        <v>345.39</v>
      </c>
      <c r="D319" s="28">
        <f t="shared" si="20"/>
        <v>346.8</v>
      </c>
      <c r="E319" s="28">
        <f t="shared" si="20"/>
        <v>347.43</v>
      </c>
      <c r="F319" s="28">
        <f t="shared" si="20"/>
        <v>347.05</v>
      </c>
      <c r="G319" s="28">
        <f t="shared" si="20"/>
        <v>345.28</v>
      </c>
      <c r="H319" s="28">
        <f t="shared" si="20"/>
        <v>344.5</v>
      </c>
      <c r="I319" s="28">
        <f t="shared" si="20"/>
        <v>343.7</v>
      </c>
      <c r="J319" s="28">
        <f t="shared" si="20"/>
        <v>342.99</v>
      </c>
      <c r="K319" s="28">
        <f t="shared" si="20"/>
        <v>341.15</v>
      </c>
      <c r="L319" s="28">
        <f t="shared" si="20"/>
        <v>339.99</v>
      </c>
      <c r="M319" s="28">
        <f t="shared" si="20"/>
        <v>339.87</v>
      </c>
      <c r="N319" s="28">
        <f t="shared" si="20"/>
        <v>342.38</v>
      </c>
    </row>
    <row r="320" spans="1:14" x14ac:dyDescent="0.4">
      <c r="A320" s="1">
        <v>30926</v>
      </c>
      <c r="B320" s="28">
        <v>341.07</v>
      </c>
      <c r="C320" s="28">
        <f t="shared" si="17"/>
        <v>343.28</v>
      </c>
      <c r="D320" s="28">
        <f t="shared" si="20"/>
        <v>345.39</v>
      </c>
      <c r="E320" s="28">
        <f t="shared" si="20"/>
        <v>346.8</v>
      </c>
      <c r="F320" s="28">
        <f t="shared" si="20"/>
        <v>347.43</v>
      </c>
      <c r="G320" s="28">
        <f t="shared" si="20"/>
        <v>347.05</v>
      </c>
      <c r="H320" s="28">
        <f t="shared" si="20"/>
        <v>345.28</v>
      </c>
      <c r="I320" s="28">
        <f t="shared" si="20"/>
        <v>344.5</v>
      </c>
      <c r="J320" s="28">
        <f t="shared" si="20"/>
        <v>343.7</v>
      </c>
      <c r="K320" s="28">
        <f t="shared" si="20"/>
        <v>342.99</v>
      </c>
      <c r="L320" s="28">
        <f t="shared" si="20"/>
        <v>341.15</v>
      </c>
      <c r="M320" s="28">
        <f t="shared" si="20"/>
        <v>339.99</v>
      </c>
      <c r="N320" s="28">
        <f t="shared" si="20"/>
        <v>339.87</v>
      </c>
    </row>
    <row r="321" spans="1:14" x14ac:dyDescent="0.4">
      <c r="A321" s="1">
        <v>30956</v>
      </c>
      <c r="B321" s="28">
        <v>341.35</v>
      </c>
      <c r="C321" s="28">
        <f t="shared" si="17"/>
        <v>341.07</v>
      </c>
      <c r="D321" s="28">
        <f t="shared" si="20"/>
        <v>343.28</v>
      </c>
      <c r="E321" s="28">
        <f t="shared" si="20"/>
        <v>345.39</v>
      </c>
      <c r="F321" s="28">
        <f t="shared" si="20"/>
        <v>346.8</v>
      </c>
      <c r="G321" s="28">
        <f t="shared" si="20"/>
        <v>347.43</v>
      </c>
      <c r="H321" s="28">
        <f t="shared" si="20"/>
        <v>347.05</v>
      </c>
      <c r="I321" s="28">
        <f t="shared" si="20"/>
        <v>345.28</v>
      </c>
      <c r="J321" s="28">
        <f t="shared" si="20"/>
        <v>344.5</v>
      </c>
      <c r="K321" s="28">
        <f t="shared" si="20"/>
        <v>343.7</v>
      </c>
      <c r="L321" s="28">
        <f t="shared" si="20"/>
        <v>342.99</v>
      </c>
      <c r="M321" s="28">
        <f t="shared" si="20"/>
        <v>341.15</v>
      </c>
      <c r="N321" s="28">
        <f t="shared" si="20"/>
        <v>339.99</v>
      </c>
    </row>
    <row r="322" spans="1:14" x14ac:dyDescent="0.4">
      <c r="A322" s="1">
        <v>30987</v>
      </c>
      <c r="B322" s="28">
        <v>342.98</v>
      </c>
      <c r="C322" s="28">
        <f t="shared" si="17"/>
        <v>341.35</v>
      </c>
      <c r="D322" s="28">
        <f t="shared" si="20"/>
        <v>341.07</v>
      </c>
      <c r="E322" s="28">
        <f t="shared" si="20"/>
        <v>343.28</v>
      </c>
      <c r="F322" s="28">
        <f t="shared" si="20"/>
        <v>345.39</v>
      </c>
      <c r="G322" s="28">
        <f t="shared" si="20"/>
        <v>346.8</v>
      </c>
      <c r="H322" s="28">
        <f t="shared" si="20"/>
        <v>347.43</v>
      </c>
      <c r="I322" s="28">
        <f t="shared" si="20"/>
        <v>347.05</v>
      </c>
      <c r="J322" s="28">
        <f t="shared" si="20"/>
        <v>345.28</v>
      </c>
      <c r="K322" s="28">
        <f t="shared" si="20"/>
        <v>344.5</v>
      </c>
      <c r="L322" s="28">
        <f t="shared" si="20"/>
        <v>343.7</v>
      </c>
      <c r="M322" s="28">
        <f t="shared" si="20"/>
        <v>342.99</v>
      </c>
      <c r="N322" s="28">
        <f t="shared" si="20"/>
        <v>341.15</v>
      </c>
    </row>
    <row r="323" spans="1:14" x14ac:dyDescent="0.4">
      <c r="A323" s="1">
        <v>31017</v>
      </c>
      <c r="B323" s="28">
        <v>344.22</v>
      </c>
      <c r="C323" s="28">
        <f t="shared" si="17"/>
        <v>342.98</v>
      </c>
      <c r="D323" s="28">
        <f t="shared" si="20"/>
        <v>341.35</v>
      </c>
      <c r="E323" s="28">
        <f t="shared" si="20"/>
        <v>341.07</v>
      </c>
      <c r="F323" s="28">
        <f t="shared" si="20"/>
        <v>343.28</v>
      </c>
      <c r="G323" s="28">
        <f t="shared" si="20"/>
        <v>345.39</v>
      </c>
      <c r="H323" s="28">
        <f t="shared" si="20"/>
        <v>346.8</v>
      </c>
      <c r="I323" s="28">
        <f t="shared" si="20"/>
        <v>347.43</v>
      </c>
      <c r="J323" s="28">
        <f t="shared" si="20"/>
        <v>347.05</v>
      </c>
      <c r="K323" s="28">
        <f t="shared" si="20"/>
        <v>345.28</v>
      </c>
      <c r="L323" s="28">
        <f t="shared" si="20"/>
        <v>344.5</v>
      </c>
      <c r="M323" s="28">
        <f t="shared" si="20"/>
        <v>343.7</v>
      </c>
      <c r="N323" s="28">
        <f t="shared" si="20"/>
        <v>342.99</v>
      </c>
    </row>
    <row r="324" spans="1:14" x14ac:dyDescent="0.4">
      <c r="A324" s="1">
        <v>31048</v>
      </c>
      <c r="B324" s="28">
        <v>344.97</v>
      </c>
      <c r="C324" s="28">
        <f t="shared" ref="C324:N387" si="21">IF(B323=0,"",B323)</f>
        <v>344.22</v>
      </c>
      <c r="D324" s="28">
        <f t="shared" si="21"/>
        <v>342.98</v>
      </c>
      <c r="E324" s="28">
        <f t="shared" si="21"/>
        <v>341.35</v>
      </c>
      <c r="F324" s="28">
        <f t="shared" si="21"/>
        <v>341.07</v>
      </c>
      <c r="G324" s="28">
        <f t="shared" si="21"/>
        <v>343.28</v>
      </c>
      <c r="H324" s="28">
        <f t="shared" si="21"/>
        <v>345.39</v>
      </c>
      <c r="I324" s="28">
        <f t="shared" si="21"/>
        <v>346.8</v>
      </c>
      <c r="J324" s="28">
        <f t="shared" si="21"/>
        <v>347.43</v>
      </c>
      <c r="K324" s="28">
        <f t="shared" si="21"/>
        <v>347.05</v>
      </c>
      <c r="L324" s="28">
        <f t="shared" si="21"/>
        <v>345.28</v>
      </c>
      <c r="M324" s="28">
        <f t="shared" si="21"/>
        <v>344.5</v>
      </c>
      <c r="N324" s="28">
        <f t="shared" si="21"/>
        <v>343.7</v>
      </c>
    </row>
    <row r="325" spans="1:14" x14ac:dyDescent="0.4">
      <c r="A325" s="1">
        <v>31079</v>
      </c>
      <c r="B325" s="28">
        <v>345.99</v>
      </c>
      <c r="C325" s="28">
        <f t="shared" si="21"/>
        <v>344.97</v>
      </c>
      <c r="D325" s="28">
        <f t="shared" si="21"/>
        <v>344.22</v>
      </c>
      <c r="E325" s="28">
        <f t="shared" si="21"/>
        <v>342.98</v>
      </c>
      <c r="F325" s="28">
        <f t="shared" si="21"/>
        <v>341.35</v>
      </c>
      <c r="G325" s="28">
        <f t="shared" si="21"/>
        <v>341.07</v>
      </c>
      <c r="H325" s="28">
        <f t="shared" si="21"/>
        <v>343.28</v>
      </c>
      <c r="I325" s="28">
        <f t="shared" si="21"/>
        <v>345.39</v>
      </c>
      <c r="J325" s="28">
        <f t="shared" si="21"/>
        <v>346.8</v>
      </c>
      <c r="K325" s="28">
        <f t="shared" si="21"/>
        <v>347.43</v>
      </c>
      <c r="L325" s="28">
        <f t="shared" si="21"/>
        <v>347.05</v>
      </c>
      <c r="M325" s="28">
        <f t="shared" si="21"/>
        <v>345.28</v>
      </c>
      <c r="N325" s="28">
        <f t="shared" si="21"/>
        <v>344.5</v>
      </c>
    </row>
    <row r="326" spans="1:14" x14ac:dyDescent="0.4">
      <c r="A326" s="1">
        <v>31107</v>
      </c>
      <c r="B326" s="28">
        <v>347.42</v>
      </c>
      <c r="C326" s="28">
        <f t="shared" si="21"/>
        <v>345.99</v>
      </c>
      <c r="D326" s="28">
        <f t="shared" si="21"/>
        <v>344.97</v>
      </c>
      <c r="E326" s="28">
        <f t="shared" si="21"/>
        <v>344.22</v>
      </c>
      <c r="F326" s="28">
        <f t="shared" si="21"/>
        <v>342.98</v>
      </c>
      <c r="G326" s="28">
        <f t="shared" si="21"/>
        <v>341.35</v>
      </c>
      <c r="H326" s="28">
        <f t="shared" si="21"/>
        <v>341.07</v>
      </c>
      <c r="I326" s="28">
        <f t="shared" si="21"/>
        <v>343.28</v>
      </c>
      <c r="J326" s="28">
        <f t="shared" si="21"/>
        <v>345.39</v>
      </c>
      <c r="K326" s="28">
        <f t="shared" si="21"/>
        <v>346.8</v>
      </c>
      <c r="L326" s="28">
        <f t="shared" si="21"/>
        <v>347.43</v>
      </c>
      <c r="M326" s="28">
        <f t="shared" si="21"/>
        <v>347.05</v>
      </c>
      <c r="N326" s="28">
        <f t="shared" si="21"/>
        <v>345.28</v>
      </c>
    </row>
    <row r="327" spans="1:14" x14ac:dyDescent="0.4">
      <c r="A327" s="1">
        <v>31138</v>
      </c>
      <c r="B327" s="28">
        <v>348.35</v>
      </c>
      <c r="C327" s="28">
        <f t="shared" si="21"/>
        <v>347.42</v>
      </c>
      <c r="D327" s="28">
        <f t="shared" si="21"/>
        <v>345.99</v>
      </c>
      <c r="E327" s="28">
        <f t="shared" si="21"/>
        <v>344.97</v>
      </c>
      <c r="F327" s="28">
        <f t="shared" si="21"/>
        <v>344.22</v>
      </c>
      <c r="G327" s="28">
        <f t="shared" si="21"/>
        <v>342.98</v>
      </c>
      <c r="H327" s="28">
        <f t="shared" si="21"/>
        <v>341.35</v>
      </c>
      <c r="I327" s="28">
        <f t="shared" si="21"/>
        <v>341.07</v>
      </c>
      <c r="J327" s="28">
        <f t="shared" si="21"/>
        <v>343.28</v>
      </c>
      <c r="K327" s="28">
        <f t="shared" si="21"/>
        <v>345.39</v>
      </c>
      <c r="L327" s="28">
        <f t="shared" si="21"/>
        <v>346.8</v>
      </c>
      <c r="M327" s="28">
        <f t="shared" si="21"/>
        <v>347.43</v>
      </c>
      <c r="N327" s="28">
        <f t="shared" si="21"/>
        <v>347.05</v>
      </c>
    </row>
    <row r="328" spans="1:14" x14ac:dyDescent="0.4">
      <c r="A328" s="1">
        <v>31168</v>
      </c>
      <c r="B328" s="28">
        <v>348.93</v>
      </c>
      <c r="C328" s="28">
        <f t="shared" si="21"/>
        <v>348.35</v>
      </c>
      <c r="D328" s="28">
        <f t="shared" si="21"/>
        <v>347.42</v>
      </c>
      <c r="E328" s="28">
        <f t="shared" si="21"/>
        <v>345.99</v>
      </c>
      <c r="F328" s="28">
        <f t="shared" si="21"/>
        <v>344.97</v>
      </c>
      <c r="G328" s="28">
        <f t="shared" si="21"/>
        <v>344.22</v>
      </c>
      <c r="H328" s="28">
        <f t="shared" si="21"/>
        <v>342.98</v>
      </c>
      <c r="I328" s="28">
        <f t="shared" si="21"/>
        <v>341.35</v>
      </c>
      <c r="J328" s="28">
        <f t="shared" si="21"/>
        <v>341.07</v>
      </c>
      <c r="K328" s="28">
        <f t="shared" si="21"/>
        <v>343.28</v>
      </c>
      <c r="L328" s="28">
        <f t="shared" si="21"/>
        <v>345.39</v>
      </c>
      <c r="M328" s="28">
        <f t="shared" si="21"/>
        <v>346.8</v>
      </c>
      <c r="N328" s="28">
        <f t="shared" si="21"/>
        <v>347.43</v>
      </c>
    </row>
    <row r="329" spans="1:14" x14ac:dyDescent="0.4">
      <c r="A329" s="1">
        <v>31199</v>
      </c>
      <c r="B329" s="28">
        <v>348.25</v>
      </c>
      <c r="C329" s="28">
        <f t="shared" si="21"/>
        <v>348.93</v>
      </c>
      <c r="D329" s="28">
        <f t="shared" si="21"/>
        <v>348.35</v>
      </c>
      <c r="E329" s="28">
        <f t="shared" si="21"/>
        <v>347.42</v>
      </c>
      <c r="F329" s="28">
        <f t="shared" si="21"/>
        <v>345.99</v>
      </c>
      <c r="G329" s="28">
        <f t="shared" si="21"/>
        <v>344.97</v>
      </c>
      <c r="H329" s="28">
        <f t="shared" si="21"/>
        <v>344.22</v>
      </c>
      <c r="I329" s="28">
        <f t="shared" si="21"/>
        <v>342.98</v>
      </c>
      <c r="J329" s="28">
        <f t="shared" si="21"/>
        <v>341.35</v>
      </c>
      <c r="K329" s="28">
        <f t="shared" si="21"/>
        <v>341.07</v>
      </c>
      <c r="L329" s="28">
        <f t="shared" si="21"/>
        <v>343.28</v>
      </c>
      <c r="M329" s="28">
        <f t="shared" si="21"/>
        <v>345.39</v>
      </c>
      <c r="N329" s="28">
        <f t="shared" si="21"/>
        <v>346.8</v>
      </c>
    </row>
    <row r="330" spans="1:14" x14ac:dyDescent="0.4">
      <c r="A330" s="1">
        <v>31229</v>
      </c>
      <c r="B330" s="28">
        <v>346.56</v>
      </c>
      <c r="C330" s="28">
        <f t="shared" si="21"/>
        <v>348.25</v>
      </c>
      <c r="D330" s="28">
        <f t="shared" si="21"/>
        <v>348.93</v>
      </c>
      <c r="E330" s="28">
        <f t="shared" si="21"/>
        <v>348.35</v>
      </c>
      <c r="F330" s="28">
        <f t="shared" si="21"/>
        <v>347.42</v>
      </c>
      <c r="G330" s="28">
        <f t="shared" si="21"/>
        <v>345.99</v>
      </c>
      <c r="H330" s="28">
        <f t="shared" si="21"/>
        <v>344.97</v>
      </c>
      <c r="I330" s="28">
        <f t="shared" si="21"/>
        <v>344.22</v>
      </c>
      <c r="J330" s="28">
        <f t="shared" si="21"/>
        <v>342.98</v>
      </c>
      <c r="K330" s="28">
        <f t="shared" si="21"/>
        <v>341.35</v>
      </c>
      <c r="L330" s="28">
        <f t="shared" si="21"/>
        <v>341.07</v>
      </c>
      <c r="M330" s="28">
        <f t="shared" si="21"/>
        <v>343.28</v>
      </c>
      <c r="N330" s="28">
        <f t="shared" si="21"/>
        <v>345.39</v>
      </c>
    </row>
    <row r="331" spans="1:14" x14ac:dyDescent="0.4">
      <c r="A331" s="1">
        <v>31260</v>
      </c>
      <c r="B331" s="28">
        <v>344.67</v>
      </c>
      <c r="C331" s="28">
        <f t="shared" si="21"/>
        <v>346.56</v>
      </c>
      <c r="D331" s="28">
        <f t="shared" si="21"/>
        <v>348.25</v>
      </c>
      <c r="E331" s="28">
        <f t="shared" si="21"/>
        <v>348.93</v>
      </c>
      <c r="F331" s="28">
        <f t="shared" si="21"/>
        <v>348.35</v>
      </c>
      <c r="G331" s="28">
        <f t="shared" si="21"/>
        <v>347.42</v>
      </c>
      <c r="H331" s="28">
        <f t="shared" si="21"/>
        <v>345.99</v>
      </c>
      <c r="I331" s="28">
        <f t="shared" si="21"/>
        <v>344.97</v>
      </c>
      <c r="J331" s="28">
        <f t="shared" si="21"/>
        <v>344.22</v>
      </c>
      <c r="K331" s="28">
        <f t="shared" si="21"/>
        <v>342.98</v>
      </c>
      <c r="L331" s="28">
        <f t="shared" si="21"/>
        <v>341.35</v>
      </c>
      <c r="M331" s="28">
        <f t="shared" si="21"/>
        <v>341.07</v>
      </c>
      <c r="N331" s="28">
        <f t="shared" si="21"/>
        <v>343.28</v>
      </c>
    </row>
    <row r="332" spans="1:14" x14ac:dyDescent="0.4">
      <c r="A332" s="1">
        <v>31291</v>
      </c>
      <c r="B332" s="28">
        <v>343.09</v>
      </c>
      <c r="C332" s="28">
        <f t="shared" si="21"/>
        <v>344.67</v>
      </c>
      <c r="D332" s="28">
        <f t="shared" si="21"/>
        <v>346.56</v>
      </c>
      <c r="E332" s="28">
        <f t="shared" si="21"/>
        <v>348.25</v>
      </c>
      <c r="F332" s="28">
        <f t="shared" si="21"/>
        <v>348.93</v>
      </c>
      <c r="G332" s="28">
        <f t="shared" si="21"/>
        <v>348.35</v>
      </c>
      <c r="H332" s="28">
        <f t="shared" si="21"/>
        <v>347.42</v>
      </c>
      <c r="I332" s="28">
        <f t="shared" si="21"/>
        <v>345.99</v>
      </c>
      <c r="J332" s="28">
        <f t="shared" si="21"/>
        <v>344.97</v>
      </c>
      <c r="K332" s="28">
        <f t="shared" si="21"/>
        <v>344.22</v>
      </c>
      <c r="L332" s="28">
        <f t="shared" si="21"/>
        <v>342.98</v>
      </c>
      <c r="M332" s="28">
        <f t="shared" si="21"/>
        <v>341.35</v>
      </c>
      <c r="N332" s="28">
        <f t="shared" si="21"/>
        <v>341.07</v>
      </c>
    </row>
    <row r="333" spans="1:14" x14ac:dyDescent="0.4">
      <c r="A333" s="1">
        <v>31321</v>
      </c>
      <c r="B333" s="28">
        <v>342.8</v>
      </c>
      <c r="C333" s="28">
        <f t="shared" si="21"/>
        <v>343.09</v>
      </c>
      <c r="D333" s="28">
        <f t="shared" si="21"/>
        <v>344.67</v>
      </c>
      <c r="E333" s="28">
        <f t="shared" si="21"/>
        <v>346.56</v>
      </c>
      <c r="F333" s="28">
        <f t="shared" si="21"/>
        <v>348.25</v>
      </c>
      <c r="G333" s="28">
        <f t="shared" si="21"/>
        <v>348.93</v>
      </c>
      <c r="H333" s="28">
        <f t="shared" si="21"/>
        <v>348.35</v>
      </c>
      <c r="I333" s="28">
        <f t="shared" si="21"/>
        <v>347.42</v>
      </c>
      <c r="J333" s="28">
        <f t="shared" si="21"/>
        <v>345.99</v>
      </c>
      <c r="K333" s="28">
        <f t="shared" si="21"/>
        <v>344.97</v>
      </c>
      <c r="L333" s="28">
        <f t="shared" si="21"/>
        <v>344.22</v>
      </c>
      <c r="M333" s="28">
        <f t="shared" si="21"/>
        <v>342.98</v>
      </c>
      <c r="N333" s="28">
        <f t="shared" si="21"/>
        <v>341.35</v>
      </c>
    </row>
    <row r="334" spans="1:14" x14ac:dyDescent="0.4">
      <c r="A334" s="1">
        <v>31352</v>
      </c>
      <c r="B334" s="28">
        <v>344.24</v>
      </c>
      <c r="C334" s="28">
        <f t="shared" si="21"/>
        <v>342.8</v>
      </c>
      <c r="D334" s="28">
        <f t="shared" si="21"/>
        <v>343.09</v>
      </c>
      <c r="E334" s="28">
        <f t="shared" si="21"/>
        <v>344.67</v>
      </c>
      <c r="F334" s="28">
        <f t="shared" si="21"/>
        <v>346.56</v>
      </c>
      <c r="G334" s="28">
        <f t="shared" si="21"/>
        <v>348.25</v>
      </c>
      <c r="H334" s="28">
        <f t="shared" si="21"/>
        <v>348.93</v>
      </c>
      <c r="I334" s="28">
        <f t="shared" si="21"/>
        <v>348.35</v>
      </c>
      <c r="J334" s="28">
        <f t="shared" si="21"/>
        <v>347.42</v>
      </c>
      <c r="K334" s="28">
        <f t="shared" si="21"/>
        <v>345.99</v>
      </c>
      <c r="L334" s="28">
        <f t="shared" si="21"/>
        <v>344.97</v>
      </c>
      <c r="M334" s="28">
        <f t="shared" si="21"/>
        <v>344.22</v>
      </c>
      <c r="N334" s="28">
        <f t="shared" si="21"/>
        <v>342.98</v>
      </c>
    </row>
    <row r="335" spans="1:14" x14ac:dyDescent="0.4">
      <c r="A335" s="1">
        <v>31382</v>
      </c>
      <c r="B335" s="28">
        <v>345.56</v>
      </c>
      <c r="C335" s="28">
        <f t="shared" si="21"/>
        <v>344.24</v>
      </c>
      <c r="D335" s="28">
        <f t="shared" si="21"/>
        <v>342.8</v>
      </c>
      <c r="E335" s="28">
        <f t="shared" si="21"/>
        <v>343.09</v>
      </c>
      <c r="F335" s="28">
        <f t="shared" si="21"/>
        <v>344.67</v>
      </c>
      <c r="G335" s="28">
        <f t="shared" si="21"/>
        <v>346.56</v>
      </c>
      <c r="H335" s="28">
        <f t="shared" si="21"/>
        <v>348.25</v>
      </c>
      <c r="I335" s="28">
        <f t="shared" si="21"/>
        <v>348.93</v>
      </c>
      <c r="J335" s="28">
        <f t="shared" si="21"/>
        <v>348.35</v>
      </c>
      <c r="K335" s="28">
        <f t="shared" si="21"/>
        <v>347.42</v>
      </c>
      <c r="L335" s="28">
        <f t="shared" si="21"/>
        <v>345.99</v>
      </c>
      <c r="M335" s="28">
        <f t="shared" si="21"/>
        <v>344.97</v>
      </c>
      <c r="N335" s="28">
        <f t="shared" si="21"/>
        <v>344.22</v>
      </c>
    </row>
    <row r="336" spans="1:14" x14ac:dyDescent="0.4">
      <c r="A336" s="1">
        <v>31413</v>
      </c>
      <c r="B336" s="28">
        <v>346.3</v>
      </c>
      <c r="C336" s="28">
        <f t="shared" si="21"/>
        <v>345.56</v>
      </c>
      <c r="D336" s="28">
        <f t="shared" si="21"/>
        <v>344.24</v>
      </c>
      <c r="E336" s="28">
        <f t="shared" si="21"/>
        <v>342.8</v>
      </c>
      <c r="F336" s="28">
        <f t="shared" si="21"/>
        <v>343.09</v>
      </c>
      <c r="G336" s="28">
        <f t="shared" si="21"/>
        <v>344.67</v>
      </c>
      <c r="H336" s="28">
        <f t="shared" si="21"/>
        <v>346.56</v>
      </c>
      <c r="I336" s="28">
        <f t="shared" si="21"/>
        <v>348.25</v>
      </c>
      <c r="J336" s="28">
        <f t="shared" si="21"/>
        <v>348.93</v>
      </c>
      <c r="K336" s="28">
        <f t="shared" si="21"/>
        <v>348.35</v>
      </c>
      <c r="L336" s="28">
        <f t="shared" si="21"/>
        <v>347.42</v>
      </c>
      <c r="M336" s="28">
        <f t="shared" si="21"/>
        <v>345.99</v>
      </c>
      <c r="N336" s="28">
        <f t="shared" si="21"/>
        <v>344.97</v>
      </c>
    </row>
    <row r="337" spans="1:14" x14ac:dyDescent="0.4">
      <c r="A337" s="1">
        <v>31444</v>
      </c>
      <c r="B337" s="28">
        <v>346.95</v>
      </c>
      <c r="C337" s="28">
        <f t="shared" si="21"/>
        <v>346.3</v>
      </c>
      <c r="D337" s="28">
        <f t="shared" si="21"/>
        <v>345.56</v>
      </c>
      <c r="E337" s="28">
        <f t="shared" si="21"/>
        <v>344.24</v>
      </c>
      <c r="F337" s="28">
        <f t="shared" si="21"/>
        <v>342.8</v>
      </c>
      <c r="G337" s="28">
        <f t="shared" si="21"/>
        <v>343.09</v>
      </c>
      <c r="H337" s="28">
        <f t="shared" si="21"/>
        <v>344.67</v>
      </c>
      <c r="I337" s="28">
        <f t="shared" si="21"/>
        <v>346.56</v>
      </c>
      <c r="J337" s="28">
        <f t="shared" si="21"/>
        <v>348.25</v>
      </c>
      <c r="K337" s="28">
        <f t="shared" si="21"/>
        <v>348.93</v>
      </c>
      <c r="L337" s="28">
        <f t="shared" si="21"/>
        <v>348.35</v>
      </c>
      <c r="M337" s="28">
        <f t="shared" si="21"/>
        <v>347.42</v>
      </c>
      <c r="N337" s="28">
        <f t="shared" si="21"/>
        <v>345.99</v>
      </c>
    </row>
    <row r="338" spans="1:14" x14ac:dyDescent="0.4">
      <c r="A338" s="1">
        <v>31472</v>
      </c>
      <c r="B338" s="28">
        <v>347.85</v>
      </c>
      <c r="C338" s="28">
        <f t="shared" si="21"/>
        <v>346.95</v>
      </c>
      <c r="D338" s="28">
        <f t="shared" si="21"/>
        <v>346.3</v>
      </c>
      <c r="E338" s="28">
        <f t="shared" si="21"/>
        <v>345.56</v>
      </c>
      <c r="F338" s="28">
        <f t="shared" si="21"/>
        <v>344.24</v>
      </c>
      <c r="G338" s="28">
        <f t="shared" si="21"/>
        <v>342.8</v>
      </c>
      <c r="H338" s="28">
        <f t="shared" si="21"/>
        <v>343.09</v>
      </c>
      <c r="I338" s="28">
        <f t="shared" si="21"/>
        <v>344.67</v>
      </c>
      <c r="J338" s="28">
        <f t="shared" si="21"/>
        <v>346.56</v>
      </c>
      <c r="K338" s="28">
        <f t="shared" si="21"/>
        <v>348.25</v>
      </c>
      <c r="L338" s="28">
        <f t="shared" si="21"/>
        <v>348.93</v>
      </c>
      <c r="M338" s="28">
        <f t="shared" si="21"/>
        <v>348.35</v>
      </c>
      <c r="N338" s="28">
        <f t="shared" si="21"/>
        <v>347.42</v>
      </c>
    </row>
    <row r="339" spans="1:14" x14ac:dyDescent="0.4">
      <c r="A339" s="1">
        <v>31503</v>
      </c>
      <c r="B339" s="28">
        <v>349.55</v>
      </c>
      <c r="C339" s="28">
        <f t="shared" si="21"/>
        <v>347.85</v>
      </c>
      <c r="D339" s="28">
        <f t="shared" si="21"/>
        <v>346.95</v>
      </c>
      <c r="E339" s="28">
        <f t="shared" si="21"/>
        <v>346.3</v>
      </c>
      <c r="F339" s="28">
        <f t="shared" si="21"/>
        <v>345.56</v>
      </c>
      <c r="G339" s="28">
        <f t="shared" si="21"/>
        <v>344.24</v>
      </c>
      <c r="H339" s="28">
        <f t="shared" si="21"/>
        <v>342.8</v>
      </c>
      <c r="I339" s="28">
        <f t="shared" si="21"/>
        <v>343.09</v>
      </c>
      <c r="J339" s="28">
        <f t="shared" si="21"/>
        <v>344.67</v>
      </c>
      <c r="K339" s="28">
        <f t="shared" si="21"/>
        <v>346.56</v>
      </c>
      <c r="L339" s="28">
        <f t="shared" si="21"/>
        <v>348.25</v>
      </c>
      <c r="M339" s="28">
        <f t="shared" si="21"/>
        <v>348.93</v>
      </c>
      <c r="N339" s="28">
        <f t="shared" si="21"/>
        <v>348.35</v>
      </c>
    </row>
    <row r="340" spans="1:14" x14ac:dyDescent="0.4">
      <c r="A340" s="1">
        <v>31533</v>
      </c>
      <c r="B340" s="28">
        <v>350.22</v>
      </c>
      <c r="C340" s="28">
        <f t="shared" si="21"/>
        <v>349.55</v>
      </c>
      <c r="D340" s="28">
        <f t="shared" si="21"/>
        <v>347.85</v>
      </c>
      <c r="E340" s="28">
        <f t="shared" si="21"/>
        <v>346.95</v>
      </c>
      <c r="F340" s="28">
        <f t="shared" si="21"/>
        <v>346.3</v>
      </c>
      <c r="G340" s="28">
        <f t="shared" si="21"/>
        <v>345.56</v>
      </c>
      <c r="H340" s="28">
        <f t="shared" si="21"/>
        <v>344.24</v>
      </c>
      <c r="I340" s="28">
        <f t="shared" si="21"/>
        <v>342.8</v>
      </c>
      <c r="J340" s="28">
        <f t="shared" si="21"/>
        <v>343.09</v>
      </c>
      <c r="K340" s="28">
        <f t="shared" si="21"/>
        <v>344.67</v>
      </c>
      <c r="L340" s="28">
        <f t="shared" si="21"/>
        <v>346.56</v>
      </c>
      <c r="M340" s="28">
        <f t="shared" si="21"/>
        <v>348.25</v>
      </c>
      <c r="N340" s="28">
        <f t="shared" si="21"/>
        <v>348.93</v>
      </c>
    </row>
    <row r="341" spans="1:14" x14ac:dyDescent="0.4">
      <c r="A341" s="1">
        <v>31564</v>
      </c>
      <c r="B341" s="28">
        <v>349.55</v>
      </c>
      <c r="C341" s="28">
        <f t="shared" si="21"/>
        <v>350.22</v>
      </c>
      <c r="D341" s="28">
        <f t="shared" si="21"/>
        <v>349.55</v>
      </c>
      <c r="E341" s="28">
        <f t="shared" si="21"/>
        <v>347.85</v>
      </c>
      <c r="F341" s="28">
        <f t="shared" si="21"/>
        <v>346.95</v>
      </c>
      <c r="G341" s="28">
        <f t="shared" si="21"/>
        <v>346.3</v>
      </c>
      <c r="H341" s="28">
        <f t="shared" ref="D341:N356" si="22">IF(G340=0,"",G340)</f>
        <v>345.56</v>
      </c>
      <c r="I341" s="28">
        <f t="shared" si="22"/>
        <v>344.24</v>
      </c>
      <c r="J341" s="28">
        <f t="shared" si="22"/>
        <v>342.8</v>
      </c>
      <c r="K341" s="28">
        <f t="shared" si="22"/>
        <v>343.09</v>
      </c>
      <c r="L341" s="28">
        <f t="shared" si="22"/>
        <v>344.67</v>
      </c>
      <c r="M341" s="28">
        <f t="shared" si="22"/>
        <v>346.56</v>
      </c>
      <c r="N341" s="28">
        <f t="shared" si="22"/>
        <v>348.25</v>
      </c>
    </row>
    <row r="342" spans="1:14" x14ac:dyDescent="0.4">
      <c r="A342" s="1">
        <v>31594</v>
      </c>
      <c r="B342" s="28">
        <v>347.94</v>
      </c>
      <c r="C342" s="28">
        <f t="shared" si="21"/>
        <v>349.55</v>
      </c>
      <c r="D342" s="28">
        <f t="shared" si="22"/>
        <v>350.22</v>
      </c>
      <c r="E342" s="28">
        <f t="shared" si="22"/>
        <v>349.55</v>
      </c>
      <c r="F342" s="28">
        <f t="shared" si="22"/>
        <v>347.85</v>
      </c>
      <c r="G342" s="28">
        <f t="shared" si="22"/>
        <v>346.95</v>
      </c>
      <c r="H342" s="28">
        <f t="shared" si="22"/>
        <v>346.3</v>
      </c>
      <c r="I342" s="28">
        <f t="shared" si="22"/>
        <v>345.56</v>
      </c>
      <c r="J342" s="28">
        <f t="shared" si="22"/>
        <v>344.24</v>
      </c>
      <c r="K342" s="28">
        <f t="shared" si="22"/>
        <v>342.8</v>
      </c>
      <c r="L342" s="28">
        <f t="shared" si="22"/>
        <v>343.09</v>
      </c>
      <c r="M342" s="28">
        <f t="shared" si="22"/>
        <v>344.67</v>
      </c>
      <c r="N342" s="28">
        <f t="shared" si="22"/>
        <v>346.56</v>
      </c>
    </row>
    <row r="343" spans="1:14" x14ac:dyDescent="0.4">
      <c r="A343" s="1">
        <v>31625</v>
      </c>
      <c r="B343" s="28">
        <v>345.9</v>
      </c>
      <c r="C343" s="28">
        <f t="shared" si="21"/>
        <v>347.94</v>
      </c>
      <c r="D343" s="28">
        <f t="shared" si="22"/>
        <v>349.55</v>
      </c>
      <c r="E343" s="28">
        <f t="shared" si="22"/>
        <v>350.22</v>
      </c>
      <c r="F343" s="28">
        <f t="shared" si="22"/>
        <v>349.55</v>
      </c>
      <c r="G343" s="28">
        <f t="shared" si="22"/>
        <v>347.85</v>
      </c>
      <c r="H343" s="28">
        <f t="shared" si="22"/>
        <v>346.95</v>
      </c>
      <c r="I343" s="28">
        <f t="shared" si="22"/>
        <v>346.3</v>
      </c>
      <c r="J343" s="28">
        <f t="shared" si="22"/>
        <v>345.56</v>
      </c>
      <c r="K343" s="28">
        <f t="shared" si="22"/>
        <v>344.24</v>
      </c>
      <c r="L343" s="28">
        <f t="shared" si="22"/>
        <v>342.8</v>
      </c>
      <c r="M343" s="28">
        <f t="shared" si="22"/>
        <v>343.09</v>
      </c>
      <c r="N343" s="28">
        <f t="shared" si="22"/>
        <v>344.67</v>
      </c>
    </row>
    <row r="344" spans="1:14" x14ac:dyDescent="0.4">
      <c r="A344" s="1">
        <v>31656</v>
      </c>
      <c r="B344" s="28">
        <v>344.85</v>
      </c>
      <c r="C344" s="28">
        <f t="shared" si="21"/>
        <v>345.9</v>
      </c>
      <c r="D344" s="28">
        <f t="shared" si="22"/>
        <v>347.94</v>
      </c>
      <c r="E344" s="28">
        <f t="shared" si="22"/>
        <v>349.55</v>
      </c>
      <c r="F344" s="28">
        <f t="shared" si="22"/>
        <v>350.22</v>
      </c>
      <c r="G344" s="28">
        <f t="shared" si="22"/>
        <v>349.55</v>
      </c>
      <c r="H344" s="28">
        <f t="shared" si="22"/>
        <v>347.85</v>
      </c>
      <c r="I344" s="28">
        <f t="shared" si="22"/>
        <v>346.95</v>
      </c>
      <c r="J344" s="28">
        <f t="shared" si="22"/>
        <v>346.3</v>
      </c>
      <c r="K344" s="28">
        <f t="shared" si="22"/>
        <v>345.56</v>
      </c>
      <c r="L344" s="28">
        <f t="shared" si="22"/>
        <v>344.24</v>
      </c>
      <c r="M344" s="28">
        <f t="shared" si="22"/>
        <v>342.8</v>
      </c>
      <c r="N344" s="28">
        <f t="shared" si="22"/>
        <v>343.09</v>
      </c>
    </row>
    <row r="345" spans="1:14" x14ac:dyDescent="0.4">
      <c r="A345" s="1">
        <v>31686</v>
      </c>
      <c r="B345" s="28">
        <v>344.17</v>
      </c>
      <c r="C345" s="28">
        <f t="shared" si="21"/>
        <v>344.85</v>
      </c>
      <c r="D345" s="28">
        <f t="shared" si="22"/>
        <v>345.9</v>
      </c>
      <c r="E345" s="28">
        <f t="shared" si="22"/>
        <v>347.94</v>
      </c>
      <c r="F345" s="28">
        <f t="shared" si="22"/>
        <v>349.55</v>
      </c>
      <c r="G345" s="28">
        <f t="shared" si="22"/>
        <v>350.22</v>
      </c>
      <c r="H345" s="28">
        <f t="shared" si="22"/>
        <v>349.55</v>
      </c>
      <c r="I345" s="28">
        <f t="shared" si="22"/>
        <v>347.85</v>
      </c>
      <c r="J345" s="28">
        <f t="shared" si="22"/>
        <v>346.95</v>
      </c>
      <c r="K345" s="28">
        <f t="shared" si="22"/>
        <v>346.3</v>
      </c>
      <c r="L345" s="28">
        <f t="shared" si="22"/>
        <v>345.56</v>
      </c>
      <c r="M345" s="28">
        <f t="shared" si="22"/>
        <v>344.24</v>
      </c>
      <c r="N345" s="28">
        <f t="shared" si="22"/>
        <v>342.8</v>
      </c>
    </row>
    <row r="346" spans="1:14" x14ac:dyDescent="0.4">
      <c r="A346" s="1">
        <v>31717</v>
      </c>
      <c r="B346" s="28">
        <v>345.66</v>
      </c>
      <c r="C346" s="28">
        <f t="shared" si="21"/>
        <v>344.17</v>
      </c>
      <c r="D346" s="28">
        <f t="shared" si="22"/>
        <v>344.85</v>
      </c>
      <c r="E346" s="28">
        <f t="shared" si="22"/>
        <v>345.9</v>
      </c>
      <c r="F346" s="28">
        <f t="shared" si="22"/>
        <v>347.94</v>
      </c>
      <c r="G346" s="28">
        <f t="shared" si="22"/>
        <v>349.55</v>
      </c>
      <c r="H346" s="28">
        <f t="shared" si="22"/>
        <v>350.22</v>
      </c>
      <c r="I346" s="28">
        <f t="shared" si="22"/>
        <v>349.55</v>
      </c>
      <c r="J346" s="28">
        <f t="shared" si="22"/>
        <v>347.85</v>
      </c>
      <c r="K346" s="28">
        <f t="shared" si="22"/>
        <v>346.95</v>
      </c>
      <c r="L346" s="28">
        <f t="shared" si="22"/>
        <v>346.3</v>
      </c>
      <c r="M346" s="28">
        <f t="shared" si="22"/>
        <v>345.56</v>
      </c>
      <c r="N346" s="28">
        <f t="shared" si="22"/>
        <v>344.24</v>
      </c>
    </row>
    <row r="347" spans="1:14" x14ac:dyDescent="0.4">
      <c r="A347" s="1">
        <v>31747</v>
      </c>
      <c r="B347" s="28">
        <v>346.9</v>
      </c>
      <c r="C347" s="28">
        <f t="shared" si="21"/>
        <v>345.66</v>
      </c>
      <c r="D347" s="28">
        <f t="shared" si="22"/>
        <v>344.17</v>
      </c>
      <c r="E347" s="28">
        <f t="shared" si="22"/>
        <v>344.85</v>
      </c>
      <c r="F347" s="28">
        <f t="shared" si="22"/>
        <v>345.9</v>
      </c>
      <c r="G347" s="28">
        <f t="shared" si="22"/>
        <v>347.94</v>
      </c>
      <c r="H347" s="28">
        <f t="shared" si="22"/>
        <v>349.55</v>
      </c>
      <c r="I347" s="28">
        <f t="shared" si="22"/>
        <v>350.22</v>
      </c>
      <c r="J347" s="28">
        <f t="shared" si="22"/>
        <v>349.55</v>
      </c>
      <c r="K347" s="28">
        <f t="shared" si="22"/>
        <v>347.85</v>
      </c>
      <c r="L347" s="28">
        <f t="shared" si="22"/>
        <v>346.95</v>
      </c>
      <c r="M347" s="28">
        <f t="shared" si="22"/>
        <v>346.3</v>
      </c>
      <c r="N347" s="28">
        <f t="shared" si="22"/>
        <v>345.56</v>
      </c>
    </row>
    <row r="348" spans="1:14" x14ac:dyDescent="0.4">
      <c r="A348" s="1">
        <v>31778</v>
      </c>
      <c r="B348" s="28">
        <v>348.02</v>
      </c>
      <c r="C348" s="28">
        <f t="shared" si="21"/>
        <v>346.9</v>
      </c>
      <c r="D348" s="28">
        <f t="shared" si="22"/>
        <v>345.66</v>
      </c>
      <c r="E348" s="28">
        <f t="shared" si="22"/>
        <v>344.17</v>
      </c>
      <c r="F348" s="28">
        <f t="shared" si="22"/>
        <v>344.85</v>
      </c>
      <c r="G348" s="28">
        <f t="shared" si="22"/>
        <v>345.9</v>
      </c>
      <c r="H348" s="28">
        <f t="shared" si="22"/>
        <v>347.94</v>
      </c>
      <c r="I348" s="28">
        <f t="shared" si="22"/>
        <v>349.55</v>
      </c>
      <c r="J348" s="28">
        <f t="shared" si="22"/>
        <v>350.22</v>
      </c>
      <c r="K348" s="28">
        <f t="shared" si="22"/>
        <v>349.55</v>
      </c>
      <c r="L348" s="28">
        <f t="shared" si="22"/>
        <v>347.85</v>
      </c>
      <c r="M348" s="28">
        <f t="shared" si="22"/>
        <v>346.95</v>
      </c>
      <c r="N348" s="28">
        <f t="shared" si="22"/>
        <v>346.3</v>
      </c>
    </row>
    <row r="349" spans="1:14" x14ac:dyDescent="0.4">
      <c r="A349" s="1">
        <v>31809</v>
      </c>
      <c r="B349" s="28">
        <v>348.48</v>
      </c>
      <c r="C349" s="28">
        <f t="shared" si="21"/>
        <v>348.02</v>
      </c>
      <c r="D349" s="28">
        <f t="shared" si="22"/>
        <v>346.9</v>
      </c>
      <c r="E349" s="28">
        <f t="shared" si="22"/>
        <v>345.66</v>
      </c>
      <c r="F349" s="28">
        <f t="shared" si="22"/>
        <v>344.17</v>
      </c>
      <c r="G349" s="28">
        <f t="shared" si="22"/>
        <v>344.85</v>
      </c>
      <c r="H349" s="28">
        <f t="shared" si="22"/>
        <v>345.9</v>
      </c>
      <c r="I349" s="28">
        <f t="shared" si="22"/>
        <v>347.94</v>
      </c>
      <c r="J349" s="28">
        <f t="shared" si="22"/>
        <v>349.55</v>
      </c>
      <c r="K349" s="28">
        <f t="shared" si="22"/>
        <v>350.22</v>
      </c>
      <c r="L349" s="28">
        <f t="shared" si="22"/>
        <v>349.55</v>
      </c>
      <c r="M349" s="28">
        <f t="shared" si="22"/>
        <v>347.85</v>
      </c>
      <c r="N349" s="28">
        <f t="shared" si="22"/>
        <v>346.95</v>
      </c>
    </row>
    <row r="350" spans="1:14" x14ac:dyDescent="0.4">
      <c r="A350" s="1">
        <v>31837</v>
      </c>
      <c r="B350" s="28">
        <v>349.42</v>
      </c>
      <c r="C350" s="28">
        <f t="shared" si="21"/>
        <v>348.48</v>
      </c>
      <c r="D350" s="28">
        <f t="shared" si="22"/>
        <v>348.02</v>
      </c>
      <c r="E350" s="28">
        <f t="shared" si="22"/>
        <v>346.9</v>
      </c>
      <c r="F350" s="28">
        <f t="shared" si="22"/>
        <v>345.66</v>
      </c>
      <c r="G350" s="28">
        <f t="shared" si="22"/>
        <v>344.17</v>
      </c>
      <c r="H350" s="28">
        <f t="shared" si="22"/>
        <v>344.85</v>
      </c>
      <c r="I350" s="28">
        <f t="shared" si="22"/>
        <v>345.9</v>
      </c>
      <c r="J350" s="28">
        <f t="shared" si="22"/>
        <v>347.94</v>
      </c>
      <c r="K350" s="28">
        <f t="shared" si="22"/>
        <v>349.55</v>
      </c>
      <c r="L350" s="28">
        <f t="shared" si="22"/>
        <v>350.22</v>
      </c>
      <c r="M350" s="28">
        <f t="shared" si="22"/>
        <v>349.55</v>
      </c>
      <c r="N350" s="28">
        <f t="shared" si="22"/>
        <v>347.85</v>
      </c>
    </row>
    <row r="351" spans="1:14" x14ac:dyDescent="0.4">
      <c r="A351" s="1">
        <v>31868</v>
      </c>
      <c r="B351" s="28">
        <v>350.98</v>
      </c>
      <c r="C351" s="28">
        <f t="shared" si="21"/>
        <v>349.42</v>
      </c>
      <c r="D351" s="28">
        <f t="shared" si="22"/>
        <v>348.48</v>
      </c>
      <c r="E351" s="28">
        <f t="shared" si="22"/>
        <v>348.02</v>
      </c>
      <c r="F351" s="28">
        <f t="shared" si="22"/>
        <v>346.9</v>
      </c>
      <c r="G351" s="28">
        <f t="shared" si="22"/>
        <v>345.66</v>
      </c>
      <c r="H351" s="28">
        <f t="shared" si="22"/>
        <v>344.17</v>
      </c>
      <c r="I351" s="28">
        <f t="shared" si="22"/>
        <v>344.85</v>
      </c>
      <c r="J351" s="28">
        <f t="shared" si="22"/>
        <v>345.9</v>
      </c>
      <c r="K351" s="28">
        <f t="shared" si="22"/>
        <v>347.94</v>
      </c>
      <c r="L351" s="28">
        <f t="shared" si="22"/>
        <v>349.55</v>
      </c>
      <c r="M351" s="28">
        <f t="shared" si="22"/>
        <v>350.22</v>
      </c>
      <c r="N351" s="28">
        <f t="shared" si="22"/>
        <v>349.55</v>
      </c>
    </row>
    <row r="352" spans="1:14" x14ac:dyDescent="0.4">
      <c r="A352" s="1">
        <v>31898</v>
      </c>
      <c r="B352" s="28">
        <v>351.85</v>
      </c>
      <c r="C352" s="28">
        <f t="shared" si="21"/>
        <v>350.98</v>
      </c>
      <c r="D352" s="28">
        <f t="shared" si="22"/>
        <v>349.42</v>
      </c>
      <c r="E352" s="28">
        <f t="shared" si="22"/>
        <v>348.48</v>
      </c>
      <c r="F352" s="28">
        <f t="shared" si="22"/>
        <v>348.02</v>
      </c>
      <c r="G352" s="28">
        <f t="shared" si="22"/>
        <v>346.9</v>
      </c>
      <c r="H352" s="28">
        <f t="shared" si="22"/>
        <v>345.66</v>
      </c>
      <c r="I352" s="28">
        <f t="shared" si="22"/>
        <v>344.17</v>
      </c>
      <c r="J352" s="28">
        <f t="shared" si="22"/>
        <v>344.85</v>
      </c>
      <c r="K352" s="28">
        <f t="shared" si="22"/>
        <v>345.9</v>
      </c>
      <c r="L352" s="28">
        <f t="shared" si="22"/>
        <v>347.94</v>
      </c>
      <c r="M352" s="28">
        <f t="shared" si="22"/>
        <v>349.55</v>
      </c>
      <c r="N352" s="28">
        <f t="shared" si="22"/>
        <v>350.22</v>
      </c>
    </row>
    <row r="353" spans="1:14" x14ac:dyDescent="0.4">
      <c r="A353" s="1">
        <v>31929</v>
      </c>
      <c r="B353" s="28">
        <v>351.26</v>
      </c>
      <c r="C353" s="28">
        <f t="shared" si="21"/>
        <v>351.85</v>
      </c>
      <c r="D353" s="28">
        <f t="shared" si="22"/>
        <v>350.98</v>
      </c>
      <c r="E353" s="28">
        <f t="shared" si="22"/>
        <v>349.42</v>
      </c>
      <c r="F353" s="28">
        <f t="shared" si="22"/>
        <v>348.48</v>
      </c>
      <c r="G353" s="28">
        <f t="shared" si="22"/>
        <v>348.02</v>
      </c>
      <c r="H353" s="28">
        <f t="shared" si="22"/>
        <v>346.9</v>
      </c>
      <c r="I353" s="28">
        <f t="shared" si="22"/>
        <v>345.66</v>
      </c>
      <c r="J353" s="28">
        <f t="shared" si="22"/>
        <v>344.17</v>
      </c>
      <c r="K353" s="28">
        <f t="shared" si="22"/>
        <v>344.85</v>
      </c>
      <c r="L353" s="28">
        <f t="shared" si="22"/>
        <v>345.9</v>
      </c>
      <c r="M353" s="28">
        <f t="shared" si="22"/>
        <v>347.94</v>
      </c>
      <c r="N353" s="28">
        <f t="shared" si="22"/>
        <v>349.55</v>
      </c>
    </row>
    <row r="354" spans="1:14" x14ac:dyDescent="0.4">
      <c r="A354" s="1">
        <v>31959</v>
      </c>
      <c r="B354" s="28">
        <v>349.51</v>
      </c>
      <c r="C354" s="28">
        <f t="shared" si="21"/>
        <v>351.26</v>
      </c>
      <c r="D354" s="28">
        <f t="shared" si="22"/>
        <v>351.85</v>
      </c>
      <c r="E354" s="28">
        <f t="shared" si="22"/>
        <v>350.98</v>
      </c>
      <c r="F354" s="28">
        <f t="shared" si="22"/>
        <v>349.42</v>
      </c>
      <c r="G354" s="28">
        <f t="shared" si="22"/>
        <v>348.48</v>
      </c>
      <c r="H354" s="28">
        <f t="shared" si="22"/>
        <v>348.02</v>
      </c>
      <c r="I354" s="28">
        <f t="shared" si="22"/>
        <v>346.9</v>
      </c>
      <c r="J354" s="28">
        <f t="shared" si="22"/>
        <v>345.66</v>
      </c>
      <c r="K354" s="28">
        <f t="shared" si="22"/>
        <v>344.17</v>
      </c>
      <c r="L354" s="28">
        <f t="shared" si="22"/>
        <v>344.85</v>
      </c>
      <c r="M354" s="28">
        <f t="shared" si="22"/>
        <v>345.9</v>
      </c>
      <c r="N354" s="28">
        <f t="shared" si="22"/>
        <v>347.94</v>
      </c>
    </row>
    <row r="355" spans="1:14" x14ac:dyDescent="0.4">
      <c r="A355" s="1">
        <v>31990</v>
      </c>
      <c r="B355" s="28">
        <v>348.1</v>
      </c>
      <c r="C355" s="28">
        <f t="shared" si="21"/>
        <v>349.51</v>
      </c>
      <c r="D355" s="28">
        <f t="shared" si="22"/>
        <v>351.26</v>
      </c>
      <c r="E355" s="28">
        <f t="shared" si="22"/>
        <v>351.85</v>
      </c>
      <c r="F355" s="28">
        <f t="shared" si="22"/>
        <v>350.98</v>
      </c>
      <c r="G355" s="28">
        <f t="shared" si="22"/>
        <v>349.42</v>
      </c>
      <c r="H355" s="28">
        <f t="shared" si="22"/>
        <v>348.48</v>
      </c>
      <c r="I355" s="28">
        <f t="shared" si="22"/>
        <v>348.02</v>
      </c>
      <c r="J355" s="28">
        <f t="shared" si="22"/>
        <v>346.9</v>
      </c>
      <c r="K355" s="28">
        <f t="shared" si="22"/>
        <v>345.66</v>
      </c>
      <c r="L355" s="28">
        <f t="shared" si="22"/>
        <v>344.17</v>
      </c>
      <c r="M355" s="28">
        <f t="shared" si="22"/>
        <v>344.85</v>
      </c>
      <c r="N355" s="28">
        <f t="shared" si="22"/>
        <v>345.9</v>
      </c>
    </row>
    <row r="356" spans="1:14" x14ac:dyDescent="0.4">
      <c r="A356" s="1">
        <v>32021</v>
      </c>
      <c r="B356" s="28">
        <v>346.45</v>
      </c>
      <c r="C356" s="28">
        <f t="shared" si="21"/>
        <v>348.1</v>
      </c>
      <c r="D356" s="28">
        <f t="shared" si="22"/>
        <v>349.51</v>
      </c>
      <c r="E356" s="28">
        <f t="shared" si="22"/>
        <v>351.26</v>
      </c>
      <c r="F356" s="28">
        <f t="shared" si="22"/>
        <v>351.85</v>
      </c>
      <c r="G356" s="28">
        <f t="shared" si="22"/>
        <v>350.98</v>
      </c>
      <c r="H356" s="28">
        <f t="shared" si="22"/>
        <v>349.42</v>
      </c>
      <c r="I356" s="28">
        <f t="shared" si="22"/>
        <v>348.48</v>
      </c>
      <c r="J356" s="28">
        <f t="shared" si="22"/>
        <v>348.02</v>
      </c>
      <c r="K356" s="28">
        <f t="shared" si="22"/>
        <v>346.9</v>
      </c>
      <c r="L356" s="28">
        <f t="shared" si="22"/>
        <v>345.66</v>
      </c>
      <c r="M356" s="28">
        <f t="shared" si="22"/>
        <v>344.17</v>
      </c>
      <c r="N356" s="28">
        <f t="shared" si="22"/>
        <v>344.85</v>
      </c>
    </row>
    <row r="357" spans="1:14" x14ac:dyDescent="0.4">
      <c r="A357" s="1">
        <v>32051</v>
      </c>
      <c r="B357" s="28">
        <v>346.36</v>
      </c>
      <c r="C357" s="28">
        <f t="shared" si="21"/>
        <v>346.45</v>
      </c>
      <c r="D357" s="28">
        <f t="shared" ref="D357:N372" si="23">IF(C356=0,"",C356)</f>
        <v>348.1</v>
      </c>
      <c r="E357" s="28">
        <f t="shared" si="23"/>
        <v>349.51</v>
      </c>
      <c r="F357" s="28">
        <f t="shared" si="23"/>
        <v>351.26</v>
      </c>
      <c r="G357" s="28">
        <f t="shared" si="23"/>
        <v>351.85</v>
      </c>
      <c r="H357" s="28">
        <f t="shared" si="23"/>
        <v>350.98</v>
      </c>
      <c r="I357" s="28">
        <f t="shared" si="23"/>
        <v>349.42</v>
      </c>
      <c r="J357" s="28">
        <f t="shared" si="23"/>
        <v>348.48</v>
      </c>
      <c r="K357" s="28">
        <f t="shared" si="23"/>
        <v>348.02</v>
      </c>
      <c r="L357" s="28">
        <f t="shared" si="23"/>
        <v>346.9</v>
      </c>
      <c r="M357" s="28">
        <f t="shared" si="23"/>
        <v>345.66</v>
      </c>
      <c r="N357" s="28">
        <f t="shared" si="23"/>
        <v>344.17</v>
      </c>
    </row>
    <row r="358" spans="1:14" x14ac:dyDescent="0.4">
      <c r="A358" s="1">
        <v>32082</v>
      </c>
      <c r="B358" s="28">
        <v>347.81</v>
      </c>
      <c r="C358" s="28">
        <f t="shared" si="21"/>
        <v>346.36</v>
      </c>
      <c r="D358" s="28">
        <f t="shared" si="23"/>
        <v>346.45</v>
      </c>
      <c r="E358" s="28">
        <f t="shared" si="23"/>
        <v>348.1</v>
      </c>
      <c r="F358" s="28">
        <f t="shared" si="23"/>
        <v>349.51</v>
      </c>
      <c r="G358" s="28">
        <f t="shared" si="23"/>
        <v>351.26</v>
      </c>
      <c r="H358" s="28">
        <f t="shared" si="23"/>
        <v>351.85</v>
      </c>
      <c r="I358" s="28">
        <f t="shared" si="23"/>
        <v>350.98</v>
      </c>
      <c r="J358" s="28">
        <f t="shared" si="23"/>
        <v>349.42</v>
      </c>
      <c r="K358" s="28">
        <f t="shared" si="23"/>
        <v>348.48</v>
      </c>
      <c r="L358" s="28">
        <f t="shared" si="23"/>
        <v>348.02</v>
      </c>
      <c r="M358" s="28">
        <f t="shared" si="23"/>
        <v>346.9</v>
      </c>
      <c r="N358" s="28">
        <f t="shared" si="23"/>
        <v>345.66</v>
      </c>
    </row>
    <row r="359" spans="1:14" x14ac:dyDescent="0.4">
      <c r="A359" s="1">
        <v>32112</v>
      </c>
      <c r="B359" s="28">
        <v>348.96</v>
      </c>
      <c r="C359" s="28">
        <f t="shared" si="21"/>
        <v>347.81</v>
      </c>
      <c r="D359" s="28">
        <f t="shared" si="23"/>
        <v>346.36</v>
      </c>
      <c r="E359" s="28">
        <f t="shared" si="23"/>
        <v>346.45</v>
      </c>
      <c r="F359" s="28">
        <f t="shared" si="23"/>
        <v>348.1</v>
      </c>
      <c r="G359" s="28">
        <f t="shared" si="23"/>
        <v>349.51</v>
      </c>
      <c r="H359" s="28">
        <f t="shared" si="23"/>
        <v>351.26</v>
      </c>
      <c r="I359" s="28">
        <f t="shared" si="23"/>
        <v>351.85</v>
      </c>
      <c r="J359" s="28">
        <f t="shared" si="23"/>
        <v>350.98</v>
      </c>
      <c r="K359" s="28">
        <f t="shared" si="23"/>
        <v>349.42</v>
      </c>
      <c r="L359" s="28">
        <f t="shared" si="23"/>
        <v>348.48</v>
      </c>
      <c r="M359" s="28">
        <f t="shared" si="23"/>
        <v>348.02</v>
      </c>
      <c r="N359" s="28">
        <f t="shared" si="23"/>
        <v>346.9</v>
      </c>
    </row>
    <row r="360" spans="1:14" x14ac:dyDescent="0.4">
      <c r="A360" s="1">
        <v>32143</v>
      </c>
      <c r="B360" s="28">
        <v>350.43</v>
      </c>
      <c r="C360" s="28">
        <f t="shared" si="21"/>
        <v>348.96</v>
      </c>
      <c r="D360" s="28">
        <f t="shared" si="23"/>
        <v>347.81</v>
      </c>
      <c r="E360" s="28">
        <f t="shared" si="23"/>
        <v>346.36</v>
      </c>
      <c r="F360" s="28">
        <f t="shared" si="23"/>
        <v>346.45</v>
      </c>
      <c r="G360" s="28">
        <f t="shared" si="23"/>
        <v>348.1</v>
      </c>
      <c r="H360" s="28">
        <f t="shared" si="23"/>
        <v>349.51</v>
      </c>
      <c r="I360" s="28">
        <f t="shared" si="23"/>
        <v>351.26</v>
      </c>
      <c r="J360" s="28">
        <f t="shared" si="23"/>
        <v>351.85</v>
      </c>
      <c r="K360" s="28">
        <f t="shared" si="23"/>
        <v>350.98</v>
      </c>
      <c r="L360" s="28">
        <f t="shared" si="23"/>
        <v>349.42</v>
      </c>
      <c r="M360" s="28">
        <f t="shared" si="23"/>
        <v>348.48</v>
      </c>
      <c r="N360" s="28">
        <f t="shared" si="23"/>
        <v>348.02</v>
      </c>
    </row>
    <row r="361" spans="1:14" x14ac:dyDescent="0.4">
      <c r="A361" s="1">
        <v>32174</v>
      </c>
      <c r="B361" s="28">
        <v>351.73</v>
      </c>
      <c r="C361" s="28">
        <f t="shared" si="21"/>
        <v>350.43</v>
      </c>
      <c r="D361" s="28">
        <f t="shared" si="23"/>
        <v>348.96</v>
      </c>
      <c r="E361" s="28">
        <f t="shared" si="23"/>
        <v>347.81</v>
      </c>
      <c r="F361" s="28">
        <f t="shared" si="23"/>
        <v>346.36</v>
      </c>
      <c r="G361" s="28">
        <f t="shared" si="23"/>
        <v>346.45</v>
      </c>
      <c r="H361" s="28">
        <f t="shared" si="23"/>
        <v>348.1</v>
      </c>
      <c r="I361" s="28">
        <f t="shared" si="23"/>
        <v>349.51</v>
      </c>
      <c r="J361" s="28">
        <f t="shared" si="23"/>
        <v>351.26</v>
      </c>
      <c r="K361" s="28">
        <f t="shared" si="23"/>
        <v>351.85</v>
      </c>
      <c r="L361" s="28">
        <f t="shared" si="23"/>
        <v>350.98</v>
      </c>
      <c r="M361" s="28">
        <f t="shared" si="23"/>
        <v>349.42</v>
      </c>
      <c r="N361" s="28">
        <f t="shared" si="23"/>
        <v>348.48</v>
      </c>
    </row>
    <row r="362" spans="1:14" x14ac:dyDescent="0.4">
      <c r="A362" s="1">
        <v>32203</v>
      </c>
      <c r="B362" s="28">
        <v>352.22</v>
      </c>
      <c r="C362" s="28">
        <f t="shared" si="21"/>
        <v>351.73</v>
      </c>
      <c r="D362" s="28">
        <f t="shared" si="23"/>
        <v>350.43</v>
      </c>
      <c r="E362" s="28">
        <f t="shared" si="23"/>
        <v>348.96</v>
      </c>
      <c r="F362" s="28">
        <f t="shared" si="23"/>
        <v>347.81</v>
      </c>
      <c r="G362" s="28">
        <f t="shared" si="23"/>
        <v>346.36</v>
      </c>
      <c r="H362" s="28">
        <f t="shared" si="23"/>
        <v>346.45</v>
      </c>
      <c r="I362" s="28">
        <f t="shared" si="23"/>
        <v>348.1</v>
      </c>
      <c r="J362" s="28">
        <f t="shared" si="23"/>
        <v>349.51</v>
      </c>
      <c r="K362" s="28">
        <f t="shared" si="23"/>
        <v>351.26</v>
      </c>
      <c r="L362" s="28">
        <f t="shared" si="23"/>
        <v>351.85</v>
      </c>
      <c r="M362" s="28">
        <f t="shared" si="23"/>
        <v>350.98</v>
      </c>
      <c r="N362" s="28">
        <f t="shared" si="23"/>
        <v>349.42</v>
      </c>
    </row>
    <row r="363" spans="1:14" x14ac:dyDescent="0.4">
      <c r="A363" s="1">
        <v>32234</v>
      </c>
      <c r="B363" s="28">
        <v>353.59</v>
      </c>
      <c r="C363" s="28">
        <f t="shared" si="21"/>
        <v>352.22</v>
      </c>
      <c r="D363" s="28">
        <f t="shared" si="23"/>
        <v>351.73</v>
      </c>
      <c r="E363" s="28">
        <f t="shared" si="23"/>
        <v>350.43</v>
      </c>
      <c r="F363" s="28">
        <f t="shared" si="23"/>
        <v>348.96</v>
      </c>
      <c r="G363" s="28">
        <f t="shared" si="23"/>
        <v>347.81</v>
      </c>
      <c r="H363" s="28">
        <f t="shared" si="23"/>
        <v>346.36</v>
      </c>
      <c r="I363" s="28">
        <f t="shared" si="23"/>
        <v>346.45</v>
      </c>
      <c r="J363" s="28">
        <f t="shared" si="23"/>
        <v>348.1</v>
      </c>
      <c r="K363" s="28">
        <f t="shared" si="23"/>
        <v>349.51</v>
      </c>
      <c r="L363" s="28">
        <f t="shared" si="23"/>
        <v>351.26</v>
      </c>
      <c r="M363" s="28">
        <f t="shared" si="23"/>
        <v>351.85</v>
      </c>
      <c r="N363" s="28">
        <f t="shared" si="23"/>
        <v>350.98</v>
      </c>
    </row>
    <row r="364" spans="1:14" x14ac:dyDescent="0.4">
      <c r="A364" s="1">
        <v>32264</v>
      </c>
      <c r="B364" s="28">
        <v>354.22</v>
      </c>
      <c r="C364" s="28">
        <f t="shared" si="21"/>
        <v>353.59</v>
      </c>
      <c r="D364" s="28">
        <f t="shared" si="23"/>
        <v>352.22</v>
      </c>
      <c r="E364" s="28">
        <f t="shared" si="23"/>
        <v>351.73</v>
      </c>
      <c r="F364" s="28">
        <f t="shared" si="23"/>
        <v>350.43</v>
      </c>
      <c r="G364" s="28">
        <f t="shared" si="23"/>
        <v>348.96</v>
      </c>
      <c r="H364" s="28">
        <f t="shared" si="23"/>
        <v>347.81</v>
      </c>
      <c r="I364" s="28">
        <f t="shared" si="23"/>
        <v>346.36</v>
      </c>
      <c r="J364" s="28">
        <f t="shared" si="23"/>
        <v>346.45</v>
      </c>
      <c r="K364" s="28">
        <f t="shared" si="23"/>
        <v>348.1</v>
      </c>
      <c r="L364" s="28">
        <f t="shared" si="23"/>
        <v>349.51</v>
      </c>
      <c r="M364" s="28">
        <f t="shared" si="23"/>
        <v>351.26</v>
      </c>
      <c r="N364" s="28">
        <f t="shared" si="23"/>
        <v>351.85</v>
      </c>
    </row>
    <row r="365" spans="1:14" x14ac:dyDescent="0.4">
      <c r="A365" s="1">
        <v>32295</v>
      </c>
      <c r="B365" s="28">
        <v>353.8</v>
      </c>
      <c r="C365" s="28">
        <f t="shared" si="21"/>
        <v>354.22</v>
      </c>
      <c r="D365" s="28">
        <f t="shared" si="23"/>
        <v>353.59</v>
      </c>
      <c r="E365" s="28">
        <f t="shared" si="23"/>
        <v>352.22</v>
      </c>
      <c r="F365" s="28">
        <f t="shared" si="23"/>
        <v>351.73</v>
      </c>
      <c r="G365" s="28">
        <f t="shared" si="23"/>
        <v>350.43</v>
      </c>
      <c r="H365" s="28">
        <f t="shared" si="23"/>
        <v>348.96</v>
      </c>
      <c r="I365" s="28">
        <f t="shared" si="23"/>
        <v>347.81</v>
      </c>
      <c r="J365" s="28">
        <f t="shared" si="23"/>
        <v>346.36</v>
      </c>
      <c r="K365" s="28">
        <f t="shared" si="23"/>
        <v>346.45</v>
      </c>
      <c r="L365" s="28">
        <f t="shared" si="23"/>
        <v>348.1</v>
      </c>
      <c r="M365" s="28">
        <f t="shared" si="23"/>
        <v>349.51</v>
      </c>
      <c r="N365" s="28">
        <f t="shared" si="23"/>
        <v>351.26</v>
      </c>
    </row>
    <row r="366" spans="1:14" x14ac:dyDescent="0.4">
      <c r="A366" s="1">
        <v>32325</v>
      </c>
      <c r="B366" s="28">
        <v>352.38</v>
      </c>
      <c r="C366" s="28">
        <f t="shared" si="21"/>
        <v>353.8</v>
      </c>
      <c r="D366" s="28">
        <f t="shared" si="23"/>
        <v>354.22</v>
      </c>
      <c r="E366" s="28">
        <f t="shared" si="23"/>
        <v>353.59</v>
      </c>
      <c r="F366" s="28">
        <f t="shared" si="23"/>
        <v>352.22</v>
      </c>
      <c r="G366" s="28">
        <f t="shared" si="23"/>
        <v>351.73</v>
      </c>
      <c r="H366" s="28">
        <f t="shared" si="23"/>
        <v>350.43</v>
      </c>
      <c r="I366" s="28">
        <f t="shared" si="23"/>
        <v>348.96</v>
      </c>
      <c r="J366" s="28">
        <f t="shared" si="23"/>
        <v>347.81</v>
      </c>
      <c r="K366" s="28">
        <f t="shared" si="23"/>
        <v>346.36</v>
      </c>
      <c r="L366" s="28">
        <f t="shared" si="23"/>
        <v>346.45</v>
      </c>
      <c r="M366" s="28">
        <f t="shared" si="23"/>
        <v>348.1</v>
      </c>
      <c r="N366" s="28">
        <f t="shared" si="23"/>
        <v>349.51</v>
      </c>
    </row>
    <row r="367" spans="1:14" x14ac:dyDescent="0.4">
      <c r="A367" s="1">
        <v>32356</v>
      </c>
      <c r="B367" s="28">
        <v>350.43</v>
      </c>
      <c r="C367" s="28">
        <f t="shared" si="21"/>
        <v>352.38</v>
      </c>
      <c r="D367" s="28">
        <f t="shared" si="23"/>
        <v>353.8</v>
      </c>
      <c r="E367" s="28">
        <f t="shared" si="23"/>
        <v>354.22</v>
      </c>
      <c r="F367" s="28">
        <f t="shared" si="23"/>
        <v>353.59</v>
      </c>
      <c r="G367" s="28">
        <f t="shared" si="23"/>
        <v>352.22</v>
      </c>
      <c r="H367" s="28">
        <f t="shared" si="23"/>
        <v>351.73</v>
      </c>
      <c r="I367" s="28">
        <f t="shared" si="23"/>
        <v>350.43</v>
      </c>
      <c r="J367" s="28">
        <f t="shared" si="23"/>
        <v>348.96</v>
      </c>
      <c r="K367" s="28">
        <f t="shared" si="23"/>
        <v>347.81</v>
      </c>
      <c r="L367" s="28">
        <f t="shared" si="23"/>
        <v>346.36</v>
      </c>
      <c r="M367" s="28">
        <f t="shared" si="23"/>
        <v>346.45</v>
      </c>
      <c r="N367" s="28">
        <f t="shared" si="23"/>
        <v>348.1</v>
      </c>
    </row>
    <row r="368" spans="1:14" x14ac:dyDescent="0.4">
      <c r="A368" s="1">
        <v>32387</v>
      </c>
      <c r="B368" s="28">
        <v>348.73</v>
      </c>
      <c r="C368" s="28">
        <f t="shared" si="21"/>
        <v>350.43</v>
      </c>
      <c r="D368" s="28">
        <f t="shared" si="23"/>
        <v>352.38</v>
      </c>
      <c r="E368" s="28">
        <f t="shared" si="23"/>
        <v>353.8</v>
      </c>
      <c r="F368" s="28">
        <f t="shared" si="23"/>
        <v>354.22</v>
      </c>
      <c r="G368" s="28">
        <f t="shared" si="23"/>
        <v>353.59</v>
      </c>
      <c r="H368" s="28">
        <f t="shared" si="23"/>
        <v>352.22</v>
      </c>
      <c r="I368" s="28">
        <f t="shared" si="23"/>
        <v>351.73</v>
      </c>
      <c r="J368" s="28">
        <f t="shared" si="23"/>
        <v>350.43</v>
      </c>
      <c r="K368" s="28">
        <f t="shared" si="23"/>
        <v>348.96</v>
      </c>
      <c r="L368" s="28">
        <f t="shared" si="23"/>
        <v>347.81</v>
      </c>
      <c r="M368" s="28">
        <f t="shared" si="23"/>
        <v>346.36</v>
      </c>
      <c r="N368" s="28">
        <f t="shared" si="23"/>
        <v>346.45</v>
      </c>
    </row>
    <row r="369" spans="1:14" x14ac:dyDescent="0.4">
      <c r="A369" s="1">
        <v>32417</v>
      </c>
      <c r="B369" s="28">
        <v>348.88</v>
      </c>
      <c r="C369" s="28">
        <f t="shared" si="21"/>
        <v>348.73</v>
      </c>
      <c r="D369" s="28">
        <f t="shared" si="23"/>
        <v>350.43</v>
      </c>
      <c r="E369" s="28">
        <f t="shared" si="23"/>
        <v>352.38</v>
      </c>
      <c r="F369" s="28">
        <f t="shared" si="23"/>
        <v>353.8</v>
      </c>
      <c r="G369" s="28">
        <f t="shared" si="23"/>
        <v>354.22</v>
      </c>
      <c r="H369" s="28">
        <f t="shared" si="23"/>
        <v>353.59</v>
      </c>
      <c r="I369" s="28">
        <f t="shared" si="23"/>
        <v>352.22</v>
      </c>
      <c r="J369" s="28">
        <f t="shared" si="23"/>
        <v>351.73</v>
      </c>
      <c r="K369" s="28">
        <f t="shared" si="23"/>
        <v>350.43</v>
      </c>
      <c r="L369" s="28">
        <f t="shared" si="23"/>
        <v>348.96</v>
      </c>
      <c r="M369" s="28">
        <f t="shared" si="23"/>
        <v>347.81</v>
      </c>
      <c r="N369" s="28">
        <f t="shared" si="23"/>
        <v>346.36</v>
      </c>
    </row>
    <row r="370" spans="1:14" x14ac:dyDescent="0.4">
      <c r="A370" s="1">
        <v>32448</v>
      </c>
      <c r="B370" s="28">
        <v>350.07</v>
      </c>
      <c r="C370" s="28">
        <f t="shared" si="21"/>
        <v>348.88</v>
      </c>
      <c r="D370" s="28">
        <f t="shared" si="23"/>
        <v>348.73</v>
      </c>
      <c r="E370" s="28">
        <f t="shared" si="23"/>
        <v>350.43</v>
      </c>
      <c r="F370" s="28">
        <f t="shared" si="23"/>
        <v>352.38</v>
      </c>
      <c r="G370" s="28">
        <f t="shared" si="23"/>
        <v>353.8</v>
      </c>
      <c r="H370" s="28">
        <f t="shared" si="23"/>
        <v>354.22</v>
      </c>
      <c r="I370" s="28">
        <f t="shared" si="23"/>
        <v>353.59</v>
      </c>
      <c r="J370" s="28">
        <f t="shared" si="23"/>
        <v>352.22</v>
      </c>
      <c r="K370" s="28">
        <f t="shared" si="23"/>
        <v>351.73</v>
      </c>
      <c r="L370" s="28">
        <f t="shared" si="23"/>
        <v>350.43</v>
      </c>
      <c r="M370" s="28">
        <f t="shared" si="23"/>
        <v>348.96</v>
      </c>
      <c r="N370" s="28">
        <f t="shared" si="23"/>
        <v>347.81</v>
      </c>
    </row>
    <row r="371" spans="1:14" x14ac:dyDescent="0.4">
      <c r="A371" s="1">
        <v>32478</v>
      </c>
      <c r="B371" s="28">
        <v>351.34</v>
      </c>
      <c r="C371" s="28">
        <f t="shared" si="21"/>
        <v>350.07</v>
      </c>
      <c r="D371" s="28">
        <f t="shared" si="23"/>
        <v>348.88</v>
      </c>
      <c r="E371" s="28">
        <f t="shared" si="23"/>
        <v>348.73</v>
      </c>
      <c r="F371" s="28">
        <f t="shared" si="23"/>
        <v>350.43</v>
      </c>
      <c r="G371" s="28">
        <f t="shared" si="23"/>
        <v>352.38</v>
      </c>
      <c r="H371" s="28">
        <f t="shared" si="23"/>
        <v>353.8</v>
      </c>
      <c r="I371" s="28">
        <f t="shared" si="23"/>
        <v>354.22</v>
      </c>
      <c r="J371" s="28">
        <f t="shared" si="23"/>
        <v>353.59</v>
      </c>
      <c r="K371" s="28">
        <f t="shared" si="23"/>
        <v>352.22</v>
      </c>
      <c r="L371" s="28">
        <f t="shared" si="23"/>
        <v>351.73</v>
      </c>
      <c r="M371" s="28">
        <f t="shared" si="23"/>
        <v>350.43</v>
      </c>
      <c r="N371" s="28">
        <f t="shared" si="23"/>
        <v>348.96</v>
      </c>
    </row>
    <row r="372" spans="1:14" x14ac:dyDescent="0.4">
      <c r="A372" s="1">
        <v>32509</v>
      </c>
      <c r="B372" s="28">
        <v>352.76</v>
      </c>
      <c r="C372" s="28">
        <f t="shared" si="21"/>
        <v>351.34</v>
      </c>
      <c r="D372" s="28">
        <f t="shared" si="23"/>
        <v>350.07</v>
      </c>
      <c r="E372" s="28">
        <f t="shared" si="23"/>
        <v>348.88</v>
      </c>
      <c r="F372" s="28">
        <f t="shared" si="23"/>
        <v>348.73</v>
      </c>
      <c r="G372" s="28">
        <f t="shared" si="23"/>
        <v>350.43</v>
      </c>
      <c r="H372" s="28">
        <f t="shared" si="23"/>
        <v>352.38</v>
      </c>
      <c r="I372" s="28">
        <f t="shared" si="23"/>
        <v>353.8</v>
      </c>
      <c r="J372" s="28">
        <f t="shared" si="23"/>
        <v>354.22</v>
      </c>
      <c r="K372" s="28">
        <f t="shared" si="23"/>
        <v>353.59</v>
      </c>
      <c r="L372" s="28">
        <f t="shared" si="23"/>
        <v>352.22</v>
      </c>
      <c r="M372" s="28">
        <f t="shared" si="23"/>
        <v>351.73</v>
      </c>
      <c r="N372" s="28">
        <f t="shared" si="23"/>
        <v>350.43</v>
      </c>
    </row>
    <row r="373" spans="1:14" x14ac:dyDescent="0.4">
      <c r="A373" s="1">
        <v>32540</v>
      </c>
      <c r="B373" s="28">
        <v>353.07</v>
      </c>
      <c r="C373" s="28">
        <f t="shared" si="21"/>
        <v>352.76</v>
      </c>
      <c r="D373" s="28">
        <f t="shared" ref="D373:N387" si="24">IF(C372=0,"",C372)</f>
        <v>351.34</v>
      </c>
      <c r="E373" s="28">
        <f t="shared" si="24"/>
        <v>350.07</v>
      </c>
      <c r="F373" s="28">
        <f t="shared" si="24"/>
        <v>348.88</v>
      </c>
      <c r="G373" s="28">
        <f t="shared" si="24"/>
        <v>348.73</v>
      </c>
      <c r="H373" s="28">
        <f t="shared" si="24"/>
        <v>350.43</v>
      </c>
      <c r="I373" s="28">
        <f t="shared" si="24"/>
        <v>352.38</v>
      </c>
      <c r="J373" s="28">
        <f t="shared" si="24"/>
        <v>353.8</v>
      </c>
      <c r="K373" s="28">
        <f t="shared" si="24"/>
        <v>354.22</v>
      </c>
      <c r="L373" s="28">
        <f t="shared" si="24"/>
        <v>353.59</v>
      </c>
      <c r="M373" s="28">
        <f t="shared" si="24"/>
        <v>352.22</v>
      </c>
      <c r="N373" s="28">
        <f t="shared" si="24"/>
        <v>351.73</v>
      </c>
    </row>
    <row r="374" spans="1:14" x14ac:dyDescent="0.4">
      <c r="A374" s="1">
        <v>32568</v>
      </c>
      <c r="B374" s="28">
        <v>353.68</v>
      </c>
      <c r="C374" s="28">
        <f t="shared" si="21"/>
        <v>353.07</v>
      </c>
      <c r="D374" s="28">
        <f t="shared" si="24"/>
        <v>352.76</v>
      </c>
      <c r="E374" s="28">
        <f t="shared" si="24"/>
        <v>351.34</v>
      </c>
      <c r="F374" s="28">
        <f t="shared" si="24"/>
        <v>350.07</v>
      </c>
      <c r="G374" s="28">
        <f t="shared" si="24"/>
        <v>348.88</v>
      </c>
      <c r="H374" s="28">
        <f t="shared" si="24"/>
        <v>348.73</v>
      </c>
      <c r="I374" s="28">
        <f t="shared" si="24"/>
        <v>350.43</v>
      </c>
      <c r="J374" s="28">
        <f t="shared" si="24"/>
        <v>352.38</v>
      </c>
      <c r="K374" s="28">
        <f t="shared" si="24"/>
        <v>353.8</v>
      </c>
      <c r="L374" s="28">
        <f t="shared" si="24"/>
        <v>354.22</v>
      </c>
      <c r="M374" s="28">
        <f t="shared" si="24"/>
        <v>353.59</v>
      </c>
      <c r="N374" s="28">
        <f t="shared" si="24"/>
        <v>352.22</v>
      </c>
    </row>
    <row r="375" spans="1:14" x14ac:dyDescent="0.4">
      <c r="A375" s="1">
        <v>32599</v>
      </c>
      <c r="B375" s="28">
        <v>355.42</v>
      </c>
      <c r="C375" s="28">
        <f t="shared" si="21"/>
        <v>353.68</v>
      </c>
      <c r="D375" s="28">
        <f t="shared" si="24"/>
        <v>353.07</v>
      </c>
      <c r="E375" s="28">
        <f t="shared" si="24"/>
        <v>352.76</v>
      </c>
      <c r="F375" s="28">
        <f t="shared" si="24"/>
        <v>351.34</v>
      </c>
      <c r="G375" s="28">
        <f t="shared" si="24"/>
        <v>350.07</v>
      </c>
      <c r="H375" s="28">
        <f t="shared" si="24"/>
        <v>348.88</v>
      </c>
      <c r="I375" s="28">
        <f t="shared" si="24"/>
        <v>348.73</v>
      </c>
      <c r="J375" s="28">
        <f t="shared" si="24"/>
        <v>350.43</v>
      </c>
      <c r="K375" s="28">
        <f t="shared" si="24"/>
        <v>352.38</v>
      </c>
      <c r="L375" s="28">
        <f t="shared" si="24"/>
        <v>353.8</v>
      </c>
      <c r="M375" s="28">
        <f t="shared" si="24"/>
        <v>354.22</v>
      </c>
      <c r="N375" s="28">
        <f t="shared" si="24"/>
        <v>353.59</v>
      </c>
    </row>
    <row r="376" spans="1:14" x14ac:dyDescent="0.4">
      <c r="A376" s="1">
        <v>32629</v>
      </c>
      <c r="B376" s="28">
        <v>355.67</v>
      </c>
      <c r="C376" s="28">
        <f t="shared" si="21"/>
        <v>355.42</v>
      </c>
      <c r="D376" s="28">
        <f t="shared" si="24"/>
        <v>353.68</v>
      </c>
      <c r="E376" s="28">
        <f t="shared" si="24"/>
        <v>353.07</v>
      </c>
      <c r="F376" s="28">
        <f t="shared" si="24"/>
        <v>352.76</v>
      </c>
      <c r="G376" s="28">
        <f t="shared" si="24"/>
        <v>351.34</v>
      </c>
      <c r="H376" s="28">
        <f t="shared" si="24"/>
        <v>350.07</v>
      </c>
      <c r="I376" s="28">
        <f t="shared" si="24"/>
        <v>348.88</v>
      </c>
      <c r="J376" s="28">
        <f t="shared" si="24"/>
        <v>348.73</v>
      </c>
      <c r="K376" s="28">
        <f t="shared" si="24"/>
        <v>350.43</v>
      </c>
      <c r="L376" s="28">
        <f t="shared" si="24"/>
        <v>352.38</v>
      </c>
      <c r="M376" s="28">
        <f t="shared" si="24"/>
        <v>353.8</v>
      </c>
      <c r="N376" s="28">
        <f t="shared" si="24"/>
        <v>354.22</v>
      </c>
    </row>
    <row r="377" spans="1:14" x14ac:dyDescent="0.4">
      <c r="A377" s="1">
        <v>32660</v>
      </c>
      <c r="B377" s="28">
        <v>355.12</v>
      </c>
      <c r="C377" s="28">
        <f t="shared" si="21"/>
        <v>355.67</v>
      </c>
      <c r="D377" s="28">
        <f t="shared" si="24"/>
        <v>355.42</v>
      </c>
      <c r="E377" s="28">
        <f t="shared" si="24"/>
        <v>353.68</v>
      </c>
      <c r="F377" s="28">
        <f t="shared" si="24"/>
        <v>353.07</v>
      </c>
      <c r="G377" s="28">
        <f t="shared" si="24"/>
        <v>352.76</v>
      </c>
      <c r="H377" s="28">
        <f t="shared" si="24"/>
        <v>351.34</v>
      </c>
      <c r="I377" s="28">
        <f t="shared" si="24"/>
        <v>350.07</v>
      </c>
      <c r="J377" s="28">
        <f t="shared" si="24"/>
        <v>348.88</v>
      </c>
      <c r="K377" s="28">
        <f t="shared" si="24"/>
        <v>348.73</v>
      </c>
      <c r="L377" s="28">
        <f t="shared" si="24"/>
        <v>350.43</v>
      </c>
      <c r="M377" s="28">
        <f t="shared" si="24"/>
        <v>352.38</v>
      </c>
      <c r="N377" s="28">
        <f t="shared" si="24"/>
        <v>353.8</v>
      </c>
    </row>
    <row r="378" spans="1:14" x14ac:dyDescent="0.4">
      <c r="A378" s="1">
        <v>32690</v>
      </c>
      <c r="B378" s="28">
        <v>353.9</v>
      </c>
      <c r="C378" s="28">
        <f t="shared" si="21"/>
        <v>355.12</v>
      </c>
      <c r="D378" s="28">
        <f t="shared" si="24"/>
        <v>355.67</v>
      </c>
      <c r="E378" s="28">
        <f t="shared" si="24"/>
        <v>355.42</v>
      </c>
      <c r="F378" s="28">
        <f t="shared" si="24"/>
        <v>353.68</v>
      </c>
      <c r="G378" s="28">
        <f t="shared" si="24"/>
        <v>353.07</v>
      </c>
      <c r="H378" s="28">
        <f t="shared" si="24"/>
        <v>352.76</v>
      </c>
      <c r="I378" s="28">
        <f t="shared" si="24"/>
        <v>351.34</v>
      </c>
      <c r="J378" s="28">
        <f t="shared" si="24"/>
        <v>350.07</v>
      </c>
      <c r="K378" s="28">
        <f t="shared" si="24"/>
        <v>348.88</v>
      </c>
      <c r="L378" s="28">
        <f t="shared" si="24"/>
        <v>348.73</v>
      </c>
      <c r="M378" s="28">
        <f t="shared" si="24"/>
        <v>350.43</v>
      </c>
      <c r="N378" s="28">
        <f t="shared" si="24"/>
        <v>352.38</v>
      </c>
    </row>
    <row r="379" spans="1:14" x14ac:dyDescent="0.4">
      <c r="A379" s="1">
        <v>32721</v>
      </c>
      <c r="B379" s="28">
        <v>351.67</v>
      </c>
      <c r="C379" s="28">
        <f t="shared" si="21"/>
        <v>353.9</v>
      </c>
      <c r="D379" s="28">
        <f t="shared" si="24"/>
        <v>355.12</v>
      </c>
      <c r="E379" s="28">
        <f t="shared" si="24"/>
        <v>355.67</v>
      </c>
      <c r="F379" s="28">
        <f t="shared" si="24"/>
        <v>355.42</v>
      </c>
      <c r="G379" s="28">
        <f t="shared" si="24"/>
        <v>353.68</v>
      </c>
      <c r="H379" s="28">
        <f t="shared" si="24"/>
        <v>353.07</v>
      </c>
      <c r="I379" s="28">
        <f t="shared" si="24"/>
        <v>352.76</v>
      </c>
      <c r="J379" s="28">
        <f t="shared" si="24"/>
        <v>351.34</v>
      </c>
      <c r="K379" s="28">
        <f t="shared" si="24"/>
        <v>350.07</v>
      </c>
      <c r="L379" s="28">
        <f t="shared" si="24"/>
        <v>348.88</v>
      </c>
      <c r="M379" s="28">
        <f t="shared" si="24"/>
        <v>348.73</v>
      </c>
      <c r="N379" s="28">
        <f t="shared" si="24"/>
        <v>350.43</v>
      </c>
    </row>
    <row r="380" spans="1:14" x14ac:dyDescent="0.4">
      <c r="A380" s="1">
        <v>32752</v>
      </c>
      <c r="B380" s="28">
        <v>349.81</v>
      </c>
      <c r="C380" s="28">
        <f t="shared" si="21"/>
        <v>351.67</v>
      </c>
      <c r="D380" s="28">
        <f t="shared" si="24"/>
        <v>353.9</v>
      </c>
      <c r="E380" s="28">
        <f t="shared" si="24"/>
        <v>355.12</v>
      </c>
      <c r="F380" s="28">
        <f t="shared" si="24"/>
        <v>355.67</v>
      </c>
      <c r="G380" s="28">
        <f t="shared" si="24"/>
        <v>355.42</v>
      </c>
      <c r="H380" s="28">
        <f t="shared" si="24"/>
        <v>353.68</v>
      </c>
      <c r="I380" s="28">
        <f t="shared" si="24"/>
        <v>353.07</v>
      </c>
      <c r="J380" s="28">
        <f t="shared" si="24"/>
        <v>352.76</v>
      </c>
      <c r="K380" s="28">
        <f t="shared" si="24"/>
        <v>351.34</v>
      </c>
      <c r="L380" s="28">
        <f t="shared" si="24"/>
        <v>350.07</v>
      </c>
      <c r="M380" s="28">
        <f t="shared" si="24"/>
        <v>348.88</v>
      </c>
      <c r="N380" s="28">
        <f t="shared" si="24"/>
        <v>348.73</v>
      </c>
    </row>
    <row r="381" spans="1:14" x14ac:dyDescent="0.4">
      <c r="A381" s="1">
        <v>32782</v>
      </c>
      <c r="B381" s="28">
        <v>349.99</v>
      </c>
      <c r="C381" s="28">
        <f t="shared" si="21"/>
        <v>349.81</v>
      </c>
      <c r="D381" s="28">
        <f t="shared" si="24"/>
        <v>351.67</v>
      </c>
      <c r="E381" s="28">
        <f t="shared" si="24"/>
        <v>353.9</v>
      </c>
      <c r="F381" s="28">
        <f t="shared" si="24"/>
        <v>355.12</v>
      </c>
      <c r="G381" s="28">
        <f t="shared" si="24"/>
        <v>355.67</v>
      </c>
      <c r="H381" s="28">
        <f t="shared" si="24"/>
        <v>355.42</v>
      </c>
      <c r="I381" s="28">
        <f t="shared" si="24"/>
        <v>353.68</v>
      </c>
      <c r="J381" s="28">
        <f t="shared" si="24"/>
        <v>353.07</v>
      </c>
      <c r="K381" s="28">
        <f t="shared" si="24"/>
        <v>352.76</v>
      </c>
      <c r="L381" s="28">
        <f t="shared" si="24"/>
        <v>351.34</v>
      </c>
      <c r="M381" s="28">
        <f t="shared" si="24"/>
        <v>350.07</v>
      </c>
      <c r="N381" s="28">
        <f t="shared" si="24"/>
        <v>348.88</v>
      </c>
    </row>
    <row r="382" spans="1:14" x14ac:dyDescent="0.4">
      <c r="A382" s="1">
        <v>32813</v>
      </c>
      <c r="B382" s="28">
        <v>351.3</v>
      </c>
      <c r="C382" s="28">
        <f t="shared" si="21"/>
        <v>349.99</v>
      </c>
      <c r="D382" s="28">
        <f t="shared" si="24"/>
        <v>349.81</v>
      </c>
      <c r="E382" s="28">
        <f t="shared" si="24"/>
        <v>351.67</v>
      </c>
      <c r="F382" s="28">
        <f t="shared" si="24"/>
        <v>353.9</v>
      </c>
      <c r="G382" s="28">
        <f t="shared" si="24"/>
        <v>355.12</v>
      </c>
      <c r="H382" s="28">
        <f t="shared" si="24"/>
        <v>355.67</v>
      </c>
      <c r="I382" s="28">
        <f t="shared" si="24"/>
        <v>355.42</v>
      </c>
      <c r="J382" s="28">
        <f t="shared" si="24"/>
        <v>353.68</v>
      </c>
      <c r="K382" s="28">
        <f t="shared" si="24"/>
        <v>353.07</v>
      </c>
      <c r="L382" s="28">
        <f t="shared" si="24"/>
        <v>352.76</v>
      </c>
      <c r="M382" s="28">
        <f t="shared" si="24"/>
        <v>351.34</v>
      </c>
      <c r="N382" s="28">
        <f t="shared" si="24"/>
        <v>350.07</v>
      </c>
    </row>
    <row r="383" spans="1:14" x14ac:dyDescent="0.4">
      <c r="A383" s="1">
        <v>32843</v>
      </c>
      <c r="B383" s="28">
        <v>352.52</v>
      </c>
      <c r="C383" s="28">
        <f t="shared" si="21"/>
        <v>351.3</v>
      </c>
      <c r="D383" s="28">
        <f t="shared" si="24"/>
        <v>349.99</v>
      </c>
      <c r="E383" s="28">
        <f t="shared" si="24"/>
        <v>349.81</v>
      </c>
      <c r="F383" s="28">
        <f t="shared" si="24"/>
        <v>351.67</v>
      </c>
      <c r="G383" s="28">
        <f t="shared" si="24"/>
        <v>353.9</v>
      </c>
      <c r="H383" s="28">
        <f t="shared" si="24"/>
        <v>355.12</v>
      </c>
      <c r="I383" s="28">
        <f t="shared" si="24"/>
        <v>355.67</v>
      </c>
      <c r="J383" s="28">
        <f t="shared" si="24"/>
        <v>355.42</v>
      </c>
      <c r="K383" s="28">
        <f t="shared" si="24"/>
        <v>353.68</v>
      </c>
      <c r="L383" s="28">
        <f t="shared" si="24"/>
        <v>353.07</v>
      </c>
      <c r="M383" s="28">
        <f t="shared" si="24"/>
        <v>352.76</v>
      </c>
      <c r="N383" s="28">
        <f t="shared" si="24"/>
        <v>351.34</v>
      </c>
    </row>
    <row r="384" spans="1:14" x14ac:dyDescent="0.4">
      <c r="A384" s="1">
        <v>32874</v>
      </c>
      <c r="B384" s="28">
        <v>353.66</v>
      </c>
      <c r="C384" s="28">
        <f t="shared" si="21"/>
        <v>352.52</v>
      </c>
      <c r="D384" s="28">
        <f t="shared" si="24"/>
        <v>351.3</v>
      </c>
      <c r="E384" s="28">
        <f t="shared" si="24"/>
        <v>349.99</v>
      </c>
      <c r="F384" s="28">
        <f t="shared" si="24"/>
        <v>349.81</v>
      </c>
      <c r="G384" s="28">
        <f t="shared" si="24"/>
        <v>351.67</v>
      </c>
      <c r="H384" s="28">
        <f t="shared" si="24"/>
        <v>353.9</v>
      </c>
      <c r="I384" s="28">
        <f t="shared" si="24"/>
        <v>355.12</v>
      </c>
      <c r="J384" s="28">
        <f t="shared" si="24"/>
        <v>355.67</v>
      </c>
      <c r="K384" s="28">
        <f t="shared" si="24"/>
        <v>355.42</v>
      </c>
      <c r="L384" s="28">
        <f t="shared" si="24"/>
        <v>353.68</v>
      </c>
      <c r="M384" s="28">
        <f t="shared" si="24"/>
        <v>353.07</v>
      </c>
      <c r="N384" s="28">
        <f t="shared" si="24"/>
        <v>352.76</v>
      </c>
    </row>
    <row r="385" spans="1:14" x14ac:dyDescent="0.4">
      <c r="A385" s="1">
        <v>32905</v>
      </c>
      <c r="B385" s="28">
        <v>354.7</v>
      </c>
      <c r="C385" s="28">
        <f t="shared" si="21"/>
        <v>353.66</v>
      </c>
      <c r="D385" s="28">
        <f t="shared" si="24"/>
        <v>352.52</v>
      </c>
      <c r="E385" s="28">
        <f t="shared" si="24"/>
        <v>351.3</v>
      </c>
      <c r="F385" s="28">
        <f t="shared" si="24"/>
        <v>349.99</v>
      </c>
      <c r="G385" s="28">
        <f t="shared" si="24"/>
        <v>349.81</v>
      </c>
      <c r="H385" s="28">
        <f t="shared" si="24"/>
        <v>351.67</v>
      </c>
      <c r="I385" s="28">
        <f t="shared" si="24"/>
        <v>353.9</v>
      </c>
      <c r="J385" s="28">
        <f t="shared" si="24"/>
        <v>355.12</v>
      </c>
      <c r="K385" s="28">
        <f t="shared" si="24"/>
        <v>355.67</v>
      </c>
      <c r="L385" s="28">
        <f t="shared" si="24"/>
        <v>355.42</v>
      </c>
      <c r="M385" s="28">
        <f t="shared" si="24"/>
        <v>353.68</v>
      </c>
      <c r="N385" s="28">
        <f t="shared" si="24"/>
        <v>353.07</v>
      </c>
    </row>
    <row r="386" spans="1:14" x14ac:dyDescent="0.4">
      <c r="A386" s="1">
        <v>32933</v>
      </c>
      <c r="B386" s="28">
        <v>355.38</v>
      </c>
      <c r="C386" s="28">
        <f t="shared" si="21"/>
        <v>354.7</v>
      </c>
      <c r="D386" s="28">
        <f t="shared" si="24"/>
        <v>353.66</v>
      </c>
      <c r="E386" s="28">
        <f t="shared" si="24"/>
        <v>352.52</v>
      </c>
      <c r="F386" s="28">
        <f t="shared" si="24"/>
        <v>351.3</v>
      </c>
      <c r="G386" s="28">
        <f t="shared" si="24"/>
        <v>349.99</v>
      </c>
      <c r="H386" s="28">
        <f t="shared" si="24"/>
        <v>349.81</v>
      </c>
      <c r="I386" s="28">
        <f t="shared" si="24"/>
        <v>351.67</v>
      </c>
      <c r="J386" s="28">
        <f t="shared" si="24"/>
        <v>353.9</v>
      </c>
      <c r="K386" s="28">
        <f t="shared" si="24"/>
        <v>355.12</v>
      </c>
      <c r="L386" s="28">
        <f t="shared" si="24"/>
        <v>355.67</v>
      </c>
      <c r="M386" s="28">
        <f t="shared" si="24"/>
        <v>355.42</v>
      </c>
      <c r="N386" s="28">
        <f t="shared" si="24"/>
        <v>353.68</v>
      </c>
    </row>
    <row r="387" spans="1:14" x14ac:dyDescent="0.4">
      <c r="A387" s="1">
        <v>32964</v>
      </c>
      <c r="B387" s="28">
        <v>356.2</v>
      </c>
      <c r="C387" s="28">
        <f t="shared" si="21"/>
        <v>355.38</v>
      </c>
      <c r="D387" s="28">
        <f t="shared" si="24"/>
        <v>354.7</v>
      </c>
      <c r="E387" s="28">
        <f t="shared" si="24"/>
        <v>353.66</v>
      </c>
      <c r="F387" s="28">
        <f t="shared" si="24"/>
        <v>352.52</v>
      </c>
      <c r="G387" s="28">
        <f t="shared" si="24"/>
        <v>351.3</v>
      </c>
      <c r="H387" s="28">
        <f t="shared" si="24"/>
        <v>349.99</v>
      </c>
      <c r="I387" s="28">
        <f t="shared" si="24"/>
        <v>349.81</v>
      </c>
      <c r="J387" s="28">
        <f t="shared" si="24"/>
        <v>351.67</v>
      </c>
      <c r="K387" s="28">
        <f t="shared" si="24"/>
        <v>353.9</v>
      </c>
      <c r="L387" s="28">
        <f t="shared" si="24"/>
        <v>355.12</v>
      </c>
      <c r="M387" s="28">
        <f t="shared" si="24"/>
        <v>355.67</v>
      </c>
      <c r="N387" s="28">
        <f t="shared" si="24"/>
        <v>355.42</v>
      </c>
    </row>
    <row r="388" spans="1:14" x14ac:dyDescent="0.4">
      <c r="A388" s="1">
        <v>32994</v>
      </c>
      <c r="B388" s="28">
        <v>357.16</v>
      </c>
      <c r="C388" s="28">
        <f t="shared" ref="C388:N451" si="25">IF(B387=0,"",B387)</f>
        <v>356.2</v>
      </c>
      <c r="D388" s="28">
        <f t="shared" si="25"/>
        <v>355.38</v>
      </c>
      <c r="E388" s="28">
        <f t="shared" si="25"/>
        <v>354.7</v>
      </c>
      <c r="F388" s="28">
        <f t="shared" si="25"/>
        <v>353.66</v>
      </c>
      <c r="G388" s="28">
        <f t="shared" si="25"/>
        <v>352.52</v>
      </c>
      <c r="H388" s="28">
        <f t="shared" si="25"/>
        <v>351.3</v>
      </c>
      <c r="I388" s="28">
        <f t="shared" si="25"/>
        <v>349.99</v>
      </c>
      <c r="J388" s="28">
        <f t="shared" si="25"/>
        <v>349.81</v>
      </c>
      <c r="K388" s="28">
        <f t="shared" si="25"/>
        <v>351.67</v>
      </c>
      <c r="L388" s="28">
        <f t="shared" si="25"/>
        <v>353.9</v>
      </c>
      <c r="M388" s="28">
        <f t="shared" si="25"/>
        <v>355.12</v>
      </c>
      <c r="N388" s="28">
        <f t="shared" si="25"/>
        <v>355.67</v>
      </c>
    </row>
    <row r="389" spans="1:14" x14ac:dyDescent="0.4">
      <c r="A389" s="1">
        <v>33025</v>
      </c>
      <c r="B389" s="28">
        <v>356.23</v>
      </c>
      <c r="C389" s="28">
        <f t="shared" si="25"/>
        <v>357.16</v>
      </c>
      <c r="D389" s="28">
        <f t="shared" si="25"/>
        <v>356.2</v>
      </c>
      <c r="E389" s="28">
        <f t="shared" si="25"/>
        <v>355.38</v>
      </c>
      <c r="F389" s="28">
        <f t="shared" si="25"/>
        <v>354.7</v>
      </c>
      <c r="G389" s="28">
        <f t="shared" si="25"/>
        <v>353.66</v>
      </c>
      <c r="H389" s="28">
        <f t="shared" si="25"/>
        <v>352.52</v>
      </c>
      <c r="I389" s="28">
        <f t="shared" si="25"/>
        <v>351.3</v>
      </c>
      <c r="J389" s="28">
        <f t="shared" si="25"/>
        <v>349.99</v>
      </c>
      <c r="K389" s="28">
        <f t="shared" si="25"/>
        <v>349.81</v>
      </c>
      <c r="L389" s="28">
        <f t="shared" si="25"/>
        <v>351.67</v>
      </c>
      <c r="M389" s="28">
        <f t="shared" si="25"/>
        <v>353.9</v>
      </c>
      <c r="N389" s="28">
        <f t="shared" si="25"/>
        <v>355.12</v>
      </c>
    </row>
    <row r="390" spans="1:14" x14ac:dyDescent="0.4">
      <c r="A390" s="1">
        <v>33055</v>
      </c>
      <c r="B390" s="28">
        <v>354.81</v>
      </c>
      <c r="C390" s="28">
        <f t="shared" si="25"/>
        <v>356.23</v>
      </c>
      <c r="D390" s="28">
        <f t="shared" si="25"/>
        <v>357.16</v>
      </c>
      <c r="E390" s="28">
        <f t="shared" si="25"/>
        <v>356.2</v>
      </c>
      <c r="F390" s="28">
        <f t="shared" si="25"/>
        <v>355.38</v>
      </c>
      <c r="G390" s="28">
        <f t="shared" si="25"/>
        <v>354.7</v>
      </c>
      <c r="H390" s="28">
        <f t="shared" si="25"/>
        <v>353.66</v>
      </c>
      <c r="I390" s="28">
        <f t="shared" si="25"/>
        <v>352.52</v>
      </c>
      <c r="J390" s="28">
        <f t="shared" si="25"/>
        <v>351.3</v>
      </c>
      <c r="K390" s="28">
        <f t="shared" si="25"/>
        <v>349.99</v>
      </c>
      <c r="L390" s="28">
        <f t="shared" si="25"/>
        <v>349.81</v>
      </c>
      <c r="M390" s="28">
        <f t="shared" si="25"/>
        <v>351.67</v>
      </c>
      <c r="N390" s="28">
        <f t="shared" si="25"/>
        <v>353.9</v>
      </c>
    </row>
    <row r="391" spans="1:14" x14ac:dyDescent="0.4">
      <c r="A391" s="1">
        <v>33086</v>
      </c>
      <c r="B391" s="28">
        <v>352.91</v>
      </c>
      <c r="C391" s="28">
        <f t="shared" si="25"/>
        <v>354.81</v>
      </c>
      <c r="D391" s="28">
        <f t="shared" si="25"/>
        <v>356.23</v>
      </c>
      <c r="E391" s="28">
        <f t="shared" si="25"/>
        <v>357.16</v>
      </c>
      <c r="F391" s="28">
        <f t="shared" si="25"/>
        <v>356.2</v>
      </c>
      <c r="G391" s="28">
        <f t="shared" si="25"/>
        <v>355.38</v>
      </c>
      <c r="H391" s="28">
        <f t="shared" si="25"/>
        <v>354.7</v>
      </c>
      <c r="I391" s="28">
        <f t="shared" si="25"/>
        <v>353.66</v>
      </c>
      <c r="J391" s="28">
        <f t="shared" si="25"/>
        <v>352.52</v>
      </c>
      <c r="K391" s="28">
        <f t="shared" si="25"/>
        <v>351.3</v>
      </c>
      <c r="L391" s="28">
        <f t="shared" si="25"/>
        <v>349.99</v>
      </c>
      <c r="M391" s="28">
        <f t="shared" si="25"/>
        <v>349.81</v>
      </c>
      <c r="N391" s="28">
        <f t="shared" si="25"/>
        <v>351.67</v>
      </c>
    </row>
    <row r="392" spans="1:14" x14ac:dyDescent="0.4">
      <c r="A392" s="1">
        <v>33117</v>
      </c>
      <c r="B392" s="28">
        <v>350.96</v>
      </c>
      <c r="C392" s="28">
        <f t="shared" si="25"/>
        <v>352.91</v>
      </c>
      <c r="D392" s="28">
        <f t="shared" si="25"/>
        <v>354.81</v>
      </c>
      <c r="E392" s="28">
        <f t="shared" si="25"/>
        <v>356.23</v>
      </c>
      <c r="F392" s="28">
        <f t="shared" si="25"/>
        <v>357.16</v>
      </c>
      <c r="G392" s="28">
        <f t="shared" si="25"/>
        <v>356.2</v>
      </c>
      <c r="H392" s="28">
        <f t="shared" si="25"/>
        <v>355.38</v>
      </c>
      <c r="I392" s="28">
        <f t="shared" si="25"/>
        <v>354.7</v>
      </c>
      <c r="J392" s="28">
        <f t="shared" si="25"/>
        <v>353.66</v>
      </c>
      <c r="K392" s="28">
        <f t="shared" si="25"/>
        <v>352.52</v>
      </c>
      <c r="L392" s="28">
        <f t="shared" si="25"/>
        <v>351.3</v>
      </c>
      <c r="M392" s="28">
        <f t="shared" si="25"/>
        <v>349.99</v>
      </c>
      <c r="N392" s="28">
        <f t="shared" si="25"/>
        <v>349.81</v>
      </c>
    </row>
    <row r="393" spans="1:14" x14ac:dyDescent="0.4">
      <c r="A393" s="1">
        <v>33147</v>
      </c>
      <c r="B393" s="28">
        <v>351.18</v>
      </c>
      <c r="C393" s="28">
        <f t="shared" si="25"/>
        <v>350.96</v>
      </c>
      <c r="D393" s="28">
        <f t="shared" si="25"/>
        <v>352.91</v>
      </c>
      <c r="E393" s="28">
        <f t="shared" si="25"/>
        <v>354.81</v>
      </c>
      <c r="F393" s="28">
        <f t="shared" si="25"/>
        <v>356.23</v>
      </c>
      <c r="G393" s="28">
        <f t="shared" si="25"/>
        <v>357.16</v>
      </c>
      <c r="H393" s="28">
        <f t="shared" si="25"/>
        <v>356.2</v>
      </c>
      <c r="I393" s="28">
        <f t="shared" si="25"/>
        <v>355.38</v>
      </c>
      <c r="J393" s="28">
        <f t="shared" si="25"/>
        <v>354.7</v>
      </c>
      <c r="K393" s="28">
        <f t="shared" si="25"/>
        <v>353.66</v>
      </c>
      <c r="L393" s="28">
        <f t="shared" si="25"/>
        <v>352.52</v>
      </c>
      <c r="M393" s="28">
        <f t="shared" si="25"/>
        <v>351.3</v>
      </c>
      <c r="N393" s="28">
        <f t="shared" si="25"/>
        <v>349.99</v>
      </c>
    </row>
    <row r="394" spans="1:14" x14ac:dyDescent="0.4">
      <c r="A394" s="1">
        <v>33178</v>
      </c>
      <c r="B394" s="28">
        <v>352.83</v>
      </c>
      <c r="C394" s="28">
        <f t="shared" si="25"/>
        <v>351.18</v>
      </c>
      <c r="D394" s="28">
        <f t="shared" si="25"/>
        <v>350.96</v>
      </c>
      <c r="E394" s="28">
        <f t="shared" si="25"/>
        <v>352.91</v>
      </c>
      <c r="F394" s="28">
        <f t="shared" si="25"/>
        <v>354.81</v>
      </c>
      <c r="G394" s="28">
        <f t="shared" si="25"/>
        <v>356.23</v>
      </c>
      <c r="H394" s="28">
        <f t="shared" si="25"/>
        <v>357.16</v>
      </c>
      <c r="I394" s="28">
        <f t="shared" si="25"/>
        <v>356.2</v>
      </c>
      <c r="J394" s="28">
        <f t="shared" si="25"/>
        <v>355.38</v>
      </c>
      <c r="K394" s="28">
        <f t="shared" si="25"/>
        <v>354.7</v>
      </c>
      <c r="L394" s="28">
        <f t="shared" si="25"/>
        <v>353.66</v>
      </c>
      <c r="M394" s="28">
        <f t="shared" si="25"/>
        <v>352.52</v>
      </c>
      <c r="N394" s="28">
        <f t="shared" si="25"/>
        <v>351.3</v>
      </c>
    </row>
    <row r="395" spans="1:14" x14ac:dyDescent="0.4">
      <c r="A395" s="1">
        <v>33208</v>
      </c>
      <c r="B395" s="28">
        <v>354.21</v>
      </c>
      <c r="C395" s="28">
        <f t="shared" si="25"/>
        <v>352.83</v>
      </c>
      <c r="D395" s="28">
        <f t="shared" si="25"/>
        <v>351.18</v>
      </c>
      <c r="E395" s="28">
        <f t="shared" si="25"/>
        <v>350.96</v>
      </c>
      <c r="F395" s="28">
        <f t="shared" si="25"/>
        <v>352.91</v>
      </c>
      <c r="G395" s="28">
        <f t="shared" si="25"/>
        <v>354.81</v>
      </c>
      <c r="H395" s="28">
        <f t="shared" si="25"/>
        <v>356.23</v>
      </c>
      <c r="I395" s="28">
        <f t="shared" si="25"/>
        <v>357.16</v>
      </c>
      <c r="J395" s="28">
        <f t="shared" si="25"/>
        <v>356.2</v>
      </c>
      <c r="K395" s="28">
        <f t="shared" si="25"/>
        <v>355.38</v>
      </c>
      <c r="L395" s="28">
        <f t="shared" si="25"/>
        <v>354.7</v>
      </c>
      <c r="M395" s="28">
        <f t="shared" si="25"/>
        <v>353.66</v>
      </c>
      <c r="N395" s="28">
        <f t="shared" si="25"/>
        <v>352.52</v>
      </c>
    </row>
    <row r="396" spans="1:14" x14ac:dyDescent="0.4">
      <c r="A396" s="1">
        <v>33239</v>
      </c>
      <c r="B396" s="28">
        <v>354.72</v>
      </c>
      <c r="C396" s="28">
        <f t="shared" si="25"/>
        <v>354.21</v>
      </c>
      <c r="D396" s="28">
        <f t="shared" si="25"/>
        <v>352.83</v>
      </c>
      <c r="E396" s="28">
        <f t="shared" si="25"/>
        <v>351.18</v>
      </c>
      <c r="F396" s="28">
        <f t="shared" si="25"/>
        <v>350.96</v>
      </c>
      <c r="G396" s="28">
        <f t="shared" si="25"/>
        <v>352.91</v>
      </c>
      <c r="H396" s="28">
        <f t="shared" si="25"/>
        <v>354.81</v>
      </c>
      <c r="I396" s="28">
        <f t="shared" si="25"/>
        <v>356.23</v>
      </c>
      <c r="J396" s="28">
        <f t="shared" si="25"/>
        <v>357.16</v>
      </c>
      <c r="K396" s="28">
        <f t="shared" si="25"/>
        <v>356.2</v>
      </c>
      <c r="L396" s="28">
        <f t="shared" si="25"/>
        <v>355.38</v>
      </c>
      <c r="M396" s="28">
        <f t="shared" si="25"/>
        <v>354.7</v>
      </c>
      <c r="N396" s="28">
        <f t="shared" si="25"/>
        <v>353.66</v>
      </c>
    </row>
    <row r="397" spans="1:14" x14ac:dyDescent="0.4">
      <c r="A397" s="1">
        <v>33270</v>
      </c>
      <c r="B397" s="28">
        <v>355.75</v>
      </c>
      <c r="C397" s="28">
        <f t="shared" si="25"/>
        <v>354.72</v>
      </c>
      <c r="D397" s="28">
        <f t="shared" si="25"/>
        <v>354.21</v>
      </c>
      <c r="E397" s="28">
        <f t="shared" si="25"/>
        <v>352.83</v>
      </c>
      <c r="F397" s="28">
        <f t="shared" si="25"/>
        <v>351.18</v>
      </c>
      <c r="G397" s="28">
        <f t="shared" si="25"/>
        <v>350.96</v>
      </c>
      <c r="H397" s="28">
        <f t="shared" si="25"/>
        <v>352.91</v>
      </c>
      <c r="I397" s="28">
        <f t="shared" si="25"/>
        <v>354.81</v>
      </c>
      <c r="J397" s="28">
        <f t="shared" si="25"/>
        <v>356.23</v>
      </c>
      <c r="K397" s="28">
        <f t="shared" si="25"/>
        <v>357.16</v>
      </c>
      <c r="L397" s="28">
        <f t="shared" si="25"/>
        <v>356.2</v>
      </c>
      <c r="M397" s="28">
        <f t="shared" si="25"/>
        <v>355.38</v>
      </c>
      <c r="N397" s="28">
        <f t="shared" si="25"/>
        <v>354.7</v>
      </c>
    </row>
    <row r="398" spans="1:14" x14ac:dyDescent="0.4">
      <c r="A398" s="1">
        <v>33298</v>
      </c>
      <c r="B398" s="28">
        <v>357.16</v>
      </c>
      <c r="C398" s="28">
        <f t="shared" si="25"/>
        <v>355.75</v>
      </c>
      <c r="D398" s="28">
        <f t="shared" si="25"/>
        <v>354.72</v>
      </c>
      <c r="E398" s="28">
        <f t="shared" si="25"/>
        <v>354.21</v>
      </c>
      <c r="F398" s="28">
        <f t="shared" si="25"/>
        <v>352.83</v>
      </c>
      <c r="G398" s="28">
        <f t="shared" si="25"/>
        <v>351.18</v>
      </c>
      <c r="H398" s="28">
        <f t="shared" si="25"/>
        <v>350.96</v>
      </c>
      <c r="I398" s="28">
        <f t="shared" si="25"/>
        <v>352.91</v>
      </c>
      <c r="J398" s="28">
        <f t="shared" si="25"/>
        <v>354.81</v>
      </c>
      <c r="K398" s="28">
        <f t="shared" si="25"/>
        <v>356.23</v>
      </c>
      <c r="L398" s="28">
        <f t="shared" si="25"/>
        <v>357.16</v>
      </c>
      <c r="M398" s="28">
        <f t="shared" si="25"/>
        <v>356.2</v>
      </c>
      <c r="N398" s="28">
        <f t="shared" si="25"/>
        <v>355.38</v>
      </c>
    </row>
    <row r="399" spans="1:14" x14ac:dyDescent="0.4">
      <c r="A399" s="1">
        <v>33329</v>
      </c>
      <c r="B399" s="28">
        <v>358.6</v>
      </c>
      <c r="C399" s="28">
        <f t="shared" si="25"/>
        <v>357.16</v>
      </c>
      <c r="D399" s="28">
        <f t="shared" si="25"/>
        <v>355.75</v>
      </c>
      <c r="E399" s="28">
        <f t="shared" si="25"/>
        <v>354.72</v>
      </c>
      <c r="F399" s="28">
        <f t="shared" si="25"/>
        <v>354.21</v>
      </c>
      <c r="G399" s="28">
        <f t="shared" si="25"/>
        <v>352.83</v>
      </c>
      <c r="H399" s="28">
        <f t="shared" si="25"/>
        <v>351.18</v>
      </c>
      <c r="I399" s="28">
        <f t="shared" si="25"/>
        <v>350.96</v>
      </c>
      <c r="J399" s="28">
        <f t="shared" si="25"/>
        <v>352.91</v>
      </c>
      <c r="K399" s="28">
        <f t="shared" si="25"/>
        <v>354.81</v>
      </c>
      <c r="L399" s="28">
        <f t="shared" si="25"/>
        <v>356.23</v>
      </c>
      <c r="M399" s="28">
        <f t="shared" si="25"/>
        <v>357.16</v>
      </c>
      <c r="N399" s="28">
        <f t="shared" si="25"/>
        <v>356.2</v>
      </c>
    </row>
    <row r="400" spans="1:14" x14ac:dyDescent="0.4">
      <c r="A400" s="1">
        <v>33359</v>
      </c>
      <c r="B400" s="28">
        <v>359.34</v>
      </c>
      <c r="C400" s="28">
        <f t="shared" si="25"/>
        <v>358.6</v>
      </c>
      <c r="D400" s="28">
        <f t="shared" si="25"/>
        <v>357.16</v>
      </c>
      <c r="E400" s="28">
        <f t="shared" si="25"/>
        <v>355.75</v>
      </c>
      <c r="F400" s="28">
        <f t="shared" si="25"/>
        <v>354.72</v>
      </c>
      <c r="G400" s="28">
        <f t="shared" si="25"/>
        <v>354.21</v>
      </c>
      <c r="H400" s="28">
        <f t="shared" si="25"/>
        <v>352.83</v>
      </c>
      <c r="I400" s="28">
        <f t="shared" si="25"/>
        <v>351.18</v>
      </c>
      <c r="J400" s="28">
        <f t="shared" si="25"/>
        <v>350.96</v>
      </c>
      <c r="K400" s="28">
        <f t="shared" si="25"/>
        <v>352.91</v>
      </c>
      <c r="L400" s="28">
        <f t="shared" si="25"/>
        <v>354.81</v>
      </c>
      <c r="M400" s="28">
        <f t="shared" si="25"/>
        <v>356.23</v>
      </c>
      <c r="N400" s="28">
        <f t="shared" si="25"/>
        <v>357.16</v>
      </c>
    </row>
    <row r="401" spans="1:14" x14ac:dyDescent="0.4">
      <c r="A401" s="1">
        <v>33390</v>
      </c>
      <c r="B401" s="28">
        <v>358.24</v>
      </c>
      <c r="C401" s="28">
        <f t="shared" si="25"/>
        <v>359.34</v>
      </c>
      <c r="D401" s="28">
        <f t="shared" si="25"/>
        <v>358.6</v>
      </c>
      <c r="E401" s="28">
        <f t="shared" si="25"/>
        <v>357.16</v>
      </c>
      <c r="F401" s="28">
        <f t="shared" si="25"/>
        <v>355.75</v>
      </c>
      <c r="G401" s="28">
        <f t="shared" si="25"/>
        <v>354.72</v>
      </c>
      <c r="H401" s="28">
        <f t="shared" si="25"/>
        <v>354.21</v>
      </c>
      <c r="I401" s="28">
        <f t="shared" si="25"/>
        <v>352.83</v>
      </c>
      <c r="J401" s="28">
        <f t="shared" si="25"/>
        <v>351.18</v>
      </c>
      <c r="K401" s="28">
        <f t="shared" si="25"/>
        <v>350.96</v>
      </c>
      <c r="L401" s="28">
        <f t="shared" si="25"/>
        <v>352.91</v>
      </c>
      <c r="M401" s="28">
        <f t="shared" si="25"/>
        <v>354.81</v>
      </c>
      <c r="N401" s="28">
        <f t="shared" si="25"/>
        <v>356.23</v>
      </c>
    </row>
    <row r="402" spans="1:14" x14ac:dyDescent="0.4">
      <c r="A402" s="1">
        <v>33420</v>
      </c>
      <c r="B402" s="28">
        <v>356.17</v>
      </c>
      <c r="C402" s="28">
        <f t="shared" si="25"/>
        <v>358.24</v>
      </c>
      <c r="D402" s="28">
        <f t="shared" si="25"/>
        <v>359.34</v>
      </c>
      <c r="E402" s="28">
        <f t="shared" si="25"/>
        <v>358.6</v>
      </c>
      <c r="F402" s="28">
        <f t="shared" si="25"/>
        <v>357.16</v>
      </c>
      <c r="G402" s="28">
        <f t="shared" si="25"/>
        <v>355.75</v>
      </c>
      <c r="H402" s="28">
        <f t="shared" si="25"/>
        <v>354.72</v>
      </c>
      <c r="I402" s="28">
        <f t="shared" si="25"/>
        <v>354.21</v>
      </c>
      <c r="J402" s="28">
        <f t="shared" si="25"/>
        <v>352.83</v>
      </c>
      <c r="K402" s="28">
        <f t="shared" si="25"/>
        <v>351.18</v>
      </c>
      <c r="L402" s="28">
        <f t="shared" si="25"/>
        <v>350.96</v>
      </c>
      <c r="M402" s="28">
        <f t="shared" si="25"/>
        <v>352.91</v>
      </c>
      <c r="N402" s="28">
        <f t="shared" si="25"/>
        <v>354.81</v>
      </c>
    </row>
    <row r="403" spans="1:14" x14ac:dyDescent="0.4">
      <c r="A403" s="1">
        <v>33451</v>
      </c>
      <c r="B403" s="28">
        <v>354.01</v>
      </c>
      <c r="C403" s="28">
        <f t="shared" si="25"/>
        <v>356.17</v>
      </c>
      <c r="D403" s="28">
        <f t="shared" si="25"/>
        <v>358.24</v>
      </c>
      <c r="E403" s="28">
        <f t="shared" si="25"/>
        <v>359.34</v>
      </c>
      <c r="F403" s="28">
        <f t="shared" si="25"/>
        <v>358.6</v>
      </c>
      <c r="G403" s="28">
        <f t="shared" si="25"/>
        <v>357.16</v>
      </c>
      <c r="H403" s="28">
        <f t="shared" si="25"/>
        <v>355.75</v>
      </c>
      <c r="I403" s="28">
        <f t="shared" si="25"/>
        <v>354.72</v>
      </c>
      <c r="J403" s="28">
        <f t="shared" si="25"/>
        <v>354.21</v>
      </c>
      <c r="K403" s="28">
        <f t="shared" si="25"/>
        <v>352.83</v>
      </c>
      <c r="L403" s="28">
        <f t="shared" si="25"/>
        <v>351.18</v>
      </c>
      <c r="M403" s="28">
        <f t="shared" si="25"/>
        <v>350.96</v>
      </c>
      <c r="N403" s="28">
        <f t="shared" si="25"/>
        <v>352.91</v>
      </c>
    </row>
    <row r="404" spans="1:14" x14ac:dyDescent="0.4">
      <c r="A404" s="1">
        <v>33482</v>
      </c>
      <c r="B404" s="28">
        <v>352.15</v>
      </c>
      <c r="C404" s="28">
        <f t="shared" si="25"/>
        <v>354.01</v>
      </c>
      <c r="D404" s="28">
        <f t="shared" si="25"/>
        <v>356.17</v>
      </c>
      <c r="E404" s="28">
        <f t="shared" si="25"/>
        <v>358.24</v>
      </c>
      <c r="F404" s="28">
        <f t="shared" si="25"/>
        <v>359.34</v>
      </c>
      <c r="G404" s="28">
        <f t="shared" si="25"/>
        <v>358.6</v>
      </c>
      <c r="H404" s="28">
        <f t="shared" si="25"/>
        <v>357.16</v>
      </c>
      <c r="I404" s="28">
        <f t="shared" si="25"/>
        <v>355.75</v>
      </c>
      <c r="J404" s="28">
        <f t="shared" si="25"/>
        <v>354.72</v>
      </c>
      <c r="K404" s="28">
        <f t="shared" si="25"/>
        <v>354.21</v>
      </c>
      <c r="L404" s="28">
        <f t="shared" si="25"/>
        <v>352.83</v>
      </c>
      <c r="M404" s="28">
        <f t="shared" si="25"/>
        <v>351.18</v>
      </c>
      <c r="N404" s="28">
        <f t="shared" si="25"/>
        <v>350.96</v>
      </c>
    </row>
    <row r="405" spans="1:14" x14ac:dyDescent="0.4">
      <c r="A405" s="1">
        <v>33512</v>
      </c>
      <c r="B405" s="28">
        <v>352.21</v>
      </c>
      <c r="C405" s="28">
        <f t="shared" si="25"/>
        <v>352.15</v>
      </c>
      <c r="D405" s="28">
        <f t="shared" si="25"/>
        <v>354.01</v>
      </c>
      <c r="E405" s="28">
        <f t="shared" si="25"/>
        <v>356.17</v>
      </c>
      <c r="F405" s="28">
        <f t="shared" si="25"/>
        <v>358.24</v>
      </c>
      <c r="G405" s="28">
        <f t="shared" si="25"/>
        <v>359.34</v>
      </c>
      <c r="H405" s="28">
        <f t="shared" ref="D405:N420" si="26">IF(G404=0,"",G404)</f>
        <v>358.6</v>
      </c>
      <c r="I405" s="28">
        <f t="shared" si="26"/>
        <v>357.16</v>
      </c>
      <c r="J405" s="28">
        <f t="shared" si="26"/>
        <v>355.75</v>
      </c>
      <c r="K405" s="28">
        <f t="shared" si="26"/>
        <v>354.72</v>
      </c>
      <c r="L405" s="28">
        <f t="shared" si="26"/>
        <v>354.21</v>
      </c>
      <c r="M405" s="28">
        <f t="shared" si="26"/>
        <v>352.83</v>
      </c>
      <c r="N405" s="28">
        <f t="shared" si="26"/>
        <v>351.18</v>
      </c>
    </row>
    <row r="406" spans="1:14" x14ac:dyDescent="0.4">
      <c r="A406" s="1">
        <v>33543</v>
      </c>
      <c r="B406" s="28">
        <v>353.75</v>
      </c>
      <c r="C406" s="28">
        <f t="shared" si="25"/>
        <v>352.21</v>
      </c>
      <c r="D406" s="28">
        <f t="shared" si="26"/>
        <v>352.15</v>
      </c>
      <c r="E406" s="28">
        <f t="shared" si="26"/>
        <v>354.01</v>
      </c>
      <c r="F406" s="28">
        <f t="shared" si="26"/>
        <v>356.17</v>
      </c>
      <c r="G406" s="28">
        <f t="shared" si="26"/>
        <v>358.24</v>
      </c>
      <c r="H406" s="28">
        <f t="shared" si="26"/>
        <v>359.34</v>
      </c>
      <c r="I406" s="28">
        <f t="shared" si="26"/>
        <v>358.6</v>
      </c>
      <c r="J406" s="28">
        <f t="shared" si="26"/>
        <v>357.16</v>
      </c>
      <c r="K406" s="28">
        <f t="shared" si="26"/>
        <v>355.75</v>
      </c>
      <c r="L406" s="28">
        <f t="shared" si="26"/>
        <v>354.72</v>
      </c>
      <c r="M406" s="28">
        <f t="shared" si="26"/>
        <v>354.21</v>
      </c>
      <c r="N406" s="28">
        <f t="shared" si="26"/>
        <v>352.83</v>
      </c>
    </row>
    <row r="407" spans="1:14" x14ac:dyDescent="0.4">
      <c r="A407" s="1">
        <v>33573</v>
      </c>
      <c r="B407" s="28">
        <v>354.99</v>
      </c>
      <c r="C407" s="28">
        <f t="shared" si="25"/>
        <v>353.75</v>
      </c>
      <c r="D407" s="28">
        <f t="shared" si="26"/>
        <v>352.21</v>
      </c>
      <c r="E407" s="28">
        <f t="shared" si="26"/>
        <v>352.15</v>
      </c>
      <c r="F407" s="28">
        <f t="shared" si="26"/>
        <v>354.01</v>
      </c>
      <c r="G407" s="28">
        <f t="shared" si="26"/>
        <v>356.17</v>
      </c>
      <c r="H407" s="28">
        <f t="shared" si="26"/>
        <v>358.24</v>
      </c>
      <c r="I407" s="28">
        <f t="shared" si="26"/>
        <v>359.34</v>
      </c>
      <c r="J407" s="28">
        <f t="shared" si="26"/>
        <v>358.6</v>
      </c>
      <c r="K407" s="28">
        <f t="shared" si="26"/>
        <v>357.16</v>
      </c>
      <c r="L407" s="28">
        <f t="shared" si="26"/>
        <v>355.75</v>
      </c>
      <c r="M407" s="28">
        <f t="shared" si="26"/>
        <v>354.72</v>
      </c>
      <c r="N407" s="28">
        <f t="shared" si="26"/>
        <v>354.21</v>
      </c>
    </row>
    <row r="408" spans="1:14" x14ac:dyDescent="0.4">
      <c r="A408" s="1">
        <v>33604</v>
      </c>
      <c r="B408" s="28">
        <v>355.99</v>
      </c>
      <c r="C408" s="28">
        <f t="shared" si="25"/>
        <v>354.99</v>
      </c>
      <c r="D408" s="28">
        <f t="shared" si="26"/>
        <v>353.75</v>
      </c>
      <c r="E408" s="28">
        <f t="shared" si="26"/>
        <v>352.21</v>
      </c>
      <c r="F408" s="28">
        <f t="shared" si="26"/>
        <v>352.15</v>
      </c>
      <c r="G408" s="28">
        <f t="shared" si="26"/>
        <v>354.01</v>
      </c>
      <c r="H408" s="28">
        <f t="shared" si="26"/>
        <v>356.17</v>
      </c>
      <c r="I408" s="28">
        <f t="shared" si="26"/>
        <v>358.24</v>
      </c>
      <c r="J408" s="28">
        <f t="shared" si="26"/>
        <v>359.34</v>
      </c>
      <c r="K408" s="28">
        <f t="shared" si="26"/>
        <v>358.6</v>
      </c>
      <c r="L408" s="28">
        <f t="shared" si="26"/>
        <v>357.16</v>
      </c>
      <c r="M408" s="28">
        <f t="shared" si="26"/>
        <v>355.75</v>
      </c>
      <c r="N408" s="28">
        <f t="shared" si="26"/>
        <v>354.72</v>
      </c>
    </row>
    <row r="409" spans="1:14" x14ac:dyDescent="0.4">
      <c r="A409" s="1">
        <v>33635</v>
      </c>
      <c r="B409" s="28">
        <v>356.72</v>
      </c>
      <c r="C409" s="28">
        <f t="shared" si="25"/>
        <v>355.99</v>
      </c>
      <c r="D409" s="28">
        <f t="shared" si="26"/>
        <v>354.99</v>
      </c>
      <c r="E409" s="28">
        <f t="shared" si="26"/>
        <v>353.75</v>
      </c>
      <c r="F409" s="28">
        <f t="shared" si="26"/>
        <v>352.21</v>
      </c>
      <c r="G409" s="28">
        <f t="shared" si="26"/>
        <v>352.15</v>
      </c>
      <c r="H409" s="28">
        <f t="shared" si="26"/>
        <v>354.01</v>
      </c>
      <c r="I409" s="28">
        <f t="shared" si="26"/>
        <v>356.17</v>
      </c>
      <c r="J409" s="28">
        <f t="shared" si="26"/>
        <v>358.24</v>
      </c>
      <c r="K409" s="28">
        <f t="shared" si="26"/>
        <v>359.34</v>
      </c>
      <c r="L409" s="28">
        <f t="shared" si="26"/>
        <v>358.6</v>
      </c>
      <c r="M409" s="28">
        <f t="shared" si="26"/>
        <v>357.16</v>
      </c>
      <c r="N409" s="28">
        <f t="shared" si="26"/>
        <v>355.75</v>
      </c>
    </row>
    <row r="410" spans="1:14" x14ac:dyDescent="0.4">
      <c r="A410" s="1">
        <v>33664</v>
      </c>
      <c r="B410" s="28">
        <v>357.81</v>
      </c>
      <c r="C410" s="28">
        <f t="shared" si="25"/>
        <v>356.72</v>
      </c>
      <c r="D410" s="28">
        <f t="shared" si="26"/>
        <v>355.99</v>
      </c>
      <c r="E410" s="28">
        <f t="shared" si="26"/>
        <v>354.99</v>
      </c>
      <c r="F410" s="28">
        <f t="shared" si="26"/>
        <v>353.75</v>
      </c>
      <c r="G410" s="28">
        <f t="shared" si="26"/>
        <v>352.21</v>
      </c>
      <c r="H410" s="28">
        <f t="shared" si="26"/>
        <v>352.15</v>
      </c>
      <c r="I410" s="28">
        <f t="shared" si="26"/>
        <v>354.01</v>
      </c>
      <c r="J410" s="28">
        <f t="shared" si="26"/>
        <v>356.17</v>
      </c>
      <c r="K410" s="28">
        <f t="shared" si="26"/>
        <v>358.24</v>
      </c>
      <c r="L410" s="28">
        <f t="shared" si="26"/>
        <v>359.34</v>
      </c>
      <c r="M410" s="28">
        <f t="shared" si="26"/>
        <v>358.6</v>
      </c>
      <c r="N410" s="28">
        <f t="shared" si="26"/>
        <v>357.16</v>
      </c>
    </row>
    <row r="411" spans="1:14" x14ac:dyDescent="0.4">
      <c r="A411" s="1">
        <v>33695</v>
      </c>
      <c r="B411" s="28">
        <v>359.15</v>
      </c>
      <c r="C411" s="28">
        <f t="shared" si="25"/>
        <v>357.81</v>
      </c>
      <c r="D411" s="28">
        <f t="shared" si="26"/>
        <v>356.72</v>
      </c>
      <c r="E411" s="28">
        <f t="shared" si="26"/>
        <v>355.99</v>
      </c>
      <c r="F411" s="28">
        <f t="shared" si="26"/>
        <v>354.99</v>
      </c>
      <c r="G411" s="28">
        <f t="shared" si="26"/>
        <v>353.75</v>
      </c>
      <c r="H411" s="28">
        <f t="shared" si="26"/>
        <v>352.21</v>
      </c>
      <c r="I411" s="28">
        <f t="shared" si="26"/>
        <v>352.15</v>
      </c>
      <c r="J411" s="28">
        <f t="shared" si="26"/>
        <v>354.01</v>
      </c>
      <c r="K411" s="28">
        <f t="shared" si="26"/>
        <v>356.17</v>
      </c>
      <c r="L411" s="28">
        <f t="shared" si="26"/>
        <v>358.24</v>
      </c>
      <c r="M411" s="28">
        <f t="shared" si="26"/>
        <v>359.34</v>
      </c>
      <c r="N411" s="28">
        <f t="shared" si="26"/>
        <v>358.6</v>
      </c>
    </row>
    <row r="412" spans="1:14" x14ac:dyDescent="0.4">
      <c r="A412" s="1">
        <v>33725</v>
      </c>
      <c r="B412" s="28">
        <v>359.66</v>
      </c>
      <c r="C412" s="28">
        <f t="shared" si="25"/>
        <v>359.15</v>
      </c>
      <c r="D412" s="28">
        <f t="shared" si="26"/>
        <v>357.81</v>
      </c>
      <c r="E412" s="28">
        <f t="shared" si="26"/>
        <v>356.72</v>
      </c>
      <c r="F412" s="28">
        <f t="shared" si="26"/>
        <v>355.99</v>
      </c>
      <c r="G412" s="28">
        <f t="shared" si="26"/>
        <v>354.99</v>
      </c>
      <c r="H412" s="28">
        <f t="shared" si="26"/>
        <v>353.75</v>
      </c>
      <c r="I412" s="28">
        <f t="shared" si="26"/>
        <v>352.21</v>
      </c>
      <c r="J412" s="28">
        <f t="shared" si="26"/>
        <v>352.15</v>
      </c>
      <c r="K412" s="28">
        <f t="shared" si="26"/>
        <v>354.01</v>
      </c>
      <c r="L412" s="28">
        <f t="shared" si="26"/>
        <v>356.17</v>
      </c>
      <c r="M412" s="28">
        <f t="shared" si="26"/>
        <v>358.24</v>
      </c>
      <c r="N412" s="28">
        <f t="shared" si="26"/>
        <v>359.34</v>
      </c>
    </row>
    <row r="413" spans="1:14" x14ac:dyDescent="0.4">
      <c r="A413" s="1">
        <v>33756</v>
      </c>
      <c r="B413" s="28">
        <v>359.25</v>
      </c>
      <c r="C413" s="28">
        <f t="shared" si="25"/>
        <v>359.66</v>
      </c>
      <c r="D413" s="28">
        <f t="shared" si="26"/>
        <v>359.15</v>
      </c>
      <c r="E413" s="28">
        <f t="shared" si="26"/>
        <v>357.81</v>
      </c>
      <c r="F413" s="28">
        <f t="shared" si="26"/>
        <v>356.72</v>
      </c>
      <c r="G413" s="28">
        <f t="shared" si="26"/>
        <v>355.99</v>
      </c>
      <c r="H413" s="28">
        <f t="shared" si="26"/>
        <v>354.99</v>
      </c>
      <c r="I413" s="28">
        <f t="shared" si="26"/>
        <v>353.75</v>
      </c>
      <c r="J413" s="28">
        <f t="shared" si="26"/>
        <v>352.21</v>
      </c>
      <c r="K413" s="28">
        <f t="shared" si="26"/>
        <v>352.15</v>
      </c>
      <c r="L413" s="28">
        <f t="shared" si="26"/>
        <v>354.01</v>
      </c>
      <c r="M413" s="28">
        <f t="shared" si="26"/>
        <v>356.17</v>
      </c>
      <c r="N413" s="28">
        <f t="shared" si="26"/>
        <v>358.24</v>
      </c>
    </row>
    <row r="414" spans="1:14" x14ac:dyDescent="0.4">
      <c r="A414" s="1">
        <v>33786</v>
      </c>
      <c r="B414" s="28">
        <v>357.02</v>
      </c>
      <c r="C414" s="28">
        <f t="shared" si="25"/>
        <v>359.25</v>
      </c>
      <c r="D414" s="28">
        <f t="shared" si="26"/>
        <v>359.66</v>
      </c>
      <c r="E414" s="28">
        <f t="shared" si="26"/>
        <v>359.15</v>
      </c>
      <c r="F414" s="28">
        <f t="shared" si="26"/>
        <v>357.81</v>
      </c>
      <c r="G414" s="28">
        <f t="shared" si="26"/>
        <v>356.72</v>
      </c>
      <c r="H414" s="28">
        <f t="shared" si="26"/>
        <v>355.99</v>
      </c>
      <c r="I414" s="28">
        <f t="shared" si="26"/>
        <v>354.99</v>
      </c>
      <c r="J414" s="28">
        <f t="shared" si="26"/>
        <v>353.75</v>
      </c>
      <c r="K414" s="28">
        <f t="shared" si="26"/>
        <v>352.21</v>
      </c>
      <c r="L414" s="28">
        <f t="shared" si="26"/>
        <v>352.15</v>
      </c>
      <c r="M414" s="28">
        <f t="shared" si="26"/>
        <v>354.01</v>
      </c>
      <c r="N414" s="28">
        <f t="shared" si="26"/>
        <v>356.17</v>
      </c>
    </row>
    <row r="415" spans="1:14" x14ac:dyDescent="0.4">
      <c r="A415" s="1">
        <v>33817</v>
      </c>
      <c r="B415" s="28">
        <v>355</v>
      </c>
      <c r="C415" s="28">
        <f t="shared" si="25"/>
        <v>357.02</v>
      </c>
      <c r="D415" s="28">
        <f t="shared" si="26"/>
        <v>359.25</v>
      </c>
      <c r="E415" s="28">
        <f t="shared" si="26"/>
        <v>359.66</v>
      </c>
      <c r="F415" s="28">
        <f t="shared" si="26"/>
        <v>359.15</v>
      </c>
      <c r="G415" s="28">
        <f t="shared" si="26"/>
        <v>357.81</v>
      </c>
      <c r="H415" s="28">
        <f t="shared" si="26"/>
        <v>356.72</v>
      </c>
      <c r="I415" s="28">
        <f t="shared" si="26"/>
        <v>355.99</v>
      </c>
      <c r="J415" s="28">
        <f t="shared" si="26"/>
        <v>354.99</v>
      </c>
      <c r="K415" s="28">
        <f t="shared" si="26"/>
        <v>353.75</v>
      </c>
      <c r="L415" s="28">
        <f t="shared" si="26"/>
        <v>352.21</v>
      </c>
      <c r="M415" s="28">
        <f t="shared" si="26"/>
        <v>352.15</v>
      </c>
      <c r="N415" s="28">
        <f t="shared" si="26"/>
        <v>354.01</v>
      </c>
    </row>
    <row r="416" spans="1:14" x14ac:dyDescent="0.4">
      <c r="A416" s="1">
        <v>33848</v>
      </c>
      <c r="B416" s="28">
        <v>353.01</v>
      </c>
      <c r="C416" s="28">
        <f t="shared" si="25"/>
        <v>355</v>
      </c>
      <c r="D416" s="28">
        <f t="shared" si="26"/>
        <v>357.02</v>
      </c>
      <c r="E416" s="28">
        <f t="shared" si="26"/>
        <v>359.25</v>
      </c>
      <c r="F416" s="28">
        <f t="shared" si="26"/>
        <v>359.66</v>
      </c>
      <c r="G416" s="28">
        <f t="shared" si="26"/>
        <v>359.15</v>
      </c>
      <c r="H416" s="28">
        <f t="shared" si="26"/>
        <v>357.81</v>
      </c>
      <c r="I416" s="28">
        <f t="shared" si="26"/>
        <v>356.72</v>
      </c>
      <c r="J416" s="28">
        <f t="shared" si="26"/>
        <v>355.99</v>
      </c>
      <c r="K416" s="28">
        <f t="shared" si="26"/>
        <v>354.99</v>
      </c>
      <c r="L416" s="28">
        <f t="shared" si="26"/>
        <v>353.75</v>
      </c>
      <c r="M416" s="28">
        <f t="shared" si="26"/>
        <v>352.21</v>
      </c>
      <c r="N416" s="28">
        <f t="shared" si="26"/>
        <v>352.15</v>
      </c>
    </row>
    <row r="417" spans="1:14" x14ac:dyDescent="0.4">
      <c r="A417" s="1">
        <v>33878</v>
      </c>
      <c r="B417" s="28">
        <v>353.31</v>
      </c>
      <c r="C417" s="28">
        <f t="shared" si="25"/>
        <v>353.01</v>
      </c>
      <c r="D417" s="28">
        <f t="shared" si="26"/>
        <v>355</v>
      </c>
      <c r="E417" s="28">
        <f t="shared" si="26"/>
        <v>357.02</v>
      </c>
      <c r="F417" s="28">
        <f t="shared" si="26"/>
        <v>359.25</v>
      </c>
      <c r="G417" s="28">
        <f t="shared" si="26"/>
        <v>359.66</v>
      </c>
      <c r="H417" s="28">
        <f t="shared" si="26"/>
        <v>359.15</v>
      </c>
      <c r="I417" s="28">
        <f t="shared" si="26"/>
        <v>357.81</v>
      </c>
      <c r="J417" s="28">
        <f t="shared" si="26"/>
        <v>356.72</v>
      </c>
      <c r="K417" s="28">
        <f t="shared" si="26"/>
        <v>355.99</v>
      </c>
      <c r="L417" s="28">
        <f t="shared" si="26"/>
        <v>354.99</v>
      </c>
      <c r="M417" s="28">
        <f t="shared" si="26"/>
        <v>353.75</v>
      </c>
      <c r="N417" s="28">
        <f t="shared" si="26"/>
        <v>352.21</v>
      </c>
    </row>
    <row r="418" spans="1:14" x14ac:dyDescent="0.4">
      <c r="A418" s="1">
        <v>33909</v>
      </c>
      <c r="B418" s="28">
        <v>354.16</v>
      </c>
      <c r="C418" s="28">
        <f t="shared" si="25"/>
        <v>353.31</v>
      </c>
      <c r="D418" s="28">
        <f t="shared" si="26"/>
        <v>353.01</v>
      </c>
      <c r="E418" s="28">
        <f t="shared" si="26"/>
        <v>355</v>
      </c>
      <c r="F418" s="28">
        <f t="shared" si="26"/>
        <v>357.02</v>
      </c>
      <c r="G418" s="28">
        <f t="shared" si="26"/>
        <v>359.25</v>
      </c>
      <c r="H418" s="28">
        <f t="shared" si="26"/>
        <v>359.66</v>
      </c>
      <c r="I418" s="28">
        <f t="shared" si="26"/>
        <v>359.15</v>
      </c>
      <c r="J418" s="28">
        <f t="shared" si="26"/>
        <v>357.81</v>
      </c>
      <c r="K418" s="28">
        <f t="shared" si="26"/>
        <v>356.72</v>
      </c>
      <c r="L418" s="28">
        <f t="shared" si="26"/>
        <v>355.99</v>
      </c>
      <c r="M418" s="28">
        <f t="shared" si="26"/>
        <v>354.99</v>
      </c>
      <c r="N418" s="28">
        <f t="shared" si="26"/>
        <v>353.75</v>
      </c>
    </row>
    <row r="419" spans="1:14" x14ac:dyDescent="0.4">
      <c r="A419" s="1">
        <v>33939</v>
      </c>
      <c r="B419" s="28">
        <v>355.4</v>
      </c>
      <c r="C419" s="28">
        <f t="shared" si="25"/>
        <v>354.16</v>
      </c>
      <c r="D419" s="28">
        <f t="shared" si="26"/>
        <v>353.31</v>
      </c>
      <c r="E419" s="28">
        <f t="shared" si="26"/>
        <v>353.01</v>
      </c>
      <c r="F419" s="28">
        <f t="shared" si="26"/>
        <v>355</v>
      </c>
      <c r="G419" s="28">
        <f t="shared" si="26"/>
        <v>357.02</v>
      </c>
      <c r="H419" s="28">
        <f t="shared" si="26"/>
        <v>359.25</v>
      </c>
      <c r="I419" s="28">
        <f t="shared" si="26"/>
        <v>359.66</v>
      </c>
      <c r="J419" s="28">
        <f t="shared" si="26"/>
        <v>359.15</v>
      </c>
      <c r="K419" s="28">
        <f t="shared" si="26"/>
        <v>357.81</v>
      </c>
      <c r="L419" s="28">
        <f t="shared" si="26"/>
        <v>356.72</v>
      </c>
      <c r="M419" s="28">
        <f t="shared" si="26"/>
        <v>355.99</v>
      </c>
      <c r="N419" s="28">
        <f t="shared" si="26"/>
        <v>354.99</v>
      </c>
    </row>
    <row r="420" spans="1:14" x14ac:dyDescent="0.4">
      <c r="A420" s="1">
        <v>33970</v>
      </c>
      <c r="B420" s="28">
        <v>356.7</v>
      </c>
      <c r="C420" s="28">
        <f t="shared" si="25"/>
        <v>355.4</v>
      </c>
      <c r="D420" s="28">
        <f t="shared" si="26"/>
        <v>354.16</v>
      </c>
      <c r="E420" s="28">
        <f t="shared" si="26"/>
        <v>353.31</v>
      </c>
      <c r="F420" s="28">
        <f t="shared" si="26"/>
        <v>353.01</v>
      </c>
      <c r="G420" s="28">
        <f t="shared" si="26"/>
        <v>355</v>
      </c>
      <c r="H420" s="28">
        <f t="shared" si="26"/>
        <v>357.02</v>
      </c>
      <c r="I420" s="28">
        <f t="shared" si="26"/>
        <v>359.25</v>
      </c>
      <c r="J420" s="28">
        <f t="shared" si="26"/>
        <v>359.66</v>
      </c>
      <c r="K420" s="28">
        <f t="shared" si="26"/>
        <v>359.15</v>
      </c>
      <c r="L420" s="28">
        <f t="shared" si="26"/>
        <v>357.81</v>
      </c>
      <c r="M420" s="28">
        <f t="shared" si="26"/>
        <v>356.72</v>
      </c>
      <c r="N420" s="28">
        <f t="shared" si="26"/>
        <v>355.99</v>
      </c>
    </row>
    <row r="421" spans="1:14" x14ac:dyDescent="0.4">
      <c r="A421" s="1">
        <v>34001</v>
      </c>
      <c r="B421" s="28">
        <v>357.17</v>
      </c>
      <c r="C421" s="28">
        <f t="shared" si="25"/>
        <v>356.7</v>
      </c>
      <c r="D421" s="28">
        <f t="shared" ref="D421:N436" si="27">IF(C420=0,"",C420)</f>
        <v>355.4</v>
      </c>
      <c r="E421" s="28">
        <f t="shared" si="27"/>
        <v>354.16</v>
      </c>
      <c r="F421" s="28">
        <f t="shared" si="27"/>
        <v>353.31</v>
      </c>
      <c r="G421" s="28">
        <f t="shared" si="27"/>
        <v>353.01</v>
      </c>
      <c r="H421" s="28">
        <f t="shared" si="27"/>
        <v>355</v>
      </c>
      <c r="I421" s="28">
        <f t="shared" si="27"/>
        <v>357.02</v>
      </c>
      <c r="J421" s="28">
        <f t="shared" si="27"/>
        <v>359.25</v>
      </c>
      <c r="K421" s="28">
        <f t="shared" si="27"/>
        <v>359.66</v>
      </c>
      <c r="L421" s="28">
        <f t="shared" si="27"/>
        <v>359.15</v>
      </c>
      <c r="M421" s="28">
        <f t="shared" si="27"/>
        <v>357.81</v>
      </c>
      <c r="N421" s="28">
        <f t="shared" si="27"/>
        <v>356.72</v>
      </c>
    </row>
    <row r="422" spans="1:14" x14ac:dyDescent="0.4">
      <c r="A422" s="1">
        <v>34029</v>
      </c>
      <c r="B422" s="28">
        <v>358.38</v>
      </c>
      <c r="C422" s="28">
        <f t="shared" si="25"/>
        <v>357.17</v>
      </c>
      <c r="D422" s="28">
        <f t="shared" si="27"/>
        <v>356.7</v>
      </c>
      <c r="E422" s="28">
        <f t="shared" si="27"/>
        <v>355.4</v>
      </c>
      <c r="F422" s="28">
        <f t="shared" si="27"/>
        <v>354.16</v>
      </c>
      <c r="G422" s="28">
        <f t="shared" si="27"/>
        <v>353.31</v>
      </c>
      <c r="H422" s="28">
        <f t="shared" si="27"/>
        <v>353.01</v>
      </c>
      <c r="I422" s="28">
        <f t="shared" si="27"/>
        <v>355</v>
      </c>
      <c r="J422" s="28">
        <f t="shared" si="27"/>
        <v>357.02</v>
      </c>
      <c r="K422" s="28">
        <f t="shared" si="27"/>
        <v>359.25</v>
      </c>
      <c r="L422" s="28">
        <f t="shared" si="27"/>
        <v>359.66</v>
      </c>
      <c r="M422" s="28">
        <f t="shared" si="27"/>
        <v>359.15</v>
      </c>
      <c r="N422" s="28">
        <f t="shared" si="27"/>
        <v>357.81</v>
      </c>
    </row>
    <row r="423" spans="1:14" x14ac:dyDescent="0.4">
      <c r="A423" s="1">
        <v>34060</v>
      </c>
      <c r="B423" s="28">
        <v>359.46</v>
      </c>
      <c r="C423" s="28">
        <f t="shared" si="25"/>
        <v>358.38</v>
      </c>
      <c r="D423" s="28">
        <f t="shared" si="27"/>
        <v>357.17</v>
      </c>
      <c r="E423" s="28">
        <f t="shared" si="27"/>
        <v>356.7</v>
      </c>
      <c r="F423" s="28">
        <f t="shared" si="27"/>
        <v>355.4</v>
      </c>
      <c r="G423" s="28">
        <f t="shared" si="27"/>
        <v>354.16</v>
      </c>
      <c r="H423" s="28">
        <f t="shared" si="27"/>
        <v>353.31</v>
      </c>
      <c r="I423" s="28">
        <f t="shared" si="27"/>
        <v>353.01</v>
      </c>
      <c r="J423" s="28">
        <f t="shared" si="27"/>
        <v>355</v>
      </c>
      <c r="K423" s="28">
        <f t="shared" si="27"/>
        <v>357.02</v>
      </c>
      <c r="L423" s="28">
        <f t="shared" si="27"/>
        <v>359.25</v>
      </c>
      <c r="M423" s="28">
        <f t="shared" si="27"/>
        <v>359.66</v>
      </c>
      <c r="N423" s="28">
        <f t="shared" si="27"/>
        <v>359.15</v>
      </c>
    </row>
    <row r="424" spans="1:14" x14ac:dyDescent="0.4">
      <c r="A424" s="1">
        <v>34090</v>
      </c>
      <c r="B424" s="28">
        <v>360.28</v>
      </c>
      <c r="C424" s="28">
        <f t="shared" si="25"/>
        <v>359.46</v>
      </c>
      <c r="D424" s="28">
        <f t="shared" si="27"/>
        <v>358.38</v>
      </c>
      <c r="E424" s="28">
        <f t="shared" si="27"/>
        <v>357.17</v>
      </c>
      <c r="F424" s="28">
        <f t="shared" si="27"/>
        <v>356.7</v>
      </c>
      <c r="G424" s="28">
        <f t="shared" si="27"/>
        <v>355.4</v>
      </c>
      <c r="H424" s="28">
        <f t="shared" si="27"/>
        <v>354.16</v>
      </c>
      <c r="I424" s="28">
        <f t="shared" si="27"/>
        <v>353.31</v>
      </c>
      <c r="J424" s="28">
        <f t="shared" si="27"/>
        <v>353.01</v>
      </c>
      <c r="K424" s="28">
        <f t="shared" si="27"/>
        <v>355</v>
      </c>
      <c r="L424" s="28">
        <f t="shared" si="27"/>
        <v>357.02</v>
      </c>
      <c r="M424" s="28">
        <f t="shared" si="27"/>
        <v>359.25</v>
      </c>
      <c r="N424" s="28">
        <f t="shared" si="27"/>
        <v>359.66</v>
      </c>
    </row>
    <row r="425" spans="1:14" x14ac:dyDescent="0.4">
      <c r="A425" s="1">
        <v>34121</v>
      </c>
      <c r="B425" s="28">
        <v>359.6</v>
      </c>
      <c r="C425" s="28">
        <f t="shared" si="25"/>
        <v>360.28</v>
      </c>
      <c r="D425" s="28">
        <f t="shared" si="27"/>
        <v>359.46</v>
      </c>
      <c r="E425" s="28">
        <f t="shared" si="27"/>
        <v>358.38</v>
      </c>
      <c r="F425" s="28">
        <f t="shared" si="27"/>
        <v>357.17</v>
      </c>
      <c r="G425" s="28">
        <f t="shared" si="27"/>
        <v>356.7</v>
      </c>
      <c r="H425" s="28">
        <f t="shared" si="27"/>
        <v>355.4</v>
      </c>
      <c r="I425" s="28">
        <f t="shared" si="27"/>
        <v>354.16</v>
      </c>
      <c r="J425" s="28">
        <f t="shared" si="27"/>
        <v>353.31</v>
      </c>
      <c r="K425" s="28">
        <f t="shared" si="27"/>
        <v>353.01</v>
      </c>
      <c r="L425" s="28">
        <f t="shared" si="27"/>
        <v>355</v>
      </c>
      <c r="M425" s="28">
        <f t="shared" si="27"/>
        <v>357.02</v>
      </c>
      <c r="N425" s="28">
        <f t="shared" si="27"/>
        <v>359.25</v>
      </c>
    </row>
    <row r="426" spans="1:14" x14ac:dyDescent="0.4">
      <c r="A426" s="1">
        <v>34151</v>
      </c>
      <c r="B426" s="28">
        <v>357.57</v>
      </c>
      <c r="C426" s="28">
        <f t="shared" si="25"/>
        <v>359.6</v>
      </c>
      <c r="D426" s="28">
        <f t="shared" si="27"/>
        <v>360.28</v>
      </c>
      <c r="E426" s="28">
        <f t="shared" si="27"/>
        <v>359.46</v>
      </c>
      <c r="F426" s="28">
        <f t="shared" si="27"/>
        <v>358.38</v>
      </c>
      <c r="G426" s="28">
        <f t="shared" si="27"/>
        <v>357.17</v>
      </c>
      <c r="H426" s="28">
        <f t="shared" si="27"/>
        <v>356.7</v>
      </c>
      <c r="I426" s="28">
        <f t="shared" si="27"/>
        <v>355.4</v>
      </c>
      <c r="J426" s="28">
        <f t="shared" si="27"/>
        <v>354.16</v>
      </c>
      <c r="K426" s="28">
        <f t="shared" si="27"/>
        <v>353.31</v>
      </c>
      <c r="L426" s="28">
        <f t="shared" si="27"/>
        <v>353.01</v>
      </c>
      <c r="M426" s="28">
        <f t="shared" si="27"/>
        <v>355</v>
      </c>
      <c r="N426" s="28">
        <f t="shared" si="27"/>
        <v>357.02</v>
      </c>
    </row>
    <row r="427" spans="1:14" x14ac:dyDescent="0.4">
      <c r="A427" s="1">
        <v>34182</v>
      </c>
      <c r="B427" s="28">
        <v>355.52</v>
      </c>
      <c r="C427" s="28">
        <f t="shared" si="25"/>
        <v>357.57</v>
      </c>
      <c r="D427" s="28">
        <f t="shared" si="27"/>
        <v>359.6</v>
      </c>
      <c r="E427" s="28">
        <f t="shared" si="27"/>
        <v>360.28</v>
      </c>
      <c r="F427" s="28">
        <f t="shared" si="27"/>
        <v>359.46</v>
      </c>
      <c r="G427" s="28">
        <f t="shared" si="27"/>
        <v>358.38</v>
      </c>
      <c r="H427" s="28">
        <f t="shared" si="27"/>
        <v>357.17</v>
      </c>
      <c r="I427" s="28">
        <f t="shared" si="27"/>
        <v>356.7</v>
      </c>
      <c r="J427" s="28">
        <f t="shared" si="27"/>
        <v>355.4</v>
      </c>
      <c r="K427" s="28">
        <f t="shared" si="27"/>
        <v>354.16</v>
      </c>
      <c r="L427" s="28">
        <f t="shared" si="27"/>
        <v>353.31</v>
      </c>
      <c r="M427" s="28">
        <f t="shared" si="27"/>
        <v>353.01</v>
      </c>
      <c r="N427" s="28">
        <f t="shared" si="27"/>
        <v>355</v>
      </c>
    </row>
    <row r="428" spans="1:14" x14ac:dyDescent="0.4">
      <c r="A428" s="1">
        <v>34213</v>
      </c>
      <c r="B428" s="28">
        <v>353.69</v>
      </c>
      <c r="C428" s="28">
        <f t="shared" si="25"/>
        <v>355.52</v>
      </c>
      <c r="D428" s="28">
        <f t="shared" si="27"/>
        <v>357.57</v>
      </c>
      <c r="E428" s="28">
        <f t="shared" si="27"/>
        <v>359.6</v>
      </c>
      <c r="F428" s="28">
        <f t="shared" si="27"/>
        <v>360.28</v>
      </c>
      <c r="G428" s="28">
        <f t="shared" si="27"/>
        <v>359.46</v>
      </c>
      <c r="H428" s="28">
        <f t="shared" si="27"/>
        <v>358.38</v>
      </c>
      <c r="I428" s="28">
        <f t="shared" si="27"/>
        <v>357.17</v>
      </c>
      <c r="J428" s="28">
        <f t="shared" si="27"/>
        <v>356.7</v>
      </c>
      <c r="K428" s="28">
        <f t="shared" si="27"/>
        <v>355.4</v>
      </c>
      <c r="L428" s="28">
        <f t="shared" si="27"/>
        <v>354.16</v>
      </c>
      <c r="M428" s="28">
        <f t="shared" si="27"/>
        <v>353.31</v>
      </c>
      <c r="N428" s="28">
        <f t="shared" si="27"/>
        <v>353.01</v>
      </c>
    </row>
    <row r="429" spans="1:14" x14ac:dyDescent="0.4">
      <c r="A429" s="1">
        <v>34243</v>
      </c>
      <c r="B429" s="28">
        <v>353.99</v>
      </c>
      <c r="C429" s="28">
        <f t="shared" si="25"/>
        <v>353.69</v>
      </c>
      <c r="D429" s="28">
        <f t="shared" si="27"/>
        <v>355.52</v>
      </c>
      <c r="E429" s="28">
        <f t="shared" si="27"/>
        <v>357.57</v>
      </c>
      <c r="F429" s="28">
        <f t="shared" si="27"/>
        <v>359.6</v>
      </c>
      <c r="G429" s="28">
        <f t="shared" si="27"/>
        <v>360.28</v>
      </c>
      <c r="H429" s="28">
        <f t="shared" si="27"/>
        <v>359.46</v>
      </c>
      <c r="I429" s="28">
        <f t="shared" si="27"/>
        <v>358.38</v>
      </c>
      <c r="J429" s="28">
        <f t="shared" si="27"/>
        <v>357.17</v>
      </c>
      <c r="K429" s="28">
        <f t="shared" si="27"/>
        <v>356.7</v>
      </c>
      <c r="L429" s="28">
        <f t="shared" si="27"/>
        <v>355.4</v>
      </c>
      <c r="M429" s="28">
        <f t="shared" si="27"/>
        <v>354.16</v>
      </c>
      <c r="N429" s="28">
        <f t="shared" si="27"/>
        <v>353.31</v>
      </c>
    </row>
    <row r="430" spans="1:14" x14ac:dyDescent="0.4">
      <c r="A430" s="1">
        <v>34274</v>
      </c>
      <c r="B430" s="28">
        <v>355.34</v>
      </c>
      <c r="C430" s="28">
        <f t="shared" si="25"/>
        <v>353.99</v>
      </c>
      <c r="D430" s="28">
        <f t="shared" si="27"/>
        <v>353.69</v>
      </c>
      <c r="E430" s="28">
        <f t="shared" si="27"/>
        <v>355.52</v>
      </c>
      <c r="F430" s="28">
        <f t="shared" si="27"/>
        <v>357.57</v>
      </c>
      <c r="G430" s="28">
        <f t="shared" si="27"/>
        <v>359.6</v>
      </c>
      <c r="H430" s="28">
        <f t="shared" si="27"/>
        <v>360.28</v>
      </c>
      <c r="I430" s="28">
        <f t="shared" si="27"/>
        <v>359.46</v>
      </c>
      <c r="J430" s="28">
        <f t="shared" si="27"/>
        <v>358.38</v>
      </c>
      <c r="K430" s="28">
        <f t="shared" si="27"/>
        <v>357.17</v>
      </c>
      <c r="L430" s="28">
        <f t="shared" si="27"/>
        <v>356.7</v>
      </c>
      <c r="M430" s="28">
        <f t="shared" si="27"/>
        <v>355.4</v>
      </c>
      <c r="N430" s="28">
        <f t="shared" si="27"/>
        <v>354.16</v>
      </c>
    </row>
    <row r="431" spans="1:14" x14ac:dyDescent="0.4">
      <c r="A431" s="1">
        <v>34304</v>
      </c>
      <c r="B431" s="28">
        <v>356.8</v>
      </c>
      <c r="C431" s="28">
        <f t="shared" si="25"/>
        <v>355.34</v>
      </c>
      <c r="D431" s="28">
        <f t="shared" si="27"/>
        <v>353.99</v>
      </c>
      <c r="E431" s="28">
        <f t="shared" si="27"/>
        <v>353.69</v>
      </c>
      <c r="F431" s="28">
        <f t="shared" si="27"/>
        <v>355.52</v>
      </c>
      <c r="G431" s="28">
        <f t="shared" si="27"/>
        <v>357.57</v>
      </c>
      <c r="H431" s="28">
        <f t="shared" si="27"/>
        <v>359.6</v>
      </c>
      <c r="I431" s="28">
        <f t="shared" si="27"/>
        <v>360.28</v>
      </c>
      <c r="J431" s="28">
        <f t="shared" si="27"/>
        <v>359.46</v>
      </c>
      <c r="K431" s="28">
        <f t="shared" si="27"/>
        <v>358.38</v>
      </c>
      <c r="L431" s="28">
        <f t="shared" si="27"/>
        <v>357.17</v>
      </c>
      <c r="M431" s="28">
        <f t="shared" si="27"/>
        <v>356.7</v>
      </c>
      <c r="N431" s="28">
        <f t="shared" si="27"/>
        <v>355.4</v>
      </c>
    </row>
    <row r="432" spans="1:14" x14ac:dyDescent="0.4">
      <c r="A432" s="1">
        <v>34335</v>
      </c>
      <c r="B432" s="28">
        <v>358.37</v>
      </c>
      <c r="C432" s="28">
        <f t="shared" si="25"/>
        <v>356.8</v>
      </c>
      <c r="D432" s="28">
        <f t="shared" si="27"/>
        <v>355.34</v>
      </c>
      <c r="E432" s="28">
        <f t="shared" si="27"/>
        <v>353.99</v>
      </c>
      <c r="F432" s="28">
        <f t="shared" si="27"/>
        <v>353.69</v>
      </c>
      <c r="G432" s="28">
        <f t="shared" si="27"/>
        <v>355.52</v>
      </c>
      <c r="H432" s="28">
        <f t="shared" si="27"/>
        <v>357.57</v>
      </c>
      <c r="I432" s="28">
        <f t="shared" si="27"/>
        <v>359.6</v>
      </c>
      <c r="J432" s="28">
        <f t="shared" si="27"/>
        <v>360.28</v>
      </c>
      <c r="K432" s="28">
        <f t="shared" si="27"/>
        <v>359.46</v>
      </c>
      <c r="L432" s="28">
        <f t="shared" si="27"/>
        <v>358.38</v>
      </c>
      <c r="M432" s="28">
        <f t="shared" si="27"/>
        <v>357.17</v>
      </c>
      <c r="N432" s="28">
        <f t="shared" si="27"/>
        <v>356.7</v>
      </c>
    </row>
    <row r="433" spans="1:14" x14ac:dyDescent="0.4">
      <c r="A433" s="1">
        <v>34366</v>
      </c>
      <c r="B433" s="28">
        <v>358.91</v>
      </c>
      <c r="C433" s="28">
        <f t="shared" si="25"/>
        <v>358.37</v>
      </c>
      <c r="D433" s="28">
        <f t="shared" si="27"/>
        <v>356.8</v>
      </c>
      <c r="E433" s="28">
        <f t="shared" si="27"/>
        <v>355.34</v>
      </c>
      <c r="F433" s="28">
        <f t="shared" si="27"/>
        <v>353.99</v>
      </c>
      <c r="G433" s="28">
        <f t="shared" si="27"/>
        <v>353.69</v>
      </c>
      <c r="H433" s="28">
        <f t="shared" si="27"/>
        <v>355.52</v>
      </c>
      <c r="I433" s="28">
        <f t="shared" si="27"/>
        <v>357.57</v>
      </c>
      <c r="J433" s="28">
        <f t="shared" si="27"/>
        <v>359.6</v>
      </c>
      <c r="K433" s="28">
        <f t="shared" si="27"/>
        <v>360.28</v>
      </c>
      <c r="L433" s="28">
        <f t="shared" si="27"/>
        <v>359.46</v>
      </c>
      <c r="M433" s="28">
        <f t="shared" si="27"/>
        <v>358.38</v>
      </c>
      <c r="N433" s="28">
        <f t="shared" si="27"/>
        <v>357.17</v>
      </c>
    </row>
    <row r="434" spans="1:14" x14ac:dyDescent="0.4">
      <c r="A434" s="1">
        <v>34394</v>
      </c>
      <c r="B434" s="28">
        <v>359.97</v>
      </c>
      <c r="C434" s="28">
        <f t="shared" si="25"/>
        <v>358.91</v>
      </c>
      <c r="D434" s="28">
        <f t="shared" si="27"/>
        <v>358.37</v>
      </c>
      <c r="E434" s="28">
        <f t="shared" si="27"/>
        <v>356.8</v>
      </c>
      <c r="F434" s="28">
        <f t="shared" si="27"/>
        <v>355.34</v>
      </c>
      <c r="G434" s="28">
        <f t="shared" si="27"/>
        <v>353.99</v>
      </c>
      <c r="H434" s="28">
        <f t="shared" si="27"/>
        <v>353.69</v>
      </c>
      <c r="I434" s="28">
        <f t="shared" si="27"/>
        <v>355.52</v>
      </c>
      <c r="J434" s="28">
        <f t="shared" si="27"/>
        <v>357.57</v>
      </c>
      <c r="K434" s="28">
        <f t="shared" si="27"/>
        <v>359.6</v>
      </c>
      <c r="L434" s="28">
        <f t="shared" si="27"/>
        <v>360.28</v>
      </c>
      <c r="M434" s="28">
        <f t="shared" si="27"/>
        <v>359.46</v>
      </c>
      <c r="N434" s="28">
        <f t="shared" si="27"/>
        <v>358.38</v>
      </c>
    </row>
    <row r="435" spans="1:14" x14ac:dyDescent="0.4">
      <c r="A435" s="1">
        <v>34425</v>
      </c>
      <c r="B435" s="28">
        <v>361.26</v>
      </c>
      <c r="C435" s="28">
        <f t="shared" si="25"/>
        <v>359.97</v>
      </c>
      <c r="D435" s="28">
        <f t="shared" si="27"/>
        <v>358.91</v>
      </c>
      <c r="E435" s="28">
        <f t="shared" si="27"/>
        <v>358.37</v>
      </c>
      <c r="F435" s="28">
        <f t="shared" si="27"/>
        <v>356.8</v>
      </c>
      <c r="G435" s="28">
        <f t="shared" si="27"/>
        <v>355.34</v>
      </c>
      <c r="H435" s="28">
        <f t="shared" si="27"/>
        <v>353.99</v>
      </c>
      <c r="I435" s="28">
        <f t="shared" si="27"/>
        <v>353.69</v>
      </c>
      <c r="J435" s="28">
        <f t="shared" si="27"/>
        <v>355.52</v>
      </c>
      <c r="K435" s="28">
        <f t="shared" si="27"/>
        <v>357.57</v>
      </c>
      <c r="L435" s="28">
        <f t="shared" si="27"/>
        <v>359.6</v>
      </c>
      <c r="M435" s="28">
        <f t="shared" si="27"/>
        <v>360.28</v>
      </c>
      <c r="N435" s="28">
        <f t="shared" si="27"/>
        <v>359.46</v>
      </c>
    </row>
    <row r="436" spans="1:14" x14ac:dyDescent="0.4">
      <c r="A436" s="1">
        <v>34455</v>
      </c>
      <c r="B436" s="28">
        <v>361.69</v>
      </c>
      <c r="C436" s="28">
        <f t="shared" si="25"/>
        <v>361.26</v>
      </c>
      <c r="D436" s="28">
        <f t="shared" si="27"/>
        <v>359.97</v>
      </c>
      <c r="E436" s="28">
        <f t="shared" si="27"/>
        <v>358.91</v>
      </c>
      <c r="F436" s="28">
        <f t="shared" si="27"/>
        <v>358.37</v>
      </c>
      <c r="G436" s="28">
        <f t="shared" si="27"/>
        <v>356.8</v>
      </c>
      <c r="H436" s="28">
        <f t="shared" si="27"/>
        <v>355.34</v>
      </c>
      <c r="I436" s="28">
        <f t="shared" si="27"/>
        <v>353.99</v>
      </c>
      <c r="J436" s="28">
        <f t="shared" si="27"/>
        <v>353.69</v>
      </c>
      <c r="K436" s="28">
        <f t="shared" si="27"/>
        <v>355.52</v>
      </c>
      <c r="L436" s="28">
        <f t="shared" si="27"/>
        <v>357.57</v>
      </c>
      <c r="M436" s="28">
        <f t="shared" si="27"/>
        <v>359.6</v>
      </c>
      <c r="N436" s="28">
        <f t="shared" si="27"/>
        <v>360.28</v>
      </c>
    </row>
    <row r="437" spans="1:14" x14ac:dyDescent="0.4">
      <c r="A437" s="1">
        <v>34486</v>
      </c>
      <c r="B437" s="28">
        <v>360.94</v>
      </c>
      <c r="C437" s="28">
        <f t="shared" si="25"/>
        <v>361.69</v>
      </c>
      <c r="D437" s="28">
        <f t="shared" ref="D437:N451" si="28">IF(C436=0,"",C436)</f>
        <v>361.26</v>
      </c>
      <c r="E437" s="28">
        <f t="shared" si="28"/>
        <v>359.97</v>
      </c>
      <c r="F437" s="28">
        <f t="shared" si="28"/>
        <v>358.91</v>
      </c>
      <c r="G437" s="28">
        <f t="shared" si="28"/>
        <v>358.37</v>
      </c>
      <c r="H437" s="28">
        <f t="shared" si="28"/>
        <v>356.8</v>
      </c>
      <c r="I437" s="28">
        <f t="shared" si="28"/>
        <v>355.34</v>
      </c>
      <c r="J437" s="28">
        <f t="shared" si="28"/>
        <v>353.99</v>
      </c>
      <c r="K437" s="28">
        <f t="shared" si="28"/>
        <v>353.69</v>
      </c>
      <c r="L437" s="28">
        <f t="shared" si="28"/>
        <v>355.52</v>
      </c>
      <c r="M437" s="28">
        <f t="shared" si="28"/>
        <v>357.57</v>
      </c>
      <c r="N437" s="28">
        <f t="shared" si="28"/>
        <v>359.6</v>
      </c>
    </row>
    <row r="438" spans="1:14" x14ac:dyDescent="0.4">
      <c r="A438" s="1">
        <v>34516</v>
      </c>
      <c r="B438" s="28">
        <v>359.55</v>
      </c>
      <c r="C438" s="28">
        <f t="shared" si="25"/>
        <v>360.94</v>
      </c>
      <c r="D438" s="28">
        <f t="shared" si="28"/>
        <v>361.69</v>
      </c>
      <c r="E438" s="28">
        <f t="shared" si="28"/>
        <v>361.26</v>
      </c>
      <c r="F438" s="28">
        <f t="shared" si="28"/>
        <v>359.97</v>
      </c>
      <c r="G438" s="28">
        <f t="shared" si="28"/>
        <v>358.91</v>
      </c>
      <c r="H438" s="28">
        <f t="shared" si="28"/>
        <v>358.37</v>
      </c>
      <c r="I438" s="28">
        <f t="shared" si="28"/>
        <v>356.8</v>
      </c>
      <c r="J438" s="28">
        <f t="shared" si="28"/>
        <v>355.34</v>
      </c>
      <c r="K438" s="28">
        <f t="shared" si="28"/>
        <v>353.99</v>
      </c>
      <c r="L438" s="28">
        <f t="shared" si="28"/>
        <v>353.69</v>
      </c>
      <c r="M438" s="28">
        <f t="shared" si="28"/>
        <v>355.52</v>
      </c>
      <c r="N438" s="28">
        <f t="shared" si="28"/>
        <v>357.57</v>
      </c>
    </row>
    <row r="439" spans="1:14" x14ac:dyDescent="0.4">
      <c r="A439" s="1">
        <v>34547</v>
      </c>
      <c r="B439" s="28">
        <v>357.48</v>
      </c>
      <c r="C439" s="28">
        <f t="shared" si="25"/>
        <v>359.55</v>
      </c>
      <c r="D439" s="28">
        <f t="shared" si="28"/>
        <v>360.94</v>
      </c>
      <c r="E439" s="28">
        <f t="shared" si="28"/>
        <v>361.69</v>
      </c>
      <c r="F439" s="28">
        <f t="shared" si="28"/>
        <v>361.26</v>
      </c>
      <c r="G439" s="28">
        <f t="shared" si="28"/>
        <v>359.97</v>
      </c>
      <c r="H439" s="28">
        <f t="shared" si="28"/>
        <v>358.91</v>
      </c>
      <c r="I439" s="28">
        <f t="shared" si="28"/>
        <v>358.37</v>
      </c>
      <c r="J439" s="28">
        <f t="shared" si="28"/>
        <v>356.8</v>
      </c>
      <c r="K439" s="28">
        <f t="shared" si="28"/>
        <v>355.34</v>
      </c>
      <c r="L439" s="28">
        <f t="shared" si="28"/>
        <v>353.99</v>
      </c>
      <c r="M439" s="28">
        <f t="shared" si="28"/>
        <v>353.69</v>
      </c>
      <c r="N439" s="28">
        <f t="shared" si="28"/>
        <v>355.52</v>
      </c>
    </row>
    <row r="440" spans="1:14" x14ac:dyDescent="0.4">
      <c r="A440" s="1">
        <v>34578</v>
      </c>
      <c r="B440" s="28">
        <v>355.84</v>
      </c>
      <c r="C440" s="28">
        <f t="shared" si="25"/>
        <v>357.48</v>
      </c>
      <c r="D440" s="28">
        <f t="shared" si="28"/>
        <v>359.55</v>
      </c>
      <c r="E440" s="28">
        <f t="shared" si="28"/>
        <v>360.94</v>
      </c>
      <c r="F440" s="28">
        <f t="shared" si="28"/>
        <v>361.69</v>
      </c>
      <c r="G440" s="28">
        <f t="shared" si="28"/>
        <v>361.26</v>
      </c>
      <c r="H440" s="28">
        <f t="shared" si="28"/>
        <v>359.97</v>
      </c>
      <c r="I440" s="28">
        <f t="shared" si="28"/>
        <v>358.91</v>
      </c>
      <c r="J440" s="28">
        <f t="shared" si="28"/>
        <v>358.37</v>
      </c>
      <c r="K440" s="28">
        <f t="shared" si="28"/>
        <v>356.8</v>
      </c>
      <c r="L440" s="28">
        <f t="shared" si="28"/>
        <v>355.34</v>
      </c>
      <c r="M440" s="28">
        <f t="shared" si="28"/>
        <v>353.99</v>
      </c>
      <c r="N440" s="28">
        <f t="shared" si="28"/>
        <v>353.69</v>
      </c>
    </row>
    <row r="441" spans="1:14" x14ac:dyDescent="0.4">
      <c r="A441" s="1">
        <v>34608</v>
      </c>
      <c r="B441" s="28">
        <v>356</v>
      </c>
      <c r="C441" s="28">
        <f t="shared" si="25"/>
        <v>355.84</v>
      </c>
      <c r="D441" s="28">
        <f t="shared" si="28"/>
        <v>357.48</v>
      </c>
      <c r="E441" s="28">
        <f t="shared" si="28"/>
        <v>359.55</v>
      </c>
      <c r="F441" s="28">
        <f t="shared" si="28"/>
        <v>360.94</v>
      </c>
      <c r="G441" s="28">
        <f t="shared" si="28"/>
        <v>361.69</v>
      </c>
      <c r="H441" s="28">
        <f t="shared" si="28"/>
        <v>361.26</v>
      </c>
      <c r="I441" s="28">
        <f t="shared" si="28"/>
        <v>359.97</v>
      </c>
      <c r="J441" s="28">
        <f t="shared" si="28"/>
        <v>358.91</v>
      </c>
      <c r="K441" s="28">
        <f t="shared" si="28"/>
        <v>358.37</v>
      </c>
      <c r="L441" s="28">
        <f t="shared" si="28"/>
        <v>356.8</v>
      </c>
      <c r="M441" s="28">
        <f t="shared" si="28"/>
        <v>355.34</v>
      </c>
      <c r="N441" s="28">
        <f t="shared" si="28"/>
        <v>353.99</v>
      </c>
    </row>
    <row r="442" spans="1:14" x14ac:dyDescent="0.4">
      <c r="A442" s="1">
        <v>34639</v>
      </c>
      <c r="B442" s="28">
        <v>357.58</v>
      </c>
      <c r="C442" s="28">
        <f t="shared" si="25"/>
        <v>356</v>
      </c>
      <c r="D442" s="28">
        <f t="shared" si="28"/>
        <v>355.84</v>
      </c>
      <c r="E442" s="28">
        <f t="shared" si="28"/>
        <v>357.48</v>
      </c>
      <c r="F442" s="28">
        <f t="shared" si="28"/>
        <v>359.55</v>
      </c>
      <c r="G442" s="28">
        <f t="shared" si="28"/>
        <v>360.94</v>
      </c>
      <c r="H442" s="28">
        <f t="shared" si="28"/>
        <v>361.69</v>
      </c>
      <c r="I442" s="28">
        <f t="shared" si="28"/>
        <v>361.26</v>
      </c>
      <c r="J442" s="28">
        <f t="shared" si="28"/>
        <v>359.97</v>
      </c>
      <c r="K442" s="28">
        <f t="shared" si="28"/>
        <v>358.91</v>
      </c>
      <c r="L442" s="28">
        <f t="shared" si="28"/>
        <v>358.37</v>
      </c>
      <c r="M442" s="28">
        <f t="shared" si="28"/>
        <v>356.8</v>
      </c>
      <c r="N442" s="28">
        <f t="shared" si="28"/>
        <v>355.34</v>
      </c>
    </row>
    <row r="443" spans="1:14" x14ac:dyDescent="0.4">
      <c r="A443" s="1">
        <v>34669</v>
      </c>
      <c r="B443" s="28">
        <v>359.04</v>
      </c>
      <c r="C443" s="28">
        <f t="shared" si="25"/>
        <v>357.58</v>
      </c>
      <c r="D443" s="28">
        <f t="shared" si="28"/>
        <v>356</v>
      </c>
      <c r="E443" s="28">
        <f t="shared" si="28"/>
        <v>355.84</v>
      </c>
      <c r="F443" s="28">
        <f t="shared" si="28"/>
        <v>357.48</v>
      </c>
      <c r="G443" s="28">
        <f t="shared" si="28"/>
        <v>359.55</v>
      </c>
      <c r="H443" s="28">
        <f t="shared" si="28"/>
        <v>360.94</v>
      </c>
      <c r="I443" s="28">
        <f t="shared" si="28"/>
        <v>361.69</v>
      </c>
      <c r="J443" s="28">
        <f t="shared" si="28"/>
        <v>361.26</v>
      </c>
      <c r="K443" s="28">
        <f t="shared" si="28"/>
        <v>359.97</v>
      </c>
      <c r="L443" s="28">
        <f t="shared" si="28"/>
        <v>358.91</v>
      </c>
      <c r="M443" s="28">
        <f t="shared" si="28"/>
        <v>358.37</v>
      </c>
      <c r="N443" s="28">
        <f t="shared" si="28"/>
        <v>356.8</v>
      </c>
    </row>
    <row r="444" spans="1:14" x14ac:dyDescent="0.4">
      <c r="A444" s="1">
        <v>34700</v>
      </c>
      <c r="B444" s="28">
        <v>359.97</v>
      </c>
      <c r="C444" s="28">
        <f t="shared" si="25"/>
        <v>359.04</v>
      </c>
      <c r="D444" s="28">
        <f t="shared" si="28"/>
        <v>357.58</v>
      </c>
      <c r="E444" s="28">
        <f t="shared" si="28"/>
        <v>356</v>
      </c>
      <c r="F444" s="28">
        <f t="shared" si="28"/>
        <v>355.84</v>
      </c>
      <c r="G444" s="28">
        <f t="shared" si="28"/>
        <v>357.48</v>
      </c>
      <c r="H444" s="28">
        <f t="shared" si="28"/>
        <v>359.55</v>
      </c>
      <c r="I444" s="28">
        <f t="shared" si="28"/>
        <v>360.94</v>
      </c>
      <c r="J444" s="28">
        <f t="shared" si="28"/>
        <v>361.69</v>
      </c>
      <c r="K444" s="28">
        <f t="shared" si="28"/>
        <v>361.26</v>
      </c>
      <c r="L444" s="28">
        <f t="shared" si="28"/>
        <v>359.97</v>
      </c>
      <c r="M444" s="28">
        <f t="shared" si="28"/>
        <v>358.91</v>
      </c>
      <c r="N444" s="28">
        <f t="shared" si="28"/>
        <v>358.37</v>
      </c>
    </row>
    <row r="445" spans="1:14" x14ac:dyDescent="0.4">
      <c r="A445" s="1">
        <v>34731</v>
      </c>
      <c r="B445" s="28">
        <v>361</v>
      </c>
      <c r="C445" s="28">
        <f t="shared" si="25"/>
        <v>359.97</v>
      </c>
      <c r="D445" s="28">
        <f t="shared" si="28"/>
        <v>359.04</v>
      </c>
      <c r="E445" s="28">
        <f t="shared" si="28"/>
        <v>357.58</v>
      </c>
      <c r="F445" s="28">
        <f t="shared" si="28"/>
        <v>356</v>
      </c>
      <c r="G445" s="28">
        <f t="shared" si="28"/>
        <v>355.84</v>
      </c>
      <c r="H445" s="28">
        <f t="shared" si="28"/>
        <v>357.48</v>
      </c>
      <c r="I445" s="28">
        <f t="shared" si="28"/>
        <v>359.55</v>
      </c>
      <c r="J445" s="28">
        <f t="shared" si="28"/>
        <v>360.94</v>
      </c>
      <c r="K445" s="28">
        <f t="shared" si="28"/>
        <v>361.69</v>
      </c>
      <c r="L445" s="28">
        <f t="shared" si="28"/>
        <v>361.26</v>
      </c>
      <c r="M445" s="28">
        <f t="shared" si="28"/>
        <v>359.97</v>
      </c>
      <c r="N445" s="28">
        <f t="shared" si="28"/>
        <v>358.91</v>
      </c>
    </row>
    <row r="446" spans="1:14" x14ac:dyDescent="0.4">
      <c r="A446" s="1">
        <v>34759</v>
      </c>
      <c r="B446" s="28">
        <v>361.63</v>
      </c>
      <c r="C446" s="28">
        <f t="shared" si="25"/>
        <v>361</v>
      </c>
      <c r="D446" s="28">
        <f t="shared" si="28"/>
        <v>359.97</v>
      </c>
      <c r="E446" s="28">
        <f t="shared" si="28"/>
        <v>359.04</v>
      </c>
      <c r="F446" s="28">
        <f t="shared" si="28"/>
        <v>357.58</v>
      </c>
      <c r="G446" s="28">
        <f t="shared" si="28"/>
        <v>356</v>
      </c>
      <c r="H446" s="28">
        <f t="shared" si="28"/>
        <v>355.84</v>
      </c>
      <c r="I446" s="28">
        <f t="shared" si="28"/>
        <v>357.48</v>
      </c>
      <c r="J446" s="28">
        <f t="shared" si="28"/>
        <v>359.55</v>
      </c>
      <c r="K446" s="28">
        <f t="shared" si="28"/>
        <v>360.94</v>
      </c>
      <c r="L446" s="28">
        <f t="shared" si="28"/>
        <v>361.69</v>
      </c>
      <c r="M446" s="28">
        <f t="shared" si="28"/>
        <v>361.26</v>
      </c>
      <c r="N446" s="28">
        <f t="shared" si="28"/>
        <v>359.97</v>
      </c>
    </row>
    <row r="447" spans="1:14" x14ac:dyDescent="0.4">
      <c r="A447" s="1">
        <v>34790</v>
      </c>
      <c r="B447" s="28">
        <v>363.45</v>
      </c>
      <c r="C447" s="28">
        <f t="shared" si="25"/>
        <v>361.63</v>
      </c>
      <c r="D447" s="28">
        <f t="shared" si="28"/>
        <v>361</v>
      </c>
      <c r="E447" s="28">
        <f t="shared" si="28"/>
        <v>359.97</v>
      </c>
      <c r="F447" s="28">
        <f t="shared" si="28"/>
        <v>359.04</v>
      </c>
      <c r="G447" s="28">
        <f t="shared" si="28"/>
        <v>357.58</v>
      </c>
      <c r="H447" s="28">
        <f t="shared" si="28"/>
        <v>356</v>
      </c>
      <c r="I447" s="28">
        <f t="shared" si="28"/>
        <v>355.84</v>
      </c>
      <c r="J447" s="28">
        <f t="shared" si="28"/>
        <v>357.48</v>
      </c>
      <c r="K447" s="28">
        <f t="shared" si="28"/>
        <v>359.55</v>
      </c>
      <c r="L447" s="28">
        <f t="shared" si="28"/>
        <v>360.94</v>
      </c>
      <c r="M447" s="28">
        <f t="shared" si="28"/>
        <v>361.69</v>
      </c>
      <c r="N447" s="28">
        <f t="shared" si="28"/>
        <v>361.26</v>
      </c>
    </row>
    <row r="448" spans="1:14" x14ac:dyDescent="0.4">
      <c r="A448" s="1">
        <v>34820</v>
      </c>
      <c r="B448" s="28">
        <v>363.8</v>
      </c>
      <c r="C448" s="28">
        <f t="shared" si="25"/>
        <v>363.45</v>
      </c>
      <c r="D448" s="28">
        <f t="shared" si="28"/>
        <v>361.63</v>
      </c>
      <c r="E448" s="28">
        <f t="shared" si="28"/>
        <v>361</v>
      </c>
      <c r="F448" s="28">
        <f t="shared" si="28"/>
        <v>359.97</v>
      </c>
      <c r="G448" s="28">
        <f t="shared" si="28"/>
        <v>359.04</v>
      </c>
      <c r="H448" s="28">
        <f t="shared" si="28"/>
        <v>357.58</v>
      </c>
      <c r="I448" s="28">
        <f t="shared" si="28"/>
        <v>356</v>
      </c>
      <c r="J448" s="28">
        <f t="shared" si="28"/>
        <v>355.84</v>
      </c>
      <c r="K448" s="28">
        <f t="shared" si="28"/>
        <v>357.48</v>
      </c>
      <c r="L448" s="28">
        <f t="shared" si="28"/>
        <v>359.55</v>
      </c>
      <c r="M448" s="28">
        <f t="shared" si="28"/>
        <v>360.94</v>
      </c>
      <c r="N448" s="28">
        <f t="shared" si="28"/>
        <v>361.69</v>
      </c>
    </row>
    <row r="449" spans="1:14" x14ac:dyDescent="0.4">
      <c r="A449" s="1">
        <v>34851</v>
      </c>
      <c r="B449" s="28">
        <v>363.26</v>
      </c>
      <c r="C449" s="28">
        <f t="shared" si="25"/>
        <v>363.8</v>
      </c>
      <c r="D449" s="28">
        <f t="shared" si="28"/>
        <v>363.45</v>
      </c>
      <c r="E449" s="28">
        <f t="shared" si="28"/>
        <v>361.63</v>
      </c>
      <c r="F449" s="28">
        <f t="shared" si="28"/>
        <v>361</v>
      </c>
      <c r="G449" s="28">
        <f t="shared" si="28"/>
        <v>359.97</v>
      </c>
      <c r="H449" s="28">
        <f t="shared" si="28"/>
        <v>359.04</v>
      </c>
      <c r="I449" s="28">
        <f t="shared" si="28"/>
        <v>357.58</v>
      </c>
      <c r="J449" s="28">
        <f t="shared" si="28"/>
        <v>356</v>
      </c>
      <c r="K449" s="28">
        <f t="shared" si="28"/>
        <v>355.84</v>
      </c>
      <c r="L449" s="28">
        <f t="shared" si="28"/>
        <v>357.48</v>
      </c>
      <c r="M449" s="28">
        <f t="shared" si="28"/>
        <v>359.55</v>
      </c>
      <c r="N449" s="28">
        <f t="shared" si="28"/>
        <v>360.94</v>
      </c>
    </row>
    <row r="450" spans="1:14" x14ac:dyDescent="0.4">
      <c r="A450" s="1">
        <v>34881</v>
      </c>
      <c r="B450" s="28">
        <v>361.89</v>
      </c>
      <c r="C450" s="28">
        <f t="shared" si="25"/>
        <v>363.26</v>
      </c>
      <c r="D450" s="28">
        <f t="shared" si="28"/>
        <v>363.8</v>
      </c>
      <c r="E450" s="28">
        <f t="shared" si="28"/>
        <v>363.45</v>
      </c>
      <c r="F450" s="28">
        <f t="shared" si="28"/>
        <v>361.63</v>
      </c>
      <c r="G450" s="28">
        <f t="shared" si="28"/>
        <v>361</v>
      </c>
      <c r="H450" s="28">
        <f t="shared" si="28"/>
        <v>359.97</v>
      </c>
      <c r="I450" s="28">
        <f t="shared" si="28"/>
        <v>359.04</v>
      </c>
      <c r="J450" s="28">
        <f t="shared" si="28"/>
        <v>357.58</v>
      </c>
      <c r="K450" s="28">
        <f t="shared" si="28"/>
        <v>356</v>
      </c>
      <c r="L450" s="28">
        <f t="shared" si="28"/>
        <v>355.84</v>
      </c>
      <c r="M450" s="28">
        <f t="shared" si="28"/>
        <v>357.48</v>
      </c>
      <c r="N450" s="28">
        <f t="shared" si="28"/>
        <v>359.55</v>
      </c>
    </row>
    <row r="451" spans="1:14" x14ac:dyDescent="0.4">
      <c r="A451" s="1">
        <v>34912</v>
      </c>
      <c r="B451" s="28">
        <v>359.45</v>
      </c>
      <c r="C451" s="28">
        <f t="shared" si="25"/>
        <v>361.89</v>
      </c>
      <c r="D451" s="28">
        <f t="shared" si="28"/>
        <v>363.26</v>
      </c>
      <c r="E451" s="28">
        <f t="shared" si="28"/>
        <v>363.8</v>
      </c>
      <c r="F451" s="28">
        <f t="shared" si="28"/>
        <v>363.45</v>
      </c>
      <c r="G451" s="28">
        <f t="shared" si="28"/>
        <v>361.63</v>
      </c>
      <c r="H451" s="28">
        <f t="shared" si="28"/>
        <v>361</v>
      </c>
      <c r="I451" s="28">
        <f t="shared" si="28"/>
        <v>359.97</v>
      </c>
      <c r="J451" s="28">
        <f t="shared" si="28"/>
        <v>359.04</v>
      </c>
      <c r="K451" s="28">
        <f t="shared" si="28"/>
        <v>357.58</v>
      </c>
      <c r="L451" s="28">
        <f t="shared" si="28"/>
        <v>356</v>
      </c>
      <c r="M451" s="28">
        <f t="shared" si="28"/>
        <v>355.84</v>
      </c>
      <c r="N451" s="28">
        <f t="shared" si="28"/>
        <v>357.48</v>
      </c>
    </row>
    <row r="452" spans="1:14" x14ac:dyDescent="0.4">
      <c r="A452" s="1">
        <v>34943</v>
      </c>
      <c r="B452" s="28">
        <v>358.05</v>
      </c>
      <c r="C452" s="28">
        <f t="shared" ref="C452:N515" si="29">IF(B451=0,"",B451)</f>
        <v>359.45</v>
      </c>
      <c r="D452" s="28">
        <f t="shared" si="29"/>
        <v>361.89</v>
      </c>
      <c r="E452" s="28">
        <f t="shared" si="29"/>
        <v>363.26</v>
      </c>
      <c r="F452" s="28">
        <f t="shared" si="29"/>
        <v>363.8</v>
      </c>
      <c r="G452" s="28">
        <f t="shared" si="29"/>
        <v>363.45</v>
      </c>
      <c r="H452" s="28">
        <f t="shared" si="29"/>
        <v>361.63</v>
      </c>
      <c r="I452" s="28">
        <f t="shared" si="29"/>
        <v>361</v>
      </c>
      <c r="J452" s="28">
        <f t="shared" si="29"/>
        <v>359.97</v>
      </c>
      <c r="K452" s="28">
        <f t="shared" si="29"/>
        <v>359.04</v>
      </c>
      <c r="L452" s="28">
        <f t="shared" si="29"/>
        <v>357.58</v>
      </c>
      <c r="M452" s="28">
        <f t="shared" si="29"/>
        <v>356</v>
      </c>
      <c r="N452" s="28">
        <f t="shared" si="29"/>
        <v>355.84</v>
      </c>
    </row>
    <row r="453" spans="1:14" x14ac:dyDescent="0.4">
      <c r="A453" s="1">
        <v>34973</v>
      </c>
      <c r="B453" s="28">
        <v>357.75</v>
      </c>
      <c r="C453" s="28">
        <f t="shared" si="29"/>
        <v>358.05</v>
      </c>
      <c r="D453" s="28">
        <f t="shared" si="29"/>
        <v>359.45</v>
      </c>
      <c r="E453" s="28">
        <f t="shared" si="29"/>
        <v>361.89</v>
      </c>
      <c r="F453" s="28">
        <f t="shared" si="29"/>
        <v>363.26</v>
      </c>
      <c r="G453" s="28">
        <f t="shared" si="29"/>
        <v>363.8</v>
      </c>
      <c r="H453" s="28">
        <f t="shared" si="29"/>
        <v>363.45</v>
      </c>
      <c r="I453" s="28">
        <f t="shared" si="29"/>
        <v>361.63</v>
      </c>
      <c r="J453" s="28">
        <f t="shared" si="29"/>
        <v>361</v>
      </c>
      <c r="K453" s="28">
        <f t="shared" si="29"/>
        <v>359.97</v>
      </c>
      <c r="L453" s="28">
        <f t="shared" si="29"/>
        <v>359.04</v>
      </c>
      <c r="M453" s="28">
        <f t="shared" si="29"/>
        <v>357.58</v>
      </c>
      <c r="N453" s="28">
        <f t="shared" si="29"/>
        <v>356</v>
      </c>
    </row>
    <row r="454" spans="1:14" x14ac:dyDescent="0.4">
      <c r="A454" s="1">
        <v>35004</v>
      </c>
      <c r="B454" s="28">
        <v>359.56</v>
      </c>
      <c r="C454" s="28">
        <f t="shared" si="29"/>
        <v>357.75</v>
      </c>
      <c r="D454" s="28">
        <f t="shared" si="29"/>
        <v>358.05</v>
      </c>
      <c r="E454" s="28">
        <f t="shared" si="29"/>
        <v>359.45</v>
      </c>
      <c r="F454" s="28">
        <f t="shared" si="29"/>
        <v>361.89</v>
      </c>
      <c r="G454" s="28">
        <f t="shared" si="29"/>
        <v>363.26</v>
      </c>
      <c r="H454" s="28">
        <f t="shared" si="29"/>
        <v>363.8</v>
      </c>
      <c r="I454" s="28">
        <f t="shared" si="29"/>
        <v>363.45</v>
      </c>
      <c r="J454" s="28">
        <f t="shared" si="29"/>
        <v>361.63</v>
      </c>
      <c r="K454" s="28">
        <f t="shared" si="29"/>
        <v>361</v>
      </c>
      <c r="L454" s="28">
        <f t="shared" si="29"/>
        <v>359.97</v>
      </c>
      <c r="M454" s="28">
        <f t="shared" si="29"/>
        <v>359.04</v>
      </c>
      <c r="N454" s="28">
        <f t="shared" si="29"/>
        <v>357.58</v>
      </c>
    </row>
    <row r="455" spans="1:14" x14ac:dyDescent="0.4">
      <c r="A455" s="1">
        <v>35034</v>
      </c>
      <c r="B455" s="28">
        <v>360.7</v>
      </c>
      <c r="C455" s="28">
        <f t="shared" si="29"/>
        <v>359.56</v>
      </c>
      <c r="D455" s="28">
        <f t="shared" si="29"/>
        <v>357.75</v>
      </c>
      <c r="E455" s="28">
        <f t="shared" si="29"/>
        <v>358.05</v>
      </c>
      <c r="F455" s="28">
        <f t="shared" si="29"/>
        <v>359.45</v>
      </c>
      <c r="G455" s="28">
        <f t="shared" si="29"/>
        <v>361.89</v>
      </c>
      <c r="H455" s="28">
        <f t="shared" si="29"/>
        <v>363.26</v>
      </c>
      <c r="I455" s="28">
        <f t="shared" si="29"/>
        <v>363.8</v>
      </c>
      <c r="J455" s="28">
        <f t="shared" si="29"/>
        <v>363.45</v>
      </c>
      <c r="K455" s="28">
        <f t="shared" si="29"/>
        <v>361.63</v>
      </c>
      <c r="L455" s="28">
        <f t="shared" si="29"/>
        <v>361</v>
      </c>
      <c r="M455" s="28">
        <f t="shared" si="29"/>
        <v>359.97</v>
      </c>
      <c r="N455" s="28">
        <f t="shared" si="29"/>
        <v>359.04</v>
      </c>
    </row>
    <row r="456" spans="1:14" x14ac:dyDescent="0.4">
      <c r="A456" s="1">
        <v>35065</v>
      </c>
      <c r="B456" s="28">
        <v>362.05</v>
      </c>
      <c r="C456" s="28">
        <f t="shared" si="29"/>
        <v>360.7</v>
      </c>
      <c r="D456" s="28">
        <f t="shared" si="29"/>
        <v>359.56</v>
      </c>
      <c r="E456" s="28">
        <f t="shared" si="29"/>
        <v>357.75</v>
      </c>
      <c r="F456" s="28">
        <f t="shared" si="29"/>
        <v>358.05</v>
      </c>
      <c r="G456" s="28">
        <f t="shared" si="29"/>
        <v>359.45</v>
      </c>
      <c r="H456" s="28">
        <f t="shared" si="29"/>
        <v>361.89</v>
      </c>
      <c r="I456" s="28">
        <f t="shared" si="29"/>
        <v>363.26</v>
      </c>
      <c r="J456" s="28">
        <f t="shared" si="29"/>
        <v>363.8</v>
      </c>
      <c r="K456" s="28">
        <f t="shared" si="29"/>
        <v>363.45</v>
      </c>
      <c r="L456" s="28">
        <f t="shared" si="29"/>
        <v>361.63</v>
      </c>
      <c r="M456" s="28">
        <f t="shared" si="29"/>
        <v>361</v>
      </c>
      <c r="N456" s="28">
        <f t="shared" si="29"/>
        <v>359.97</v>
      </c>
    </row>
    <row r="457" spans="1:14" x14ac:dyDescent="0.4">
      <c r="A457" s="1">
        <v>35096</v>
      </c>
      <c r="B457" s="28">
        <v>363.24</v>
      </c>
      <c r="C457" s="28">
        <f t="shared" si="29"/>
        <v>362.05</v>
      </c>
      <c r="D457" s="28">
        <f t="shared" si="29"/>
        <v>360.7</v>
      </c>
      <c r="E457" s="28">
        <f t="shared" si="29"/>
        <v>359.56</v>
      </c>
      <c r="F457" s="28">
        <f t="shared" si="29"/>
        <v>357.75</v>
      </c>
      <c r="G457" s="28">
        <f t="shared" si="29"/>
        <v>358.05</v>
      </c>
      <c r="H457" s="28">
        <f t="shared" si="29"/>
        <v>359.45</v>
      </c>
      <c r="I457" s="28">
        <f t="shared" si="29"/>
        <v>361.89</v>
      </c>
      <c r="J457" s="28">
        <f t="shared" si="29"/>
        <v>363.26</v>
      </c>
      <c r="K457" s="28">
        <f t="shared" si="29"/>
        <v>363.8</v>
      </c>
      <c r="L457" s="28">
        <f t="shared" si="29"/>
        <v>363.45</v>
      </c>
      <c r="M457" s="28">
        <f t="shared" si="29"/>
        <v>361.63</v>
      </c>
      <c r="N457" s="28">
        <f t="shared" si="29"/>
        <v>361</v>
      </c>
    </row>
    <row r="458" spans="1:14" x14ac:dyDescent="0.4">
      <c r="A458" s="1">
        <v>35125</v>
      </c>
      <c r="B458" s="28">
        <v>364.02</v>
      </c>
      <c r="C458" s="28">
        <f t="shared" si="29"/>
        <v>363.24</v>
      </c>
      <c r="D458" s="28">
        <f t="shared" si="29"/>
        <v>362.05</v>
      </c>
      <c r="E458" s="28">
        <f t="shared" si="29"/>
        <v>360.7</v>
      </c>
      <c r="F458" s="28">
        <f t="shared" si="29"/>
        <v>359.56</v>
      </c>
      <c r="G458" s="28">
        <f t="shared" si="29"/>
        <v>357.75</v>
      </c>
      <c r="H458" s="28">
        <f t="shared" si="29"/>
        <v>358.05</v>
      </c>
      <c r="I458" s="28">
        <f t="shared" si="29"/>
        <v>359.45</v>
      </c>
      <c r="J458" s="28">
        <f t="shared" si="29"/>
        <v>361.89</v>
      </c>
      <c r="K458" s="28">
        <f t="shared" si="29"/>
        <v>363.26</v>
      </c>
      <c r="L458" s="28">
        <f t="shared" si="29"/>
        <v>363.8</v>
      </c>
      <c r="M458" s="28">
        <f t="shared" si="29"/>
        <v>363.45</v>
      </c>
      <c r="N458" s="28">
        <f t="shared" si="29"/>
        <v>361.63</v>
      </c>
    </row>
    <row r="459" spans="1:14" x14ac:dyDescent="0.4">
      <c r="A459" s="1">
        <v>35156</v>
      </c>
      <c r="B459" s="28">
        <v>364.71</v>
      </c>
      <c r="C459" s="28">
        <f t="shared" si="29"/>
        <v>364.02</v>
      </c>
      <c r="D459" s="28">
        <f t="shared" si="29"/>
        <v>363.24</v>
      </c>
      <c r="E459" s="28">
        <f t="shared" si="29"/>
        <v>362.05</v>
      </c>
      <c r="F459" s="28">
        <f t="shared" si="29"/>
        <v>360.7</v>
      </c>
      <c r="G459" s="28">
        <f t="shared" si="29"/>
        <v>359.56</v>
      </c>
      <c r="H459" s="28">
        <f t="shared" si="29"/>
        <v>357.75</v>
      </c>
      <c r="I459" s="28">
        <f t="shared" si="29"/>
        <v>358.05</v>
      </c>
      <c r="J459" s="28">
        <f t="shared" si="29"/>
        <v>359.45</v>
      </c>
      <c r="K459" s="28">
        <f t="shared" si="29"/>
        <v>361.89</v>
      </c>
      <c r="L459" s="28">
        <f t="shared" si="29"/>
        <v>363.26</v>
      </c>
      <c r="M459" s="28">
        <f t="shared" si="29"/>
        <v>363.8</v>
      </c>
      <c r="N459" s="28">
        <f t="shared" si="29"/>
        <v>363.45</v>
      </c>
    </row>
    <row r="460" spans="1:14" x14ac:dyDescent="0.4">
      <c r="A460" s="1">
        <v>35186</v>
      </c>
      <c r="B460" s="28">
        <v>365.42</v>
      </c>
      <c r="C460" s="28">
        <f t="shared" si="29"/>
        <v>364.71</v>
      </c>
      <c r="D460" s="28">
        <f t="shared" si="29"/>
        <v>364.02</v>
      </c>
      <c r="E460" s="28">
        <f t="shared" si="29"/>
        <v>363.24</v>
      </c>
      <c r="F460" s="28">
        <f t="shared" si="29"/>
        <v>362.05</v>
      </c>
      <c r="G460" s="28">
        <f t="shared" si="29"/>
        <v>360.7</v>
      </c>
      <c r="H460" s="28">
        <f t="shared" si="29"/>
        <v>359.56</v>
      </c>
      <c r="I460" s="28">
        <f t="shared" si="29"/>
        <v>357.75</v>
      </c>
      <c r="J460" s="28">
        <f t="shared" si="29"/>
        <v>358.05</v>
      </c>
      <c r="K460" s="28">
        <f t="shared" si="29"/>
        <v>359.45</v>
      </c>
      <c r="L460" s="28">
        <f t="shared" si="29"/>
        <v>361.89</v>
      </c>
      <c r="M460" s="28">
        <f t="shared" si="29"/>
        <v>363.26</v>
      </c>
      <c r="N460" s="28">
        <f t="shared" si="29"/>
        <v>363.8</v>
      </c>
    </row>
    <row r="461" spans="1:14" x14ac:dyDescent="0.4">
      <c r="A461" s="1">
        <v>35217</v>
      </c>
      <c r="B461" s="28">
        <v>364.97</v>
      </c>
      <c r="C461" s="28">
        <f t="shared" si="29"/>
        <v>365.42</v>
      </c>
      <c r="D461" s="28">
        <f t="shared" si="29"/>
        <v>364.71</v>
      </c>
      <c r="E461" s="28">
        <f t="shared" si="29"/>
        <v>364.02</v>
      </c>
      <c r="F461" s="28">
        <f t="shared" si="29"/>
        <v>363.24</v>
      </c>
      <c r="G461" s="28">
        <f t="shared" si="29"/>
        <v>362.05</v>
      </c>
      <c r="H461" s="28">
        <f t="shared" si="29"/>
        <v>360.7</v>
      </c>
      <c r="I461" s="28">
        <f t="shared" si="29"/>
        <v>359.56</v>
      </c>
      <c r="J461" s="28">
        <f t="shared" si="29"/>
        <v>357.75</v>
      </c>
      <c r="K461" s="28">
        <f t="shared" si="29"/>
        <v>358.05</v>
      </c>
      <c r="L461" s="28">
        <f t="shared" si="29"/>
        <v>359.45</v>
      </c>
      <c r="M461" s="28">
        <f t="shared" si="29"/>
        <v>361.89</v>
      </c>
      <c r="N461" s="28">
        <f t="shared" si="29"/>
        <v>363.26</v>
      </c>
    </row>
    <row r="462" spans="1:14" x14ac:dyDescent="0.4">
      <c r="A462" s="1">
        <v>35247</v>
      </c>
      <c r="B462" s="28">
        <v>363.65</v>
      </c>
      <c r="C462" s="28">
        <f t="shared" si="29"/>
        <v>364.97</v>
      </c>
      <c r="D462" s="28">
        <f t="shared" si="29"/>
        <v>365.42</v>
      </c>
      <c r="E462" s="28">
        <f t="shared" si="29"/>
        <v>364.71</v>
      </c>
      <c r="F462" s="28">
        <f t="shared" si="29"/>
        <v>364.02</v>
      </c>
      <c r="G462" s="28">
        <f t="shared" si="29"/>
        <v>363.24</v>
      </c>
      <c r="H462" s="28">
        <f t="shared" si="29"/>
        <v>362.05</v>
      </c>
      <c r="I462" s="28">
        <f t="shared" si="29"/>
        <v>360.7</v>
      </c>
      <c r="J462" s="28">
        <f t="shared" si="29"/>
        <v>359.56</v>
      </c>
      <c r="K462" s="28">
        <f t="shared" si="29"/>
        <v>357.75</v>
      </c>
      <c r="L462" s="28">
        <f t="shared" si="29"/>
        <v>358.05</v>
      </c>
      <c r="M462" s="28">
        <f t="shared" si="29"/>
        <v>359.45</v>
      </c>
      <c r="N462" s="28">
        <f t="shared" si="29"/>
        <v>361.89</v>
      </c>
    </row>
    <row r="463" spans="1:14" x14ac:dyDescent="0.4">
      <c r="A463" s="1">
        <v>35278</v>
      </c>
      <c r="B463" s="28">
        <v>361.48</v>
      </c>
      <c r="C463" s="28">
        <f t="shared" si="29"/>
        <v>363.65</v>
      </c>
      <c r="D463" s="28">
        <f t="shared" si="29"/>
        <v>364.97</v>
      </c>
      <c r="E463" s="28">
        <f t="shared" si="29"/>
        <v>365.42</v>
      </c>
      <c r="F463" s="28">
        <f t="shared" si="29"/>
        <v>364.71</v>
      </c>
      <c r="G463" s="28">
        <f t="shared" si="29"/>
        <v>364.02</v>
      </c>
      <c r="H463" s="28">
        <f t="shared" si="29"/>
        <v>363.24</v>
      </c>
      <c r="I463" s="28">
        <f t="shared" si="29"/>
        <v>362.05</v>
      </c>
      <c r="J463" s="28">
        <f t="shared" si="29"/>
        <v>360.7</v>
      </c>
      <c r="K463" s="28">
        <f t="shared" si="29"/>
        <v>359.56</v>
      </c>
      <c r="L463" s="28">
        <f t="shared" si="29"/>
        <v>357.75</v>
      </c>
      <c r="M463" s="28">
        <f t="shared" si="29"/>
        <v>358.05</v>
      </c>
      <c r="N463" s="28">
        <f t="shared" si="29"/>
        <v>359.45</v>
      </c>
    </row>
    <row r="464" spans="1:14" x14ac:dyDescent="0.4">
      <c r="A464" s="1">
        <v>35309</v>
      </c>
      <c r="B464" s="28">
        <v>359.45</v>
      </c>
      <c r="C464" s="28">
        <f t="shared" si="29"/>
        <v>361.48</v>
      </c>
      <c r="D464" s="28">
        <f t="shared" si="29"/>
        <v>363.65</v>
      </c>
      <c r="E464" s="28">
        <f t="shared" si="29"/>
        <v>364.97</v>
      </c>
      <c r="F464" s="28">
        <f t="shared" si="29"/>
        <v>365.42</v>
      </c>
      <c r="G464" s="28">
        <f t="shared" si="29"/>
        <v>364.71</v>
      </c>
      <c r="H464" s="28">
        <f t="shared" si="29"/>
        <v>364.02</v>
      </c>
      <c r="I464" s="28">
        <f t="shared" si="29"/>
        <v>363.24</v>
      </c>
      <c r="J464" s="28">
        <f t="shared" si="29"/>
        <v>362.05</v>
      </c>
      <c r="K464" s="28">
        <f t="shared" si="29"/>
        <v>360.7</v>
      </c>
      <c r="L464" s="28">
        <f t="shared" si="29"/>
        <v>359.56</v>
      </c>
      <c r="M464" s="28">
        <f t="shared" si="29"/>
        <v>357.75</v>
      </c>
      <c r="N464" s="28">
        <f t="shared" si="29"/>
        <v>358.05</v>
      </c>
    </row>
    <row r="465" spans="1:14" x14ac:dyDescent="0.4">
      <c r="A465" s="1">
        <v>35339</v>
      </c>
      <c r="B465" s="28">
        <v>359.61</v>
      </c>
      <c r="C465" s="28">
        <f t="shared" si="29"/>
        <v>359.45</v>
      </c>
      <c r="D465" s="28">
        <f t="shared" si="29"/>
        <v>361.48</v>
      </c>
      <c r="E465" s="28">
        <f t="shared" si="29"/>
        <v>363.65</v>
      </c>
      <c r="F465" s="28">
        <f t="shared" si="29"/>
        <v>364.97</v>
      </c>
      <c r="G465" s="28">
        <f t="shared" si="29"/>
        <v>365.42</v>
      </c>
      <c r="H465" s="28">
        <f t="shared" si="29"/>
        <v>364.71</v>
      </c>
      <c r="I465" s="28">
        <f t="shared" si="29"/>
        <v>364.02</v>
      </c>
      <c r="J465" s="28">
        <f t="shared" si="29"/>
        <v>363.24</v>
      </c>
      <c r="K465" s="28">
        <f t="shared" si="29"/>
        <v>362.05</v>
      </c>
      <c r="L465" s="28">
        <f t="shared" si="29"/>
        <v>360.7</v>
      </c>
      <c r="M465" s="28">
        <f t="shared" si="29"/>
        <v>359.56</v>
      </c>
      <c r="N465" s="28">
        <f t="shared" si="29"/>
        <v>357.75</v>
      </c>
    </row>
    <row r="466" spans="1:14" x14ac:dyDescent="0.4">
      <c r="A466" s="1">
        <v>35370</v>
      </c>
      <c r="B466" s="28">
        <v>360.76</v>
      </c>
      <c r="C466" s="28">
        <f t="shared" si="29"/>
        <v>359.61</v>
      </c>
      <c r="D466" s="28">
        <f t="shared" si="29"/>
        <v>359.45</v>
      </c>
      <c r="E466" s="28">
        <f t="shared" si="29"/>
        <v>361.48</v>
      </c>
      <c r="F466" s="28">
        <f t="shared" si="29"/>
        <v>363.65</v>
      </c>
      <c r="G466" s="28">
        <f t="shared" si="29"/>
        <v>364.97</v>
      </c>
      <c r="H466" s="28">
        <f t="shared" si="29"/>
        <v>365.42</v>
      </c>
      <c r="I466" s="28">
        <f t="shared" si="29"/>
        <v>364.71</v>
      </c>
      <c r="J466" s="28">
        <f t="shared" si="29"/>
        <v>364.02</v>
      </c>
      <c r="K466" s="28">
        <f t="shared" si="29"/>
        <v>363.24</v>
      </c>
      <c r="L466" s="28">
        <f t="shared" si="29"/>
        <v>362.05</v>
      </c>
      <c r="M466" s="28">
        <f t="shared" si="29"/>
        <v>360.7</v>
      </c>
      <c r="N466" s="28">
        <f t="shared" si="29"/>
        <v>359.56</v>
      </c>
    </row>
    <row r="467" spans="1:14" x14ac:dyDescent="0.4">
      <c r="A467" s="1">
        <v>35400</v>
      </c>
      <c r="B467" s="28">
        <v>362.33</v>
      </c>
      <c r="C467" s="28">
        <f t="shared" si="29"/>
        <v>360.76</v>
      </c>
      <c r="D467" s="28">
        <f t="shared" si="29"/>
        <v>359.61</v>
      </c>
      <c r="E467" s="28">
        <f t="shared" si="29"/>
        <v>359.45</v>
      </c>
      <c r="F467" s="28">
        <f t="shared" si="29"/>
        <v>361.48</v>
      </c>
      <c r="G467" s="28">
        <f t="shared" si="29"/>
        <v>363.65</v>
      </c>
      <c r="H467" s="28">
        <f t="shared" si="29"/>
        <v>364.97</v>
      </c>
      <c r="I467" s="28">
        <f t="shared" si="29"/>
        <v>365.42</v>
      </c>
      <c r="J467" s="28">
        <f t="shared" si="29"/>
        <v>364.71</v>
      </c>
      <c r="K467" s="28">
        <f t="shared" si="29"/>
        <v>364.02</v>
      </c>
      <c r="L467" s="28">
        <f t="shared" si="29"/>
        <v>363.24</v>
      </c>
      <c r="M467" s="28">
        <f t="shared" si="29"/>
        <v>362.05</v>
      </c>
      <c r="N467" s="28">
        <f t="shared" si="29"/>
        <v>360.7</v>
      </c>
    </row>
    <row r="468" spans="1:14" x14ac:dyDescent="0.4">
      <c r="A468" s="1">
        <v>35431</v>
      </c>
      <c r="B468" s="28">
        <v>363.19</v>
      </c>
      <c r="C468" s="28">
        <f t="shared" si="29"/>
        <v>362.33</v>
      </c>
      <c r="D468" s="28">
        <f t="shared" si="29"/>
        <v>360.76</v>
      </c>
      <c r="E468" s="28">
        <f t="shared" si="29"/>
        <v>359.61</v>
      </c>
      <c r="F468" s="28">
        <f t="shared" si="29"/>
        <v>359.45</v>
      </c>
      <c r="G468" s="28">
        <f t="shared" si="29"/>
        <v>361.48</v>
      </c>
      <c r="H468" s="28">
        <f t="shared" si="29"/>
        <v>363.65</v>
      </c>
      <c r="I468" s="28">
        <f t="shared" si="29"/>
        <v>364.97</v>
      </c>
      <c r="J468" s="28">
        <f t="shared" si="29"/>
        <v>365.42</v>
      </c>
      <c r="K468" s="28">
        <f t="shared" si="29"/>
        <v>364.71</v>
      </c>
      <c r="L468" s="28">
        <f t="shared" si="29"/>
        <v>364.02</v>
      </c>
      <c r="M468" s="28">
        <f t="shared" si="29"/>
        <v>363.24</v>
      </c>
      <c r="N468" s="28">
        <f t="shared" si="29"/>
        <v>362.05</v>
      </c>
    </row>
    <row r="469" spans="1:14" x14ac:dyDescent="0.4">
      <c r="A469" s="1">
        <v>35462</v>
      </c>
      <c r="B469" s="28">
        <v>363.99</v>
      </c>
      <c r="C469" s="28">
        <f t="shared" si="29"/>
        <v>363.19</v>
      </c>
      <c r="D469" s="28">
        <f t="shared" si="29"/>
        <v>362.33</v>
      </c>
      <c r="E469" s="28">
        <f t="shared" si="29"/>
        <v>360.76</v>
      </c>
      <c r="F469" s="28">
        <f t="shared" si="29"/>
        <v>359.61</v>
      </c>
      <c r="G469" s="28">
        <f t="shared" si="29"/>
        <v>359.45</v>
      </c>
      <c r="H469" s="28">
        <f t="shared" ref="D469:N484" si="30">IF(G468=0,"",G468)</f>
        <v>361.48</v>
      </c>
      <c r="I469" s="28">
        <f t="shared" si="30"/>
        <v>363.65</v>
      </c>
      <c r="J469" s="28">
        <f t="shared" si="30"/>
        <v>364.97</v>
      </c>
      <c r="K469" s="28">
        <f t="shared" si="30"/>
        <v>365.42</v>
      </c>
      <c r="L469" s="28">
        <f t="shared" si="30"/>
        <v>364.71</v>
      </c>
      <c r="M469" s="28">
        <f t="shared" si="30"/>
        <v>364.02</v>
      </c>
      <c r="N469" s="28">
        <f t="shared" si="30"/>
        <v>363.24</v>
      </c>
    </row>
    <row r="470" spans="1:14" x14ac:dyDescent="0.4">
      <c r="A470" s="1">
        <v>35490</v>
      </c>
      <c r="B470" s="28">
        <v>364.56</v>
      </c>
      <c r="C470" s="28">
        <f t="shared" si="29"/>
        <v>363.99</v>
      </c>
      <c r="D470" s="28">
        <f t="shared" si="30"/>
        <v>363.19</v>
      </c>
      <c r="E470" s="28">
        <f t="shared" si="30"/>
        <v>362.33</v>
      </c>
      <c r="F470" s="28">
        <f t="shared" si="30"/>
        <v>360.76</v>
      </c>
      <c r="G470" s="28">
        <f t="shared" si="30"/>
        <v>359.61</v>
      </c>
      <c r="H470" s="28">
        <f t="shared" si="30"/>
        <v>359.45</v>
      </c>
      <c r="I470" s="28">
        <f t="shared" si="30"/>
        <v>361.48</v>
      </c>
      <c r="J470" s="28">
        <f t="shared" si="30"/>
        <v>363.65</v>
      </c>
      <c r="K470" s="28">
        <f t="shared" si="30"/>
        <v>364.97</v>
      </c>
      <c r="L470" s="28">
        <f t="shared" si="30"/>
        <v>365.42</v>
      </c>
      <c r="M470" s="28">
        <f t="shared" si="30"/>
        <v>364.71</v>
      </c>
      <c r="N470" s="28">
        <f t="shared" si="30"/>
        <v>364.02</v>
      </c>
    </row>
    <row r="471" spans="1:14" x14ac:dyDescent="0.4">
      <c r="A471" s="1">
        <v>35521</v>
      </c>
      <c r="B471" s="28">
        <v>366.36</v>
      </c>
      <c r="C471" s="28">
        <f t="shared" si="29"/>
        <v>364.56</v>
      </c>
      <c r="D471" s="28">
        <f t="shared" si="30"/>
        <v>363.99</v>
      </c>
      <c r="E471" s="28">
        <f t="shared" si="30"/>
        <v>363.19</v>
      </c>
      <c r="F471" s="28">
        <f t="shared" si="30"/>
        <v>362.33</v>
      </c>
      <c r="G471" s="28">
        <f t="shared" si="30"/>
        <v>360.76</v>
      </c>
      <c r="H471" s="28">
        <f t="shared" si="30"/>
        <v>359.61</v>
      </c>
      <c r="I471" s="28">
        <f t="shared" si="30"/>
        <v>359.45</v>
      </c>
      <c r="J471" s="28">
        <f t="shared" si="30"/>
        <v>361.48</v>
      </c>
      <c r="K471" s="28">
        <f t="shared" si="30"/>
        <v>363.65</v>
      </c>
      <c r="L471" s="28">
        <f t="shared" si="30"/>
        <v>364.97</v>
      </c>
      <c r="M471" s="28">
        <f t="shared" si="30"/>
        <v>365.42</v>
      </c>
      <c r="N471" s="28">
        <f t="shared" si="30"/>
        <v>364.71</v>
      </c>
    </row>
    <row r="472" spans="1:14" x14ac:dyDescent="0.4">
      <c r="A472" s="1">
        <v>35551</v>
      </c>
      <c r="B472" s="28">
        <v>366.8</v>
      </c>
      <c r="C472" s="28">
        <f t="shared" si="29"/>
        <v>366.36</v>
      </c>
      <c r="D472" s="28">
        <f t="shared" si="30"/>
        <v>364.56</v>
      </c>
      <c r="E472" s="28">
        <f t="shared" si="30"/>
        <v>363.99</v>
      </c>
      <c r="F472" s="28">
        <f t="shared" si="30"/>
        <v>363.19</v>
      </c>
      <c r="G472" s="28">
        <f t="shared" si="30"/>
        <v>362.33</v>
      </c>
      <c r="H472" s="28">
        <f t="shared" si="30"/>
        <v>360.76</v>
      </c>
      <c r="I472" s="28">
        <f t="shared" si="30"/>
        <v>359.61</v>
      </c>
      <c r="J472" s="28">
        <f t="shared" si="30"/>
        <v>359.45</v>
      </c>
      <c r="K472" s="28">
        <f t="shared" si="30"/>
        <v>361.48</v>
      </c>
      <c r="L472" s="28">
        <f t="shared" si="30"/>
        <v>363.65</v>
      </c>
      <c r="M472" s="28">
        <f t="shared" si="30"/>
        <v>364.97</v>
      </c>
      <c r="N472" s="28">
        <f t="shared" si="30"/>
        <v>365.42</v>
      </c>
    </row>
    <row r="473" spans="1:14" x14ac:dyDescent="0.4">
      <c r="A473" s="1">
        <v>35582</v>
      </c>
      <c r="B473" s="28">
        <v>365.63</v>
      </c>
      <c r="C473" s="28">
        <f t="shared" si="29"/>
        <v>366.8</v>
      </c>
      <c r="D473" s="28">
        <f t="shared" si="30"/>
        <v>366.36</v>
      </c>
      <c r="E473" s="28">
        <f t="shared" si="30"/>
        <v>364.56</v>
      </c>
      <c r="F473" s="28">
        <f t="shared" si="30"/>
        <v>363.99</v>
      </c>
      <c r="G473" s="28">
        <f t="shared" si="30"/>
        <v>363.19</v>
      </c>
      <c r="H473" s="28">
        <f t="shared" si="30"/>
        <v>362.33</v>
      </c>
      <c r="I473" s="28">
        <f t="shared" si="30"/>
        <v>360.76</v>
      </c>
      <c r="J473" s="28">
        <f t="shared" si="30"/>
        <v>359.61</v>
      </c>
      <c r="K473" s="28">
        <f t="shared" si="30"/>
        <v>359.45</v>
      </c>
      <c r="L473" s="28">
        <f t="shared" si="30"/>
        <v>361.48</v>
      </c>
      <c r="M473" s="28">
        <f t="shared" si="30"/>
        <v>363.65</v>
      </c>
      <c r="N473" s="28">
        <f t="shared" si="30"/>
        <v>364.97</v>
      </c>
    </row>
    <row r="474" spans="1:14" x14ac:dyDescent="0.4">
      <c r="A474" s="1">
        <v>35612</v>
      </c>
      <c r="B474" s="28">
        <v>364.47</v>
      </c>
      <c r="C474" s="28">
        <f t="shared" si="29"/>
        <v>365.63</v>
      </c>
      <c r="D474" s="28">
        <f t="shared" si="30"/>
        <v>366.8</v>
      </c>
      <c r="E474" s="28">
        <f t="shared" si="30"/>
        <v>366.36</v>
      </c>
      <c r="F474" s="28">
        <f t="shared" si="30"/>
        <v>364.56</v>
      </c>
      <c r="G474" s="28">
        <f t="shared" si="30"/>
        <v>363.99</v>
      </c>
      <c r="H474" s="28">
        <f t="shared" si="30"/>
        <v>363.19</v>
      </c>
      <c r="I474" s="28">
        <f t="shared" si="30"/>
        <v>362.33</v>
      </c>
      <c r="J474" s="28">
        <f t="shared" si="30"/>
        <v>360.76</v>
      </c>
      <c r="K474" s="28">
        <f t="shared" si="30"/>
        <v>359.61</v>
      </c>
      <c r="L474" s="28">
        <f t="shared" si="30"/>
        <v>359.45</v>
      </c>
      <c r="M474" s="28">
        <f t="shared" si="30"/>
        <v>361.48</v>
      </c>
      <c r="N474" s="28">
        <f t="shared" si="30"/>
        <v>363.65</v>
      </c>
    </row>
    <row r="475" spans="1:14" x14ac:dyDescent="0.4">
      <c r="A475" s="1">
        <v>35643</v>
      </c>
      <c r="B475" s="28">
        <v>362.5</v>
      </c>
      <c r="C475" s="28">
        <f t="shared" si="29"/>
        <v>364.47</v>
      </c>
      <c r="D475" s="28">
        <f t="shared" si="30"/>
        <v>365.63</v>
      </c>
      <c r="E475" s="28">
        <f t="shared" si="30"/>
        <v>366.8</v>
      </c>
      <c r="F475" s="28">
        <f t="shared" si="30"/>
        <v>366.36</v>
      </c>
      <c r="G475" s="28">
        <f t="shared" si="30"/>
        <v>364.56</v>
      </c>
      <c r="H475" s="28">
        <f t="shared" si="30"/>
        <v>363.99</v>
      </c>
      <c r="I475" s="28">
        <f t="shared" si="30"/>
        <v>363.19</v>
      </c>
      <c r="J475" s="28">
        <f t="shared" si="30"/>
        <v>362.33</v>
      </c>
      <c r="K475" s="28">
        <f t="shared" si="30"/>
        <v>360.76</v>
      </c>
      <c r="L475" s="28">
        <f t="shared" si="30"/>
        <v>359.61</v>
      </c>
      <c r="M475" s="28">
        <f t="shared" si="30"/>
        <v>359.45</v>
      </c>
      <c r="N475" s="28">
        <f t="shared" si="30"/>
        <v>361.48</v>
      </c>
    </row>
    <row r="476" spans="1:14" x14ac:dyDescent="0.4">
      <c r="A476" s="1">
        <v>35674</v>
      </c>
      <c r="B476" s="28">
        <v>360.19</v>
      </c>
      <c r="C476" s="28">
        <f t="shared" si="29"/>
        <v>362.5</v>
      </c>
      <c r="D476" s="28">
        <f t="shared" si="30"/>
        <v>364.47</v>
      </c>
      <c r="E476" s="28">
        <f t="shared" si="30"/>
        <v>365.63</v>
      </c>
      <c r="F476" s="28">
        <f t="shared" si="30"/>
        <v>366.8</v>
      </c>
      <c r="G476" s="28">
        <f t="shared" si="30"/>
        <v>366.36</v>
      </c>
      <c r="H476" s="28">
        <f t="shared" si="30"/>
        <v>364.56</v>
      </c>
      <c r="I476" s="28">
        <f t="shared" si="30"/>
        <v>363.99</v>
      </c>
      <c r="J476" s="28">
        <f t="shared" si="30"/>
        <v>363.19</v>
      </c>
      <c r="K476" s="28">
        <f t="shared" si="30"/>
        <v>362.33</v>
      </c>
      <c r="L476" s="28">
        <f t="shared" si="30"/>
        <v>360.76</v>
      </c>
      <c r="M476" s="28">
        <f t="shared" si="30"/>
        <v>359.61</v>
      </c>
      <c r="N476" s="28">
        <f t="shared" si="30"/>
        <v>359.45</v>
      </c>
    </row>
    <row r="477" spans="1:14" x14ac:dyDescent="0.4">
      <c r="A477" s="1">
        <v>35704</v>
      </c>
      <c r="B477" s="28">
        <v>360.78</v>
      </c>
      <c r="C477" s="28">
        <f t="shared" si="29"/>
        <v>360.19</v>
      </c>
      <c r="D477" s="28">
        <f t="shared" si="30"/>
        <v>362.5</v>
      </c>
      <c r="E477" s="28">
        <f t="shared" si="30"/>
        <v>364.47</v>
      </c>
      <c r="F477" s="28">
        <f t="shared" si="30"/>
        <v>365.63</v>
      </c>
      <c r="G477" s="28">
        <f t="shared" si="30"/>
        <v>366.8</v>
      </c>
      <c r="H477" s="28">
        <f t="shared" si="30"/>
        <v>366.36</v>
      </c>
      <c r="I477" s="28">
        <f t="shared" si="30"/>
        <v>364.56</v>
      </c>
      <c r="J477" s="28">
        <f t="shared" si="30"/>
        <v>363.99</v>
      </c>
      <c r="K477" s="28">
        <f t="shared" si="30"/>
        <v>363.19</v>
      </c>
      <c r="L477" s="28">
        <f t="shared" si="30"/>
        <v>362.33</v>
      </c>
      <c r="M477" s="28">
        <f t="shared" si="30"/>
        <v>360.76</v>
      </c>
      <c r="N477" s="28">
        <f t="shared" si="30"/>
        <v>359.61</v>
      </c>
    </row>
    <row r="478" spans="1:14" x14ac:dyDescent="0.4">
      <c r="A478" s="1">
        <v>35735</v>
      </c>
      <c r="B478" s="28">
        <v>362.43</v>
      </c>
      <c r="C478" s="28">
        <f t="shared" si="29"/>
        <v>360.78</v>
      </c>
      <c r="D478" s="28">
        <f t="shared" si="30"/>
        <v>360.19</v>
      </c>
      <c r="E478" s="28">
        <f t="shared" si="30"/>
        <v>362.5</v>
      </c>
      <c r="F478" s="28">
        <f t="shared" si="30"/>
        <v>364.47</v>
      </c>
      <c r="G478" s="28">
        <f t="shared" si="30"/>
        <v>365.63</v>
      </c>
      <c r="H478" s="28">
        <f t="shared" si="30"/>
        <v>366.8</v>
      </c>
      <c r="I478" s="28">
        <f t="shared" si="30"/>
        <v>366.36</v>
      </c>
      <c r="J478" s="28">
        <f t="shared" si="30"/>
        <v>364.56</v>
      </c>
      <c r="K478" s="28">
        <f t="shared" si="30"/>
        <v>363.99</v>
      </c>
      <c r="L478" s="28">
        <f t="shared" si="30"/>
        <v>363.19</v>
      </c>
      <c r="M478" s="28">
        <f t="shared" si="30"/>
        <v>362.33</v>
      </c>
      <c r="N478" s="28">
        <f t="shared" si="30"/>
        <v>360.76</v>
      </c>
    </row>
    <row r="479" spans="1:14" x14ac:dyDescent="0.4">
      <c r="A479" s="1">
        <v>35765</v>
      </c>
      <c r="B479" s="28">
        <v>364.28</v>
      </c>
      <c r="C479" s="28">
        <f t="shared" si="29"/>
        <v>362.43</v>
      </c>
      <c r="D479" s="28">
        <f t="shared" si="30"/>
        <v>360.78</v>
      </c>
      <c r="E479" s="28">
        <f t="shared" si="30"/>
        <v>360.19</v>
      </c>
      <c r="F479" s="28">
        <f t="shared" si="30"/>
        <v>362.5</v>
      </c>
      <c r="G479" s="28">
        <f t="shared" si="30"/>
        <v>364.47</v>
      </c>
      <c r="H479" s="28">
        <f t="shared" si="30"/>
        <v>365.63</v>
      </c>
      <c r="I479" s="28">
        <f t="shared" si="30"/>
        <v>366.8</v>
      </c>
      <c r="J479" s="28">
        <f t="shared" si="30"/>
        <v>366.36</v>
      </c>
      <c r="K479" s="28">
        <f t="shared" si="30"/>
        <v>364.56</v>
      </c>
      <c r="L479" s="28">
        <f t="shared" si="30"/>
        <v>363.99</v>
      </c>
      <c r="M479" s="28">
        <f t="shared" si="30"/>
        <v>363.19</v>
      </c>
      <c r="N479" s="28">
        <f t="shared" si="30"/>
        <v>362.33</v>
      </c>
    </row>
    <row r="480" spans="1:14" x14ac:dyDescent="0.4">
      <c r="A480" s="1">
        <v>35796</v>
      </c>
      <c r="B480" s="28">
        <v>365.33</v>
      </c>
      <c r="C480" s="28">
        <f t="shared" si="29"/>
        <v>364.28</v>
      </c>
      <c r="D480" s="28">
        <f t="shared" si="30"/>
        <v>362.43</v>
      </c>
      <c r="E480" s="28">
        <f t="shared" si="30"/>
        <v>360.78</v>
      </c>
      <c r="F480" s="28">
        <f t="shared" si="30"/>
        <v>360.19</v>
      </c>
      <c r="G480" s="28">
        <f t="shared" si="30"/>
        <v>362.5</v>
      </c>
      <c r="H480" s="28">
        <f t="shared" si="30"/>
        <v>364.47</v>
      </c>
      <c r="I480" s="28">
        <f t="shared" si="30"/>
        <v>365.63</v>
      </c>
      <c r="J480" s="28">
        <f t="shared" si="30"/>
        <v>366.8</v>
      </c>
      <c r="K480" s="28">
        <f t="shared" si="30"/>
        <v>366.36</v>
      </c>
      <c r="L480" s="28">
        <f t="shared" si="30"/>
        <v>364.56</v>
      </c>
      <c r="M480" s="28">
        <f t="shared" si="30"/>
        <v>363.99</v>
      </c>
      <c r="N480" s="28">
        <f t="shared" si="30"/>
        <v>363.19</v>
      </c>
    </row>
    <row r="481" spans="1:14" x14ac:dyDescent="0.4">
      <c r="A481" s="1">
        <v>35827</v>
      </c>
      <c r="B481" s="28">
        <v>366.15</v>
      </c>
      <c r="C481" s="28">
        <f t="shared" si="29"/>
        <v>365.33</v>
      </c>
      <c r="D481" s="28">
        <f t="shared" si="30"/>
        <v>364.28</v>
      </c>
      <c r="E481" s="28">
        <f t="shared" si="30"/>
        <v>362.43</v>
      </c>
      <c r="F481" s="28">
        <f t="shared" si="30"/>
        <v>360.78</v>
      </c>
      <c r="G481" s="28">
        <f t="shared" si="30"/>
        <v>360.19</v>
      </c>
      <c r="H481" s="28">
        <f t="shared" si="30"/>
        <v>362.5</v>
      </c>
      <c r="I481" s="28">
        <f t="shared" si="30"/>
        <v>364.47</v>
      </c>
      <c r="J481" s="28">
        <f t="shared" si="30"/>
        <v>365.63</v>
      </c>
      <c r="K481" s="28">
        <f t="shared" si="30"/>
        <v>366.8</v>
      </c>
      <c r="L481" s="28">
        <f t="shared" si="30"/>
        <v>366.36</v>
      </c>
      <c r="M481" s="28">
        <f t="shared" si="30"/>
        <v>364.56</v>
      </c>
      <c r="N481" s="28">
        <f t="shared" si="30"/>
        <v>363.99</v>
      </c>
    </row>
    <row r="482" spans="1:14" x14ac:dyDescent="0.4">
      <c r="A482" s="1">
        <v>35855</v>
      </c>
      <c r="B482" s="28">
        <v>367.31</v>
      </c>
      <c r="C482" s="28">
        <f t="shared" si="29"/>
        <v>366.15</v>
      </c>
      <c r="D482" s="28">
        <f t="shared" si="30"/>
        <v>365.33</v>
      </c>
      <c r="E482" s="28">
        <f t="shared" si="30"/>
        <v>364.28</v>
      </c>
      <c r="F482" s="28">
        <f t="shared" si="30"/>
        <v>362.43</v>
      </c>
      <c r="G482" s="28">
        <f t="shared" si="30"/>
        <v>360.78</v>
      </c>
      <c r="H482" s="28">
        <f t="shared" si="30"/>
        <v>360.19</v>
      </c>
      <c r="I482" s="28">
        <f t="shared" si="30"/>
        <v>362.5</v>
      </c>
      <c r="J482" s="28">
        <f t="shared" si="30"/>
        <v>364.47</v>
      </c>
      <c r="K482" s="28">
        <f t="shared" si="30"/>
        <v>365.63</v>
      </c>
      <c r="L482" s="28">
        <f t="shared" si="30"/>
        <v>366.8</v>
      </c>
      <c r="M482" s="28">
        <f t="shared" si="30"/>
        <v>366.36</v>
      </c>
      <c r="N482" s="28">
        <f t="shared" si="30"/>
        <v>364.56</v>
      </c>
    </row>
    <row r="483" spans="1:14" x14ac:dyDescent="0.4">
      <c r="A483" s="1">
        <v>35886</v>
      </c>
      <c r="B483" s="28">
        <v>368.61</v>
      </c>
      <c r="C483" s="28">
        <f t="shared" si="29"/>
        <v>367.31</v>
      </c>
      <c r="D483" s="28">
        <f t="shared" si="30"/>
        <v>366.15</v>
      </c>
      <c r="E483" s="28">
        <f t="shared" si="30"/>
        <v>365.33</v>
      </c>
      <c r="F483" s="28">
        <f t="shared" si="30"/>
        <v>364.28</v>
      </c>
      <c r="G483" s="28">
        <f t="shared" si="30"/>
        <v>362.43</v>
      </c>
      <c r="H483" s="28">
        <f t="shared" si="30"/>
        <v>360.78</v>
      </c>
      <c r="I483" s="28">
        <f t="shared" si="30"/>
        <v>360.19</v>
      </c>
      <c r="J483" s="28">
        <f t="shared" si="30"/>
        <v>362.5</v>
      </c>
      <c r="K483" s="28">
        <f t="shared" si="30"/>
        <v>364.47</v>
      </c>
      <c r="L483" s="28">
        <f t="shared" si="30"/>
        <v>365.63</v>
      </c>
      <c r="M483" s="28">
        <f t="shared" si="30"/>
        <v>366.8</v>
      </c>
      <c r="N483" s="28">
        <f t="shared" si="30"/>
        <v>366.36</v>
      </c>
    </row>
    <row r="484" spans="1:14" x14ac:dyDescent="0.4">
      <c r="A484" s="1">
        <v>35916</v>
      </c>
      <c r="B484" s="28">
        <v>369.3</v>
      </c>
      <c r="C484" s="28">
        <f t="shared" si="29"/>
        <v>368.61</v>
      </c>
      <c r="D484" s="28">
        <f t="shared" si="30"/>
        <v>367.31</v>
      </c>
      <c r="E484" s="28">
        <f t="shared" si="30"/>
        <v>366.15</v>
      </c>
      <c r="F484" s="28">
        <f t="shared" si="30"/>
        <v>365.33</v>
      </c>
      <c r="G484" s="28">
        <f t="shared" si="30"/>
        <v>364.28</v>
      </c>
      <c r="H484" s="28">
        <f t="shared" si="30"/>
        <v>362.43</v>
      </c>
      <c r="I484" s="28">
        <f t="shared" si="30"/>
        <v>360.78</v>
      </c>
      <c r="J484" s="28">
        <f t="shared" si="30"/>
        <v>360.19</v>
      </c>
      <c r="K484" s="28">
        <f t="shared" si="30"/>
        <v>362.5</v>
      </c>
      <c r="L484" s="28">
        <f t="shared" si="30"/>
        <v>364.47</v>
      </c>
      <c r="M484" s="28">
        <f t="shared" si="30"/>
        <v>365.63</v>
      </c>
      <c r="N484" s="28">
        <f t="shared" si="30"/>
        <v>366.8</v>
      </c>
    </row>
    <row r="485" spans="1:14" x14ac:dyDescent="0.4">
      <c r="A485" s="1">
        <v>35947</v>
      </c>
      <c r="B485" s="28">
        <v>368.88</v>
      </c>
      <c r="C485" s="28">
        <f t="shared" si="29"/>
        <v>369.3</v>
      </c>
      <c r="D485" s="28">
        <f t="shared" ref="D485:N500" si="31">IF(C484=0,"",C484)</f>
        <v>368.61</v>
      </c>
      <c r="E485" s="28">
        <f t="shared" si="31"/>
        <v>367.31</v>
      </c>
      <c r="F485" s="28">
        <f t="shared" si="31"/>
        <v>366.15</v>
      </c>
      <c r="G485" s="28">
        <f t="shared" si="31"/>
        <v>365.33</v>
      </c>
      <c r="H485" s="28">
        <f t="shared" si="31"/>
        <v>364.28</v>
      </c>
      <c r="I485" s="28">
        <f t="shared" si="31"/>
        <v>362.43</v>
      </c>
      <c r="J485" s="28">
        <f t="shared" si="31"/>
        <v>360.78</v>
      </c>
      <c r="K485" s="28">
        <f t="shared" si="31"/>
        <v>360.19</v>
      </c>
      <c r="L485" s="28">
        <f t="shared" si="31"/>
        <v>362.5</v>
      </c>
      <c r="M485" s="28">
        <f t="shared" si="31"/>
        <v>364.47</v>
      </c>
      <c r="N485" s="28">
        <f t="shared" si="31"/>
        <v>365.63</v>
      </c>
    </row>
    <row r="486" spans="1:14" x14ac:dyDescent="0.4">
      <c r="A486" s="1">
        <v>35977</v>
      </c>
      <c r="B486" s="28">
        <v>367.64</v>
      </c>
      <c r="C486" s="28">
        <f t="shared" si="29"/>
        <v>368.88</v>
      </c>
      <c r="D486" s="28">
        <f t="shared" si="31"/>
        <v>369.3</v>
      </c>
      <c r="E486" s="28">
        <f t="shared" si="31"/>
        <v>368.61</v>
      </c>
      <c r="F486" s="28">
        <f t="shared" si="31"/>
        <v>367.31</v>
      </c>
      <c r="G486" s="28">
        <f t="shared" si="31"/>
        <v>366.15</v>
      </c>
      <c r="H486" s="28">
        <f t="shared" si="31"/>
        <v>365.33</v>
      </c>
      <c r="I486" s="28">
        <f t="shared" si="31"/>
        <v>364.28</v>
      </c>
      <c r="J486" s="28">
        <f t="shared" si="31"/>
        <v>362.43</v>
      </c>
      <c r="K486" s="28">
        <f t="shared" si="31"/>
        <v>360.78</v>
      </c>
      <c r="L486" s="28">
        <f t="shared" si="31"/>
        <v>360.19</v>
      </c>
      <c r="M486" s="28">
        <f t="shared" si="31"/>
        <v>362.5</v>
      </c>
      <c r="N486" s="28">
        <f t="shared" si="31"/>
        <v>364.47</v>
      </c>
    </row>
    <row r="487" spans="1:14" x14ac:dyDescent="0.4">
      <c r="A487" s="1">
        <v>36008</v>
      </c>
      <c r="B487" s="28">
        <v>365.78</v>
      </c>
      <c r="C487" s="28">
        <f t="shared" si="29"/>
        <v>367.64</v>
      </c>
      <c r="D487" s="28">
        <f t="shared" si="31"/>
        <v>368.88</v>
      </c>
      <c r="E487" s="28">
        <f t="shared" si="31"/>
        <v>369.3</v>
      </c>
      <c r="F487" s="28">
        <f t="shared" si="31"/>
        <v>368.61</v>
      </c>
      <c r="G487" s="28">
        <f t="shared" si="31"/>
        <v>367.31</v>
      </c>
      <c r="H487" s="28">
        <f t="shared" si="31"/>
        <v>366.15</v>
      </c>
      <c r="I487" s="28">
        <f t="shared" si="31"/>
        <v>365.33</v>
      </c>
      <c r="J487" s="28">
        <f t="shared" si="31"/>
        <v>364.28</v>
      </c>
      <c r="K487" s="28">
        <f t="shared" si="31"/>
        <v>362.43</v>
      </c>
      <c r="L487" s="28">
        <f t="shared" si="31"/>
        <v>360.78</v>
      </c>
      <c r="M487" s="28">
        <f t="shared" si="31"/>
        <v>360.19</v>
      </c>
      <c r="N487" s="28">
        <f t="shared" si="31"/>
        <v>362.5</v>
      </c>
    </row>
    <row r="488" spans="1:14" x14ac:dyDescent="0.4">
      <c r="A488" s="1">
        <v>36039</v>
      </c>
      <c r="B488" s="28">
        <v>363.9</v>
      </c>
      <c r="C488" s="28">
        <f t="shared" si="29"/>
        <v>365.78</v>
      </c>
      <c r="D488" s="28">
        <f t="shared" si="31"/>
        <v>367.64</v>
      </c>
      <c r="E488" s="28">
        <f t="shared" si="31"/>
        <v>368.88</v>
      </c>
      <c r="F488" s="28">
        <f t="shared" si="31"/>
        <v>369.3</v>
      </c>
      <c r="G488" s="28">
        <f t="shared" si="31"/>
        <v>368.61</v>
      </c>
      <c r="H488" s="28">
        <f t="shared" si="31"/>
        <v>367.31</v>
      </c>
      <c r="I488" s="28">
        <f t="shared" si="31"/>
        <v>366.15</v>
      </c>
      <c r="J488" s="28">
        <f t="shared" si="31"/>
        <v>365.33</v>
      </c>
      <c r="K488" s="28">
        <f t="shared" si="31"/>
        <v>364.28</v>
      </c>
      <c r="L488" s="28">
        <f t="shared" si="31"/>
        <v>362.43</v>
      </c>
      <c r="M488" s="28">
        <f t="shared" si="31"/>
        <v>360.78</v>
      </c>
      <c r="N488" s="28">
        <f t="shared" si="31"/>
        <v>360.19</v>
      </c>
    </row>
    <row r="489" spans="1:14" x14ac:dyDescent="0.4">
      <c r="A489" s="1">
        <v>36069</v>
      </c>
      <c r="B489" s="28">
        <v>364.23</v>
      </c>
      <c r="C489" s="28">
        <f t="shared" si="29"/>
        <v>363.9</v>
      </c>
      <c r="D489" s="28">
        <f t="shared" si="31"/>
        <v>365.78</v>
      </c>
      <c r="E489" s="28">
        <f t="shared" si="31"/>
        <v>367.64</v>
      </c>
      <c r="F489" s="28">
        <f t="shared" si="31"/>
        <v>368.88</v>
      </c>
      <c r="G489" s="28">
        <f t="shared" si="31"/>
        <v>369.3</v>
      </c>
      <c r="H489" s="28">
        <f t="shared" si="31"/>
        <v>368.61</v>
      </c>
      <c r="I489" s="28">
        <f t="shared" si="31"/>
        <v>367.31</v>
      </c>
      <c r="J489" s="28">
        <f t="shared" si="31"/>
        <v>366.15</v>
      </c>
      <c r="K489" s="28">
        <f t="shared" si="31"/>
        <v>365.33</v>
      </c>
      <c r="L489" s="28">
        <f t="shared" si="31"/>
        <v>364.28</v>
      </c>
      <c r="M489" s="28">
        <f t="shared" si="31"/>
        <v>362.43</v>
      </c>
      <c r="N489" s="28">
        <f t="shared" si="31"/>
        <v>360.78</v>
      </c>
    </row>
    <row r="490" spans="1:14" x14ac:dyDescent="0.4">
      <c r="A490" s="1">
        <v>36100</v>
      </c>
      <c r="B490" s="28">
        <v>365.46</v>
      </c>
      <c r="C490" s="28">
        <f t="shared" si="29"/>
        <v>364.23</v>
      </c>
      <c r="D490" s="28">
        <f t="shared" si="31"/>
        <v>363.9</v>
      </c>
      <c r="E490" s="28">
        <f t="shared" si="31"/>
        <v>365.78</v>
      </c>
      <c r="F490" s="28">
        <f t="shared" si="31"/>
        <v>367.64</v>
      </c>
      <c r="G490" s="28">
        <f t="shared" si="31"/>
        <v>368.88</v>
      </c>
      <c r="H490" s="28">
        <f t="shared" si="31"/>
        <v>369.3</v>
      </c>
      <c r="I490" s="28">
        <f t="shared" si="31"/>
        <v>368.61</v>
      </c>
      <c r="J490" s="28">
        <f t="shared" si="31"/>
        <v>367.31</v>
      </c>
      <c r="K490" s="28">
        <f t="shared" si="31"/>
        <v>366.15</v>
      </c>
      <c r="L490" s="28">
        <f t="shared" si="31"/>
        <v>365.33</v>
      </c>
      <c r="M490" s="28">
        <f t="shared" si="31"/>
        <v>364.28</v>
      </c>
      <c r="N490" s="28">
        <f t="shared" si="31"/>
        <v>362.43</v>
      </c>
    </row>
    <row r="491" spans="1:14" x14ac:dyDescent="0.4">
      <c r="A491" s="1">
        <v>36130</v>
      </c>
      <c r="B491" s="28">
        <v>366.97</v>
      </c>
      <c r="C491" s="28">
        <f t="shared" si="29"/>
        <v>365.46</v>
      </c>
      <c r="D491" s="28">
        <f t="shared" si="31"/>
        <v>364.23</v>
      </c>
      <c r="E491" s="28">
        <f t="shared" si="31"/>
        <v>363.9</v>
      </c>
      <c r="F491" s="28">
        <f t="shared" si="31"/>
        <v>365.78</v>
      </c>
      <c r="G491" s="28">
        <f t="shared" si="31"/>
        <v>367.64</v>
      </c>
      <c r="H491" s="28">
        <f t="shared" si="31"/>
        <v>368.88</v>
      </c>
      <c r="I491" s="28">
        <f t="shared" si="31"/>
        <v>369.3</v>
      </c>
      <c r="J491" s="28">
        <f t="shared" si="31"/>
        <v>368.61</v>
      </c>
      <c r="K491" s="28">
        <f t="shared" si="31"/>
        <v>367.31</v>
      </c>
      <c r="L491" s="28">
        <f t="shared" si="31"/>
        <v>366.15</v>
      </c>
      <c r="M491" s="28">
        <f t="shared" si="31"/>
        <v>365.33</v>
      </c>
      <c r="N491" s="28">
        <f t="shared" si="31"/>
        <v>364.28</v>
      </c>
    </row>
    <row r="492" spans="1:14" x14ac:dyDescent="0.4">
      <c r="A492" s="1">
        <v>36161</v>
      </c>
      <c r="B492" s="28">
        <v>368.15</v>
      </c>
      <c r="C492" s="28">
        <f t="shared" si="29"/>
        <v>366.97</v>
      </c>
      <c r="D492" s="28">
        <f t="shared" si="31"/>
        <v>365.46</v>
      </c>
      <c r="E492" s="28">
        <f t="shared" si="31"/>
        <v>364.23</v>
      </c>
      <c r="F492" s="28">
        <f t="shared" si="31"/>
        <v>363.9</v>
      </c>
      <c r="G492" s="28">
        <f t="shared" si="31"/>
        <v>365.78</v>
      </c>
      <c r="H492" s="28">
        <f t="shared" si="31"/>
        <v>367.64</v>
      </c>
      <c r="I492" s="28">
        <f t="shared" si="31"/>
        <v>368.88</v>
      </c>
      <c r="J492" s="28">
        <f t="shared" si="31"/>
        <v>369.3</v>
      </c>
      <c r="K492" s="28">
        <f t="shared" si="31"/>
        <v>368.61</v>
      </c>
      <c r="L492" s="28">
        <f t="shared" si="31"/>
        <v>367.31</v>
      </c>
      <c r="M492" s="28">
        <f t="shared" si="31"/>
        <v>366.15</v>
      </c>
      <c r="N492" s="28">
        <f t="shared" si="31"/>
        <v>365.33</v>
      </c>
    </row>
    <row r="493" spans="1:14" x14ac:dyDescent="0.4">
      <c r="A493" s="1">
        <v>36192</v>
      </c>
      <c r="B493" s="28">
        <v>368.87</v>
      </c>
      <c r="C493" s="28">
        <f t="shared" si="29"/>
        <v>368.15</v>
      </c>
      <c r="D493" s="28">
        <f t="shared" si="31"/>
        <v>366.97</v>
      </c>
      <c r="E493" s="28">
        <f t="shared" si="31"/>
        <v>365.46</v>
      </c>
      <c r="F493" s="28">
        <f t="shared" si="31"/>
        <v>364.23</v>
      </c>
      <c r="G493" s="28">
        <f t="shared" si="31"/>
        <v>363.9</v>
      </c>
      <c r="H493" s="28">
        <f t="shared" si="31"/>
        <v>365.78</v>
      </c>
      <c r="I493" s="28">
        <f t="shared" si="31"/>
        <v>367.64</v>
      </c>
      <c r="J493" s="28">
        <f t="shared" si="31"/>
        <v>368.88</v>
      </c>
      <c r="K493" s="28">
        <f t="shared" si="31"/>
        <v>369.3</v>
      </c>
      <c r="L493" s="28">
        <f t="shared" si="31"/>
        <v>368.61</v>
      </c>
      <c r="M493" s="28">
        <f t="shared" si="31"/>
        <v>367.31</v>
      </c>
      <c r="N493" s="28">
        <f t="shared" si="31"/>
        <v>366.15</v>
      </c>
    </row>
    <row r="494" spans="1:14" x14ac:dyDescent="0.4">
      <c r="A494" s="1">
        <v>36220</v>
      </c>
      <c r="B494" s="28">
        <v>369.59</v>
      </c>
      <c r="C494" s="28">
        <f t="shared" si="29"/>
        <v>368.87</v>
      </c>
      <c r="D494" s="28">
        <f t="shared" si="31"/>
        <v>368.15</v>
      </c>
      <c r="E494" s="28">
        <f t="shared" si="31"/>
        <v>366.97</v>
      </c>
      <c r="F494" s="28">
        <f t="shared" si="31"/>
        <v>365.46</v>
      </c>
      <c r="G494" s="28">
        <f t="shared" si="31"/>
        <v>364.23</v>
      </c>
      <c r="H494" s="28">
        <f t="shared" si="31"/>
        <v>363.9</v>
      </c>
      <c r="I494" s="28">
        <f t="shared" si="31"/>
        <v>365.78</v>
      </c>
      <c r="J494" s="28">
        <f t="shared" si="31"/>
        <v>367.64</v>
      </c>
      <c r="K494" s="28">
        <f t="shared" si="31"/>
        <v>368.88</v>
      </c>
      <c r="L494" s="28">
        <f t="shared" si="31"/>
        <v>369.3</v>
      </c>
      <c r="M494" s="28">
        <f t="shared" si="31"/>
        <v>368.61</v>
      </c>
      <c r="N494" s="28">
        <f t="shared" si="31"/>
        <v>367.31</v>
      </c>
    </row>
    <row r="495" spans="1:14" x14ac:dyDescent="0.4">
      <c r="A495" s="1">
        <v>36251</v>
      </c>
      <c r="B495" s="28">
        <v>371.14</v>
      </c>
      <c r="C495" s="28">
        <f t="shared" si="29"/>
        <v>369.59</v>
      </c>
      <c r="D495" s="28">
        <f t="shared" si="31"/>
        <v>368.87</v>
      </c>
      <c r="E495" s="28">
        <f t="shared" si="31"/>
        <v>368.15</v>
      </c>
      <c r="F495" s="28">
        <f t="shared" si="31"/>
        <v>366.97</v>
      </c>
      <c r="G495" s="28">
        <f t="shared" si="31"/>
        <v>365.46</v>
      </c>
      <c r="H495" s="28">
        <f t="shared" si="31"/>
        <v>364.23</v>
      </c>
      <c r="I495" s="28">
        <f t="shared" si="31"/>
        <v>363.9</v>
      </c>
      <c r="J495" s="28">
        <f t="shared" si="31"/>
        <v>365.78</v>
      </c>
      <c r="K495" s="28">
        <f t="shared" si="31"/>
        <v>367.64</v>
      </c>
      <c r="L495" s="28">
        <f t="shared" si="31"/>
        <v>368.88</v>
      </c>
      <c r="M495" s="28">
        <f t="shared" si="31"/>
        <v>369.3</v>
      </c>
      <c r="N495" s="28">
        <f t="shared" si="31"/>
        <v>368.61</v>
      </c>
    </row>
    <row r="496" spans="1:14" x14ac:dyDescent="0.4">
      <c r="A496" s="1">
        <v>36281</v>
      </c>
      <c r="B496" s="28">
        <v>371</v>
      </c>
      <c r="C496" s="28">
        <f t="shared" si="29"/>
        <v>371.14</v>
      </c>
      <c r="D496" s="28">
        <f t="shared" si="31"/>
        <v>369.59</v>
      </c>
      <c r="E496" s="28">
        <f t="shared" si="31"/>
        <v>368.87</v>
      </c>
      <c r="F496" s="28">
        <f t="shared" si="31"/>
        <v>368.15</v>
      </c>
      <c r="G496" s="28">
        <f t="shared" si="31"/>
        <v>366.97</v>
      </c>
      <c r="H496" s="28">
        <f t="shared" si="31"/>
        <v>365.46</v>
      </c>
      <c r="I496" s="28">
        <f t="shared" si="31"/>
        <v>364.23</v>
      </c>
      <c r="J496" s="28">
        <f t="shared" si="31"/>
        <v>363.9</v>
      </c>
      <c r="K496" s="28">
        <f t="shared" si="31"/>
        <v>365.78</v>
      </c>
      <c r="L496" s="28">
        <f t="shared" si="31"/>
        <v>367.64</v>
      </c>
      <c r="M496" s="28">
        <f t="shared" si="31"/>
        <v>368.88</v>
      </c>
      <c r="N496" s="28">
        <f t="shared" si="31"/>
        <v>369.3</v>
      </c>
    </row>
    <row r="497" spans="1:14" x14ac:dyDescent="0.4">
      <c r="A497" s="1">
        <v>36312</v>
      </c>
      <c r="B497" s="28">
        <v>370.35</v>
      </c>
      <c r="C497" s="28">
        <f t="shared" si="29"/>
        <v>371</v>
      </c>
      <c r="D497" s="28">
        <f t="shared" si="31"/>
        <v>371.14</v>
      </c>
      <c r="E497" s="28">
        <f t="shared" si="31"/>
        <v>369.59</v>
      </c>
      <c r="F497" s="28">
        <f t="shared" si="31"/>
        <v>368.87</v>
      </c>
      <c r="G497" s="28">
        <f t="shared" si="31"/>
        <v>368.15</v>
      </c>
      <c r="H497" s="28">
        <f t="shared" si="31"/>
        <v>366.97</v>
      </c>
      <c r="I497" s="28">
        <f t="shared" si="31"/>
        <v>365.46</v>
      </c>
      <c r="J497" s="28">
        <f t="shared" si="31"/>
        <v>364.23</v>
      </c>
      <c r="K497" s="28">
        <f t="shared" si="31"/>
        <v>363.9</v>
      </c>
      <c r="L497" s="28">
        <f t="shared" si="31"/>
        <v>365.78</v>
      </c>
      <c r="M497" s="28">
        <f t="shared" si="31"/>
        <v>367.64</v>
      </c>
      <c r="N497" s="28">
        <f t="shared" si="31"/>
        <v>368.88</v>
      </c>
    </row>
    <row r="498" spans="1:14" x14ac:dyDescent="0.4">
      <c r="A498" s="1">
        <v>36342</v>
      </c>
      <c r="B498" s="28">
        <v>369.27</v>
      </c>
      <c r="C498" s="28">
        <f t="shared" si="29"/>
        <v>370.35</v>
      </c>
      <c r="D498" s="28">
        <f t="shared" si="31"/>
        <v>371</v>
      </c>
      <c r="E498" s="28">
        <f t="shared" si="31"/>
        <v>371.14</v>
      </c>
      <c r="F498" s="28">
        <f t="shared" si="31"/>
        <v>369.59</v>
      </c>
      <c r="G498" s="28">
        <f t="shared" si="31"/>
        <v>368.87</v>
      </c>
      <c r="H498" s="28">
        <f t="shared" si="31"/>
        <v>368.15</v>
      </c>
      <c r="I498" s="28">
        <f t="shared" si="31"/>
        <v>366.97</v>
      </c>
      <c r="J498" s="28">
        <f t="shared" si="31"/>
        <v>365.46</v>
      </c>
      <c r="K498" s="28">
        <f t="shared" si="31"/>
        <v>364.23</v>
      </c>
      <c r="L498" s="28">
        <f t="shared" si="31"/>
        <v>363.9</v>
      </c>
      <c r="M498" s="28">
        <f t="shared" si="31"/>
        <v>365.78</v>
      </c>
      <c r="N498" s="28">
        <f t="shared" si="31"/>
        <v>367.64</v>
      </c>
    </row>
    <row r="499" spans="1:14" x14ac:dyDescent="0.4">
      <c r="A499" s="1">
        <v>36373</v>
      </c>
      <c r="B499" s="28">
        <v>366.93</v>
      </c>
      <c r="C499" s="28">
        <f t="shared" si="29"/>
        <v>369.27</v>
      </c>
      <c r="D499" s="28">
        <f t="shared" si="31"/>
        <v>370.35</v>
      </c>
      <c r="E499" s="28">
        <f t="shared" si="31"/>
        <v>371</v>
      </c>
      <c r="F499" s="28">
        <f t="shared" si="31"/>
        <v>371.14</v>
      </c>
      <c r="G499" s="28">
        <f t="shared" si="31"/>
        <v>369.59</v>
      </c>
      <c r="H499" s="28">
        <f t="shared" si="31"/>
        <v>368.87</v>
      </c>
      <c r="I499" s="28">
        <f t="shared" si="31"/>
        <v>368.15</v>
      </c>
      <c r="J499" s="28">
        <f t="shared" si="31"/>
        <v>366.97</v>
      </c>
      <c r="K499" s="28">
        <f t="shared" si="31"/>
        <v>365.46</v>
      </c>
      <c r="L499" s="28">
        <f t="shared" si="31"/>
        <v>364.23</v>
      </c>
      <c r="M499" s="28">
        <f t="shared" si="31"/>
        <v>363.9</v>
      </c>
      <c r="N499" s="28">
        <f t="shared" si="31"/>
        <v>365.78</v>
      </c>
    </row>
    <row r="500" spans="1:14" x14ac:dyDescent="0.4">
      <c r="A500" s="1">
        <v>36404</v>
      </c>
      <c r="B500" s="28">
        <v>364.64</v>
      </c>
      <c r="C500" s="28">
        <f t="shared" si="29"/>
        <v>366.93</v>
      </c>
      <c r="D500" s="28">
        <f t="shared" si="31"/>
        <v>369.27</v>
      </c>
      <c r="E500" s="28">
        <f t="shared" si="31"/>
        <v>370.35</v>
      </c>
      <c r="F500" s="28">
        <f t="shared" si="31"/>
        <v>371</v>
      </c>
      <c r="G500" s="28">
        <f t="shared" si="31"/>
        <v>371.14</v>
      </c>
      <c r="H500" s="28">
        <f t="shared" si="31"/>
        <v>369.59</v>
      </c>
      <c r="I500" s="28">
        <f t="shared" si="31"/>
        <v>368.87</v>
      </c>
      <c r="J500" s="28">
        <f t="shared" si="31"/>
        <v>368.15</v>
      </c>
      <c r="K500" s="28">
        <f t="shared" si="31"/>
        <v>366.97</v>
      </c>
      <c r="L500" s="28">
        <f t="shared" si="31"/>
        <v>365.46</v>
      </c>
      <c r="M500" s="28">
        <f t="shared" si="31"/>
        <v>364.23</v>
      </c>
      <c r="N500" s="28">
        <f t="shared" si="31"/>
        <v>363.9</v>
      </c>
    </row>
    <row r="501" spans="1:14" x14ac:dyDescent="0.4">
      <c r="A501" s="1">
        <v>36434</v>
      </c>
      <c r="B501" s="28">
        <v>365.13</v>
      </c>
      <c r="C501" s="28">
        <f t="shared" si="29"/>
        <v>364.64</v>
      </c>
      <c r="D501" s="28">
        <f t="shared" ref="D501:N515" si="32">IF(C500=0,"",C500)</f>
        <v>366.93</v>
      </c>
      <c r="E501" s="28">
        <f t="shared" si="32"/>
        <v>369.27</v>
      </c>
      <c r="F501" s="28">
        <f t="shared" si="32"/>
        <v>370.35</v>
      </c>
      <c r="G501" s="28">
        <f t="shared" si="32"/>
        <v>371</v>
      </c>
      <c r="H501" s="28">
        <f t="shared" si="32"/>
        <v>371.14</v>
      </c>
      <c r="I501" s="28">
        <f t="shared" si="32"/>
        <v>369.59</v>
      </c>
      <c r="J501" s="28">
        <f t="shared" si="32"/>
        <v>368.87</v>
      </c>
      <c r="K501" s="28">
        <f t="shared" si="32"/>
        <v>368.15</v>
      </c>
      <c r="L501" s="28">
        <f t="shared" si="32"/>
        <v>366.97</v>
      </c>
      <c r="M501" s="28">
        <f t="shared" si="32"/>
        <v>365.46</v>
      </c>
      <c r="N501" s="28">
        <f t="shared" si="32"/>
        <v>364.23</v>
      </c>
    </row>
    <row r="502" spans="1:14" x14ac:dyDescent="0.4">
      <c r="A502" s="1">
        <v>36465</v>
      </c>
      <c r="B502" s="28">
        <v>366.68</v>
      </c>
      <c r="C502" s="28">
        <f t="shared" si="29"/>
        <v>365.13</v>
      </c>
      <c r="D502" s="28">
        <f t="shared" si="32"/>
        <v>364.64</v>
      </c>
      <c r="E502" s="28">
        <f t="shared" si="32"/>
        <v>366.93</v>
      </c>
      <c r="F502" s="28">
        <f t="shared" si="32"/>
        <v>369.27</v>
      </c>
      <c r="G502" s="28">
        <f t="shared" si="32"/>
        <v>370.35</v>
      </c>
      <c r="H502" s="28">
        <f t="shared" si="32"/>
        <v>371</v>
      </c>
      <c r="I502" s="28">
        <f t="shared" si="32"/>
        <v>371.14</v>
      </c>
      <c r="J502" s="28">
        <f t="shared" si="32"/>
        <v>369.59</v>
      </c>
      <c r="K502" s="28">
        <f t="shared" si="32"/>
        <v>368.87</v>
      </c>
      <c r="L502" s="28">
        <f t="shared" si="32"/>
        <v>368.15</v>
      </c>
      <c r="M502" s="28">
        <f t="shared" si="32"/>
        <v>366.97</v>
      </c>
      <c r="N502" s="28">
        <f t="shared" si="32"/>
        <v>365.46</v>
      </c>
    </row>
    <row r="503" spans="1:14" x14ac:dyDescent="0.4">
      <c r="A503" s="1">
        <v>36495</v>
      </c>
      <c r="B503" s="28">
        <v>368</v>
      </c>
      <c r="C503" s="28">
        <f t="shared" si="29"/>
        <v>366.68</v>
      </c>
      <c r="D503" s="28">
        <f t="shared" si="32"/>
        <v>365.13</v>
      </c>
      <c r="E503" s="28">
        <f t="shared" si="32"/>
        <v>364.64</v>
      </c>
      <c r="F503" s="28">
        <f t="shared" si="32"/>
        <v>366.93</v>
      </c>
      <c r="G503" s="28">
        <f t="shared" si="32"/>
        <v>369.27</v>
      </c>
      <c r="H503" s="28">
        <f t="shared" si="32"/>
        <v>370.35</v>
      </c>
      <c r="I503" s="28">
        <f t="shared" si="32"/>
        <v>371</v>
      </c>
      <c r="J503" s="28">
        <f t="shared" si="32"/>
        <v>371.14</v>
      </c>
      <c r="K503" s="28">
        <f t="shared" si="32"/>
        <v>369.59</v>
      </c>
      <c r="L503" s="28">
        <f t="shared" si="32"/>
        <v>368.87</v>
      </c>
      <c r="M503" s="28">
        <f t="shared" si="32"/>
        <v>368.15</v>
      </c>
      <c r="N503" s="28">
        <f t="shared" si="32"/>
        <v>366.97</v>
      </c>
    </row>
    <row r="504" spans="1:14" x14ac:dyDescent="0.4">
      <c r="A504" s="1">
        <v>36526</v>
      </c>
      <c r="B504" s="28">
        <v>369.14</v>
      </c>
      <c r="C504" s="28">
        <f t="shared" si="29"/>
        <v>368</v>
      </c>
      <c r="D504" s="28">
        <f t="shared" si="32"/>
        <v>366.68</v>
      </c>
      <c r="E504" s="28">
        <f t="shared" si="32"/>
        <v>365.13</v>
      </c>
      <c r="F504" s="28">
        <f t="shared" si="32"/>
        <v>364.64</v>
      </c>
      <c r="G504" s="28">
        <f t="shared" si="32"/>
        <v>366.93</v>
      </c>
      <c r="H504" s="28">
        <f t="shared" si="32"/>
        <v>369.27</v>
      </c>
      <c r="I504" s="28">
        <f t="shared" si="32"/>
        <v>370.35</v>
      </c>
      <c r="J504" s="28">
        <f t="shared" si="32"/>
        <v>371</v>
      </c>
      <c r="K504" s="28">
        <f t="shared" si="32"/>
        <v>371.14</v>
      </c>
      <c r="L504" s="28">
        <f t="shared" si="32"/>
        <v>369.59</v>
      </c>
      <c r="M504" s="28">
        <f t="shared" si="32"/>
        <v>368.87</v>
      </c>
      <c r="N504" s="28">
        <f t="shared" si="32"/>
        <v>368.15</v>
      </c>
    </row>
    <row r="505" spans="1:14" x14ac:dyDescent="0.4">
      <c r="A505" s="1">
        <v>36557</v>
      </c>
      <c r="B505" s="28">
        <v>369.46</v>
      </c>
      <c r="C505" s="28">
        <f t="shared" si="29"/>
        <v>369.14</v>
      </c>
      <c r="D505" s="28">
        <f t="shared" si="32"/>
        <v>368</v>
      </c>
      <c r="E505" s="28">
        <f t="shared" si="32"/>
        <v>366.68</v>
      </c>
      <c r="F505" s="28">
        <f t="shared" si="32"/>
        <v>365.13</v>
      </c>
      <c r="G505" s="28">
        <f t="shared" si="32"/>
        <v>364.64</v>
      </c>
      <c r="H505" s="28">
        <f t="shared" si="32"/>
        <v>366.93</v>
      </c>
      <c r="I505" s="28">
        <f t="shared" si="32"/>
        <v>369.27</v>
      </c>
      <c r="J505" s="28">
        <f t="shared" si="32"/>
        <v>370.35</v>
      </c>
      <c r="K505" s="28">
        <f t="shared" si="32"/>
        <v>371</v>
      </c>
      <c r="L505" s="28">
        <f t="shared" si="32"/>
        <v>371.14</v>
      </c>
      <c r="M505" s="28">
        <f t="shared" si="32"/>
        <v>369.59</v>
      </c>
      <c r="N505" s="28">
        <f t="shared" si="32"/>
        <v>368.87</v>
      </c>
    </row>
    <row r="506" spans="1:14" x14ac:dyDescent="0.4">
      <c r="A506" s="1">
        <v>36586</v>
      </c>
      <c r="B506" s="28">
        <v>370.51</v>
      </c>
      <c r="C506" s="28">
        <f t="shared" si="29"/>
        <v>369.46</v>
      </c>
      <c r="D506" s="28">
        <f t="shared" si="32"/>
        <v>369.14</v>
      </c>
      <c r="E506" s="28">
        <f t="shared" si="32"/>
        <v>368</v>
      </c>
      <c r="F506" s="28">
        <f t="shared" si="32"/>
        <v>366.68</v>
      </c>
      <c r="G506" s="28">
        <f t="shared" si="32"/>
        <v>365.13</v>
      </c>
      <c r="H506" s="28">
        <f t="shared" si="32"/>
        <v>364.64</v>
      </c>
      <c r="I506" s="28">
        <f t="shared" si="32"/>
        <v>366.93</v>
      </c>
      <c r="J506" s="28">
        <f t="shared" si="32"/>
        <v>369.27</v>
      </c>
      <c r="K506" s="28">
        <f t="shared" si="32"/>
        <v>370.35</v>
      </c>
      <c r="L506" s="28">
        <f t="shared" si="32"/>
        <v>371</v>
      </c>
      <c r="M506" s="28">
        <f t="shared" si="32"/>
        <v>371.14</v>
      </c>
      <c r="N506" s="28">
        <f t="shared" si="32"/>
        <v>369.59</v>
      </c>
    </row>
    <row r="507" spans="1:14" x14ac:dyDescent="0.4">
      <c r="A507" s="1">
        <v>36617</v>
      </c>
      <c r="B507" s="28">
        <v>371.66</v>
      </c>
      <c r="C507" s="28">
        <f t="shared" si="29"/>
        <v>370.51</v>
      </c>
      <c r="D507" s="28">
        <f t="shared" si="32"/>
        <v>369.46</v>
      </c>
      <c r="E507" s="28">
        <f t="shared" si="32"/>
        <v>369.14</v>
      </c>
      <c r="F507" s="28">
        <f t="shared" si="32"/>
        <v>368</v>
      </c>
      <c r="G507" s="28">
        <f t="shared" si="32"/>
        <v>366.68</v>
      </c>
      <c r="H507" s="28">
        <f t="shared" si="32"/>
        <v>365.13</v>
      </c>
      <c r="I507" s="28">
        <f t="shared" si="32"/>
        <v>364.64</v>
      </c>
      <c r="J507" s="28">
        <f t="shared" si="32"/>
        <v>366.93</v>
      </c>
      <c r="K507" s="28">
        <f t="shared" si="32"/>
        <v>369.27</v>
      </c>
      <c r="L507" s="28">
        <f t="shared" si="32"/>
        <v>370.35</v>
      </c>
      <c r="M507" s="28">
        <f t="shared" si="32"/>
        <v>371</v>
      </c>
      <c r="N507" s="28">
        <f t="shared" si="32"/>
        <v>371.14</v>
      </c>
    </row>
    <row r="508" spans="1:14" x14ac:dyDescent="0.4">
      <c r="A508" s="1">
        <v>36647</v>
      </c>
      <c r="B508" s="28">
        <v>371.83</v>
      </c>
      <c r="C508" s="28">
        <f t="shared" si="29"/>
        <v>371.66</v>
      </c>
      <c r="D508" s="28">
        <f t="shared" si="32"/>
        <v>370.51</v>
      </c>
      <c r="E508" s="28">
        <f t="shared" si="32"/>
        <v>369.46</v>
      </c>
      <c r="F508" s="28">
        <f t="shared" si="32"/>
        <v>369.14</v>
      </c>
      <c r="G508" s="28">
        <f t="shared" si="32"/>
        <v>368</v>
      </c>
      <c r="H508" s="28">
        <f t="shared" si="32"/>
        <v>366.68</v>
      </c>
      <c r="I508" s="28">
        <f t="shared" si="32"/>
        <v>365.13</v>
      </c>
      <c r="J508" s="28">
        <f t="shared" si="32"/>
        <v>364.64</v>
      </c>
      <c r="K508" s="28">
        <f t="shared" si="32"/>
        <v>366.93</v>
      </c>
      <c r="L508" s="28">
        <f t="shared" si="32"/>
        <v>369.27</v>
      </c>
      <c r="M508" s="28">
        <f t="shared" si="32"/>
        <v>370.35</v>
      </c>
      <c r="N508" s="28">
        <f t="shared" si="32"/>
        <v>371</v>
      </c>
    </row>
    <row r="509" spans="1:14" x14ac:dyDescent="0.4">
      <c r="A509" s="1">
        <v>36678</v>
      </c>
      <c r="B509" s="28">
        <v>371.69</v>
      </c>
      <c r="C509" s="28">
        <f t="shared" si="29"/>
        <v>371.83</v>
      </c>
      <c r="D509" s="28">
        <f t="shared" si="32"/>
        <v>371.66</v>
      </c>
      <c r="E509" s="28">
        <f t="shared" si="32"/>
        <v>370.51</v>
      </c>
      <c r="F509" s="28">
        <f t="shared" si="32"/>
        <v>369.46</v>
      </c>
      <c r="G509" s="28">
        <f t="shared" si="32"/>
        <v>369.14</v>
      </c>
      <c r="H509" s="28">
        <f t="shared" si="32"/>
        <v>368</v>
      </c>
      <c r="I509" s="28">
        <f t="shared" si="32"/>
        <v>366.68</v>
      </c>
      <c r="J509" s="28">
        <f t="shared" si="32"/>
        <v>365.13</v>
      </c>
      <c r="K509" s="28">
        <f t="shared" si="32"/>
        <v>364.64</v>
      </c>
      <c r="L509" s="28">
        <f t="shared" si="32"/>
        <v>366.93</v>
      </c>
      <c r="M509" s="28">
        <f t="shared" si="32"/>
        <v>369.27</v>
      </c>
      <c r="N509" s="28">
        <f t="shared" si="32"/>
        <v>370.35</v>
      </c>
    </row>
    <row r="510" spans="1:14" x14ac:dyDescent="0.4">
      <c r="A510" s="1">
        <v>36708</v>
      </c>
      <c r="B510" s="28">
        <v>370.12</v>
      </c>
      <c r="C510" s="28">
        <f t="shared" si="29"/>
        <v>371.69</v>
      </c>
      <c r="D510" s="28">
        <f t="shared" si="32"/>
        <v>371.83</v>
      </c>
      <c r="E510" s="28">
        <f t="shared" si="32"/>
        <v>371.66</v>
      </c>
      <c r="F510" s="28">
        <f t="shared" si="32"/>
        <v>370.51</v>
      </c>
      <c r="G510" s="28">
        <f t="shared" si="32"/>
        <v>369.46</v>
      </c>
      <c r="H510" s="28">
        <f t="shared" si="32"/>
        <v>369.14</v>
      </c>
      <c r="I510" s="28">
        <f t="shared" si="32"/>
        <v>368</v>
      </c>
      <c r="J510" s="28">
        <f t="shared" si="32"/>
        <v>366.68</v>
      </c>
      <c r="K510" s="28">
        <f t="shared" si="32"/>
        <v>365.13</v>
      </c>
      <c r="L510" s="28">
        <f t="shared" si="32"/>
        <v>364.64</v>
      </c>
      <c r="M510" s="28">
        <f t="shared" si="32"/>
        <v>366.93</v>
      </c>
      <c r="N510" s="28">
        <f t="shared" si="32"/>
        <v>369.27</v>
      </c>
    </row>
    <row r="511" spans="1:14" x14ac:dyDescent="0.4">
      <c r="A511" s="1">
        <v>36739</v>
      </c>
      <c r="B511" s="28">
        <v>368.12</v>
      </c>
      <c r="C511" s="28">
        <f t="shared" si="29"/>
        <v>370.12</v>
      </c>
      <c r="D511" s="28">
        <f t="shared" si="32"/>
        <v>371.69</v>
      </c>
      <c r="E511" s="28">
        <f t="shared" si="32"/>
        <v>371.83</v>
      </c>
      <c r="F511" s="28">
        <f t="shared" si="32"/>
        <v>371.66</v>
      </c>
      <c r="G511" s="28">
        <f t="shared" si="32"/>
        <v>370.51</v>
      </c>
      <c r="H511" s="28">
        <f t="shared" si="32"/>
        <v>369.46</v>
      </c>
      <c r="I511" s="28">
        <f t="shared" si="32"/>
        <v>369.14</v>
      </c>
      <c r="J511" s="28">
        <f t="shared" si="32"/>
        <v>368</v>
      </c>
      <c r="K511" s="28">
        <f t="shared" si="32"/>
        <v>366.68</v>
      </c>
      <c r="L511" s="28">
        <f t="shared" si="32"/>
        <v>365.13</v>
      </c>
      <c r="M511" s="28">
        <f t="shared" si="32"/>
        <v>364.64</v>
      </c>
      <c r="N511" s="28">
        <f t="shared" si="32"/>
        <v>366.93</v>
      </c>
    </row>
    <row r="512" spans="1:14" x14ac:dyDescent="0.4">
      <c r="A512" s="1">
        <v>36770</v>
      </c>
      <c r="B512" s="28">
        <v>366.62</v>
      </c>
      <c r="C512" s="28">
        <f t="shared" si="29"/>
        <v>368.12</v>
      </c>
      <c r="D512" s="28">
        <f t="shared" si="32"/>
        <v>370.12</v>
      </c>
      <c r="E512" s="28">
        <f t="shared" si="32"/>
        <v>371.69</v>
      </c>
      <c r="F512" s="28">
        <f t="shared" si="32"/>
        <v>371.83</v>
      </c>
      <c r="G512" s="28">
        <f t="shared" si="32"/>
        <v>371.66</v>
      </c>
      <c r="H512" s="28">
        <f t="shared" si="32"/>
        <v>370.51</v>
      </c>
      <c r="I512" s="28">
        <f t="shared" si="32"/>
        <v>369.46</v>
      </c>
      <c r="J512" s="28">
        <f t="shared" si="32"/>
        <v>369.14</v>
      </c>
      <c r="K512" s="28">
        <f t="shared" si="32"/>
        <v>368</v>
      </c>
      <c r="L512" s="28">
        <f t="shared" si="32"/>
        <v>366.68</v>
      </c>
      <c r="M512" s="28">
        <f t="shared" si="32"/>
        <v>365.13</v>
      </c>
      <c r="N512" s="28">
        <f t="shared" si="32"/>
        <v>364.64</v>
      </c>
    </row>
    <row r="513" spans="1:14" x14ac:dyDescent="0.4">
      <c r="A513" s="1">
        <v>36800</v>
      </c>
      <c r="B513" s="28">
        <v>366.73</v>
      </c>
      <c r="C513" s="28">
        <f t="shared" si="29"/>
        <v>366.62</v>
      </c>
      <c r="D513" s="28">
        <f t="shared" si="32"/>
        <v>368.12</v>
      </c>
      <c r="E513" s="28">
        <f t="shared" si="32"/>
        <v>370.12</v>
      </c>
      <c r="F513" s="28">
        <f t="shared" si="32"/>
        <v>371.69</v>
      </c>
      <c r="G513" s="28">
        <f t="shared" si="32"/>
        <v>371.83</v>
      </c>
      <c r="H513" s="28">
        <f t="shared" si="32"/>
        <v>371.66</v>
      </c>
      <c r="I513" s="28">
        <f t="shared" si="32"/>
        <v>370.51</v>
      </c>
      <c r="J513" s="28">
        <f t="shared" si="32"/>
        <v>369.46</v>
      </c>
      <c r="K513" s="28">
        <f t="shared" si="32"/>
        <v>369.14</v>
      </c>
      <c r="L513" s="28">
        <f t="shared" si="32"/>
        <v>368</v>
      </c>
      <c r="M513" s="28">
        <f t="shared" si="32"/>
        <v>366.68</v>
      </c>
      <c r="N513" s="28">
        <f t="shared" si="32"/>
        <v>365.13</v>
      </c>
    </row>
    <row r="514" spans="1:14" x14ac:dyDescent="0.4">
      <c r="A514" s="1">
        <v>36831</v>
      </c>
      <c r="B514" s="28">
        <v>368.29</v>
      </c>
      <c r="C514" s="28">
        <f t="shared" si="29"/>
        <v>366.73</v>
      </c>
      <c r="D514" s="28">
        <f t="shared" si="32"/>
        <v>366.62</v>
      </c>
      <c r="E514" s="28">
        <f t="shared" si="32"/>
        <v>368.12</v>
      </c>
      <c r="F514" s="28">
        <f t="shared" si="32"/>
        <v>370.12</v>
      </c>
      <c r="G514" s="28">
        <f t="shared" si="32"/>
        <v>371.69</v>
      </c>
      <c r="H514" s="28">
        <f t="shared" si="32"/>
        <v>371.83</v>
      </c>
      <c r="I514" s="28">
        <f t="shared" si="32"/>
        <v>371.66</v>
      </c>
      <c r="J514" s="28">
        <f t="shared" si="32"/>
        <v>370.51</v>
      </c>
      <c r="K514" s="28">
        <f t="shared" si="32"/>
        <v>369.46</v>
      </c>
      <c r="L514" s="28">
        <f t="shared" si="32"/>
        <v>369.14</v>
      </c>
      <c r="M514" s="28">
        <f t="shared" si="32"/>
        <v>368</v>
      </c>
      <c r="N514" s="28">
        <f t="shared" si="32"/>
        <v>366.68</v>
      </c>
    </row>
    <row r="515" spans="1:14" x14ac:dyDescent="0.4">
      <c r="A515" s="1">
        <v>36861</v>
      </c>
      <c r="B515" s="28">
        <v>369.52</v>
      </c>
      <c r="C515" s="28">
        <f t="shared" si="29"/>
        <v>368.29</v>
      </c>
      <c r="D515" s="28">
        <f t="shared" si="32"/>
        <v>366.73</v>
      </c>
      <c r="E515" s="28">
        <f t="shared" si="32"/>
        <v>366.62</v>
      </c>
      <c r="F515" s="28">
        <f t="shared" si="32"/>
        <v>368.12</v>
      </c>
      <c r="G515" s="28">
        <f t="shared" si="32"/>
        <v>370.12</v>
      </c>
      <c r="H515" s="28">
        <f t="shared" si="32"/>
        <v>371.69</v>
      </c>
      <c r="I515" s="28">
        <f t="shared" si="32"/>
        <v>371.83</v>
      </c>
      <c r="J515" s="28">
        <f t="shared" si="32"/>
        <v>371.66</v>
      </c>
      <c r="K515" s="28">
        <f t="shared" si="32"/>
        <v>370.51</v>
      </c>
      <c r="L515" s="28">
        <f t="shared" si="32"/>
        <v>369.46</v>
      </c>
      <c r="M515" s="28">
        <f t="shared" si="32"/>
        <v>369.14</v>
      </c>
      <c r="N515" s="28">
        <f t="shared" si="32"/>
        <v>368</v>
      </c>
    </row>
    <row r="516" spans="1:14" x14ac:dyDescent="0.4">
      <c r="A516" s="1">
        <v>36892</v>
      </c>
      <c r="B516" s="28">
        <v>370.28</v>
      </c>
      <c r="C516" s="28">
        <f t="shared" ref="C516:N579" si="33">IF(B515=0,"",B515)</f>
        <v>369.52</v>
      </c>
      <c r="D516" s="28">
        <f t="shared" si="33"/>
        <v>368.29</v>
      </c>
      <c r="E516" s="28">
        <f t="shared" si="33"/>
        <v>366.73</v>
      </c>
      <c r="F516" s="28">
        <f t="shared" si="33"/>
        <v>366.62</v>
      </c>
      <c r="G516" s="28">
        <f t="shared" si="33"/>
        <v>368.12</v>
      </c>
      <c r="H516" s="28">
        <f t="shared" si="33"/>
        <v>370.12</v>
      </c>
      <c r="I516" s="28">
        <f t="shared" si="33"/>
        <v>371.69</v>
      </c>
      <c r="J516" s="28">
        <f t="shared" si="33"/>
        <v>371.83</v>
      </c>
      <c r="K516" s="28">
        <f t="shared" si="33"/>
        <v>371.66</v>
      </c>
      <c r="L516" s="28">
        <f t="shared" si="33"/>
        <v>370.51</v>
      </c>
      <c r="M516" s="28">
        <f t="shared" si="33"/>
        <v>369.46</v>
      </c>
      <c r="N516" s="28">
        <f t="shared" si="33"/>
        <v>369.14</v>
      </c>
    </row>
    <row r="517" spans="1:14" x14ac:dyDescent="0.4">
      <c r="A517" s="1">
        <v>36923</v>
      </c>
      <c r="B517" s="28">
        <v>371.5</v>
      </c>
      <c r="C517" s="28">
        <f t="shared" si="33"/>
        <v>370.28</v>
      </c>
      <c r="D517" s="28">
        <f t="shared" si="33"/>
        <v>369.52</v>
      </c>
      <c r="E517" s="28">
        <f t="shared" si="33"/>
        <v>368.29</v>
      </c>
      <c r="F517" s="28">
        <f t="shared" si="33"/>
        <v>366.73</v>
      </c>
      <c r="G517" s="28">
        <f t="shared" si="33"/>
        <v>366.62</v>
      </c>
      <c r="H517" s="28">
        <f t="shared" si="33"/>
        <v>368.12</v>
      </c>
      <c r="I517" s="28">
        <f t="shared" si="33"/>
        <v>370.12</v>
      </c>
      <c r="J517" s="28">
        <f t="shared" si="33"/>
        <v>371.69</v>
      </c>
      <c r="K517" s="28">
        <f t="shared" si="33"/>
        <v>371.83</v>
      </c>
      <c r="L517" s="28">
        <f t="shared" si="33"/>
        <v>371.66</v>
      </c>
      <c r="M517" s="28">
        <f t="shared" si="33"/>
        <v>370.51</v>
      </c>
      <c r="N517" s="28">
        <f t="shared" si="33"/>
        <v>369.46</v>
      </c>
    </row>
    <row r="518" spans="1:14" x14ac:dyDescent="0.4">
      <c r="A518" s="1">
        <v>36951</v>
      </c>
      <c r="B518" s="28">
        <v>372.12</v>
      </c>
      <c r="C518" s="28">
        <f t="shared" si="33"/>
        <v>371.5</v>
      </c>
      <c r="D518" s="28">
        <f t="shared" si="33"/>
        <v>370.28</v>
      </c>
      <c r="E518" s="28">
        <f t="shared" si="33"/>
        <v>369.52</v>
      </c>
      <c r="F518" s="28">
        <f t="shared" si="33"/>
        <v>368.29</v>
      </c>
      <c r="G518" s="28">
        <f t="shared" si="33"/>
        <v>366.73</v>
      </c>
      <c r="H518" s="28">
        <f t="shared" si="33"/>
        <v>366.62</v>
      </c>
      <c r="I518" s="28">
        <f t="shared" si="33"/>
        <v>368.12</v>
      </c>
      <c r="J518" s="28">
        <f t="shared" si="33"/>
        <v>370.12</v>
      </c>
      <c r="K518" s="28">
        <f t="shared" si="33"/>
        <v>371.69</v>
      </c>
      <c r="L518" s="28">
        <f t="shared" si="33"/>
        <v>371.83</v>
      </c>
      <c r="M518" s="28">
        <f t="shared" si="33"/>
        <v>371.66</v>
      </c>
      <c r="N518" s="28">
        <f t="shared" si="33"/>
        <v>370.51</v>
      </c>
    </row>
    <row r="519" spans="1:14" x14ac:dyDescent="0.4">
      <c r="A519" s="1">
        <v>36982</v>
      </c>
      <c r="B519" s="28">
        <v>372.86</v>
      </c>
      <c r="C519" s="28">
        <f t="shared" si="33"/>
        <v>372.12</v>
      </c>
      <c r="D519" s="28">
        <f t="shared" si="33"/>
        <v>371.5</v>
      </c>
      <c r="E519" s="28">
        <f t="shared" si="33"/>
        <v>370.28</v>
      </c>
      <c r="F519" s="28">
        <f t="shared" si="33"/>
        <v>369.52</v>
      </c>
      <c r="G519" s="28">
        <f t="shared" si="33"/>
        <v>368.29</v>
      </c>
      <c r="H519" s="28">
        <f t="shared" si="33"/>
        <v>366.73</v>
      </c>
      <c r="I519" s="28">
        <f t="shared" si="33"/>
        <v>366.62</v>
      </c>
      <c r="J519" s="28">
        <f t="shared" si="33"/>
        <v>368.12</v>
      </c>
      <c r="K519" s="28">
        <f t="shared" si="33"/>
        <v>370.12</v>
      </c>
      <c r="L519" s="28">
        <f t="shared" si="33"/>
        <v>371.69</v>
      </c>
      <c r="M519" s="28">
        <f t="shared" si="33"/>
        <v>371.83</v>
      </c>
      <c r="N519" s="28">
        <f t="shared" si="33"/>
        <v>371.66</v>
      </c>
    </row>
    <row r="520" spans="1:14" x14ac:dyDescent="0.4">
      <c r="A520" s="1">
        <v>37012</v>
      </c>
      <c r="B520" s="28">
        <v>374.02</v>
      </c>
      <c r="C520" s="28">
        <f t="shared" si="33"/>
        <v>372.86</v>
      </c>
      <c r="D520" s="28">
        <f t="shared" si="33"/>
        <v>372.12</v>
      </c>
      <c r="E520" s="28">
        <f t="shared" si="33"/>
        <v>371.5</v>
      </c>
      <c r="F520" s="28">
        <f t="shared" si="33"/>
        <v>370.28</v>
      </c>
      <c r="G520" s="28">
        <f t="shared" si="33"/>
        <v>369.52</v>
      </c>
      <c r="H520" s="28">
        <f t="shared" si="33"/>
        <v>368.29</v>
      </c>
      <c r="I520" s="28">
        <f t="shared" si="33"/>
        <v>366.73</v>
      </c>
      <c r="J520" s="28">
        <f t="shared" si="33"/>
        <v>366.62</v>
      </c>
      <c r="K520" s="28">
        <f t="shared" si="33"/>
        <v>368.12</v>
      </c>
      <c r="L520" s="28">
        <f t="shared" si="33"/>
        <v>370.12</v>
      </c>
      <c r="M520" s="28">
        <f t="shared" si="33"/>
        <v>371.69</v>
      </c>
      <c r="N520" s="28">
        <f t="shared" si="33"/>
        <v>371.83</v>
      </c>
    </row>
    <row r="521" spans="1:14" x14ac:dyDescent="0.4">
      <c r="A521" s="1">
        <v>37043</v>
      </c>
      <c r="B521" s="28">
        <v>373.31</v>
      </c>
      <c r="C521" s="28">
        <f t="shared" si="33"/>
        <v>374.02</v>
      </c>
      <c r="D521" s="28">
        <f t="shared" si="33"/>
        <v>372.86</v>
      </c>
      <c r="E521" s="28">
        <f t="shared" si="33"/>
        <v>372.12</v>
      </c>
      <c r="F521" s="28">
        <f t="shared" si="33"/>
        <v>371.5</v>
      </c>
      <c r="G521" s="28">
        <f t="shared" si="33"/>
        <v>370.28</v>
      </c>
      <c r="H521" s="28">
        <f t="shared" si="33"/>
        <v>369.52</v>
      </c>
      <c r="I521" s="28">
        <f t="shared" si="33"/>
        <v>368.29</v>
      </c>
      <c r="J521" s="28">
        <f t="shared" si="33"/>
        <v>366.73</v>
      </c>
      <c r="K521" s="28">
        <f t="shared" si="33"/>
        <v>366.62</v>
      </c>
      <c r="L521" s="28">
        <f t="shared" si="33"/>
        <v>368.12</v>
      </c>
      <c r="M521" s="28">
        <f t="shared" si="33"/>
        <v>370.12</v>
      </c>
      <c r="N521" s="28">
        <f t="shared" si="33"/>
        <v>371.69</v>
      </c>
    </row>
    <row r="522" spans="1:14" x14ac:dyDescent="0.4">
      <c r="A522" s="1">
        <v>37073</v>
      </c>
      <c r="B522" s="28">
        <v>371.62</v>
      </c>
      <c r="C522" s="28">
        <f t="shared" si="33"/>
        <v>373.31</v>
      </c>
      <c r="D522" s="28">
        <f t="shared" si="33"/>
        <v>374.02</v>
      </c>
      <c r="E522" s="28">
        <f t="shared" si="33"/>
        <v>372.86</v>
      </c>
      <c r="F522" s="28">
        <f t="shared" si="33"/>
        <v>372.12</v>
      </c>
      <c r="G522" s="28">
        <f t="shared" si="33"/>
        <v>371.5</v>
      </c>
      <c r="H522" s="28">
        <f t="shared" si="33"/>
        <v>370.28</v>
      </c>
      <c r="I522" s="28">
        <f t="shared" si="33"/>
        <v>369.52</v>
      </c>
      <c r="J522" s="28">
        <f t="shared" si="33"/>
        <v>368.29</v>
      </c>
      <c r="K522" s="28">
        <f t="shared" si="33"/>
        <v>366.73</v>
      </c>
      <c r="L522" s="28">
        <f t="shared" si="33"/>
        <v>366.62</v>
      </c>
      <c r="M522" s="28">
        <f t="shared" si="33"/>
        <v>368.12</v>
      </c>
      <c r="N522" s="28">
        <f t="shared" si="33"/>
        <v>370.12</v>
      </c>
    </row>
    <row r="523" spans="1:14" x14ac:dyDescent="0.4">
      <c r="A523" s="1">
        <v>37104</v>
      </c>
      <c r="B523" s="28">
        <v>369.55</v>
      </c>
      <c r="C523" s="28">
        <f t="shared" si="33"/>
        <v>371.62</v>
      </c>
      <c r="D523" s="28">
        <f t="shared" si="33"/>
        <v>373.31</v>
      </c>
      <c r="E523" s="28">
        <f t="shared" si="33"/>
        <v>374.02</v>
      </c>
      <c r="F523" s="28">
        <f t="shared" si="33"/>
        <v>372.86</v>
      </c>
      <c r="G523" s="28">
        <f t="shared" si="33"/>
        <v>372.12</v>
      </c>
      <c r="H523" s="28">
        <f t="shared" si="33"/>
        <v>371.5</v>
      </c>
      <c r="I523" s="28">
        <f t="shared" si="33"/>
        <v>370.28</v>
      </c>
      <c r="J523" s="28">
        <f t="shared" si="33"/>
        <v>369.52</v>
      </c>
      <c r="K523" s="28">
        <f t="shared" si="33"/>
        <v>368.29</v>
      </c>
      <c r="L523" s="28">
        <f t="shared" si="33"/>
        <v>366.73</v>
      </c>
      <c r="M523" s="28">
        <f t="shared" si="33"/>
        <v>366.62</v>
      </c>
      <c r="N523" s="28">
        <f t="shared" si="33"/>
        <v>368.12</v>
      </c>
    </row>
    <row r="524" spans="1:14" x14ac:dyDescent="0.4">
      <c r="A524" s="1">
        <v>37135</v>
      </c>
      <c r="B524" s="28">
        <v>367.96</v>
      </c>
      <c r="C524" s="28">
        <f t="shared" si="33"/>
        <v>369.55</v>
      </c>
      <c r="D524" s="28">
        <f t="shared" si="33"/>
        <v>371.62</v>
      </c>
      <c r="E524" s="28">
        <f t="shared" si="33"/>
        <v>373.31</v>
      </c>
      <c r="F524" s="28">
        <f t="shared" si="33"/>
        <v>374.02</v>
      </c>
      <c r="G524" s="28">
        <f t="shared" si="33"/>
        <v>372.86</v>
      </c>
      <c r="H524" s="28">
        <f t="shared" si="33"/>
        <v>372.12</v>
      </c>
      <c r="I524" s="28">
        <f t="shared" si="33"/>
        <v>371.5</v>
      </c>
      <c r="J524" s="28">
        <f t="shared" si="33"/>
        <v>370.28</v>
      </c>
      <c r="K524" s="28">
        <f t="shared" si="33"/>
        <v>369.52</v>
      </c>
      <c r="L524" s="28">
        <f t="shared" si="33"/>
        <v>368.29</v>
      </c>
      <c r="M524" s="28">
        <f t="shared" si="33"/>
        <v>366.73</v>
      </c>
      <c r="N524" s="28">
        <f t="shared" si="33"/>
        <v>366.62</v>
      </c>
    </row>
    <row r="525" spans="1:14" x14ac:dyDescent="0.4">
      <c r="A525" s="1">
        <v>37165</v>
      </c>
      <c r="B525" s="28">
        <v>368.09</v>
      </c>
      <c r="C525" s="28">
        <f t="shared" si="33"/>
        <v>367.96</v>
      </c>
      <c r="D525" s="28">
        <f t="shared" si="33"/>
        <v>369.55</v>
      </c>
      <c r="E525" s="28">
        <f t="shared" si="33"/>
        <v>371.62</v>
      </c>
      <c r="F525" s="28">
        <f t="shared" si="33"/>
        <v>373.31</v>
      </c>
      <c r="G525" s="28">
        <f t="shared" si="33"/>
        <v>374.02</v>
      </c>
      <c r="H525" s="28">
        <f t="shared" si="33"/>
        <v>372.86</v>
      </c>
      <c r="I525" s="28">
        <f t="shared" si="33"/>
        <v>372.12</v>
      </c>
      <c r="J525" s="28">
        <f t="shared" si="33"/>
        <v>371.5</v>
      </c>
      <c r="K525" s="28">
        <f t="shared" si="33"/>
        <v>370.28</v>
      </c>
      <c r="L525" s="28">
        <f t="shared" si="33"/>
        <v>369.52</v>
      </c>
      <c r="M525" s="28">
        <f t="shared" si="33"/>
        <v>368.29</v>
      </c>
      <c r="N525" s="28">
        <f t="shared" si="33"/>
        <v>366.73</v>
      </c>
    </row>
    <row r="526" spans="1:14" x14ac:dyDescent="0.4">
      <c r="A526" s="1">
        <v>37196</v>
      </c>
      <c r="B526" s="28">
        <v>369.68</v>
      </c>
      <c r="C526" s="28">
        <f t="shared" si="33"/>
        <v>368.09</v>
      </c>
      <c r="D526" s="28">
        <f t="shared" si="33"/>
        <v>367.96</v>
      </c>
      <c r="E526" s="28">
        <f t="shared" si="33"/>
        <v>369.55</v>
      </c>
      <c r="F526" s="28">
        <f t="shared" si="33"/>
        <v>371.62</v>
      </c>
      <c r="G526" s="28">
        <f t="shared" si="33"/>
        <v>373.31</v>
      </c>
      <c r="H526" s="28">
        <f t="shared" si="33"/>
        <v>374.02</v>
      </c>
      <c r="I526" s="28">
        <f t="shared" si="33"/>
        <v>372.86</v>
      </c>
      <c r="J526" s="28">
        <f t="shared" si="33"/>
        <v>372.12</v>
      </c>
      <c r="K526" s="28">
        <f t="shared" si="33"/>
        <v>371.5</v>
      </c>
      <c r="L526" s="28">
        <f t="shared" si="33"/>
        <v>370.28</v>
      </c>
      <c r="M526" s="28">
        <f t="shared" si="33"/>
        <v>369.52</v>
      </c>
      <c r="N526" s="28">
        <f t="shared" si="33"/>
        <v>368.29</v>
      </c>
    </row>
    <row r="527" spans="1:14" x14ac:dyDescent="0.4">
      <c r="A527" s="1">
        <v>37226</v>
      </c>
      <c r="B527" s="28">
        <v>371.24</v>
      </c>
      <c r="C527" s="28">
        <f t="shared" si="33"/>
        <v>369.68</v>
      </c>
      <c r="D527" s="28">
        <f t="shared" si="33"/>
        <v>368.09</v>
      </c>
      <c r="E527" s="28">
        <f t="shared" si="33"/>
        <v>367.96</v>
      </c>
      <c r="F527" s="28">
        <f t="shared" si="33"/>
        <v>369.55</v>
      </c>
      <c r="G527" s="28">
        <f t="shared" si="33"/>
        <v>371.62</v>
      </c>
      <c r="H527" s="28">
        <f t="shared" si="33"/>
        <v>373.31</v>
      </c>
      <c r="I527" s="28">
        <f t="shared" si="33"/>
        <v>374.02</v>
      </c>
      <c r="J527" s="28">
        <f t="shared" si="33"/>
        <v>372.86</v>
      </c>
      <c r="K527" s="28">
        <f t="shared" si="33"/>
        <v>372.12</v>
      </c>
      <c r="L527" s="28">
        <f t="shared" si="33"/>
        <v>371.5</v>
      </c>
      <c r="M527" s="28">
        <f t="shared" si="33"/>
        <v>370.28</v>
      </c>
      <c r="N527" s="28">
        <f t="shared" si="33"/>
        <v>369.52</v>
      </c>
    </row>
    <row r="528" spans="1:14" x14ac:dyDescent="0.4">
      <c r="A528" s="1">
        <v>37257</v>
      </c>
      <c r="B528" s="28">
        <v>372.44</v>
      </c>
      <c r="C528" s="28">
        <f t="shared" si="33"/>
        <v>371.24</v>
      </c>
      <c r="D528" s="28">
        <f t="shared" si="33"/>
        <v>369.68</v>
      </c>
      <c r="E528" s="28">
        <f t="shared" si="33"/>
        <v>368.09</v>
      </c>
      <c r="F528" s="28">
        <f t="shared" si="33"/>
        <v>367.96</v>
      </c>
      <c r="G528" s="28">
        <f t="shared" si="33"/>
        <v>369.55</v>
      </c>
      <c r="H528" s="28">
        <f t="shared" si="33"/>
        <v>371.62</v>
      </c>
      <c r="I528" s="28">
        <f t="shared" si="33"/>
        <v>373.31</v>
      </c>
      <c r="J528" s="28">
        <f t="shared" si="33"/>
        <v>374.02</v>
      </c>
      <c r="K528" s="28">
        <f t="shared" si="33"/>
        <v>372.86</v>
      </c>
      <c r="L528" s="28">
        <f t="shared" si="33"/>
        <v>372.12</v>
      </c>
      <c r="M528" s="28">
        <f t="shared" si="33"/>
        <v>371.5</v>
      </c>
      <c r="N528" s="28">
        <f t="shared" si="33"/>
        <v>370.28</v>
      </c>
    </row>
    <row r="529" spans="1:14" x14ac:dyDescent="0.4">
      <c r="A529" s="1">
        <v>37288</v>
      </c>
      <c r="B529" s="28">
        <v>373.08</v>
      </c>
      <c r="C529" s="28">
        <f t="shared" si="33"/>
        <v>372.44</v>
      </c>
      <c r="D529" s="28">
        <f t="shared" si="33"/>
        <v>371.24</v>
      </c>
      <c r="E529" s="28">
        <f t="shared" si="33"/>
        <v>369.68</v>
      </c>
      <c r="F529" s="28">
        <f t="shared" si="33"/>
        <v>368.09</v>
      </c>
      <c r="G529" s="28">
        <f t="shared" si="33"/>
        <v>367.96</v>
      </c>
      <c r="H529" s="28">
        <f t="shared" si="33"/>
        <v>369.55</v>
      </c>
      <c r="I529" s="28">
        <f t="shared" si="33"/>
        <v>371.62</v>
      </c>
      <c r="J529" s="28">
        <f t="shared" si="33"/>
        <v>373.31</v>
      </c>
      <c r="K529" s="28">
        <f t="shared" si="33"/>
        <v>374.02</v>
      </c>
      <c r="L529" s="28">
        <f t="shared" si="33"/>
        <v>372.86</v>
      </c>
      <c r="M529" s="28">
        <f t="shared" si="33"/>
        <v>372.12</v>
      </c>
      <c r="N529" s="28">
        <f t="shared" si="33"/>
        <v>371.5</v>
      </c>
    </row>
    <row r="530" spans="1:14" x14ac:dyDescent="0.4">
      <c r="A530" s="1">
        <v>37316</v>
      </c>
      <c r="B530" s="28">
        <v>373.52</v>
      </c>
      <c r="C530" s="28">
        <f t="shared" si="33"/>
        <v>373.08</v>
      </c>
      <c r="D530" s="28">
        <f t="shared" si="33"/>
        <v>372.44</v>
      </c>
      <c r="E530" s="28">
        <f t="shared" si="33"/>
        <v>371.24</v>
      </c>
      <c r="F530" s="28">
        <f t="shared" si="33"/>
        <v>369.68</v>
      </c>
      <c r="G530" s="28">
        <f t="shared" si="33"/>
        <v>368.09</v>
      </c>
      <c r="H530" s="28">
        <f t="shared" si="33"/>
        <v>367.96</v>
      </c>
      <c r="I530" s="28">
        <f t="shared" si="33"/>
        <v>369.55</v>
      </c>
      <c r="J530" s="28">
        <f t="shared" si="33"/>
        <v>371.62</v>
      </c>
      <c r="K530" s="28">
        <f t="shared" si="33"/>
        <v>373.31</v>
      </c>
      <c r="L530" s="28">
        <f t="shared" si="33"/>
        <v>374.02</v>
      </c>
      <c r="M530" s="28">
        <f t="shared" si="33"/>
        <v>372.86</v>
      </c>
      <c r="N530" s="28">
        <f t="shared" si="33"/>
        <v>372.12</v>
      </c>
    </row>
    <row r="531" spans="1:14" x14ac:dyDescent="0.4">
      <c r="A531" s="1">
        <v>37347</v>
      </c>
      <c r="B531" s="28">
        <v>374.85</v>
      </c>
      <c r="C531" s="28">
        <f t="shared" si="33"/>
        <v>373.52</v>
      </c>
      <c r="D531" s="28">
        <f t="shared" si="33"/>
        <v>373.08</v>
      </c>
      <c r="E531" s="28">
        <f t="shared" si="33"/>
        <v>372.44</v>
      </c>
      <c r="F531" s="28">
        <f t="shared" si="33"/>
        <v>371.24</v>
      </c>
      <c r="G531" s="28">
        <f t="shared" si="33"/>
        <v>369.68</v>
      </c>
      <c r="H531" s="28">
        <f t="shared" si="33"/>
        <v>368.09</v>
      </c>
      <c r="I531" s="28">
        <f t="shared" si="33"/>
        <v>367.96</v>
      </c>
      <c r="J531" s="28">
        <f t="shared" si="33"/>
        <v>369.55</v>
      </c>
      <c r="K531" s="28">
        <f t="shared" si="33"/>
        <v>371.62</v>
      </c>
      <c r="L531" s="28">
        <f t="shared" si="33"/>
        <v>373.31</v>
      </c>
      <c r="M531" s="28">
        <f t="shared" si="33"/>
        <v>374.02</v>
      </c>
      <c r="N531" s="28">
        <f t="shared" si="33"/>
        <v>372.86</v>
      </c>
    </row>
    <row r="532" spans="1:14" x14ac:dyDescent="0.4">
      <c r="A532" s="1">
        <v>37377</v>
      </c>
      <c r="B532" s="28">
        <v>375.55</v>
      </c>
      <c r="C532" s="28">
        <f t="shared" si="33"/>
        <v>374.85</v>
      </c>
      <c r="D532" s="28">
        <f t="shared" si="33"/>
        <v>373.52</v>
      </c>
      <c r="E532" s="28">
        <f t="shared" si="33"/>
        <v>373.08</v>
      </c>
      <c r="F532" s="28">
        <f t="shared" si="33"/>
        <v>372.44</v>
      </c>
      <c r="G532" s="28">
        <f t="shared" si="33"/>
        <v>371.24</v>
      </c>
      <c r="H532" s="28">
        <f t="shared" si="33"/>
        <v>369.68</v>
      </c>
      <c r="I532" s="28">
        <f t="shared" si="33"/>
        <v>368.09</v>
      </c>
      <c r="J532" s="28">
        <f t="shared" si="33"/>
        <v>367.96</v>
      </c>
      <c r="K532" s="28">
        <f t="shared" si="33"/>
        <v>369.55</v>
      </c>
      <c r="L532" s="28">
        <f t="shared" si="33"/>
        <v>371.62</v>
      </c>
      <c r="M532" s="28">
        <f t="shared" si="33"/>
        <v>373.31</v>
      </c>
      <c r="N532" s="28">
        <f t="shared" si="33"/>
        <v>374.02</v>
      </c>
    </row>
    <row r="533" spans="1:14" x14ac:dyDescent="0.4">
      <c r="A533" s="1">
        <v>37408</v>
      </c>
      <c r="B533" s="28">
        <v>375.4</v>
      </c>
      <c r="C533" s="28">
        <f t="shared" si="33"/>
        <v>375.55</v>
      </c>
      <c r="D533" s="28">
        <f t="shared" si="33"/>
        <v>374.85</v>
      </c>
      <c r="E533" s="28">
        <f t="shared" si="33"/>
        <v>373.52</v>
      </c>
      <c r="F533" s="28">
        <f t="shared" si="33"/>
        <v>373.08</v>
      </c>
      <c r="G533" s="28">
        <f t="shared" si="33"/>
        <v>372.44</v>
      </c>
      <c r="H533" s="28">
        <f t="shared" ref="D533:N548" si="34">IF(G532=0,"",G532)</f>
        <v>371.24</v>
      </c>
      <c r="I533" s="28">
        <f t="shared" si="34"/>
        <v>369.68</v>
      </c>
      <c r="J533" s="28">
        <f t="shared" si="34"/>
        <v>368.09</v>
      </c>
      <c r="K533" s="28">
        <f t="shared" si="34"/>
        <v>367.96</v>
      </c>
      <c r="L533" s="28">
        <f t="shared" si="34"/>
        <v>369.55</v>
      </c>
      <c r="M533" s="28">
        <f t="shared" si="34"/>
        <v>371.62</v>
      </c>
      <c r="N533" s="28">
        <f t="shared" si="34"/>
        <v>373.31</v>
      </c>
    </row>
    <row r="534" spans="1:14" x14ac:dyDescent="0.4">
      <c r="A534" s="1">
        <v>37438</v>
      </c>
      <c r="B534" s="28">
        <v>374.02</v>
      </c>
      <c r="C534" s="28">
        <f t="shared" si="33"/>
        <v>375.4</v>
      </c>
      <c r="D534" s="28">
        <f t="shared" si="34"/>
        <v>375.55</v>
      </c>
      <c r="E534" s="28">
        <f t="shared" si="34"/>
        <v>374.85</v>
      </c>
      <c r="F534" s="28">
        <f t="shared" si="34"/>
        <v>373.52</v>
      </c>
      <c r="G534" s="28">
        <f t="shared" si="34"/>
        <v>373.08</v>
      </c>
      <c r="H534" s="28">
        <f t="shared" si="34"/>
        <v>372.44</v>
      </c>
      <c r="I534" s="28">
        <f t="shared" si="34"/>
        <v>371.24</v>
      </c>
      <c r="J534" s="28">
        <f t="shared" si="34"/>
        <v>369.68</v>
      </c>
      <c r="K534" s="28">
        <f t="shared" si="34"/>
        <v>368.09</v>
      </c>
      <c r="L534" s="28">
        <f t="shared" si="34"/>
        <v>367.96</v>
      </c>
      <c r="M534" s="28">
        <f t="shared" si="34"/>
        <v>369.55</v>
      </c>
      <c r="N534" s="28">
        <f t="shared" si="34"/>
        <v>371.62</v>
      </c>
    </row>
    <row r="535" spans="1:14" x14ac:dyDescent="0.4">
      <c r="A535" s="1">
        <v>37469</v>
      </c>
      <c r="B535" s="28">
        <v>371.48</v>
      </c>
      <c r="C535" s="28">
        <f t="shared" si="33"/>
        <v>374.02</v>
      </c>
      <c r="D535" s="28">
        <f t="shared" si="34"/>
        <v>375.4</v>
      </c>
      <c r="E535" s="28">
        <f t="shared" si="34"/>
        <v>375.55</v>
      </c>
      <c r="F535" s="28">
        <f t="shared" si="34"/>
        <v>374.85</v>
      </c>
      <c r="G535" s="28">
        <f t="shared" si="34"/>
        <v>373.52</v>
      </c>
      <c r="H535" s="28">
        <f t="shared" si="34"/>
        <v>373.08</v>
      </c>
      <c r="I535" s="28">
        <f t="shared" si="34"/>
        <v>372.44</v>
      </c>
      <c r="J535" s="28">
        <f t="shared" si="34"/>
        <v>371.24</v>
      </c>
      <c r="K535" s="28">
        <f t="shared" si="34"/>
        <v>369.68</v>
      </c>
      <c r="L535" s="28">
        <f t="shared" si="34"/>
        <v>368.09</v>
      </c>
      <c r="M535" s="28">
        <f t="shared" si="34"/>
        <v>367.96</v>
      </c>
      <c r="N535" s="28">
        <f t="shared" si="34"/>
        <v>369.55</v>
      </c>
    </row>
    <row r="536" spans="1:14" x14ac:dyDescent="0.4">
      <c r="A536" s="1">
        <v>37500</v>
      </c>
      <c r="B536" s="28">
        <v>370.7</v>
      </c>
      <c r="C536" s="28">
        <f t="shared" si="33"/>
        <v>371.48</v>
      </c>
      <c r="D536" s="28">
        <f t="shared" si="34"/>
        <v>374.02</v>
      </c>
      <c r="E536" s="28">
        <f t="shared" si="34"/>
        <v>375.4</v>
      </c>
      <c r="F536" s="28">
        <f t="shared" si="34"/>
        <v>375.55</v>
      </c>
      <c r="G536" s="28">
        <f t="shared" si="34"/>
        <v>374.85</v>
      </c>
      <c r="H536" s="28">
        <f t="shared" si="34"/>
        <v>373.52</v>
      </c>
      <c r="I536" s="28">
        <f t="shared" si="34"/>
        <v>373.08</v>
      </c>
      <c r="J536" s="28">
        <f t="shared" si="34"/>
        <v>372.44</v>
      </c>
      <c r="K536" s="28">
        <f t="shared" si="34"/>
        <v>371.24</v>
      </c>
      <c r="L536" s="28">
        <f t="shared" si="34"/>
        <v>369.68</v>
      </c>
      <c r="M536" s="28">
        <f t="shared" si="34"/>
        <v>368.09</v>
      </c>
      <c r="N536" s="28">
        <f t="shared" si="34"/>
        <v>367.96</v>
      </c>
    </row>
    <row r="537" spans="1:14" x14ac:dyDescent="0.4">
      <c r="A537" s="1">
        <v>37530</v>
      </c>
      <c r="B537" s="28">
        <v>370.25</v>
      </c>
      <c r="C537" s="28">
        <f t="shared" si="33"/>
        <v>370.7</v>
      </c>
      <c r="D537" s="28">
        <f t="shared" si="34"/>
        <v>371.48</v>
      </c>
      <c r="E537" s="28">
        <f t="shared" si="34"/>
        <v>374.02</v>
      </c>
      <c r="F537" s="28">
        <f t="shared" si="34"/>
        <v>375.4</v>
      </c>
      <c r="G537" s="28">
        <f t="shared" si="34"/>
        <v>375.55</v>
      </c>
      <c r="H537" s="28">
        <f t="shared" si="34"/>
        <v>374.85</v>
      </c>
      <c r="I537" s="28">
        <f t="shared" si="34"/>
        <v>373.52</v>
      </c>
      <c r="J537" s="28">
        <f t="shared" si="34"/>
        <v>373.08</v>
      </c>
      <c r="K537" s="28">
        <f t="shared" si="34"/>
        <v>372.44</v>
      </c>
      <c r="L537" s="28">
        <f t="shared" si="34"/>
        <v>371.24</v>
      </c>
      <c r="M537" s="28">
        <f t="shared" si="34"/>
        <v>369.68</v>
      </c>
      <c r="N537" s="28">
        <f t="shared" si="34"/>
        <v>368.09</v>
      </c>
    </row>
    <row r="538" spans="1:14" x14ac:dyDescent="0.4">
      <c r="A538" s="1">
        <v>37561</v>
      </c>
      <c r="B538" s="28">
        <v>372.08</v>
      </c>
      <c r="C538" s="28">
        <f t="shared" si="33"/>
        <v>370.25</v>
      </c>
      <c r="D538" s="28">
        <f t="shared" si="34"/>
        <v>370.7</v>
      </c>
      <c r="E538" s="28">
        <f t="shared" si="34"/>
        <v>371.48</v>
      </c>
      <c r="F538" s="28">
        <f t="shared" si="34"/>
        <v>374.02</v>
      </c>
      <c r="G538" s="28">
        <f t="shared" si="34"/>
        <v>375.4</v>
      </c>
      <c r="H538" s="28">
        <f t="shared" si="34"/>
        <v>375.55</v>
      </c>
      <c r="I538" s="28">
        <f t="shared" si="34"/>
        <v>374.85</v>
      </c>
      <c r="J538" s="28">
        <f t="shared" si="34"/>
        <v>373.52</v>
      </c>
      <c r="K538" s="28">
        <f t="shared" si="34"/>
        <v>373.08</v>
      </c>
      <c r="L538" s="28">
        <f t="shared" si="34"/>
        <v>372.44</v>
      </c>
      <c r="M538" s="28">
        <f t="shared" si="34"/>
        <v>371.24</v>
      </c>
      <c r="N538" s="28">
        <f t="shared" si="34"/>
        <v>369.68</v>
      </c>
    </row>
    <row r="539" spans="1:14" x14ac:dyDescent="0.4">
      <c r="A539" s="1">
        <v>37591</v>
      </c>
      <c r="B539" s="28">
        <v>373.78</v>
      </c>
      <c r="C539" s="28">
        <f t="shared" si="33"/>
        <v>372.08</v>
      </c>
      <c r="D539" s="28">
        <f t="shared" si="34"/>
        <v>370.25</v>
      </c>
      <c r="E539" s="28">
        <f t="shared" si="34"/>
        <v>370.7</v>
      </c>
      <c r="F539" s="28">
        <f t="shared" si="34"/>
        <v>371.48</v>
      </c>
      <c r="G539" s="28">
        <f t="shared" si="34"/>
        <v>374.02</v>
      </c>
      <c r="H539" s="28">
        <f t="shared" si="34"/>
        <v>375.4</v>
      </c>
      <c r="I539" s="28">
        <f t="shared" si="34"/>
        <v>375.55</v>
      </c>
      <c r="J539" s="28">
        <f t="shared" si="34"/>
        <v>374.85</v>
      </c>
      <c r="K539" s="28">
        <f t="shared" si="34"/>
        <v>373.52</v>
      </c>
      <c r="L539" s="28">
        <f t="shared" si="34"/>
        <v>373.08</v>
      </c>
      <c r="M539" s="28">
        <f t="shared" si="34"/>
        <v>372.44</v>
      </c>
      <c r="N539" s="28">
        <f t="shared" si="34"/>
        <v>371.24</v>
      </c>
    </row>
    <row r="540" spans="1:14" x14ac:dyDescent="0.4">
      <c r="A540" s="1">
        <v>37622</v>
      </c>
      <c r="B540" s="28">
        <v>374.68</v>
      </c>
      <c r="C540" s="28">
        <f t="shared" si="33"/>
        <v>373.78</v>
      </c>
      <c r="D540" s="28">
        <f t="shared" si="34"/>
        <v>372.08</v>
      </c>
      <c r="E540" s="28">
        <f t="shared" si="34"/>
        <v>370.25</v>
      </c>
      <c r="F540" s="28">
        <f t="shared" si="34"/>
        <v>370.7</v>
      </c>
      <c r="G540" s="28">
        <f t="shared" si="34"/>
        <v>371.48</v>
      </c>
      <c r="H540" s="28">
        <f t="shared" si="34"/>
        <v>374.02</v>
      </c>
      <c r="I540" s="28">
        <f t="shared" si="34"/>
        <v>375.4</v>
      </c>
      <c r="J540" s="28">
        <f t="shared" si="34"/>
        <v>375.55</v>
      </c>
      <c r="K540" s="28">
        <f t="shared" si="34"/>
        <v>374.85</v>
      </c>
      <c r="L540" s="28">
        <f t="shared" si="34"/>
        <v>373.52</v>
      </c>
      <c r="M540" s="28">
        <f t="shared" si="34"/>
        <v>373.08</v>
      </c>
      <c r="N540" s="28">
        <f t="shared" si="34"/>
        <v>372.44</v>
      </c>
    </row>
    <row r="541" spans="1:14" x14ac:dyDescent="0.4">
      <c r="A541" s="1">
        <v>37653</v>
      </c>
      <c r="B541" s="28">
        <v>375.62</v>
      </c>
      <c r="C541" s="28">
        <f t="shared" si="33"/>
        <v>374.68</v>
      </c>
      <c r="D541" s="28">
        <f t="shared" si="34"/>
        <v>373.78</v>
      </c>
      <c r="E541" s="28">
        <f t="shared" si="34"/>
        <v>372.08</v>
      </c>
      <c r="F541" s="28">
        <f t="shared" si="34"/>
        <v>370.25</v>
      </c>
      <c r="G541" s="28">
        <f t="shared" si="34"/>
        <v>370.7</v>
      </c>
      <c r="H541" s="28">
        <f t="shared" si="34"/>
        <v>371.48</v>
      </c>
      <c r="I541" s="28">
        <f t="shared" si="34"/>
        <v>374.02</v>
      </c>
      <c r="J541" s="28">
        <f t="shared" si="34"/>
        <v>375.4</v>
      </c>
      <c r="K541" s="28">
        <f t="shared" si="34"/>
        <v>375.55</v>
      </c>
      <c r="L541" s="28">
        <f t="shared" si="34"/>
        <v>374.85</v>
      </c>
      <c r="M541" s="28">
        <f t="shared" si="34"/>
        <v>373.52</v>
      </c>
      <c r="N541" s="28">
        <f t="shared" si="34"/>
        <v>373.08</v>
      </c>
    </row>
    <row r="542" spans="1:14" x14ac:dyDescent="0.4">
      <c r="A542" s="1">
        <v>37681</v>
      </c>
      <c r="B542" s="28">
        <v>376.11</v>
      </c>
      <c r="C542" s="28">
        <f t="shared" si="33"/>
        <v>375.62</v>
      </c>
      <c r="D542" s="28">
        <f t="shared" si="34"/>
        <v>374.68</v>
      </c>
      <c r="E542" s="28">
        <f t="shared" si="34"/>
        <v>373.78</v>
      </c>
      <c r="F542" s="28">
        <f t="shared" si="34"/>
        <v>372.08</v>
      </c>
      <c r="G542" s="28">
        <f t="shared" si="34"/>
        <v>370.25</v>
      </c>
      <c r="H542" s="28">
        <f t="shared" si="34"/>
        <v>370.7</v>
      </c>
      <c r="I542" s="28">
        <f t="shared" si="34"/>
        <v>371.48</v>
      </c>
      <c r="J542" s="28">
        <f t="shared" si="34"/>
        <v>374.02</v>
      </c>
      <c r="K542" s="28">
        <f t="shared" si="34"/>
        <v>375.4</v>
      </c>
      <c r="L542" s="28">
        <f t="shared" si="34"/>
        <v>375.55</v>
      </c>
      <c r="M542" s="28">
        <f t="shared" si="34"/>
        <v>374.85</v>
      </c>
      <c r="N542" s="28">
        <f t="shared" si="34"/>
        <v>373.52</v>
      </c>
    </row>
    <row r="543" spans="1:14" x14ac:dyDescent="0.4">
      <c r="A543" s="1">
        <v>37712</v>
      </c>
      <c r="B543" s="28">
        <v>377.65</v>
      </c>
      <c r="C543" s="28">
        <f t="shared" si="33"/>
        <v>376.11</v>
      </c>
      <c r="D543" s="28">
        <f t="shared" si="34"/>
        <v>375.62</v>
      </c>
      <c r="E543" s="28">
        <f t="shared" si="34"/>
        <v>374.68</v>
      </c>
      <c r="F543" s="28">
        <f t="shared" si="34"/>
        <v>373.78</v>
      </c>
      <c r="G543" s="28">
        <f t="shared" si="34"/>
        <v>372.08</v>
      </c>
      <c r="H543" s="28">
        <f t="shared" si="34"/>
        <v>370.25</v>
      </c>
      <c r="I543" s="28">
        <f t="shared" si="34"/>
        <v>370.7</v>
      </c>
      <c r="J543" s="28">
        <f t="shared" si="34"/>
        <v>371.48</v>
      </c>
      <c r="K543" s="28">
        <f t="shared" si="34"/>
        <v>374.02</v>
      </c>
      <c r="L543" s="28">
        <f t="shared" si="34"/>
        <v>375.4</v>
      </c>
      <c r="M543" s="28">
        <f t="shared" si="34"/>
        <v>375.55</v>
      </c>
      <c r="N543" s="28">
        <f t="shared" si="34"/>
        <v>374.85</v>
      </c>
    </row>
    <row r="544" spans="1:14" x14ac:dyDescent="0.4">
      <c r="A544" s="1">
        <v>37742</v>
      </c>
      <c r="B544" s="28">
        <v>378.35</v>
      </c>
      <c r="C544" s="28">
        <f t="shared" si="33"/>
        <v>377.65</v>
      </c>
      <c r="D544" s="28">
        <f t="shared" si="34"/>
        <v>376.11</v>
      </c>
      <c r="E544" s="28">
        <f t="shared" si="34"/>
        <v>375.62</v>
      </c>
      <c r="F544" s="28">
        <f t="shared" si="34"/>
        <v>374.68</v>
      </c>
      <c r="G544" s="28">
        <f t="shared" si="34"/>
        <v>373.78</v>
      </c>
      <c r="H544" s="28">
        <f t="shared" si="34"/>
        <v>372.08</v>
      </c>
      <c r="I544" s="28">
        <f t="shared" si="34"/>
        <v>370.25</v>
      </c>
      <c r="J544" s="28">
        <f t="shared" si="34"/>
        <v>370.7</v>
      </c>
      <c r="K544" s="28">
        <f t="shared" si="34"/>
        <v>371.48</v>
      </c>
      <c r="L544" s="28">
        <f t="shared" si="34"/>
        <v>374.02</v>
      </c>
      <c r="M544" s="28">
        <f t="shared" si="34"/>
        <v>375.4</v>
      </c>
      <c r="N544" s="28">
        <f t="shared" si="34"/>
        <v>375.55</v>
      </c>
    </row>
    <row r="545" spans="1:14" x14ac:dyDescent="0.4">
      <c r="A545" s="1">
        <v>37773</v>
      </c>
      <c r="B545" s="28">
        <v>378.13</v>
      </c>
      <c r="C545" s="28">
        <f t="shared" si="33"/>
        <v>378.35</v>
      </c>
      <c r="D545" s="28">
        <f t="shared" si="34"/>
        <v>377.65</v>
      </c>
      <c r="E545" s="28">
        <f t="shared" si="34"/>
        <v>376.11</v>
      </c>
      <c r="F545" s="28">
        <f t="shared" si="34"/>
        <v>375.62</v>
      </c>
      <c r="G545" s="28">
        <f t="shared" si="34"/>
        <v>374.68</v>
      </c>
      <c r="H545" s="28">
        <f t="shared" si="34"/>
        <v>373.78</v>
      </c>
      <c r="I545" s="28">
        <f t="shared" si="34"/>
        <v>372.08</v>
      </c>
      <c r="J545" s="28">
        <f t="shared" si="34"/>
        <v>370.25</v>
      </c>
      <c r="K545" s="28">
        <f t="shared" si="34"/>
        <v>370.7</v>
      </c>
      <c r="L545" s="28">
        <f t="shared" si="34"/>
        <v>371.48</v>
      </c>
      <c r="M545" s="28">
        <f t="shared" si="34"/>
        <v>374.02</v>
      </c>
      <c r="N545" s="28">
        <f t="shared" si="34"/>
        <v>375.4</v>
      </c>
    </row>
    <row r="546" spans="1:14" x14ac:dyDescent="0.4">
      <c r="A546" s="1">
        <v>37803</v>
      </c>
      <c r="B546" s="28">
        <v>376.6</v>
      </c>
      <c r="C546" s="28">
        <f t="shared" si="33"/>
        <v>378.13</v>
      </c>
      <c r="D546" s="28">
        <f t="shared" si="34"/>
        <v>378.35</v>
      </c>
      <c r="E546" s="28">
        <f t="shared" si="34"/>
        <v>377.65</v>
      </c>
      <c r="F546" s="28">
        <f t="shared" si="34"/>
        <v>376.11</v>
      </c>
      <c r="G546" s="28">
        <f t="shared" si="34"/>
        <v>375.62</v>
      </c>
      <c r="H546" s="28">
        <f t="shared" si="34"/>
        <v>374.68</v>
      </c>
      <c r="I546" s="28">
        <f t="shared" si="34"/>
        <v>373.78</v>
      </c>
      <c r="J546" s="28">
        <f t="shared" si="34"/>
        <v>372.08</v>
      </c>
      <c r="K546" s="28">
        <f t="shared" si="34"/>
        <v>370.25</v>
      </c>
      <c r="L546" s="28">
        <f t="shared" si="34"/>
        <v>370.7</v>
      </c>
      <c r="M546" s="28">
        <f t="shared" si="34"/>
        <v>371.48</v>
      </c>
      <c r="N546" s="28">
        <f t="shared" si="34"/>
        <v>374.02</v>
      </c>
    </row>
    <row r="547" spans="1:14" x14ac:dyDescent="0.4">
      <c r="A547" s="1">
        <v>37834</v>
      </c>
      <c r="B547" s="28">
        <v>374.48</v>
      </c>
      <c r="C547" s="28">
        <f t="shared" si="33"/>
        <v>376.6</v>
      </c>
      <c r="D547" s="28">
        <f t="shared" si="34"/>
        <v>378.13</v>
      </c>
      <c r="E547" s="28">
        <f t="shared" si="34"/>
        <v>378.35</v>
      </c>
      <c r="F547" s="28">
        <f t="shared" si="34"/>
        <v>377.65</v>
      </c>
      <c r="G547" s="28">
        <f t="shared" si="34"/>
        <v>376.11</v>
      </c>
      <c r="H547" s="28">
        <f t="shared" si="34"/>
        <v>375.62</v>
      </c>
      <c r="I547" s="28">
        <f t="shared" si="34"/>
        <v>374.68</v>
      </c>
      <c r="J547" s="28">
        <f t="shared" si="34"/>
        <v>373.78</v>
      </c>
      <c r="K547" s="28">
        <f t="shared" si="34"/>
        <v>372.08</v>
      </c>
      <c r="L547" s="28">
        <f t="shared" si="34"/>
        <v>370.25</v>
      </c>
      <c r="M547" s="28">
        <f t="shared" si="34"/>
        <v>370.7</v>
      </c>
      <c r="N547" s="28">
        <f t="shared" si="34"/>
        <v>371.48</v>
      </c>
    </row>
    <row r="548" spans="1:14" x14ac:dyDescent="0.4">
      <c r="A548" s="1">
        <v>37865</v>
      </c>
      <c r="B548" s="28">
        <v>372.98</v>
      </c>
      <c r="C548" s="28">
        <f t="shared" si="33"/>
        <v>374.48</v>
      </c>
      <c r="D548" s="28">
        <f t="shared" si="34"/>
        <v>376.6</v>
      </c>
      <c r="E548" s="28">
        <f t="shared" si="34"/>
        <v>378.13</v>
      </c>
      <c r="F548" s="28">
        <f t="shared" si="34"/>
        <v>378.35</v>
      </c>
      <c r="G548" s="28">
        <f t="shared" si="34"/>
        <v>377.65</v>
      </c>
      <c r="H548" s="28">
        <f t="shared" si="34"/>
        <v>376.11</v>
      </c>
      <c r="I548" s="28">
        <f t="shared" si="34"/>
        <v>375.62</v>
      </c>
      <c r="J548" s="28">
        <f t="shared" si="34"/>
        <v>374.68</v>
      </c>
      <c r="K548" s="28">
        <f t="shared" si="34"/>
        <v>373.78</v>
      </c>
      <c r="L548" s="28">
        <f t="shared" si="34"/>
        <v>372.08</v>
      </c>
      <c r="M548" s="28">
        <f t="shared" si="34"/>
        <v>370.25</v>
      </c>
      <c r="N548" s="28">
        <f t="shared" si="34"/>
        <v>370.7</v>
      </c>
    </row>
    <row r="549" spans="1:14" x14ac:dyDescent="0.4">
      <c r="A549" s="1">
        <v>37895</v>
      </c>
      <c r="B549" s="28">
        <v>373</v>
      </c>
      <c r="C549" s="28">
        <f t="shared" si="33"/>
        <v>372.98</v>
      </c>
      <c r="D549" s="28">
        <f t="shared" ref="D549:N564" si="35">IF(C548=0,"",C548)</f>
        <v>374.48</v>
      </c>
      <c r="E549" s="28">
        <f t="shared" si="35"/>
        <v>376.6</v>
      </c>
      <c r="F549" s="28">
        <f t="shared" si="35"/>
        <v>378.13</v>
      </c>
      <c r="G549" s="28">
        <f t="shared" si="35"/>
        <v>378.35</v>
      </c>
      <c r="H549" s="28">
        <f t="shared" si="35"/>
        <v>377.65</v>
      </c>
      <c r="I549" s="28">
        <f t="shared" si="35"/>
        <v>376.11</v>
      </c>
      <c r="J549" s="28">
        <f t="shared" si="35"/>
        <v>375.62</v>
      </c>
      <c r="K549" s="28">
        <f t="shared" si="35"/>
        <v>374.68</v>
      </c>
      <c r="L549" s="28">
        <f t="shared" si="35"/>
        <v>373.78</v>
      </c>
      <c r="M549" s="28">
        <f t="shared" si="35"/>
        <v>372.08</v>
      </c>
      <c r="N549" s="28">
        <f t="shared" si="35"/>
        <v>370.25</v>
      </c>
    </row>
    <row r="550" spans="1:14" x14ac:dyDescent="0.4">
      <c r="A550" s="1">
        <v>37926</v>
      </c>
      <c r="B550" s="28">
        <v>374.35</v>
      </c>
      <c r="C550" s="28">
        <f t="shared" si="33"/>
        <v>373</v>
      </c>
      <c r="D550" s="28">
        <f t="shared" si="35"/>
        <v>372.98</v>
      </c>
      <c r="E550" s="28">
        <f t="shared" si="35"/>
        <v>374.48</v>
      </c>
      <c r="F550" s="28">
        <f t="shared" si="35"/>
        <v>376.6</v>
      </c>
      <c r="G550" s="28">
        <f t="shared" si="35"/>
        <v>378.13</v>
      </c>
      <c r="H550" s="28">
        <f t="shared" si="35"/>
        <v>378.35</v>
      </c>
      <c r="I550" s="28">
        <f t="shared" si="35"/>
        <v>377.65</v>
      </c>
      <c r="J550" s="28">
        <f t="shared" si="35"/>
        <v>376.11</v>
      </c>
      <c r="K550" s="28">
        <f t="shared" si="35"/>
        <v>375.62</v>
      </c>
      <c r="L550" s="28">
        <f t="shared" si="35"/>
        <v>374.68</v>
      </c>
      <c r="M550" s="28">
        <f t="shared" si="35"/>
        <v>373.78</v>
      </c>
      <c r="N550" s="28">
        <f t="shared" si="35"/>
        <v>372.08</v>
      </c>
    </row>
    <row r="551" spans="1:14" x14ac:dyDescent="0.4">
      <c r="A551" s="1">
        <v>37956</v>
      </c>
      <c r="B551" s="28">
        <v>375.69</v>
      </c>
      <c r="C551" s="28">
        <f t="shared" si="33"/>
        <v>374.35</v>
      </c>
      <c r="D551" s="28">
        <f t="shared" si="35"/>
        <v>373</v>
      </c>
      <c r="E551" s="28">
        <f t="shared" si="35"/>
        <v>372.98</v>
      </c>
      <c r="F551" s="28">
        <f t="shared" si="35"/>
        <v>374.48</v>
      </c>
      <c r="G551" s="28">
        <f t="shared" si="35"/>
        <v>376.6</v>
      </c>
      <c r="H551" s="28">
        <f t="shared" si="35"/>
        <v>378.13</v>
      </c>
      <c r="I551" s="28">
        <f t="shared" si="35"/>
        <v>378.35</v>
      </c>
      <c r="J551" s="28">
        <f t="shared" si="35"/>
        <v>377.65</v>
      </c>
      <c r="K551" s="28">
        <f t="shared" si="35"/>
        <v>376.11</v>
      </c>
      <c r="L551" s="28">
        <f t="shared" si="35"/>
        <v>375.62</v>
      </c>
      <c r="M551" s="28">
        <f t="shared" si="35"/>
        <v>374.68</v>
      </c>
      <c r="N551" s="28">
        <f t="shared" si="35"/>
        <v>373.78</v>
      </c>
    </row>
    <row r="552" spans="1:14" x14ac:dyDescent="0.4">
      <c r="A552" s="1">
        <v>37987</v>
      </c>
      <c r="B552" s="28">
        <v>376.79</v>
      </c>
      <c r="C552" s="28">
        <f t="shared" si="33"/>
        <v>375.69</v>
      </c>
      <c r="D552" s="28">
        <f t="shared" si="35"/>
        <v>374.35</v>
      </c>
      <c r="E552" s="28">
        <f t="shared" si="35"/>
        <v>373</v>
      </c>
      <c r="F552" s="28">
        <f t="shared" si="35"/>
        <v>372.98</v>
      </c>
      <c r="G552" s="28">
        <f t="shared" si="35"/>
        <v>374.48</v>
      </c>
      <c r="H552" s="28">
        <f t="shared" si="35"/>
        <v>376.6</v>
      </c>
      <c r="I552" s="28">
        <f t="shared" si="35"/>
        <v>378.13</v>
      </c>
      <c r="J552" s="28">
        <f t="shared" si="35"/>
        <v>378.35</v>
      </c>
      <c r="K552" s="28">
        <f t="shared" si="35"/>
        <v>377.65</v>
      </c>
      <c r="L552" s="28">
        <f t="shared" si="35"/>
        <v>376.11</v>
      </c>
      <c r="M552" s="28">
        <f t="shared" si="35"/>
        <v>375.62</v>
      </c>
      <c r="N552" s="28">
        <f t="shared" si="35"/>
        <v>374.68</v>
      </c>
    </row>
    <row r="553" spans="1:14" x14ac:dyDescent="0.4">
      <c r="A553" s="1">
        <v>38018</v>
      </c>
      <c r="B553" s="28">
        <v>377.37</v>
      </c>
      <c r="C553" s="28">
        <f t="shared" si="33"/>
        <v>376.79</v>
      </c>
      <c r="D553" s="28">
        <f t="shared" si="35"/>
        <v>375.69</v>
      </c>
      <c r="E553" s="28">
        <f t="shared" si="35"/>
        <v>374.35</v>
      </c>
      <c r="F553" s="28">
        <f t="shared" si="35"/>
        <v>373</v>
      </c>
      <c r="G553" s="28">
        <f t="shared" si="35"/>
        <v>372.98</v>
      </c>
      <c r="H553" s="28">
        <f t="shared" si="35"/>
        <v>374.48</v>
      </c>
      <c r="I553" s="28">
        <f t="shared" si="35"/>
        <v>376.6</v>
      </c>
      <c r="J553" s="28">
        <f t="shared" si="35"/>
        <v>378.13</v>
      </c>
      <c r="K553" s="28">
        <f t="shared" si="35"/>
        <v>378.35</v>
      </c>
      <c r="L553" s="28">
        <f t="shared" si="35"/>
        <v>377.65</v>
      </c>
      <c r="M553" s="28">
        <f t="shared" si="35"/>
        <v>376.11</v>
      </c>
      <c r="N553" s="28">
        <f t="shared" si="35"/>
        <v>375.62</v>
      </c>
    </row>
    <row r="554" spans="1:14" x14ac:dyDescent="0.4">
      <c r="A554" s="1">
        <v>38047</v>
      </c>
      <c r="B554" s="28">
        <v>378.39</v>
      </c>
      <c r="C554" s="28">
        <f t="shared" si="33"/>
        <v>377.37</v>
      </c>
      <c r="D554" s="28">
        <f t="shared" si="35"/>
        <v>376.79</v>
      </c>
      <c r="E554" s="28">
        <f t="shared" si="35"/>
        <v>375.69</v>
      </c>
      <c r="F554" s="28">
        <f t="shared" si="35"/>
        <v>374.35</v>
      </c>
      <c r="G554" s="28">
        <f t="shared" si="35"/>
        <v>373</v>
      </c>
      <c r="H554" s="28">
        <f t="shared" si="35"/>
        <v>372.98</v>
      </c>
      <c r="I554" s="28">
        <f t="shared" si="35"/>
        <v>374.48</v>
      </c>
      <c r="J554" s="28">
        <f t="shared" si="35"/>
        <v>376.6</v>
      </c>
      <c r="K554" s="28">
        <f t="shared" si="35"/>
        <v>378.13</v>
      </c>
      <c r="L554" s="28">
        <f t="shared" si="35"/>
        <v>378.35</v>
      </c>
      <c r="M554" s="28">
        <f t="shared" si="35"/>
        <v>377.65</v>
      </c>
      <c r="N554" s="28">
        <f t="shared" si="35"/>
        <v>376.11</v>
      </c>
    </row>
    <row r="555" spans="1:14" x14ac:dyDescent="0.4">
      <c r="A555" s="1">
        <v>38078</v>
      </c>
      <c r="B555" s="28">
        <v>380.5</v>
      </c>
      <c r="C555" s="28">
        <f t="shared" si="33"/>
        <v>378.39</v>
      </c>
      <c r="D555" s="28">
        <f t="shared" si="35"/>
        <v>377.37</v>
      </c>
      <c r="E555" s="28">
        <f t="shared" si="35"/>
        <v>376.79</v>
      </c>
      <c r="F555" s="28">
        <f t="shared" si="35"/>
        <v>375.69</v>
      </c>
      <c r="G555" s="28">
        <f t="shared" si="35"/>
        <v>374.35</v>
      </c>
      <c r="H555" s="28">
        <f t="shared" si="35"/>
        <v>373</v>
      </c>
      <c r="I555" s="28">
        <f t="shared" si="35"/>
        <v>372.98</v>
      </c>
      <c r="J555" s="28">
        <f t="shared" si="35"/>
        <v>374.48</v>
      </c>
      <c r="K555" s="28">
        <f t="shared" si="35"/>
        <v>376.6</v>
      </c>
      <c r="L555" s="28">
        <f t="shared" si="35"/>
        <v>378.13</v>
      </c>
      <c r="M555" s="28">
        <f t="shared" si="35"/>
        <v>378.35</v>
      </c>
      <c r="N555" s="28">
        <f t="shared" si="35"/>
        <v>377.65</v>
      </c>
    </row>
    <row r="556" spans="1:14" x14ac:dyDescent="0.4">
      <c r="A556" s="1">
        <v>38108</v>
      </c>
      <c r="B556" s="28">
        <v>380.62</v>
      </c>
      <c r="C556" s="28">
        <f t="shared" si="33"/>
        <v>380.5</v>
      </c>
      <c r="D556" s="28">
        <f t="shared" si="35"/>
        <v>378.39</v>
      </c>
      <c r="E556" s="28">
        <f t="shared" si="35"/>
        <v>377.37</v>
      </c>
      <c r="F556" s="28">
        <f t="shared" si="35"/>
        <v>376.79</v>
      </c>
      <c r="G556" s="28">
        <f t="shared" si="35"/>
        <v>375.69</v>
      </c>
      <c r="H556" s="28">
        <f t="shared" si="35"/>
        <v>374.35</v>
      </c>
      <c r="I556" s="28">
        <f t="shared" si="35"/>
        <v>373</v>
      </c>
      <c r="J556" s="28">
        <f t="shared" si="35"/>
        <v>372.98</v>
      </c>
      <c r="K556" s="28">
        <f t="shared" si="35"/>
        <v>374.48</v>
      </c>
      <c r="L556" s="28">
        <f t="shared" si="35"/>
        <v>376.6</v>
      </c>
      <c r="M556" s="28">
        <f t="shared" si="35"/>
        <v>378.13</v>
      </c>
      <c r="N556" s="28">
        <f t="shared" si="35"/>
        <v>378.35</v>
      </c>
    </row>
    <row r="557" spans="1:14" x14ac:dyDescent="0.4">
      <c r="A557" s="1">
        <v>38139</v>
      </c>
      <c r="B557" s="28">
        <v>379.55</v>
      </c>
      <c r="C557" s="28">
        <f t="shared" si="33"/>
        <v>380.62</v>
      </c>
      <c r="D557" s="28">
        <f t="shared" si="35"/>
        <v>380.5</v>
      </c>
      <c r="E557" s="28">
        <f t="shared" si="35"/>
        <v>378.39</v>
      </c>
      <c r="F557" s="28">
        <f t="shared" si="35"/>
        <v>377.37</v>
      </c>
      <c r="G557" s="28">
        <f t="shared" si="35"/>
        <v>376.79</v>
      </c>
      <c r="H557" s="28">
        <f t="shared" si="35"/>
        <v>375.69</v>
      </c>
      <c r="I557" s="28">
        <f t="shared" si="35"/>
        <v>374.35</v>
      </c>
      <c r="J557" s="28">
        <f t="shared" si="35"/>
        <v>373</v>
      </c>
      <c r="K557" s="28">
        <f t="shared" si="35"/>
        <v>372.98</v>
      </c>
      <c r="L557" s="28">
        <f t="shared" si="35"/>
        <v>374.48</v>
      </c>
      <c r="M557" s="28">
        <f t="shared" si="35"/>
        <v>376.6</v>
      </c>
      <c r="N557" s="28">
        <f t="shared" si="35"/>
        <v>378.13</v>
      </c>
    </row>
    <row r="558" spans="1:14" x14ac:dyDescent="0.4">
      <c r="A558" s="1">
        <v>38169</v>
      </c>
      <c r="B558" s="28">
        <v>377.76</v>
      </c>
      <c r="C558" s="28">
        <f t="shared" si="33"/>
        <v>379.55</v>
      </c>
      <c r="D558" s="28">
        <f t="shared" si="35"/>
        <v>380.62</v>
      </c>
      <c r="E558" s="28">
        <f t="shared" si="35"/>
        <v>380.5</v>
      </c>
      <c r="F558" s="28">
        <f t="shared" si="35"/>
        <v>378.39</v>
      </c>
      <c r="G558" s="28">
        <f t="shared" si="35"/>
        <v>377.37</v>
      </c>
      <c r="H558" s="28">
        <f t="shared" si="35"/>
        <v>376.79</v>
      </c>
      <c r="I558" s="28">
        <f t="shared" si="35"/>
        <v>375.69</v>
      </c>
      <c r="J558" s="28">
        <f t="shared" si="35"/>
        <v>374.35</v>
      </c>
      <c r="K558" s="28">
        <f t="shared" si="35"/>
        <v>373</v>
      </c>
      <c r="L558" s="28">
        <f t="shared" si="35"/>
        <v>372.98</v>
      </c>
      <c r="M558" s="28">
        <f t="shared" si="35"/>
        <v>374.48</v>
      </c>
      <c r="N558" s="28">
        <f t="shared" si="35"/>
        <v>376.6</v>
      </c>
    </row>
    <row r="559" spans="1:14" x14ac:dyDescent="0.4">
      <c r="A559" s="1">
        <v>38200</v>
      </c>
      <c r="B559" s="28">
        <v>375.83</v>
      </c>
      <c r="C559" s="28">
        <f t="shared" si="33"/>
        <v>377.76</v>
      </c>
      <c r="D559" s="28">
        <f t="shared" si="35"/>
        <v>379.55</v>
      </c>
      <c r="E559" s="28">
        <f t="shared" si="35"/>
        <v>380.62</v>
      </c>
      <c r="F559" s="28">
        <f t="shared" si="35"/>
        <v>380.5</v>
      </c>
      <c r="G559" s="28">
        <f t="shared" si="35"/>
        <v>378.39</v>
      </c>
      <c r="H559" s="28">
        <f t="shared" si="35"/>
        <v>377.37</v>
      </c>
      <c r="I559" s="28">
        <f t="shared" si="35"/>
        <v>376.79</v>
      </c>
      <c r="J559" s="28">
        <f t="shared" si="35"/>
        <v>375.69</v>
      </c>
      <c r="K559" s="28">
        <f t="shared" si="35"/>
        <v>374.35</v>
      </c>
      <c r="L559" s="28">
        <f t="shared" si="35"/>
        <v>373</v>
      </c>
      <c r="M559" s="28">
        <f t="shared" si="35"/>
        <v>372.98</v>
      </c>
      <c r="N559" s="28">
        <f t="shared" si="35"/>
        <v>374.48</v>
      </c>
    </row>
    <row r="560" spans="1:14" x14ac:dyDescent="0.4">
      <c r="A560" s="1">
        <v>38231</v>
      </c>
      <c r="B560" s="28">
        <v>374.05</v>
      </c>
      <c r="C560" s="28">
        <f t="shared" si="33"/>
        <v>375.83</v>
      </c>
      <c r="D560" s="28">
        <f t="shared" si="35"/>
        <v>377.76</v>
      </c>
      <c r="E560" s="28">
        <f t="shared" si="35"/>
        <v>379.55</v>
      </c>
      <c r="F560" s="28">
        <f t="shared" si="35"/>
        <v>380.62</v>
      </c>
      <c r="G560" s="28">
        <f t="shared" si="35"/>
        <v>380.5</v>
      </c>
      <c r="H560" s="28">
        <f t="shared" si="35"/>
        <v>378.39</v>
      </c>
      <c r="I560" s="28">
        <f t="shared" si="35"/>
        <v>377.37</v>
      </c>
      <c r="J560" s="28">
        <f t="shared" si="35"/>
        <v>376.79</v>
      </c>
      <c r="K560" s="28">
        <f t="shared" si="35"/>
        <v>375.69</v>
      </c>
      <c r="L560" s="28">
        <f t="shared" si="35"/>
        <v>374.35</v>
      </c>
      <c r="M560" s="28">
        <f t="shared" si="35"/>
        <v>373</v>
      </c>
      <c r="N560" s="28">
        <f t="shared" si="35"/>
        <v>372.98</v>
      </c>
    </row>
    <row r="561" spans="1:14" x14ac:dyDescent="0.4">
      <c r="A561" s="1">
        <v>38261</v>
      </c>
      <c r="B561" s="28">
        <v>374.22</v>
      </c>
      <c r="C561" s="28">
        <f t="shared" si="33"/>
        <v>374.05</v>
      </c>
      <c r="D561" s="28">
        <f t="shared" si="35"/>
        <v>375.83</v>
      </c>
      <c r="E561" s="28">
        <f t="shared" si="35"/>
        <v>377.76</v>
      </c>
      <c r="F561" s="28">
        <f t="shared" si="35"/>
        <v>379.55</v>
      </c>
      <c r="G561" s="28">
        <f t="shared" si="35"/>
        <v>380.62</v>
      </c>
      <c r="H561" s="28">
        <f t="shared" si="35"/>
        <v>380.5</v>
      </c>
      <c r="I561" s="28">
        <f t="shared" si="35"/>
        <v>378.39</v>
      </c>
      <c r="J561" s="28">
        <f t="shared" si="35"/>
        <v>377.37</v>
      </c>
      <c r="K561" s="28">
        <f t="shared" si="35"/>
        <v>376.79</v>
      </c>
      <c r="L561" s="28">
        <f t="shared" si="35"/>
        <v>375.69</v>
      </c>
      <c r="M561" s="28">
        <f t="shared" si="35"/>
        <v>374.35</v>
      </c>
      <c r="N561" s="28">
        <f t="shared" si="35"/>
        <v>373</v>
      </c>
    </row>
    <row r="562" spans="1:14" x14ac:dyDescent="0.4">
      <c r="A562" s="1">
        <v>38292</v>
      </c>
      <c r="B562" s="28">
        <v>375.84</v>
      </c>
      <c r="C562" s="28">
        <f t="shared" si="33"/>
        <v>374.22</v>
      </c>
      <c r="D562" s="28">
        <f t="shared" si="35"/>
        <v>374.05</v>
      </c>
      <c r="E562" s="28">
        <f t="shared" si="35"/>
        <v>375.83</v>
      </c>
      <c r="F562" s="28">
        <f t="shared" si="35"/>
        <v>377.76</v>
      </c>
      <c r="G562" s="28">
        <f t="shared" si="35"/>
        <v>379.55</v>
      </c>
      <c r="H562" s="28">
        <f t="shared" si="35"/>
        <v>380.62</v>
      </c>
      <c r="I562" s="28">
        <f t="shared" si="35"/>
        <v>380.5</v>
      </c>
      <c r="J562" s="28">
        <f t="shared" si="35"/>
        <v>378.39</v>
      </c>
      <c r="K562" s="28">
        <f t="shared" si="35"/>
        <v>377.37</v>
      </c>
      <c r="L562" s="28">
        <f t="shared" si="35"/>
        <v>376.79</v>
      </c>
      <c r="M562" s="28">
        <f t="shared" si="35"/>
        <v>375.69</v>
      </c>
      <c r="N562" s="28">
        <f t="shared" si="35"/>
        <v>374.35</v>
      </c>
    </row>
    <row r="563" spans="1:14" x14ac:dyDescent="0.4">
      <c r="A563" s="1">
        <v>38322</v>
      </c>
      <c r="B563" s="28">
        <v>377.44</v>
      </c>
      <c r="C563" s="28">
        <f t="shared" si="33"/>
        <v>375.84</v>
      </c>
      <c r="D563" s="28">
        <f t="shared" si="35"/>
        <v>374.22</v>
      </c>
      <c r="E563" s="28">
        <f t="shared" si="35"/>
        <v>374.05</v>
      </c>
      <c r="F563" s="28">
        <f t="shared" si="35"/>
        <v>375.83</v>
      </c>
      <c r="G563" s="28">
        <f t="shared" si="35"/>
        <v>377.76</v>
      </c>
      <c r="H563" s="28">
        <f t="shared" si="35"/>
        <v>379.55</v>
      </c>
      <c r="I563" s="28">
        <f t="shared" si="35"/>
        <v>380.62</v>
      </c>
      <c r="J563" s="28">
        <f t="shared" si="35"/>
        <v>380.5</v>
      </c>
      <c r="K563" s="28">
        <f t="shared" si="35"/>
        <v>378.39</v>
      </c>
      <c r="L563" s="28">
        <f t="shared" si="35"/>
        <v>377.37</v>
      </c>
      <c r="M563" s="28">
        <f t="shared" si="35"/>
        <v>376.79</v>
      </c>
      <c r="N563" s="28">
        <f t="shared" si="35"/>
        <v>375.69</v>
      </c>
    </row>
    <row r="564" spans="1:14" x14ac:dyDescent="0.4">
      <c r="A564" s="1">
        <v>38353</v>
      </c>
      <c r="B564" s="28">
        <v>378.34</v>
      </c>
      <c r="C564" s="28">
        <f t="shared" si="33"/>
        <v>377.44</v>
      </c>
      <c r="D564" s="28">
        <f t="shared" si="35"/>
        <v>375.84</v>
      </c>
      <c r="E564" s="28">
        <f t="shared" si="35"/>
        <v>374.22</v>
      </c>
      <c r="F564" s="28">
        <f t="shared" si="35"/>
        <v>374.05</v>
      </c>
      <c r="G564" s="28">
        <f t="shared" si="35"/>
        <v>375.83</v>
      </c>
      <c r="H564" s="28">
        <f t="shared" si="35"/>
        <v>377.76</v>
      </c>
      <c r="I564" s="28">
        <f t="shared" si="35"/>
        <v>379.55</v>
      </c>
      <c r="J564" s="28">
        <f t="shared" si="35"/>
        <v>380.62</v>
      </c>
      <c r="K564" s="28">
        <f t="shared" si="35"/>
        <v>380.5</v>
      </c>
      <c r="L564" s="28">
        <f t="shared" si="35"/>
        <v>378.39</v>
      </c>
      <c r="M564" s="28">
        <f t="shared" si="35"/>
        <v>377.37</v>
      </c>
      <c r="N564" s="28">
        <f t="shared" si="35"/>
        <v>376.79</v>
      </c>
    </row>
    <row r="565" spans="1:14" x14ac:dyDescent="0.4">
      <c r="A565" s="1">
        <v>38384</v>
      </c>
      <c r="B565" s="28">
        <v>379.61</v>
      </c>
      <c r="C565" s="28">
        <f t="shared" si="33"/>
        <v>378.34</v>
      </c>
      <c r="D565" s="28">
        <f t="shared" ref="D565:N579" si="36">IF(C564=0,"",C564)</f>
        <v>377.44</v>
      </c>
      <c r="E565" s="28">
        <f t="shared" si="36"/>
        <v>375.84</v>
      </c>
      <c r="F565" s="28">
        <f t="shared" si="36"/>
        <v>374.22</v>
      </c>
      <c r="G565" s="28">
        <f t="shared" si="36"/>
        <v>374.05</v>
      </c>
      <c r="H565" s="28">
        <f t="shared" si="36"/>
        <v>375.83</v>
      </c>
      <c r="I565" s="28">
        <f t="shared" si="36"/>
        <v>377.76</v>
      </c>
      <c r="J565" s="28">
        <f t="shared" si="36"/>
        <v>379.55</v>
      </c>
      <c r="K565" s="28">
        <f t="shared" si="36"/>
        <v>380.62</v>
      </c>
      <c r="L565" s="28">
        <f t="shared" si="36"/>
        <v>380.5</v>
      </c>
      <c r="M565" s="28">
        <f t="shared" si="36"/>
        <v>378.39</v>
      </c>
      <c r="N565" s="28">
        <f t="shared" si="36"/>
        <v>377.37</v>
      </c>
    </row>
    <row r="566" spans="1:14" x14ac:dyDescent="0.4">
      <c r="A566" s="1">
        <v>38412</v>
      </c>
      <c r="B566" s="28">
        <v>380.08</v>
      </c>
      <c r="C566" s="28">
        <f t="shared" si="33"/>
        <v>379.61</v>
      </c>
      <c r="D566" s="28">
        <f t="shared" si="36"/>
        <v>378.34</v>
      </c>
      <c r="E566" s="28">
        <f t="shared" si="36"/>
        <v>377.44</v>
      </c>
      <c r="F566" s="28">
        <f t="shared" si="36"/>
        <v>375.84</v>
      </c>
      <c r="G566" s="28">
        <f t="shared" si="36"/>
        <v>374.22</v>
      </c>
      <c r="H566" s="28">
        <f t="shared" si="36"/>
        <v>374.05</v>
      </c>
      <c r="I566" s="28">
        <f t="shared" si="36"/>
        <v>375.83</v>
      </c>
      <c r="J566" s="28">
        <f t="shared" si="36"/>
        <v>377.76</v>
      </c>
      <c r="K566" s="28">
        <f t="shared" si="36"/>
        <v>379.55</v>
      </c>
      <c r="L566" s="28">
        <f t="shared" si="36"/>
        <v>380.62</v>
      </c>
      <c r="M566" s="28">
        <f t="shared" si="36"/>
        <v>380.5</v>
      </c>
      <c r="N566" s="28">
        <f t="shared" si="36"/>
        <v>378.39</v>
      </c>
    </row>
    <row r="567" spans="1:14" x14ac:dyDescent="0.4">
      <c r="A567" s="1">
        <v>38443</v>
      </c>
      <c r="B567" s="28">
        <v>382.05</v>
      </c>
      <c r="C567" s="28">
        <f t="shared" si="33"/>
        <v>380.08</v>
      </c>
      <c r="D567" s="28">
        <f t="shared" si="36"/>
        <v>379.61</v>
      </c>
      <c r="E567" s="28">
        <f t="shared" si="36"/>
        <v>378.34</v>
      </c>
      <c r="F567" s="28">
        <f t="shared" si="36"/>
        <v>377.44</v>
      </c>
      <c r="G567" s="28">
        <f t="shared" si="36"/>
        <v>375.84</v>
      </c>
      <c r="H567" s="28">
        <f t="shared" si="36"/>
        <v>374.22</v>
      </c>
      <c r="I567" s="28">
        <f t="shared" si="36"/>
        <v>374.05</v>
      </c>
      <c r="J567" s="28">
        <f t="shared" si="36"/>
        <v>375.83</v>
      </c>
      <c r="K567" s="28">
        <f t="shared" si="36"/>
        <v>377.76</v>
      </c>
      <c r="L567" s="28">
        <f t="shared" si="36"/>
        <v>379.55</v>
      </c>
      <c r="M567" s="28">
        <f t="shared" si="36"/>
        <v>380.62</v>
      </c>
      <c r="N567" s="28">
        <f t="shared" si="36"/>
        <v>380.5</v>
      </c>
    </row>
    <row r="568" spans="1:14" x14ac:dyDescent="0.4">
      <c r="A568" s="1">
        <v>38473</v>
      </c>
      <c r="B568" s="28">
        <v>382.24</v>
      </c>
      <c r="C568" s="28">
        <f t="shared" si="33"/>
        <v>382.05</v>
      </c>
      <c r="D568" s="28">
        <f t="shared" si="36"/>
        <v>380.08</v>
      </c>
      <c r="E568" s="28">
        <f t="shared" si="36"/>
        <v>379.61</v>
      </c>
      <c r="F568" s="28">
        <f t="shared" si="36"/>
        <v>378.34</v>
      </c>
      <c r="G568" s="28">
        <f t="shared" si="36"/>
        <v>377.44</v>
      </c>
      <c r="H568" s="28">
        <f t="shared" si="36"/>
        <v>375.84</v>
      </c>
      <c r="I568" s="28">
        <f t="shared" si="36"/>
        <v>374.22</v>
      </c>
      <c r="J568" s="28">
        <f t="shared" si="36"/>
        <v>374.05</v>
      </c>
      <c r="K568" s="28">
        <f t="shared" si="36"/>
        <v>375.83</v>
      </c>
      <c r="L568" s="28">
        <f t="shared" si="36"/>
        <v>377.76</v>
      </c>
      <c r="M568" s="28">
        <f t="shared" si="36"/>
        <v>379.55</v>
      </c>
      <c r="N568" s="28">
        <f t="shared" si="36"/>
        <v>380.62</v>
      </c>
    </row>
    <row r="569" spans="1:14" x14ac:dyDescent="0.4">
      <c r="A569" s="1">
        <v>38504</v>
      </c>
      <c r="B569" s="28">
        <v>382.08</v>
      </c>
      <c r="C569" s="28">
        <f t="shared" si="33"/>
        <v>382.24</v>
      </c>
      <c r="D569" s="28">
        <f t="shared" si="36"/>
        <v>382.05</v>
      </c>
      <c r="E569" s="28">
        <f t="shared" si="36"/>
        <v>380.08</v>
      </c>
      <c r="F569" s="28">
        <f t="shared" si="36"/>
        <v>379.61</v>
      </c>
      <c r="G569" s="28">
        <f t="shared" si="36"/>
        <v>378.34</v>
      </c>
      <c r="H569" s="28">
        <f t="shared" si="36"/>
        <v>377.44</v>
      </c>
      <c r="I569" s="28">
        <f t="shared" si="36"/>
        <v>375.84</v>
      </c>
      <c r="J569" s="28">
        <f t="shared" si="36"/>
        <v>374.22</v>
      </c>
      <c r="K569" s="28">
        <f t="shared" si="36"/>
        <v>374.05</v>
      </c>
      <c r="L569" s="28">
        <f t="shared" si="36"/>
        <v>375.83</v>
      </c>
      <c r="M569" s="28">
        <f t="shared" si="36"/>
        <v>377.76</v>
      </c>
      <c r="N569" s="28">
        <f t="shared" si="36"/>
        <v>379.55</v>
      </c>
    </row>
    <row r="570" spans="1:14" x14ac:dyDescent="0.4">
      <c r="A570" s="1">
        <v>38534</v>
      </c>
      <c r="B570" s="28">
        <v>380.66</v>
      </c>
      <c r="C570" s="28">
        <f t="shared" si="33"/>
        <v>382.08</v>
      </c>
      <c r="D570" s="28">
        <f t="shared" si="36"/>
        <v>382.24</v>
      </c>
      <c r="E570" s="28">
        <f t="shared" si="36"/>
        <v>382.05</v>
      </c>
      <c r="F570" s="28">
        <f t="shared" si="36"/>
        <v>380.08</v>
      </c>
      <c r="G570" s="28">
        <f t="shared" si="36"/>
        <v>379.61</v>
      </c>
      <c r="H570" s="28">
        <f t="shared" si="36"/>
        <v>378.34</v>
      </c>
      <c r="I570" s="28">
        <f t="shared" si="36"/>
        <v>377.44</v>
      </c>
      <c r="J570" s="28">
        <f t="shared" si="36"/>
        <v>375.84</v>
      </c>
      <c r="K570" s="28">
        <f t="shared" si="36"/>
        <v>374.22</v>
      </c>
      <c r="L570" s="28">
        <f t="shared" si="36"/>
        <v>374.05</v>
      </c>
      <c r="M570" s="28">
        <f t="shared" si="36"/>
        <v>375.83</v>
      </c>
      <c r="N570" s="28">
        <f t="shared" si="36"/>
        <v>377.76</v>
      </c>
    </row>
    <row r="571" spans="1:14" x14ac:dyDescent="0.4">
      <c r="A571" s="1">
        <v>38565</v>
      </c>
      <c r="B571" s="28">
        <v>378.67</v>
      </c>
      <c r="C571" s="28">
        <f t="shared" si="33"/>
        <v>380.66</v>
      </c>
      <c r="D571" s="28">
        <f t="shared" si="36"/>
        <v>382.08</v>
      </c>
      <c r="E571" s="28">
        <f t="shared" si="36"/>
        <v>382.24</v>
      </c>
      <c r="F571" s="28">
        <f t="shared" si="36"/>
        <v>382.05</v>
      </c>
      <c r="G571" s="28">
        <f t="shared" si="36"/>
        <v>380.08</v>
      </c>
      <c r="H571" s="28">
        <f t="shared" si="36"/>
        <v>379.61</v>
      </c>
      <c r="I571" s="28">
        <f t="shared" si="36"/>
        <v>378.34</v>
      </c>
      <c r="J571" s="28">
        <f t="shared" si="36"/>
        <v>377.44</v>
      </c>
      <c r="K571" s="28">
        <f t="shared" si="36"/>
        <v>375.84</v>
      </c>
      <c r="L571" s="28">
        <f t="shared" si="36"/>
        <v>374.22</v>
      </c>
      <c r="M571" s="28">
        <f t="shared" si="36"/>
        <v>374.05</v>
      </c>
      <c r="N571" s="28">
        <f t="shared" si="36"/>
        <v>375.83</v>
      </c>
    </row>
    <row r="572" spans="1:14" x14ac:dyDescent="0.4">
      <c r="A572" s="1">
        <v>38596</v>
      </c>
      <c r="B572" s="28">
        <v>376.42</v>
      </c>
      <c r="C572" s="28">
        <f t="shared" si="33"/>
        <v>378.67</v>
      </c>
      <c r="D572" s="28">
        <f t="shared" si="36"/>
        <v>380.66</v>
      </c>
      <c r="E572" s="28">
        <f t="shared" si="36"/>
        <v>382.08</v>
      </c>
      <c r="F572" s="28">
        <f t="shared" si="36"/>
        <v>382.24</v>
      </c>
      <c r="G572" s="28">
        <f t="shared" si="36"/>
        <v>382.05</v>
      </c>
      <c r="H572" s="28">
        <f t="shared" si="36"/>
        <v>380.08</v>
      </c>
      <c r="I572" s="28">
        <f t="shared" si="36"/>
        <v>379.61</v>
      </c>
      <c r="J572" s="28">
        <f t="shared" si="36"/>
        <v>378.34</v>
      </c>
      <c r="K572" s="28">
        <f t="shared" si="36"/>
        <v>377.44</v>
      </c>
      <c r="L572" s="28">
        <f t="shared" si="36"/>
        <v>375.84</v>
      </c>
      <c r="M572" s="28">
        <f t="shared" si="36"/>
        <v>374.22</v>
      </c>
      <c r="N572" s="28">
        <f t="shared" si="36"/>
        <v>374.05</v>
      </c>
    </row>
    <row r="573" spans="1:14" x14ac:dyDescent="0.4">
      <c r="A573" s="1">
        <v>38626</v>
      </c>
      <c r="B573" s="28">
        <v>376.8</v>
      </c>
      <c r="C573" s="28">
        <f t="shared" si="33"/>
        <v>376.42</v>
      </c>
      <c r="D573" s="28">
        <f t="shared" si="36"/>
        <v>378.67</v>
      </c>
      <c r="E573" s="28">
        <f t="shared" si="36"/>
        <v>380.66</v>
      </c>
      <c r="F573" s="28">
        <f t="shared" si="36"/>
        <v>382.08</v>
      </c>
      <c r="G573" s="28">
        <f t="shared" si="36"/>
        <v>382.24</v>
      </c>
      <c r="H573" s="28">
        <f t="shared" si="36"/>
        <v>382.05</v>
      </c>
      <c r="I573" s="28">
        <f t="shared" si="36"/>
        <v>380.08</v>
      </c>
      <c r="J573" s="28">
        <f t="shared" si="36"/>
        <v>379.61</v>
      </c>
      <c r="K573" s="28">
        <f t="shared" si="36"/>
        <v>378.34</v>
      </c>
      <c r="L573" s="28">
        <f t="shared" si="36"/>
        <v>377.44</v>
      </c>
      <c r="M573" s="28">
        <f t="shared" si="36"/>
        <v>375.84</v>
      </c>
      <c r="N573" s="28">
        <f t="shared" si="36"/>
        <v>374.22</v>
      </c>
    </row>
    <row r="574" spans="1:14" x14ac:dyDescent="0.4">
      <c r="A574" s="1">
        <v>38657</v>
      </c>
      <c r="B574" s="28">
        <v>378.31</v>
      </c>
      <c r="C574" s="28">
        <f t="shared" si="33"/>
        <v>376.8</v>
      </c>
      <c r="D574" s="28">
        <f t="shared" si="36"/>
        <v>376.42</v>
      </c>
      <c r="E574" s="28">
        <f t="shared" si="36"/>
        <v>378.67</v>
      </c>
      <c r="F574" s="28">
        <f t="shared" si="36"/>
        <v>380.66</v>
      </c>
      <c r="G574" s="28">
        <f t="shared" si="36"/>
        <v>382.08</v>
      </c>
      <c r="H574" s="28">
        <f t="shared" si="36"/>
        <v>382.24</v>
      </c>
      <c r="I574" s="28">
        <f t="shared" si="36"/>
        <v>382.05</v>
      </c>
      <c r="J574" s="28">
        <f t="shared" si="36"/>
        <v>380.08</v>
      </c>
      <c r="K574" s="28">
        <f t="shared" si="36"/>
        <v>379.61</v>
      </c>
      <c r="L574" s="28">
        <f t="shared" si="36"/>
        <v>378.34</v>
      </c>
      <c r="M574" s="28">
        <f t="shared" si="36"/>
        <v>377.44</v>
      </c>
      <c r="N574" s="28">
        <f t="shared" si="36"/>
        <v>375.84</v>
      </c>
    </row>
    <row r="575" spans="1:14" x14ac:dyDescent="0.4">
      <c r="A575" s="1">
        <v>38687</v>
      </c>
      <c r="B575" s="28">
        <v>379.96</v>
      </c>
      <c r="C575" s="28">
        <f t="shared" si="33"/>
        <v>378.31</v>
      </c>
      <c r="D575" s="28">
        <f t="shared" si="36"/>
        <v>376.8</v>
      </c>
      <c r="E575" s="28">
        <f t="shared" si="36"/>
        <v>376.42</v>
      </c>
      <c r="F575" s="28">
        <f t="shared" si="36"/>
        <v>378.67</v>
      </c>
      <c r="G575" s="28">
        <f t="shared" si="36"/>
        <v>380.66</v>
      </c>
      <c r="H575" s="28">
        <f t="shared" si="36"/>
        <v>382.08</v>
      </c>
      <c r="I575" s="28">
        <f t="shared" si="36"/>
        <v>382.24</v>
      </c>
      <c r="J575" s="28">
        <f t="shared" si="36"/>
        <v>382.05</v>
      </c>
      <c r="K575" s="28">
        <f t="shared" si="36"/>
        <v>380.08</v>
      </c>
      <c r="L575" s="28">
        <f t="shared" si="36"/>
        <v>379.61</v>
      </c>
      <c r="M575" s="28">
        <f t="shared" si="36"/>
        <v>378.34</v>
      </c>
      <c r="N575" s="28">
        <f t="shared" si="36"/>
        <v>377.44</v>
      </c>
    </row>
    <row r="576" spans="1:14" x14ac:dyDescent="0.4">
      <c r="A576" s="1">
        <v>38718</v>
      </c>
      <c r="B576" s="28">
        <v>381.37</v>
      </c>
      <c r="C576" s="28">
        <f t="shared" si="33"/>
        <v>379.96</v>
      </c>
      <c r="D576" s="28">
        <f t="shared" si="36"/>
        <v>378.31</v>
      </c>
      <c r="E576" s="28">
        <f t="shared" si="36"/>
        <v>376.8</v>
      </c>
      <c r="F576" s="28">
        <f t="shared" si="36"/>
        <v>376.42</v>
      </c>
      <c r="G576" s="28">
        <f t="shared" si="36"/>
        <v>378.67</v>
      </c>
      <c r="H576" s="28">
        <f t="shared" si="36"/>
        <v>380.66</v>
      </c>
      <c r="I576" s="28">
        <f t="shared" si="36"/>
        <v>382.08</v>
      </c>
      <c r="J576" s="28">
        <f t="shared" si="36"/>
        <v>382.24</v>
      </c>
      <c r="K576" s="28">
        <f t="shared" si="36"/>
        <v>382.05</v>
      </c>
      <c r="L576" s="28">
        <f t="shared" si="36"/>
        <v>380.08</v>
      </c>
      <c r="M576" s="28">
        <f t="shared" si="36"/>
        <v>379.61</v>
      </c>
      <c r="N576" s="28">
        <f t="shared" si="36"/>
        <v>378.34</v>
      </c>
    </row>
    <row r="577" spans="1:14" x14ac:dyDescent="0.4">
      <c r="A577" s="1">
        <v>38749</v>
      </c>
      <c r="B577" s="28">
        <v>382.02</v>
      </c>
      <c r="C577" s="28">
        <f t="shared" si="33"/>
        <v>381.37</v>
      </c>
      <c r="D577" s="28">
        <f t="shared" si="36"/>
        <v>379.96</v>
      </c>
      <c r="E577" s="28">
        <f t="shared" si="36"/>
        <v>378.31</v>
      </c>
      <c r="F577" s="28">
        <f t="shared" si="36"/>
        <v>376.8</v>
      </c>
      <c r="G577" s="28">
        <f t="shared" si="36"/>
        <v>376.42</v>
      </c>
      <c r="H577" s="28">
        <f t="shared" si="36"/>
        <v>378.67</v>
      </c>
      <c r="I577" s="28">
        <f t="shared" si="36"/>
        <v>380.66</v>
      </c>
      <c r="J577" s="28">
        <f t="shared" si="36"/>
        <v>382.08</v>
      </c>
      <c r="K577" s="28">
        <f t="shared" si="36"/>
        <v>382.24</v>
      </c>
      <c r="L577" s="28">
        <f t="shared" si="36"/>
        <v>382.05</v>
      </c>
      <c r="M577" s="28">
        <f t="shared" si="36"/>
        <v>380.08</v>
      </c>
      <c r="N577" s="28">
        <f t="shared" si="36"/>
        <v>379.61</v>
      </c>
    </row>
    <row r="578" spans="1:14" x14ac:dyDescent="0.4">
      <c r="A578" s="1">
        <v>38777</v>
      </c>
      <c r="B578" s="28">
        <v>382.56</v>
      </c>
      <c r="C578" s="28">
        <f t="shared" si="33"/>
        <v>382.02</v>
      </c>
      <c r="D578" s="28">
        <f t="shared" si="36"/>
        <v>381.37</v>
      </c>
      <c r="E578" s="28">
        <f t="shared" si="36"/>
        <v>379.96</v>
      </c>
      <c r="F578" s="28">
        <f t="shared" si="36"/>
        <v>378.31</v>
      </c>
      <c r="G578" s="28">
        <f t="shared" si="36"/>
        <v>376.8</v>
      </c>
      <c r="H578" s="28">
        <f t="shared" si="36"/>
        <v>376.42</v>
      </c>
      <c r="I578" s="28">
        <f t="shared" si="36"/>
        <v>378.67</v>
      </c>
      <c r="J578" s="28">
        <f t="shared" si="36"/>
        <v>380.66</v>
      </c>
      <c r="K578" s="28">
        <f t="shared" si="36"/>
        <v>382.08</v>
      </c>
      <c r="L578" s="28">
        <f t="shared" si="36"/>
        <v>382.24</v>
      </c>
      <c r="M578" s="28">
        <f t="shared" si="36"/>
        <v>382.05</v>
      </c>
      <c r="N578" s="28">
        <f t="shared" si="36"/>
        <v>380.08</v>
      </c>
    </row>
    <row r="579" spans="1:14" x14ac:dyDescent="0.4">
      <c r="A579" s="1">
        <v>38808</v>
      </c>
      <c r="B579" s="28">
        <v>384.36</v>
      </c>
      <c r="C579" s="28">
        <f t="shared" si="33"/>
        <v>382.56</v>
      </c>
      <c r="D579" s="28">
        <f t="shared" si="36"/>
        <v>382.02</v>
      </c>
      <c r="E579" s="28">
        <f t="shared" si="36"/>
        <v>381.37</v>
      </c>
      <c r="F579" s="28">
        <f t="shared" si="36"/>
        <v>379.96</v>
      </c>
      <c r="G579" s="28">
        <f t="shared" si="36"/>
        <v>378.31</v>
      </c>
      <c r="H579" s="28">
        <f t="shared" si="36"/>
        <v>376.8</v>
      </c>
      <c r="I579" s="28">
        <f t="shared" si="36"/>
        <v>376.42</v>
      </c>
      <c r="J579" s="28">
        <f t="shared" si="36"/>
        <v>378.67</v>
      </c>
      <c r="K579" s="28">
        <f t="shared" si="36"/>
        <v>380.66</v>
      </c>
      <c r="L579" s="28">
        <f t="shared" si="36"/>
        <v>382.08</v>
      </c>
      <c r="M579" s="28">
        <f t="shared" si="36"/>
        <v>382.24</v>
      </c>
      <c r="N579" s="28">
        <f t="shared" si="36"/>
        <v>382.05</v>
      </c>
    </row>
    <row r="580" spans="1:14" x14ac:dyDescent="0.4">
      <c r="A580" s="1">
        <v>38838</v>
      </c>
      <c r="B580" s="28">
        <v>384.92</v>
      </c>
      <c r="C580" s="28">
        <f t="shared" ref="C580:N643" si="37">IF(B579=0,"",B579)</f>
        <v>384.36</v>
      </c>
      <c r="D580" s="28">
        <f t="shared" si="37"/>
        <v>382.56</v>
      </c>
      <c r="E580" s="28">
        <f t="shared" si="37"/>
        <v>382.02</v>
      </c>
      <c r="F580" s="28">
        <f t="shared" si="37"/>
        <v>381.37</v>
      </c>
      <c r="G580" s="28">
        <f t="shared" si="37"/>
        <v>379.96</v>
      </c>
      <c r="H580" s="28">
        <f t="shared" si="37"/>
        <v>378.31</v>
      </c>
      <c r="I580" s="28">
        <f t="shared" si="37"/>
        <v>376.8</v>
      </c>
      <c r="J580" s="28">
        <f t="shared" si="37"/>
        <v>376.42</v>
      </c>
      <c r="K580" s="28">
        <f t="shared" si="37"/>
        <v>378.67</v>
      </c>
      <c r="L580" s="28">
        <f t="shared" si="37"/>
        <v>380.66</v>
      </c>
      <c r="M580" s="28">
        <f t="shared" si="37"/>
        <v>382.08</v>
      </c>
      <c r="N580" s="28">
        <f t="shared" si="37"/>
        <v>382.24</v>
      </c>
    </row>
    <row r="581" spans="1:14" x14ac:dyDescent="0.4">
      <c r="A581" s="1">
        <v>38869</v>
      </c>
      <c r="B581" s="28">
        <v>384.03</v>
      </c>
      <c r="C581" s="28">
        <f t="shared" si="37"/>
        <v>384.92</v>
      </c>
      <c r="D581" s="28">
        <f t="shared" si="37"/>
        <v>384.36</v>
      </c>
      <c r="E581" s="28">
        <f t="shared" si="37"/>
        <v>382.56</v>
      </c>
      <c r="F581" s="28">
        <f t="shared" si="37"/>
        <v>382.02</v>
      </c>
      <c r="G581" s="28">
        <f t="shared" si="37"/>
        <v>381.37</v>
      </c>
      <c r="H581" s="28">
        <f t="shared" si="37"/>
        <v>379.96</v>
      </c>
      <c r="I581" s="28">
        <f t="shared" si="37"/>
        <v>378.31</v>
      </c>
      <c r="J581" s="28">
        <f t="shared" si="37"/>
        <v>376.8</v>
      </c>
      <c r="K581" s="28">
        <f t="shared" si="37"/>
        <v>376.42</v>
      </c>
      <c r="L581" s="28">
        <f t="shared" si="37"/>
        <v>378.67</v>
      </c>
      <c r="M581" s="28">
        <f t="shared" si="37"/>
        <v>380.66</v>
      </c>
      <c r="N581" s="28">
        <f t="shared" si="37"/>
        <v>382.08</v>
      </c>
    </row>
    <row r="582" spans="1:14" x14ac:dyDescent="0.4">
      <c r="A582" s="1">
        <v>38899</v>
      </c>
      <c r="B582" s="28">
        <v>382.28</v>
      </c>
      <c r="C582" s="28">
        <f t="shared" si="37"/>
        <v>384.03</v>
      </c>
      <c r="D582" s="28">
        <f t="shared" si="37"/>
        <v>384.92</v>
      </c>
      <c r="E582" s="28">
        <f t="shared" si="37"/>
        <v>384.36</v>
      </c>
      <c r="F582" s="28">
        <f t="shared" si="37"/>
        <v>382.56</v>
      </c>
      <c r="G582" s="28">
        <f t="shared" si="37"/>
        <v>382.02</v>
      </c>
      <c r="H582" s="28">
        <f t="shared" si="37"/>
        <v>381.37</v>
      </c>
      <c r="I582" s="28">
        <f t="shared" si="37"/>
        <v>379.96</v>
      </c>
      <c r="J582" s="28">
        <f t="shared" si="37"/>
        <v>378.31</v>
      </c>
      <c r="K582" s="28">
        <f t="shared" si="37"/>
        <v>376.8</v>
      </c>
      <c r="L582" s="28">
        <f t="shared" si="37"/>
        <v>376.42</v>
      </c>
      <c r="M582" s="28">
        <f t="shared" si="37"/>
        <v>378.67</v>
      </c>
      <c r="N582" s="28">
        <f t="shared" si="37"/>
        <v>380.66</v>
      </c>
    </row>
    <row r="583" spans="1:14" x14ac:dyDescent="0.4">
      <c r="A583" s="1">
        <v>38930</v>
      </c>
      <c r="B583" s="28">
        <v>380.48</v>
      </c>
      <c r="C583" s="28">
        <f t="shared" si="37"/>
        <v>382.28</v>
      </c>
      <c r="D583" s="28">
        <f t="shared" si="37"/>
        <v>384.03</v>
      </c>
      <c r="E583" s="28">
        <f t="shared" si="37"/>
        <v>384.92</v>
      </c>
      <c r="F583" s="28">
        <f t="shared" si="37"/>
        <v>384.36</v>
      </c>
      <c r="G583" s="28">
        <f t="shared" si="37"/>
        <v>382.56</v>
      </c>
      <c r="H583" s="28">
        <f t="shared" si="37"/>
        <v>382.02</v>
      </c>
      <c r="I583" s="28">
        <f t="shared" si="37"/>
        <v>381.37</v>
      </c>
      <c r="J583" s="28">
        <f t="shared" si="37"/>
        <v>379.96</v>
      </c>
      <c r="K583" s="28">
        <f t="shared" si="37"/>
        <v>378.31</v>
      </c>
      <c r="L583" s="28">
        <f t="shared" si="37"/>
        <v>376.8</v>
      </c>
      <c r="M583" s="28">
        <f t="shared" si="37"/>
        <v>376.42</v>
      </c>
      <c r="N583" s="28">
        <f t="shared" si="37"/>
        <v>378.67</v>
      </c>
    </row>
    <row r="584" spans="1:14" x14ac:dyDescent="0.4">
      <c r="A584" s="1">
        <v>38961</v>
      </c>
      <c r="B584" s="28">
        <v>378.81</v>
      </c>
      <c r="C584" s="28">
        <f t="shared" si="37"/>
        <v>380.48</v>
      </c>
      <c r="D584" s="28">
        <f t="shared" si="37"/>
        <v>382.28</v>
      </c>
      <c r="E584" s="28">
        <f t="shared" si="37"/>
        <v>384.03</v>
      </c>
      <c r="F584" s="28">
        <f t="shared" si="37"/>
        <v>384.92</v>
      </c>
      <c r="G584" s="28">
        <f t="shared" si="37"/>
        <v>384.36</v>
      </c>
      <c r="H584" s="28">
        <f t="shared" si="37"/>
        <v>382.56</v>
      </c>
      <c r="I584" s="28">
        <f t="shared" si="37"/>
        <v>382.02</v>
      </c>
      <c r="J584" s="28">
        <f t="shared" si="37"/>
        <v>381.37</v>
      </c>
      <c r="K584" s="28">
        <f t="shared" si="37"/>
        <v>379.96</v>
      </c>
      <c r="L584" s="28">
        <f t="shared" si="37"/>
        <v>378.31</v>
      </c>
      <c r="M584" s="28">
        <f t="shared" si="37"/>
        <v>376.8</v>
      </c>
      <c r="N584" s="28">
        <f t="shared" si="37"/>
        <v>376.42</v>
      </c>
    </row>
    <row r="585" spans="1:14" x14ac:dyDescent="0.4">
      <c r="A585" s="1">
        <v>38991</v>
      </c>
      <c r="B585" s="28">
        <v>379.06</v>
      </c>
      <c r="C585" s="28">
        <f t="shared" si="37"/>
        <v>378.81</v>
      </c>
      <c r="D585" s="28">
        <f t="shared" si="37"/>
        <v>380.48</v>
      </c>
      <c r="E585" s="28">
        <f t="shared" si="37"/>
        <v>382.28</v>
      </c>
      <c r="F585" s="28">
        <f t="shared" si="37"/>
        <v>384.03</v>
      </c>
      <c r="G585" s="28">
        <f t="shared" si="37"/>
        <v>384.92</v>
      </c>
      <c r="H585" s="28">
        <f t="shared" si="37"/>
        <v>384.36</v>
      </c>
      <c r="I585" s="28">
        <f t="shared" si="37"/>
        <v>382.56</v>
      </c>
      <c r="J585" s="28">
        <f t="shared" si="37"/>
        <v>382.02</v>
      </c>
      <c r="K585" s="28">
        <f t="shared" si="37"/>
        <v>381.37</v>
      </c>
      <c r="L585" s="28">
        <f t="shared" si="37"/>
        <v>379.96</v>
      </c>
      <c r="M585" s="28">
        <f t="shared" si="37"/>
        <v>378.31</v>
      </c>
      <c r="N585" s="28">
        <f t="shared" si="37"/>
        <v>376.8</v>
      </c>
    </row>
    <row r="586" spans="1:14" x14ac:dyDescent="0.4">
      <c r="A586" s="1">
        <v>39022</v>
      </c>
      <c r="B586" s="28">
        <v>380.14</v>
      </c>
      <c r="C586" s="28">
        <f t="shared" si="37"/>
        <v>379.06</v>
      </c>
      <c r="D586" s="28">
        <f t="shared" si="37"/>
        <v>378.81</v>
      </c>
      <c r="E586" s="28">
        <f t="shared" si="37"/>
        <v>380.48</v>
      </c>
      <c r="F586" s="28">
        <f t="shared" si="37"/>
        <v>382.28</v>
      </c>
      <c r="G586" s="28">
        <f t="shared" si="37"/>
        <v>384.03</v>
      </c>
      <c r="H586" s="28">
        <f t="shared" si="37"/>
        <v>384.92</v>
      </c>
      <c r="I586" s="28">
        <f t="shared" si="37"/>
        <v>384.36</v>
      </c>
      <c r="J586" s="28">
        <f t="shared" si="37"/>
        <v>382.56</v>
      </c>
      <c r="K586" s="28">
        <f t="shared" si="37"/>
        <v>382.02</v>
      </c>
      <c r="L586" s="28">
        <f t="shared" si="37"/>
        <v>381.37</v>
      </c>
      <c r="M586" s="28">
        <f t="shared" si="37"/>
        <v>379.96</v>
      </c>
      <c r="N586" s="28">
        <f t="shared" si="37"/>
        <v>378.31</v>
      </c>
    </row>
    <row r="587" spans="1:14" x14ac:dyDescent="0.4">
      <c r="A587" s="1">
        <v>39052</v>
      </c>
      <c r="B587" s="28">
        <v>381.66</v>
      </c>
      <c r="C587" s="28">
        <f t="shared" si="37"/>
        <v>380.14</v>
      </c>
      <c r="D587" s="28">
        <f t="shared" si="37"/>
        <v>379.06</v>
      </c>
      <c r="E587" s="28">
        <f t="shared" si="37"/>
        <v>378.81</v>
      </c>
      <c r="F587" s="28">
        <f t="shared" si="37"/>
        <v>380.48</v>
      </c>
      <c r="G587" s="28">
        <f t="shared" si="37"/>
        <v>382.28</v>
      </c>
      <c r="H587" s="28">
        <f t="shared" si="37"/>
        <v>384.03</v>
      </c>
      <c r="I587" s="28">
        <f t="shared" si="37"/>
        <v>384.92</v>
      </c>
      <c r="J587" s="28">
        <f t="shared" si="37"/>
        <v>384.36</v>
      </c>
      <c r="K587" s="28">
        <f t="shared" si="37"/>
        <v>382.56</v>
      </c>
      <c r="L587" s="28">
        <f t="shared" si="37"/>
        <v>382.02</v>
      </c>
      <c r="M587" s="28">
        <f t="shared" si="37"/>
        <v>381.37</v>
      </c>
      <c r="N587" s="28">
        <f t="shared" si="37"/>
        <v>379.96</v>
      </c>
    </row>
    <row r="588" spans="1:14" x14ac:dyDescent="0.4">
      <c r="A588" s="1">
        <v>39083</v>
      </c>
      <c r="B588" s="28">
        <v>382.58</v>
      </c>
      <c r="C588" s="28">
        <f t="shared" si="37"/>
        <v>381.66</v>
      </c>
      <c r="D588" s="28">
        <f t="shared" si="37"/>
        <v>380.14</v>
      </c>
      <c r="E588" s="28">
        <f t="shared" si="37"/>
        <v>379.06</v>
      </c>
      <c r="F588" s="28">
        <f t="shared" si="37"/>
        <v>378.81</v>
      </c>
      <c r="G588" s="28">
        <f t="shared" si="37"/>
        <v>380.48</v>
      </c>
      <c r="H588" s="28">
        <f t="shared" si="37"/>
        <v>382.28</v>
      </c>
      <c r="I588" s="28">
        <f t="shared" si="37"/>
        <v>384.03</v>
      </c>
      <c r="J588" s="28">
        <f t="shared" si="37"/>
        <v>384.92</v>
      </c>
      <c r="K588" s="28">
        <f t="shared" si="37"/>
        <v>384.36</v>
      </c>
      <c r="L588" s="28">
        <f t="shared" si="37"/>
        <v>382.56</v>
      </c>
      <c r="M588" s="28">
        <f t="shared" si="37"/>
        <v>382.02</v>
      </c>
      <c r="N588" s="28">
        <f t="shared" si="37"/>
        <v>381.37</v>
      </c>
    </row>
    <row r="589" spans="1:14" x14ac:dyDescent="0.4">
      <c r="A589" s="1">
        <v>39114</v>
      </c>
      <c r="B589" s="28">
        <v>383.71</v>
      </c>
      <c r="C589" s="28">
        <f t="shared" si="37"/>
        <v>382.58</v>
      </c>
      <c r="D589" s="28">
        <f t="shared" si="37"/>
        <v>381.66</v>
      </c>
      <c r="E589" s="28">
        <f t="shared" si="37"/>
        <v>380.14</v>
      </c>
      <c r="F589" s="28">
        <f t="shared" si="37"/>
        <v>379.06</v>
      </c>
      <c r="G589" s="28">
        <f t="shared" si="37"/>
        <v>378.81</v>
      </c>
      <c r="H589" s="28">
        <f t="shared" si="37"/>
        <v>380.48</v>
      </c>
      <c r="I589" s="28">
        <f t="shared" si="37"/>
        <v>382.28</v>
      </c>
      <c r="J589" s="28">
        <f t="shared" si="37"/>
        <v>384.03</v>
      </c>
      <c r="K589" s="28">
        <f t="shared" si="37"/>
        <v>384.92</v>
      </c>
      <c r="L589" s="28">
        <f t="shared" si="37"/>
        <v>384.36</v>
      </c>
      <c r="M589" s="28">
        <f t="shared" si="37"/>
        <v>382.56</v>
      </c>
      <c r="N589" s="28">
        <f t="shared" si="37"/>
        <v>382.02</v>
      </c>
    </row>
    <row r="590" spans="1:14" x14ac:dyDescent="0.4">
      <c r="A590" s="1">
        <v>39142</v>
      </c>
      <c r="B590" s="28">
        <v>384.34</v>
      </c>
      <c r="C590" s="28">
        <f t="shared" si="37"/>
        <v>383.71</v>
      </c>
      <c r="D590" s="28">
        <f t="shared" si="37"/>
        <v>382.58</v>
      </c>
      <c r="E590" s="28">
        <f t="shared" si="37"/>
        <v>381.66</v>
      </c>
      <c r="F590" s="28">
        <f t="shared" si="37"/>
        <v>380.14</v>
      </c>
      <c r="G590" s="28">
        <f t="shared" si="37"/>
        <v>379.06</v>
      </c>
      <c r="H590" s="28">
        <f t="shared" si="37"/>
        <v>378.81</v>
      </c>
      <c r="I590" s="28">
        <f t="shared" si="37"/>
        <v>380.48</v>
      </c>
      <c r="J590" s="28">
        <f t="shared" si="37"/>
        <v>382.28</v>
      </c>
      <c r="K590" s="28">
        <f t="shared" si="37"/>
        <v>384.03</v>
      </c>
      <c r="L590" s="28">
        <f t="shared" si="37"/>
        <v>384.92</v>
      </c>
      <c r="M590" s="28">
        <f t="shared" si="37"/>
        <v>384.36</v>
      </c>
      <c r="N590" s="28">
        <f t="shared" si="37"/>
        <v>382.56</v>
      </c>
    </row>
    <row r="591" spans="1:14" x14ac:dyDescent="0.4">
      <c r="A591" s="1">
        <v>39173</v>
      </c>
      <c r="B591" s="28">
        <v>386.23</v>
      </c>
      <c r="C591" s="28">
        <f t="shared" si="37"/>
        <v>384.34</v>
      </c>
      <c r="D591" s="28">
        <f t="shared" si="37"/>
        <v>383.71</v>
      </c>
      <c r="E591" s="28">
        <f t="shared" si="37"/>
        <v>382.58</v>
      </c>
      <c r="F591" s="28">
        <f t="shared" si="37"/>
        <v>381.66</v>
      </c>
      <c r="G591" s="28">
        <f t="shared" si="37"/>
        <v>380.14</v>
      </c>
      <c r="H591" s="28">
        <f t="shared" si="37"/>
        <v>379.06</v>
      </c>
      <c r="I591" s="28">
        <f t="shared" si="37"/>
        <v>378.81</v>
      </c>
      <c r="J591" s="28">
        <f t="shared" si="37"/>
        <v>380.48</v>
      </c>
      <c r="K591" s="28">
        <f t="shared" si="37"/>
        <v>382.28</v>
      </c>
      <c r="L591" s="28">
        <f t="shared" si="37"/>
        <v>384.03</v>
      </c>
      <c r="M591" s="28">
        <f t="shared" si="37"/>
        <v>384.92</v>
      </c>
      <c r="N591" s="28">
        <f t="shared" si="37"/>
        <v>384.36</v>
      </c>
    </row>
    <row r="592" spans="1:14" x14ac:dyDescent="0.4">
      <c r="A592" s="1">
        <v>39203</v>
      </c>
      <c r="B592" s="28">
        <v>386.41</v>
      </c>
      <c r="C592" s="28">
        <f t="shared" si="37"/>
        <v>386.23</v>
      </c>
      <c r="D592" s="28">
        <f t="shared" si="37"/>
        <v>384.34</v>
      </c>
      <c r="E592" s="28">
        <f t="shared" si="37"/>
        <v>383.71</v>
      </c>
      <c r="F592" s="28">
        <f t="shared" si="37"/>
        <v>382.58</v>
      </c>
      <c r="G592" s="28">
        <f t="shared" si="37"/>
        <v>381.66</v>
      </c>
      <c r="H592" s="28">
        <f t="shared" si="37"/>
        <v>380.14</v>
      </c>
      <c r="I592" s="28">
        <f t="shared" si="37"/>
        <v>379.06</v>
      </c>
      <c r="J592" s="28">
        <f t="shared" si="37"/>
        <v>378.81</v>
      </c>
      <c r="K592" s="28">
        <f t="shared" si="37"/>
        <v>380.48</v>
      </c>
      <c r="L592" s="28">
        <f t="shared" si="37"/>
        <v>382.28</v>
      </c>
      <c r="M592" s="28">
        <f t="shared" si="37"/>
        <v>384.03</v>
      </c>
      <c r="N592" s="28">
        <f t="shared" si="37"/>
        <v>384.92</v>
      </c>
    </row>
    <row r="593" spans="1:14" x14ac:dyDescent="0.4">
      <c r="A593" s="1">
        <v>39234</v>
      </c>
      <c r="B593" s="28">
        <v>385.87</v>
      </c>
      <c r="C593" s="28">
        <f t="shared" si="37"/>
        <v>386.41</v>
      </c>
      <c r="D593" s="28">
        <f t="shared" si="37"/>
        <v>386.23</v>
      </c>
      <c r="E593" s="28">
        <f t="shared" si="37"/>
        <v>384.34</v>
      </c>
      <c r="F593" s="28">
        <f t="shared" si="37"/>
        <v>383.71</v>
      </c>
      <c r="G593" s="28">
        <f t="shared" si="37"/>
        <v>382.58</v>
      </c>
      <c r="H593" s="28">
        <f t="shared" si="37"/>
        <v>381.66</v>
      </c>
      <c r="I593" s="28">
        <f t="shared" si="37"/>
        <v>380.14</v>
      </c>
      <c r="J593" s="28">
        <f t="shared" si="37"/>
        <v>379.06</v>
      </c>
      <c r="K593" s="28">
        <f t="shared" si="37"/>
        <v>378.81</v>
      </c>
      <c r="L593" s="28">
        <f t="shared" si="37"/>
        <v>380.48</v>
      </c>
      <c r="M593" s="28">
        <f t="shared" si="37"/>
        <v>382.28</v>
      </c>
      <c r="N593" s="28">
        <f t="shared" si="37"/>
        <v>384.03</v>
      </c>
    </row>
    <row r="594" spans="1:14" x14ac:dyDescent="0.4">
      <c r="A594" s="1">
        <v>39264</v>
      </c>
      <c r="B594" s="28">
        <v>384.44</v>
      </c>
      <c r="C594" s="28">
        <f t="shared" si="37"/>
        <v>385.87</v>
      </c>
      <c r="D594" s="28">
        <f t="shared" si="37"/>
        <v>386.41</v>
      </c>
      <c r="E594" s="28">
        <f t="shared" si="37"/>
        <v>386.23</v>
      </c>
      <c r="F594" s="28">
        <f t="shared" si="37"/>
        <v>384.34</v>
      </c>
      <c r="G594" s="28">
        <f t="shared" si="37"/>
        <v>383.71</v>
      </c>
      <c r="H594" s="28">
        <f t="shared" si="37"/>
        <v>382.58</v>
      </c>
      <c r="I594" s="28">
        <f t="shared" si="37"/>
        <v>381.66</v>
      </c>
      <c r="J594" s="28">
        <f t="shared" si="37"/>
        <v>380.14</v>
      </c>
      <c r="K594" s="28">
        <f t="shared" si="37"/>
        <v>379.06</v>
      </c>
      <c r="L594" s="28">
        <f t="shared" si="37"/>
        <v>378.81</v>
      </c>
      <c r="M594" s="28">
        <f t="shared" si="37"/>
        <v>380.48</v>
      </c>
      <c r="N594" s="28">
        <f t="shared" si="37"/>
        <v>382.28</v>
      </c>
    </row>
    <row r="595" spans="1:14" x14ac:dyDescent="0.4">
      <c r="A595" s="1">
        <v>39295</v>
      </c>
      <c r="B595" s="28">
        <v>381.84</v>
      </c>
      <c r="C595" s="28">
        <f t="shared" si="37"/>
        <v>384.44</v>
      </c>
      <c r="D595" s="28">
        <f t="shared" si="37"/>
        <v>385.87</v>
      </c>
      <c r="E595" s="28">
        <f t="shared" si="37"/>
        <v>386.41</v>
      </c>
      <c r="F595" s="28">
        <f t="shared" si="37"/>
        <v>386.23</v>
      </c>
      <c r="G595" s="28">
        <f t="shared" si="37"/>
        <v>384.34</v>
      </c>
      <c r="H595" s="28">
        <f t="shared" si="37"/>
        <v>383.71</v>
      </c>
      <c r="I595" s="28">
        <f t="shared" si="37"/>
        <v>382.58</v>
      </c>
      <c r="J595" s="28">
        <f t="shared" si="37"/>
        <v>381.66</v>
      </c>
      <c r="K595" s="28">
        <f t="shared" si="37"/>
        <v>380.14</v>
      </c>
      <c r="L595" s="28">
        <f t="shared" si="37"/>
        <v>379.06</v>
      </c>
      <c r="M595" s="28">
        <f t="shared" si="37"/>
        <v>378.81</v>
      </c>
      <c r="N595" s="28">
        <f t="shared" si="37"/>
        <v>380.48</v>
      </c>
    </row>
    <row r="596" spans="1:14" x14ac:dyDescent="0.4">
      <c r="A596" s="1">
        <v>39326</v>
      </c>
      <c r="B596" s="28">
        <v>380.86</v>
      </c>
      <c r="C596" s="28">
        <f t="shared" si="37"/>
        <v>381.84</v>
      </c>
      <c r="D596" s="28">
        <f t="shared" si="37"/>
        <v>384.44</v>
      </c>
      <c r="E596" s="28">
        <f t="shared" si="37"/>
        <v>385.87</v>
      </c>
      <c r="F596" s="28">
        <f t="shared" si="37"/>
        <v>386.41</v>
      </c>
      <c r="G596" s="28">
        <f t="shared" si="37"/>
        <v>386.23</v>
      </c>
      <c r="H596" s="28">
        <f t="shared" si="37"/>
        <v>384.34</v>
      </c>
      <c r="I596" s="28">
        <f t="shared" si="37"/>
        <v>383.71</v>
      </c>
      <c r="J596" s="28">
        <f t="shared" si="37"/>
        <v>382.58</v>
      </c>
      <c r="K596" s="28">
        <f t="shared" si="37"/>
        <v>381.66</v>
      </c>
      <c r="L596" s="28">
        <f t="shared" si="37"/>
        <v>380.14</v>
      </c>
      <c r="M596" s="28">
        <f t="shared" si="37"/>
        <v>379.06</v>
      </c>
      <c r="N596" s="28">
        <f t="shared" si="37"/>
        <v>378.81</v>
      </c>
    </row>
    <row r="597" spans="1:14" x14ac:dyDescent="0.4">
      <c r="A597" s="1">
        <v>39356</v>
      </c>
      <c r="B597" s="28">
        <v>380.86</v>
      </c>
      <c r="C597" s="28">
        <f t="shared" si="37"/>
        <v>380.86</v>
      </c>
      <c r="D597" s="28">
        <f t="shared" si="37"/>
        <v>381.84</v>
      </c>
      <c r="E597" s="28">
        <f t="shared" si="37"/>
        <v>384.44</v>
      </c>
      <c r="F597" s="28">
        <f t="shared" si="37"/>
        <v>385.87</v>
      </c>
      <c r="G597" s="28">
        <f t="shared" si="37"/>
        <v>386.41</v>
      </c>
      <c r="H597" s="28">
        <f t="shared" ref="D597:N612" si="38">IF(G596=0,"",G596)</f>
        <v>386.23</v>
      </c>
      <c r="I597" s="28">
        <f t="shared" si="38"/>
        <v>384.34</v>
      </c>
      <c r="J597" s="28">
        <f t="shared" si="38"/>
        <v>383.71</v>
      </c>
      <c r="K597" s="28">
        <f t="shared" si="38"/>
        <v>382.58</v>
      </c>
      <c r="L597" s="28">
        <f t="shared" si="38"/>
        <v>381.66</v>
      </c>
      <c r="M597" s="28">
        <f t="shared" si="38"/>
        <v>380.14</v>
      </c>
      <c r="N597" s="28">
        <f t="shared" si="38"/>
        <v>379.06</v>
      </c>
    </row>
    <row r="598" spans="1:14" x14ac:dyDescent="0.4">
      <c r="A598" s="1">
        <v>39387</v>
      </c>
      <c r="B598" s="28">
        <v>382.36</v>
      </c>
      <c r="C598" s="28">
        <f t="shared" si="37"/>
        <v>380.86</v>
      </c>
      <c r="D598" s="28">
        <f t="shared" si="38"/>
        <v>380.86</v>
      </c>
      <c r="E598" s="28">
        <f t="shared" si="38"/>
        <v>381.84</v>
      </c>
      <c r="F598" s="28">
        <f t="shared" si="38"/>
        <v>384.44</v>
      </c>
      <c r="G598" s="28">
        <f t="shared" si="38"/>
        <v>385.87</v>
      </c>
      <c r="H598" s="28">
        <f t="shared" si="38"/>
        <v>386.41</v>
      </c>
      <c r="I598" s="28">
        <f t="shared" si="38"/>
        <v>386.23</v>
      </c>
      <c r="J598" s="28">
        <f t="shared" si="38"/>
        <v>384.34</v>
      </c>
      <c r="K598" s="28">
        <f t="shared" si="38"/>
        <v>383.71</v>
      </c>
      <c r="L598" s="28">
        <f t="shared" si="38"/>
        <v>382.58</v>
      </c>
      <c r="M598" s="28">
        <f t="shared" si="38"/>
        <v>381.66</v>
      </c>
      <c r="N598" s="28">
        <f t="shared" si="38"/>
        <v>380.14</v>
      </c>
    </row>
    <row r="599" spans="1:14" x14ac:dyDescent="0.4">
      <c r="A599" s="1">
        <v>39417</v>
      </c>
      <c r="B599" s="28">
        <v>383.61</v>
      </c>
      <c r="C599" s="28">
        <f t="shared" si="37"/>
        <v>382.36</v>
      </c>
      <c r="D599" s="28">
        <f t="shared" si="38"/>
        <v>380.86</v>
      </c>
      <c r="E599" s="28">
        <f t="shared" si="38"/>
        <v>380.86</v>
      </c>
      <c r="F599" s="28">
        <f t="shared" si="38"/>
        <v>381.84</v>
      </c>
      <c r="G599" s="28">
        <f t="shared" si="38"/>
        <v>384.44</v>
      </c>
      <c r="H599" s="28">
        <f t="shared" si="38"/>
        <v>385.87</v>
      </c>
      <c r="I599" s="28">
        <f t="shared" si="38"/>
        <v>386.41</v>
      </c>
      <c r="J599" s="28">
        <f t="shared" si="38"/>
        <v>386.23</v>
      </c>
      <c r="K599" s="28">
        <f t="shared" si="38"/>
        <v>384.34</v>
      </c>
      <c r="L599" s="28">
        <f t="shared" si="38"/>
        <v>383.71</v>
      </c>
      <c r="M599" s="28">
        <f t="shared" si="38"/>
        <v>382.58</v>
      </c>
      <c r="N599" s="28">
        <f t="shared" si="38"/>
        <v>381.66</v>
      </c>
    </row>
    <row r="600" spans="1:14" x14ac:dyDescent="0.4">
      <c r="A600" s="1">
        <v>39448</v>
      </c>
      <c r="B600" s="28">
        <v>385.07</v>
      </c>
      <c r="C600" s="28">
        <f t="shared" si="37"/>
        <v>383.61</v>
      </c>
      <c r="D600" s="28">
        <f t="shared" si="38"/>
        <v>382.36</v>
      </c>
      <c r="E600" s="28">
        <f t="shared" si="38"/>
        <v>380.86</v>
      </c>
      <c r="F600" s="28">
        <f t="shared" si="38"/>
        <v>380.86</v>
      </c>
      <c r="G600" s="28">
        <f t="shared" si="38"/>
        <v>381.84</v>
      </c>
      <c r="H600" s="28">
        <f t="shared" si="38"/>
        <v>384.44</v>
      </c>
      <c r="I600" s="28">
        <f t="shared" si="38"/>
        <v>385.87</v>
      </c>
      <c r="J600" s="28">
        <f t="shared" si="38"/>
        <v>386.41</v>
      </c>
      <c r="K600" s="28">
        <f t="shared" si="38"/>
        <v>386.23</v>
      </c>
      <c r="L600" s="28">
        <f t="shared" si="38"/>
        <v>384.34</v>
      </c>
      <c r="M600" s="28">
        <f t="shared" si="38"/>
        <v>383.71</v>
      </c>
      <c r="N600" s="28">
        <f t="shared" si="38"/>
        <v>382.58</v>
      </c>
    </row>
    <row r="601" spans="1:14" x14ac:dyDescent="0.4">
      <c r="A601" s="1">
        <v>39479</v>
      </c>
      <c r="B601" s="28">
        <v>385.84</v>
      </c>
      <c r="C601" s="28">
        <f t="shared" si="37"/>
        <v>385.07</v>
      </c>
      <c r="D601" s="28">
        <f t="shared" si="38"/>
        <v>383.61</v>
      </c>
      <c r="E601" s="28">
        <f t="shared" si="38"/>
        <v>382.36</v>
      </c>
      <c r="F601" s="28">
        <f t="shared" si="38"/>
        <v>380.86</v>
      </c>
      <c r="G601" s="28">
        <f t="shared" si="38"/>
        <v>380.86</v>
      </c>
      <c r="H601" s="28">
        <f t="shared" si="38"/>
        <v>381.84</v>
      </c>
      <c r="I601" s="28">
        <f t="shared" si="38"/>
        <v>384.44</v>
      </c>
      <c r="J601" s="28">
        <f t="shared" si="38"/>
        <v>385.87</v>
      </c>
      <c r="K601" s="28">
        <f t="shared" si="38"/>
        <v>386.41</v>
      </c>
      <c r="L601" s="28">
        <f t="shared" si="38"/>
        <v>386.23</v>
      </c>
      <c r="M601" s="28">
        <f t="shared" si="38"/>
        <v>384.34</v>
      </c>
      <c r="N601" s="28">
        <f t="shared" si="38"/>
        <v>383.71</v>
      </c>
    </row>
    <row r="602" spans="1:14" x14ac:dyDescent="0.4">
      <c r="A602" s="1">
        <v>39508</v>
      </c>
      <c r="B602" s="28">
        <v>385.83</v>
      </c>
      <c r="C602" s="28">
        <f t="shared" si="37"/>
        <v>385.84</v>
      </c>
      <c r="D602" s="28">
        <f t="shared" si="38"/>
        <v>385.07</v>
      </c>
      <c r="E602" s="28">
        <f t="shared" si="38"/>
        <v>383.61</v>
      </c>
      <c r="F602" s="28">
        <f t="shared" si="38"/>
        <v>382.36</v>
      </c>
      <c r="G602" s="28">
        <f t="shared" si="38"/>
        <v>380.86</v>
      </c>
      <c r="H602" s="28">
        <f t="shared" si="38"/>
        <v>380.86</v>
      </c>
      <c r="I602" s="28">
        <f t="shared" si="38"/>
        <v>381.84</v>
      </c>
      <c r="J602" s="28">
        <f t="shared" si="38"/>
        <v>384.44</v>
      </c>
      <c r="K602" s="28">
        <f t="shared" si="38"/>
        <v>385.87</v>
      </c>
      <c r="L602" s="28">
        <f t="shared" si="38"/>
        <v>386.41</v>
      </c>
      <c r="M602" s="28">
        <f t="shared" si="38"/>
        <v>386.23</v>
      </c>
      <c r="N602" s="28">
        <f t="shared" si="38"/>
        <v>384.34</v>
      </c>
    </row>
    <row r="603" spans="1:14" x14ac:dyDescent="0.4">
      <c r="A603" s="1">
        <v>39539</v>
      </c>
      <c r="B603" s="28">
        <v>386.77</v>
      </c>
      <c r="C603" s="28">
        <f t="shared" si="37"/>
        <v>385.83</v>
      </c>
      <c r="D603" s="28">
        <f t="shared" si="38"/>
        <v>385.84</v>
      </c>
      <c r="E603" s="28">
        <f t="shared" si="38"/>
        <v>385.07</v>
      </c>
      <c r="F603" s="28">
        <f t="shared" si="38"/>
        <v>383.61</v>
      </c>
      <c r="G603" s="28">
        <f t="shared" si="38"/>
        <v>382.36</v>
      </c>
      <c r="H603" s="28">
        <f t="shared" si="38"/>
        <v>380.86</v>
      </c>
      <c r="I603" s="28">
        <f t="shared" si="38"/>
        <v>380.86</v>
      </c>
      <c r="J603" s="28">
        <f t="shared" si="38"/>
        <v>381.84</v>
      </c>
      <c r="K603" s="28">
        <f t="shared" si="38"/>
        <v>384.44</v>
      </c>
      <c r="L603" s="28">
        <f t="shared" si="38"/>
        <v>385.87</v>
      </c>
      <c r="M603" s="28">
        <f t="shared" si="38"/>
        <v>386.41</v>
      </c>
      <c r="N603" s="28">
        <f t="shared" si="38"/>
        <v>386.23</v>
      </c>
    </row>
    <row r="604" spans="1:14" x14ac:dyDescent="0.4">
      <c r="A604" s="1">
        <v>39569</v>
      </c>
      <c r="B604" s="28">
        <v>388.51</v>
      </c>
      <c r="C604" s="28">
        <f t="shared" si="37"/>
        <v>386.77</v>
      </c>
      <c r="D604" s="28">
        <f t="shared" si="38"/>
        <v>385.83</v>
      </c>
      <c r="E604" s="28">
        <f t="shared" si="38"/>
        <v>385.84</v>
      </c>
      <c r="F604" s="28">
        <f t="shared" si="38"/>
        <v>385.07</v>
      </c>
      <c r="G604" s="28">
        <f t="shared" si="38"/>
        <v>383.61</v>
      </c>
      <c r="H604" s="28">
        <f t="shared" si="38"/>
        <v>382.36</v>
      </c>
      <c r="I604" s="28">
        <f t="shared" si="38"/>
        <v>380.86</v>
      </c>
      <c r="J604" s="28">
        <f t="shared" si="38"/>
        <v>380.86</v>
      </c>
      <c r="K604" s="28">
        <f t="shared" si="38"/>
        <v>381.84</v>
      </c>
      <c r="L604" s="28">
        <f t="shared" si="38"/>
        <v>384.44</v>
      </c>
      <c r="M604" s="28">
        <f t="shared" si="38"/>
        <v>385.87</v>
      </c>
      <c r="N604" s="28">
        <f t="shared" si="38"/>
        <v>386.41</v>
      </c>
    </row>
    <row r="605" spans="1:14" x14ac:dyDescent="0.4">
      <c r="A605" s="1">
        <v>39600</v>
      </c>
      <c r="B605" s="28">
        <v>388.05</v>
      </c>
      <c r="C605" s="28">
        <f t="shared" si="37"/>
        <v>388.51</v>
      </c>
      <c r="D605" s="28">
        <f t="shared" si="38"/>
        <v>386.77</v>
      </c>
      <c r="E605" s="28">
        <f t="shared" si="38"/>
        <v>385.83</v>
      </c>
      <c r="F605" s="28">
        <f t="shared" si="38"/>
        <v>385.84</v>
      </c>
      <c r="G605" s="28">
        <f t="shared" si="38"/>
        <v>385.07</v>
      </c>
      <c r="H605" s="28">
        <f t="shared" si="38"/>
        <v>383.61</v>
      </c>
      <c r="I605" s="28">
        <f t="shared" si="38"/>
        <v>382.36</v>
      </c>
      <c r="J605" s="28">
        <f t="shared" si="38"/>
        <v>380.86</v>
      </c>
      <c r="K605" s="28">
        <f t="shared" si="38"/>
        <v>380.86</v>
      </c>
      <c r="L605" s="28">
        <f t="shared" si="38"/>
        <v>381.84</v>
      </c>
      <c r="M605" s="28">
        <f t="shared" si="38"/>
        <v>384.44</v>
      </c>
      <c r="N605" s="28">
        <f t="shared" si="38"/>
        <v>385.87</v>
      </c>
    </row>
    <row r="606" spans="1:14" x14ac:dyDescent="0.4">
      <c r="A606" s="1">
        <v>39630</v>
      </c>
      <c r="B606" s="28">
        <v>386.25</v>
      </c>
      <c r="C606" s="28">
        <f t="shared" si="37"/>
        <v>388.05</v>
      </c>
      <c r="D606" s="28">
        <f t="shared" si="38"/>
        <v>388.51</v>
      </c>
      <c r="E606" s="28">
        <f t="shared" si="38"/>
        <v>386.77</v>
      </c>
      <c r="F606" s="28">
        <f t="shared" si="38"/>
        <v>385.83</v>
      </c>
      <c r="G606" s="28">
        <f t="shared" si="38"/>
        <v>385.84</v>
      </c>
      <c r="H606" s="28">
        <f t="shared" si="38"/>
        <v>385.07</v>
      </c>
      <c r="I606" s="28">
        <f t="shared" si="38"/>
        <v>383.61</v>
      </c>
      <c r="J606" s="28">
        <f t="shared" si="38"/>
        <v>382.36</v>
      </c>
      <c r="K606" s="28">
        <f t="shared" si="38"/>
        <v>380.86</v>
      </c>
      <c r="L606" s="28">
        <f t="shared" si="38"/>
        <v>380.86</v>
      </c>
      <c r="M606" s="28">
        <f t="shared" si="38"/>
        <v>381.84</v>
      </c>
      <c r="N606" s="28">
        <f t="shared" si="38"/>
        <v>384.44</v>
      </c>
    </row>
    <row r="607" spans="1:14" x14ac:dyDescent="0.4">
      <c r="A607" s="1">
        <v>39661</v>
      </c>
      <c r="B607" s="28">
        <v>384.08</v>
      </c>
      <c r="C607" s="28">
        <f t="shared" si="37"/>
        <v>386.25</v>
      </c>
      <c r="D607" s="28">
        <f t="shared" si="38"/>
        <v>388.05</v>
      </c>
      <c r="E607" s="28">
        <f t="shared" si="38"/>
        <v>388.51</v>
      </c>
      <c r="F607" s="28">
        <f t="shared" si="38"/>
        <v>386.77</v>
      </c>
      <c r="G607" s="28">
        <f t="shared" si="38"/>
        <v>385.83</v>
      </c>
      <c r="H607" s="28">
        <f t="shared" si="38"/>
        <v>385.84</v>
      </c>
      <c r="I607" s="28">
        <f t="shared" si="38"/>
        <v>385.07</v>
      </c>
      <c r="J607" s="28">
        <f t="shared" si="38"/>
        <v>383.61</v>
      </c>
      <c r="K607" s="28">
        <f t="shared" si="38"/>
        <v>382.36</v>
      </c>
      <c r="L607" s="28">
        <f t="shared" si="38"/>
        <v>380.86</v>
      </c>
      <c r="M607" s="28">
        <f t="shared" si="38"/>
        <v>380.86</v>
      </c>
      <c r="N607" s="28">
        <f t="shared" si="38"/>
        <v>381.84</v>
      </c>
    </row>
    <row r="608" spans="1:14" x14ac:dyDescent="0.4">
      <c r="A608" s="1">
        <v>39692</v>
      </c>
      <c r="B608" s="28">
        <v>383.09</v>
      </c>
      <c r="C608" s="28">
        <f t="shared" si="37"/>
        <v>384.08</v>
      </c>
      <c r="D608" s="28">
        <f t="shared" si="38"/>
        <v>386.25</v>
      </c>
      <c r="E608" s="28">
        <f t="shared" si="38"/>
        <v>388.05</v>
      </c>
      <c r="F608" s="28">
        <f t="shared" si="38"/>
        <v>388.51</v>
      </c>
      <c r="G608" s="28">
        <f t="shared" si="38"/>
        <v>386.77</v>
      </c>
      <c r="H608" s="28">
        <f t="shared" si="38"/>
        <v>385.83</v>
      </c>
      <c r="I608" s="28">
        <f t="shared" si="38"/>
        <v>385.84</v>
      </c>
      <c r="J608" s="28">
        <f t="shared" si="38"/>
        <v>385.07</v>
      </c>
      <c r="K608" s="28">
        <f t="shared" si="38"/>
        <v>383.61</v>
      </c>
      <c r="L608" s="28">
        <f t="shared" si="38"/>
        <v>382.36</v>
      </c>
      <c r="M608" s="28">
        <f t="shared" si="38"/>
        <v>380.86</v>
      </c>
      <c r="N608" s="28">
        <f t="shared" si="38"/>
        <v>380.86</v>
      </c>
    </row>
    <row r="609" spans="1:14" x14ac:dyDescent="0.4">
      <c r="A609" s="1">
        <v>39722</v>
      </c>
      <c r="B609" s="28">
        <v>382.78</v>
      </c>
      <c r="C609" s="28">
        <f t="shared" si="37"/>
        <v>383.09</v>
      </c>
      <c r="D609" s="28">
        <f t="shared" si="38"/>
        <v>384.08</v>
      </c>
      <c r="E609" s="28">
        <f t="shared" si="38"/>
        <v>386.25</v>
      </c>
      <c r="F609" s="28">
        <f t="shared" si="38"/>
        <v>388.05</v>
      </c>
      <c r="G609" s="28">
        <f t="shared" si="38"/>
        <v>388.51</v>
      </c>
      <c r="H609" s="28">
        <f t="shared" si="38"/>
        <v>386.77</v>
      </c>
      <c r="I609" s="28">
        <f t="shared" si="38"/>
        <v>385.83</v>
      </c>
      <c r="J609" s="28">
        <f t="shared" si="38"/>
        <v>385.84</v>
      </c>
      <c r="K609" s="28">
        <f t="shared" si="38"/>
        <v>385.07</v>
      </c>
      <c r="L609" s="28">
        <f t="shared" si="38"/>
        <v>383.61</v>
      </c>
      <c r="M609" s="28">
        <f t="shared" si="38"/>
        <v>382.36</v>
      </c>
      <c r="N609" s="28">
        <f t="shared" si="38"/>
        <v>380.86</v>
      </c>
    </row>
    <row r="610" spans="1:14" x14ac:dyDescent="0.4">
      <c r="A610" s="1">
        <v>39753</v>
      </c>
      <c r="B610" s="28">
        <v>384.01</v>
      </c>
      <c r="C610" s="28">
        <f t="shared" si="37"/>
        <v>382.78</v>
      </c>
      <c r="D610" s="28">
        <f t="shared" si="38"/>
        <v>383.09</v>
      </c>
      <c r="E610" s="28">
        <f t="shared" si="38"/>
        <v>384.08</v>
      </c>
      <c r="F610" s="28">
        <f t="shared" si="38"/>
        <v>386.25</v>
      </c>
      <c r="G610" s="28">
        <f t="shared" si="38"/>
        <v>388.05</v>
      </c>
      <c r="H610" s="28">
        <f t="shared" si="38"/>
        <v>388.51</v>
      </c>
      <c r="I610" s="28">
        <f t="shared" si="38"/>
        <v>386.77</v>
      </c>
      <c r="J610" s="28">
        <f t="shared" si="38"/>
        <v>385.83</v>
      </c>
      <c r="K610" s="28">
        <f t="shared" si="38"/>
        <v>385.84</v>
      </c>
      <c r="L610" s="28">
        <f t="shared" si="38"/>
        <v>385.07</v>
      </c>
      <c r="M610" s="28">
        <f t="shared" si="38"/>
        <v>383.61</v>
      </c>
      <c r="N610" s="28">
        <f t="shared" si="38"/>
        <v>382.36</v>
      </c>
    </row>
    <row r="611" spans="1:14" x14ac:dyDescent="0.4">
      <c r="A611" s="1">
        <v>39783</v>
      </c>
      <c r="B611" s="28">
        <v>385.11</v>
      </c>
      <c r="C611" s="28">
        <f t="shared" si="37"/>
        <v>384.01</v>
      </c>
      <c r="D611" s="28">
        <f t="shared" si="38"/>
        <v>382.78</v>
      </c>
      <c r="E611" s="28">
        <f t="shared" si="38"/>
        <v>383.09</v>
      </c>
      <c r="F611" s="28">
        <f t="shared" si="38"/>
        <v>384.08</v>
      </c>
      <c r="G611" s="28">
        <f t="shared" si="38"/>
        <v>386.25</v>
      </c>
      <c r="H611" s="28">
        <f t="shared" si="38"/>
        <v>388.05</v>
      </c>
      <c r="I611" s="28">
        <f t="shared" si="38"/>
        <v>388.51</v>
      </c>
      <c r="J611" s="28">
        <f t="shared" si="38"/>
        <v>386.77</v>
      </c>
      <c r="K611" s="28">
        <f t="shared" si="38"/>
        <v>385.83</v>
      </c>
      <c r="L611" s="28">
        <f t="shared" si="38"/>
        <v>385.84</v>
      </c>
      <c r="M611" s="28">
        <f t="shared" si="38"/>
        <v>385.07</v>
      </c>
      <c r="N611" s="28">
        <f t="shared" si="38"/>
        <v>383.61</v>
      </c>
    </row>
    <row r="612" spans="1:14" x14ac:dyDescent="0.4">
      <c r="A612" s="1">
        <v>39814</v>
      </c>
      <c r="B612" s="28">
        <v>386.65</v>
      </c>
      <c r="C612" s="28">
        <f t="shared" si="37"/>
        <v>385.11</v>
      </c>
      <c r="D612" s="28">
        <f t="shared" si="38"/>
        <v>384.01</v>
      </c>
      <c r="E612" s="28">
        <f t="shared" si="38"/>
        <v>382.78</v>
      </c>
      <c r="F612" s="28">
        <f t="shared" si="38"/>
        <v>383.09</v>
      </c>
      <c r="G612" s="28">
        <f t="shared" si="38"/>
        <v>384.08</v>
      </c>
      <c r="H612" s="28">
        <f t="shared" si="38"/>
        <v>386.25</v>
      </c>
      <c r="I612" s="28">
        <f t="shared" si="38"/>
        <v>388.05</v>
      </c>
      <c r="J612" s="28">
        <f t="shared" si="38"/>
        <v>388.51</v>
      </c>
      <c r="K612" s="28">
        <f t="shared" si="38"/>
        <v>386.77</v>
      </c>
      <c r="L612" s="28">
        <f t="shared" si="38"/>
        <v>385.83</v>
      </c>
      <c r="M612" s="28">
        <f t="shared" si="38"/>
        <v>385.84</v>
      </c>
      <c r="N612" s="28">
        <f t="shared" si="38"/>
        <v>385.07</v>
      </c>
    </row>
    <row r="613" spans="1:14" x14ac:dyDescent="0.4">
      <c r="A613" s="1">
        <v>39845</v>
      </c>
      <c r="B613" s="28">
        <v>387.12</v>
      </c>
      <c r="C613" s="28">
        <f t="shared" si="37"/>
        <v>386.65</v>
      </c>
      <c r="D613" s="28">
        <f t="shared" ref="D613:N628" si="39">IF(C612=0,"",C612)</f>
        <v>385.11</v>
      </c>
      <c r="E613" s="28">
        <f t="shared" si="39"/>
        <v>384.01</v>
      </c>
      <c r="F613" s="28">
        <f t="shared" si="39"/>
        <v>382.78</v>
      </c>
      <c r="G613" s="28">
        <f t="shared" si="39"/>
        <v>383.09</v>
      </c>
      <c r="H613" s="28">
        <f t="shared" si="39"/>
        <v>384.08</v>
      </c>
      <c r="I613" s="28">
        <f t="shared" si="39"/>
        <v>386.25</v>
      </c>
      <c r="J613" s="28">
        <f t="shared" si="39"/>
        <v>388.05</v>
      </c>
      <c r="K613" s="28">
        <f t="shared" si="39"/>
        <v>388.51</v>
      </c>
      <c r="L613" s="28">
        <f t="shared" si="39"/>
        <v>386.77</v>
      </c>
      <c r="M613" s="28">
        <f t="shared" si="39"/>
        <v>385.83</v>
      </c>
      <c r="N613" s="28">
        <f t="shared" si="39"/>
        <v>385.84</v>
      </c>
    </row>
    <row r="614" spans="1:14" x14ac:dyDescent="0.4">
      <c r="A614" s="1">
        <v>39873</v>
      </c>
      <c r="B614" s="28">
        <v>388.52</v>
      </c>
      <c r="C614" s="28">
        <f t="shared" si="37"/>
        <v>387.12</v>
      </c>
      <c r="D614" s="28">
        <f t="shared" si="39"/>
        <v>386.65</v>
      </c>
      <c r="E614" s="28">
        <f t="shared" si="39"/>
        <v>385.11</v>
      </c>
      <c r="F614" s="28">
        <f t="shared" si="39"/>
        <v>384.01</v>
      </c>
      <c r="G614" s="28">
        <f t="shared" si="39"/>
        <v>382.78</v>
      </c>
      <c r="H614" s="28">
        <f t="shared" si="39"/>
        <v>383.09</v>
      </c>
      <c r="I614" s="28">
        <f t="shared" si="39"/>
        <v>384.08</v>
      </c>
      <c r="J614" s="28">
        <f t="shared" si="39"/>
        <v>386.25</v>
      </c>
      <c r="K614" s="28">
        <f t="shared" si="39"/>
        <v>388.05</v>
      </c>
      <c r="L614" s="28">
        <f t="shared" si="39"/>
        <v>388.51</v>
      </c>
      <c r="M614" s="28">
        <f t="shared" si="39"/>
        <v>386.77</v>
      </c>
      <c r="N614" s="28">
        <f t="shared" si="39"/>
        <v>385.83</v>
      </c>
    </row>
    <row r="615" spans="1:14" x14ac:dyDescent="0.4">
      <c r="A615" s="1">
        <v>39904</v>
      </c>
      <c r="B615" s="28">
        <v>389.57</v>
      </c>
      <c r="C615" s="28">
        <f t="shared" si="37"/>
        <v>388.52</v>
      </c>
      <c r="D615" s="28">
        <f t="shared" si="39"/>
        <v>387.12</v>
      </c>
      <c r="E615" s="28">
        <f t="shared" si="39"/>
        <v>386.65</v>
      </c>
      <c r="F615" s="28">
        <f t="shared" si="39"/>
        <v>385.11</v>
      </c>
      <c r="G615" s="28">
        <f t="shared" si="39"/>
        <v>384.01</v>
      </c>
      <c r="H615" s="28">
        <f t="shared" si="39"/>
        <v>382.78</v>
      </c>
      <c r="I615" s="28">
        <f t="shared" si="39"/>
        <v>383.09</v>
      </c>
      <c r="J615" s="28">
        <f t="shared" si="39"/>
        <v>384.08</v>
      </c>
      <c r="K615" s="28">
        <f t="shared" si="39"/>
        <v>386.25</v>
      </c>
      <c r="L615" s="28">
        <f t="shared" si="39"/>
        <v>388.05</v>
      </c>
      <c r="M615" s="28">
        <f t="shared" si="39"/>
        <v>388.51</v>
      </c>
      <c r="N615" s="28">
        <f t="shared" si="39"/>
        <v>386.77</v>
      </c>
    </row>
    <row r="616" spans="1:14" x14ac:dyDescent="0.4">
      <c r="A616" s="1">
        <v>39934</v>
      </c>
      <c r="B616" s="28">
        <v>390.17</v>
      </c>
      <c r="C616" s="28">
        <f t="shared" si="37"/>
        <v>389.57</v>
      </c>
      <c r="D616" s="28">
        <f t="shared" si="39"/>
        <v>388.52</v>
      </c>
      <c r="E616" s="28">
        <f t="shared" si="39"/>
        <v>387.12</v>
      </c>
      <c r="F616" s="28">
        <f t="shared" si="39"/>
        <v>386.65</v>
      </c>
      <c r="G616" s="28">
        <f t="shared" si="39"/>
        <v>385.11</v>
      </c>
      <c r="H616" s="28">
        <f t="shared" si="39"/>
        <v>384.01</v>
      </c>
      <c r="I616" s="28">
        <f t="shared" si="39"/>
        <v>382.78</v>
      </c>
      <c r="J616" s="28">
        <f t="shared" si="39"/>
        <v>383.09</v>
      </c>
      <c r="K616" s="28">
        <f t="shared" si="39"/>
        <v>384.08</v>
      </c>
      <c r="L616" s="28">
        <f t="shared" si="39"/>
        <v>386.25</v>
      </c>
      <c r="M616" s="28">
        <f t="shared" si="39"/>
        <v>388.05</v>
      </c>
      <c r="N616" s="28">
        <f t="shared" si="39"/>
        <v>388.51</v>
      </c>
    </row>
    <row r="617" spans="1:14" x14ac:dyDescent="0.4">
      <c r="A617" s="1">
        <v>39965</v>
      </c>
      <c r="B617" s="28">
        <v>389.62</v>
      </c>
      <c r="C617" s="28">
        <f t="shared" si="37"/>
        <v>390.17</v>
      </c>
      <c r="D617" s="28">
        <f t="shared" si="39"/>
        <v>389.57</v>
      </c>
      <c r="E617" s="28">
        <f t="shared" si="39"/>
        <v>388.52</v>
      </c>
      <c r="F617" s="28">
        <f t="shared" si="39"/>
        <v>387.12</v>
      </c>
      <c r="G617" s="28">
        <f t="shared" si="39"/>
        <v>386.65</v>
      </c>
      <c r="H617" s="28">
        <f t="shared" si="39"/>
        <v>385.11</v>
      </c>
      <c r="I617" s="28">
        <f t="shared" si="39"/>
        <v>384.01</v>
      </c>
      <c r="J617" s="28">
        <f t="shared" si="39"/>
        <v>382.78</v>
      </c>
      <c r="K617" s="28">
        <f t="shared" si="39"/>
        <v>383.09</v>
      </c>
      <c r="L617" s="28">
        <f t="shared" si="39"/>
        <v>384.08</v>
      </c>
      <c r="M617" s="28">
        <f t="shared" si="39"/>
        <v>386.25</v>
      </c>
      <c r="N617" s="28">
        <f t="shared" si="39"/>
        <v>388.05</v>
      </c>
    </row>
    <row r="618" spans="1:14" x14ac:dyDescent="0.4">
      <c r="A618" s="1">
        <v>39995</v>
      </c>
      <c r="B618" s="28">
        <v>388.07</v>
      </c>
      <c r="C618" s="28">
        <f t="shared" si="37"/>
        <v>389.62</v>
      </c>
      <c r="D618" s="28">
        <f t="shared" si="39"/>
        <v>390.17</v>
      </c>
      <c r="E618" s="28">
        <f t="shared" si="39"/>
        <v>389.57</v>
      </c>
      <c r="F618" s="28">
        <f t="shared" si="39"/>
        <v>388.52</v>
      </c>
      <c r="G618" s="28">
        <f t="shared" si="39"/>
        <v>387.12</v>
      </c>
      <c r="H618" s="28">
        <f t="shared" si="39"/>
        <v>386.65</v>
      </c>
      <c r="I618" s="28">
        <f t="shared" si="39"/>
        <v>385.11</v>
      </c>
      <c r="J618" s="28">
        <f t="shared" si="39"/>
        <v>384.01</v>
      </c>
      <c r="K618" s="28">
        <f t="shared" si="39"/>
        <v>382.78</v>
      </c>
      <c r="L618" s="28">
        <f t="shared" si="39"/>
        <v>383.09</v>
      </c>
      <c r="M618" s="28">
        <f t="shared" si="39"/>
        <v>384.08</v>
      </c>
      <c r="N618" s="28">
        <f t="shared" si="39"/>
        <v>386.25</v>
      </c>
    </row>
    <row r="619" spans="1:14" x14ac:dyDescent="0.4">
      <c r="A619" s="1">
        <v>40026</v>
      </c>
      <c r="B619" s="28">
        <v>386.08</v>
      </c>
      <c r="C619" s="28">
        <f t="shared" si="37"/>
        <v>388.07</v>
      </c>
      <c r="D619" s="28">
        <f t="shared" si="39"/>
        <v>389.62</v>
      </c>
      <c r="E619" s="28">
        <f t="shared" si="39"/>
        <v>390.17</v>
      </c>
      <c r="F619" s="28">
        <f t="shared" si="39"/>
        <v>389.57</v>
      </c>
      <c r="G619" s="28">
        <f t="shared" si="39"/>
        <v>388.52</v>
      </c>
      <c r="H619" s="28">
        <f t="shared" si="39"/>
        <v>387.12</v>
      </c>
      <c r="I619" s="28">
        <f t="shared" si="39"/>
        <v>386.65</v>
      </c>
      <c r="J619" s="28">
        <f t="shared" si="39"/>
        <v>385.11</v>
      </c>
      <c r="K619" s="28">
        <f t="shared" si="39"/>
        <v>384.01</v>
      </c>
      <c r="L619" s="28">
        <f t="shared" si="39"/>
        <v>382.78</v>
      </c>
      <c r="M619" s="28">
        <f t="shared" si="39"/>
        <v>383.09</v>
      </c>
      <c r="N619" s="28">
        <f t="shared" si="39"/>
        <v>384.08</v>
      </c>
    </row>
    <row r="620" spans="1:14" x14ac:dyDescent="0.4">
      <c r="A620" s="1">
        <v>40057</v>
      </c>
      <c r="B620" s="28">
        <v>384.65</v>
      </c>
      <c r="C620" s="28">
        <f t="shared" si="37"/>
        <v>386.08</v>
      </c>
      <c r="D620" s="28">
        <f t="shared" si="39"/>
        <v>388.07</v>
      </c>
      <c r="E620" s="28">
        <f t="shared" si="39"/>
        <v>389.62</v>
      </c>
      <c r="F620" s="28">
        <f t="shared" si="39"/>
        <v>390.17</v>
      </c>
      <c r="G620" s="28">
        <f t="shared" si="39"/>
        <v>389.57</v>
      </c>
      <c r="H620" s="28">
        <f t="shared" si="39"/>
        <v>388.52</v>
      </c>
      <c r="I620" s="28">
        <f t="shared" si="39"/>
        <v>387.12</v>
      </c>
      <c r="J620" s="28">
        <f t="shared" si="39"/>
        <v>386.65</v>
      </c>
      <c r="K620" s="28">
        <f t="shared" si="39"/>
        <v>385.11</v>
      </c>
      <c r="L620" s="28">
        <f t="shared" si="39"/>
        <v>384.01</v>
      </c>
      <c r="M620" s="28">
        <f t="shared" si="39"/>
        <v>382.78</v>
      </c>
      <c r="N620" s="28">
        <f t="shared" si="39"/>
        <v>383.09</v>
      </c>
    </row>
    <row r="621" spans="1:14" x14ac:dyDescent="0.4">
      <c r="A621" s="1">
        <v>40087</v>
      </c>
      <c r="B621" s="28">
        <v>384.33</v>
      </c>
      <c r="C621" s="28">
        <f t="shared" si="37"/>
        <v>384.65</v>
      </c>
      <c r="D621" s="28">
        <f t="shared" si="39"/>
        <v>386.08</v>
      </c>
      <c r="E621" s="28">
        <f t="shared" si="39"/>
        <v>388.07</v>
      </c>
      <c r="F621" s="28">
        <f t="shared" si="39"/>
        <v>389.62</v>
      </c>
      <c r="G621" s="28">
        <f t="shared" si="39"/>
        <v>390.17</v>
      </c>
      <c r="H621" s="28">
        <f t="shared" si="39"/>
        <v>389.57</v>
      </c>
      <c r="I621" s="28">
        <f t="shared" si="39"/>
        <v>388.52</v>
      </c>
      <c r="J621" s="28">
        <f t="shared" si="39"/>
        <v>387.12</v>
      </c>
      <c r="K621" s="28">
        <f t="shared" si="39"/>
        <v>386.65</v>
      </c>
      <c r="L621" s="28">
        <f t="shared" si="39"/>
        <v>385.11</v>
      </c>
      <c r="M621" s="28">
        <f t="shared" si="39"/>
        <v>384.01</v>
      </c>
      <c r="N621" s="28">
        <f t="shared" si="39"/>
        <v>382.78</v>
      </c>
    </row>
    <row r="622" spans="1:14" x14ac:dyDescent="0.4">
      <c r="A622" s="1">
        <v>40118</v>
      </c>
      <c r="B622" s="28">
        <v>386.05</v>
      </c>
      <c r="C622" s="28">
        <f t="shared" si="37"/>
        <v>384.33</v>
      </c>
      <c r="D622" s="28">
        <f t="shared" si="39"/>
        <v>384.65</v>
      </c>
      <c r="E622" s="28">
        <f t="shared" si="39"/>
        <v>386.08</v>
      </c>
      <c r="F622" s="28">
        <f t="shared" si="39"/>
        <v>388.07</v>
      </c>
      <c r="G622" s="28">
        <f t="shared" si="39"/>
        <v>389.62</v>
      </c>
      <c r="H622" s="28">
        <f t="shared" si="39"/>
        <v>390.17</v>
      </c>
      <c r="I622" s="28">
        <f t="shared" si="39"/>
        <v>389.57</v>
      </c>
      <c r="J622" s="28">
        <f t="shared" si="39"/>
        <v>388.52</v>
      </c>
      <c r="K622" s="28">
        <f t="shared" si="39"/>
        <v>387.12</v>
      </c>
      <c r="L622" s="28">
        <f t="shared" si="39"/>
        <v>386.65</v>
      </c>
      <c r="M622" s="28">
        <f t="shared" si="39"/>
        <v>385.11</v>
      </c>
      <c r="N622" s="28">
        <f t="shared" si="39"/>
        <v>384.01</v>
      </c>
    </row>
    <row r="623" spans="1:14" x14ac:dyDescent="0.4">
      <c r="A623" s="1">
        <v>40148</v>
      </c>
      <c r="B623" s="28">
        <v>387.49</v>
      </c>
      <c r="C623" s="28">
        <f t="shared" si="37"/>
        <v>386.05</v>
      </c>
      <c r="D623" s="28">
        <f t="shared" si="39"/>
        <v>384.33</v>
      </c>
      <c r="E623" s="28">
        <f t="shared" si="39"/>
        <v>384.65</v>
      </c>
      <c r="F623" s="28">
        <f t="shared" si="39"/>
        <v>386.08</v>
      </c>
      <c r="G623" s="28">
        <f t="shared" si="39"/>
        <v>388.07</v>
      </c>
      <c r="H623" s="28">
        <f t="shared" si="39"/>
        <v>389.62</v>
      </c>
      <c r="I623" s="28">
        <f t="shared" si="39"/>
        <v>390.17</v>
      </c>
      <c r="J623" s="28">
        <f t="shared" si="39"/>
        <v>389.57</v>
      </c>
      <c r="K623" s="28">
        <f t="shared" si="39"/>
        <v>388.52</v>
      </c>
      <c r="L623" s="28">
        <f t="shared" si="39"/>
        <v>387.12</v>
      </c>
      <c r="M623" s="28">
        <f t="shared" si="39"/>
        <v>386.65</v>
      </c>
      <c r="N623" s="28">
        <f t="shared" si="39"/>
        <v>385.11</v>
      </c>
    </row>
    <row r="624" spans="1:14" x14ac:dyDescent="0.4">
      <c r="A624" s="1">
        <v>40179</v>
      </c>
      <c r="B624" s="28">
        <v>388.55</v>
      </c>
      <c r="C624" s="28">
        <f t="shared" si="37"/>
        <v>387.49</v>
      </c>
      <c r="D624" s="28">
        <f t="shared" si="39"/>
        <v>386.05</v>
      </c>
      <c r="E624" s="28">
        <f t="shared" si="39"/>
        <v>384.33</v>
      </c>
      <c r="F624" s="28">
        <f t="shared" si="39"/>
        <v>384.65</v>
      </c>
      <c r="G624" s="28">
        <f t="shared" si="39"/>
        <v>386.08</v>
      </c>
      <c r="H624" s="28">
        <f t="shared" si="39"/>
        <v>388.07</v>
      </c>
      <c r="I624" s="28">
        <f t="shared" si="39"/>
        <v>389.62</v>
      </c>
      <c r="J624" s="28">
        <f t="shared" si="39"/>
        <v>390.17</v>
      </c>
      <c r="K624" s="28">
        <f t="shared" si="39"/>
        <v>389.57</v>
      </c>
      <c r="L624" s="28">
        <f t="shared" si="39"/>
        <v>388.52</v>
      </c>
      <c r="M624" s="28">
        <f t="shared" si="39"/>
        <v>387.12</v>
      </c>
      <c r="N624" s="28">
        <f t="shared" si="39"/>
        <v>386.65</v>
      </c>
    </row>
    <row r="625" spans="1:14" x14ac:dyDescent="0.4">
      <c r="A625" s="1">
        <v>40210</v>
      </c>
      <c r="B625" s="28">
        <v>390.08</v>
      </c>
      <c r="C625" s="28">
        <f t="shared" si="37"/>
        <v>388.55</v>
      </c>
      <c r="D625" s="28">
        <f t="shared" si="39"/>
        <v>387.49</v>
      </c>
      <c r="E625" s="28">
        <f t="shared" si="39"/>
        <v>386.05</v>
      </c>
      <c r="F625" s="28">
        <f t="shared" si="39"/>
        <v>384.33</v>
      </c>
      <c r="G625" s="28">
        <f t="shared" si="39"/>
        <v>384.65</v>
      </c>
      <c r="H625" s="28">
        <f t="shared" si="39"/>
        <v>386.08</v>
      </c>
      <c r="I625" s="28">
        <f t="shared" si="39"/>
        <v>388.07</v>
      </c>
      <c r="J625" s="28">
        <f t="shared" si="39"/>
        <v>389.62</v>
      </c>
      <c r="K625" s="28">
        <f t="shared" si="39"/>
        <v>390.17</v>
      </c>
      <c r="L625" s="28">
        <f t="shared" si="39"/>
        <v>389.57</v>
      </c>
      <c r="M625" s="28">
        <f t="shared" si="39"/>
        <v>388.52</v>
      </c>
      <c r="N625" s="28">
        <f t="shared" si="39"/>
        <v>387.12</v>
      </c>
    </row>
    <row r="626" spans="1:14" x14ac:dyDescent="0.4">
      <c r="A626" s="1">
        <v>40238</v>
      </c>
      <c r="B626" s="28">
        <v>391.01</v>
      </c>
      <c r="C626" s="28">
        <f t="shared" si="37"/>
        <v>390.08</v>
      </c>
      <c r="D626" s="28">
        <f t="shared" si="39"/>
        <v>388.55</v>
      </c>
      <c r="E626" s="28">
        <f t="shared" si="39"/>
        <v>387.49</v>
      </c>
      <c r="F626" s="28">
        <f t="shared" si="39"/>
        <v>386.05</v>
      </c>
      <c r="G626" s="28">
        <f t="shared" si="39"/>
        <v>384.33</v>
      </c>
      <c r="H626" s="28">
        <f t="shared" si="39"/>
        <v>384.65</v>
      </c>
      <c r="I626" s="28">
        <f t="shared" si="39"/>
        <v>386.08</v>
      </c>
      <c r="J626" s="28">
        <f t="shared" si="39"/>
        <v>388.07</v>
      </c>
      <c r="K626" s="28">
        <f t="shared" si="39"/>
        <v>389.62</v>
      </c>
      <c r="L626" s="28">
        <f t="shared" si="39"/>
        <v>390.17</v>
      </c>
      <c r="M626" s="28">
        <f t="shared" si="39"/>
        <v>389.57</v>
      </c>
      <c r="N626" s="28">
        <f t="shared" si="39"/>
        <v>388.52</v>
      </c>
    </row>
    <row r="627" spans="1:14" x14ac:dyDescent="0.4">
      <c r="A627" s="1">
        <v>40269</v>
      </c>
      <c r="B627" s="28">
        <v>392.38</v>
      </c>
      <c r="C627" s="28">
        <f t="shared" si="37"/>
        <v>391.01</v>
      </c>
      <c r="D627" s="28">
        <f t="shared" si="39"/>
        <v>390.08</v>
      </c>
      <c r="E627" s="28">
        <f t="shared" si="39"/>
        <v>388.55</v>
      </c>
      <c r="F627" s="28">
        <f t="shared" si="39"/>
        <v>387.49</v>
      </c>
      <c r="G627" s="28">
        <f t="shared" si="39"/>
        <v>386.05</v>
      </c>
      <c r="H627" s="28">
        <f t="shared" si="39"/>
        <v>384.33</v>
      </c>
      <c r="I627" s="28">
        <f t="shared" si="39"/>
        <v>384.65</v>
      </c>
      <c r="J627" s="28">
        <f t="shared" si="39"/>
        <v>386.08</v>
      </c>
      <c r="K627" s="28">
        <f t="shared" si="39"/>
        <v>388.07</v>
      </c>
      <c r="L627" s="28">
        <f t="shared" si="39"/>
        <v>389.62</v>
      </c>
      <c r="M627" s="28">
        <f t="shared" si="39"/>
        <v>390.17</v>
      </c>
      <c r="N627" s="28">
        <f t="shared" si="39"/>
        <v>389.57</v>
      </c>
    </row>
    <row r="628" spans="1:14" x14ac:dyDescent="0.4">
      <c r="A628" s="1">
        <v>40299</v>
      </c>
      <c r="B628" s="28">
        <v>393.22</v>
      </c>
      <c r="C628" s="28">
        <f t="shared" si="37"/>
        <v>392.38</v>
      </c>
      <c r="D628" s="28">
        <f t="shared" si="39"/>
        <v>391.01</v>
      </c>
      <c r="E628" s="28">
        <f t="shared" si="39"/>
        <v>390.08</v>
      </c>
      <c r="F628" s="28">
        <f t="shared" si="39"/>
        <v>388.55</v>
      </c>
      <c r="G628" s="28">
        <f t="shared" si="39"/>
        <v>387.49</v>
      </c>
      <c r="H628" s="28">
        <f t="shared" si="39"/>
        <v>386.05</v>
      </c>
      <c r="I628" s="28">
        <f t="shared" si="39"/>
        <v>384.33</v>
      </c>
      <c r="J628" s="28">
        <f t="shared" si="39"/>
        <v>384.65</v>
      </c>
      <c r="K628" s="28">
        <f t="shared" si="39"/>
        <v>386.08</v>
      </c>
      <c r="L628" s="28">
        <f t="shared" si="39"/>
        <v>388.07</v>
      </c>
      <c r="M628" s="28">
        <f t="shared" si="39"/>
        <v>389.62</v>
      </c>
      <c r="N628" s="28">
        <f t="shared" si="39"/>
        <v>390.17</v>
      </c>
    </row>
    <row r="629" spans="1:14" x14ac:dyDescent="0.4">
      <c r="A629" s="1">
        <v>40330</v>
      </c>
      <c r="B629" s="28">
        <v>392.24</v>
      </c>
      <c r="C629" s="28">
        <f t="shared" si="37"/>
        <v>393.22</v>
      </c>
      <c r="D629" s="28">
        <f t="shared" ref="D629:N643" si="40">IF(C628=0,"",C628)</f>
        <v>392.38</v>
      </c>
      <c r="E629" s="28">
        <f t="shared" si="40"/>
        <v>391.01</v>
      </c>
      <c r="F629" s="28">
        <f t="shared" si="40"/>
        <v>390.08</v>
      </c>
      <c r="G629" s="28">
        <f t="shared" si="40"/>
        <v>388.55</v>
      </c>
      <c r="H629" s="28">
        <f t="shared" si="40"/>
        <v>387.49</v>
      </c>
      <c r="I629" s="28">
        <f t="shared" si="40"/>
        <v>386.05</v>
      </c>
      <c r="J629" s="28">
        <f t="shared" si="40"/>
        <v>384.33</v>
      </c>
      <c r="K629" s="28">
        <f t="shared" si="40"/>
        <v>384.65</v>
      </c>
      <c r="L629" s="28">
        <f t="shared" si="40"/>
        <v>386.08</v>
      </c>
      <c r="M629" s="28">
        <f t="shared" si="40"/>
        <v>388.07</v>
      </c>
      <c r="N629" s="28">
        <f t="shared" si="40"/>
        <v>389.62</v>
      </c>
    </row>
    <row r="630" spans="1:14" x14ac:dyDescent="0.4">
      <c r="A630" s="1">
        <v>40360</v>
      </c>
      <c r="B630" s="28">
        <v>390.33</v>
      </c>
      <c r="C630" s="28">
        <f t="shared" si="37"/>
        <v>392.24</v>
      </c>
      <c r="D630" s="28">
        <f t="shared" si="40"/>
        <v>393.22</v>
      </c>
      <c r="E630" s="28">
        <f t="shared" si="40"/>
        <v>392.38</v>
      </c>
      <c r="F630" s="28">
        <f t="shared" si="40"/>
        <v>391.01</v>
      </c>
      <c r="G630" s="28">
        <f t="shared" si="40"/>
        <v>390.08</v>
      </c>
      <c r="H630" s="28">
        <f t="shared" si="40"/>
        <v>388.55</v>
      </c>
      <c r="I630" s="28">
        <f t="shared" si="40"/>
        <v>387.49</v>
      </c>
      <c r="J630" s="28">
        <f t="shared" si="40"/>
        <v>386.05</v>
      </c>
      <c r="K630" s="28">
        <f t="shared" si="40"/>
        <v>384.33</v>
      </c>
      <c r="L630" s="28">
        <f t="shared" si="40"/>
        <v>384.65</v>
      </c>
      <c r="M630" s="28">
        <f t="shared" si="40"/>
        <v>386.08</v>
      </c>
      <c r="N630" s="28">
        <f t="shared" si="40"/>
        <v>388.07</v>
      </c>
    </row>
    <row r="631" spans="1:14" x14ac:dyDescent="0.4">
      <c r="A631" s="1">
        <v>40391</v>
      </c>
      <c r="B631" s="28">
        <v>388.52</v>
      </c>
      <c r="C631" s="28">
        <f t="shared" si="37"/>
        <v>390.33</v>
      </c>
      <c r="D631" s="28">
        <f t="shared" si="40"/>
        <v>392.24</v>
      </c>
      <c r="E631" s="28">
        <f t="shared" si="40"/>
        <v>393.22</v>
      </c>
      <c r="F631" s="28">
        <f t="shared" si="40"/>
        <v>392.38</v>
      </c>
      <c r="G631" s="28">
        <f t="shared" si="40"/>
        <v>391.01</v>
      </c>
      <c r="H631" s="28">
        <f t="shared" si="40"/>
        <v>390.08</v>
      </c>
      <c r="I631" s="28">
        <f t="shared" si="40"/>
        <v>388.55</v>
      </c>
      <c r="J631" s="28">
        <f t="shared" si="40"/>
        <v>387.49</v>
      </c>
      <c r="K631" s="28">
        <f t="shared" si="40"/>
        <v>386.05</v>
      </c>
      <c r="L631" s="28">
        <f t="shared" si="40"/>
        <v>384.33</v>
      </c>
      <c r="M631" s="28">
        <f t="shared" si="40"/>
        <v>384.65</v>
      </c>
      <c r="N631" s="28">
        <f t="shared" si="40"/>
        <v>386.08</v>
      </c>
    </row>
    <row r="632" spans="1:14" x14ac:dyDescent="0.4">
      <c r="A632" s="1">
        <v>40422</v>
      </c>
      <c r="B632" s="28">
        <v>386.84</v>
      </c>
      <c r="C632" s="28">
        <f t="shared" si="37"/>
        <v>388.52</v>
      </c>
      <c r="D632" s="28">
        <f t="shared" si="40"/>
        <v>390.33</v>
      </c>
      <c r="E632" s="28">
        <f t="shared" si="40"/>
        <v>392.24</v>
      </c>
      <c r="F632" s="28">
        <f t="shared" si="40"/>
        <v>393.22</v>
      </c>
      <c r="G632" s="28">
        <f t="shared" si="40"/>
        <v>392.38</v>
      </c>
      <c r="H632" s="28">
        <f t="shared" si="40"/>
        <v>391.01</v>
      </c>
      <c r="I632" s="28">
        <f t="shared" si="40"/>
        <v>390.08</v>
      </c>
      <c r="J632" s="28">
        <f t="shared" si="40"/>
        <v>388.55</v>
      </c>
      <c r="K632" s="28">
        <f t="shared" si="40"/>
        <v>387.49</v>
      </c>
      <c r="L632" s="28">
        <f t="shared" si="40"/>
        <v>386.05</v>
      </c>
      <c r="M632" s="28">
        <f t="shared" si="40"/>
        <v>384.33</v>
      </c>
      <c r="N632" s="28">
        <f t="shared" si="40"/>
        <v>384.65</v>
      </c>
    </row>
    <row r="633" spans="1:14" x14ac:dyDescent="0.4">
      <c r="A633" s="1">
        <v>40452</v>
      </c>
      <c r="B633" s="28">
        <v>387.16</v>
      </c>
      <c r="C633" s="28">
        <f t="shared" si="37"/>
        <v>386.84</v>
      </c>
      <c r="D633" s="28">
        <f t="shared" si="40"/>
        <v>388.52</v>
      </c>
      <c r="E633" s="28">
        <f t="shared" si="40"/>
        <v>390.33</v>
      </c>
      <c r="F633" s="28">
        <f t="shared" si="40"/>
        <v>392.24</v>
      </c>
      <c r="G633" s="28">
        <f t="shared" si="40"/>
        <v>393.22</v>
      </c>
      <c r="H633" s="28">
        <f t="shared" si="40"/>
        <v>392.38</v>
      </c>
      <c r="I633" s="28">
        <f t="shared" si="40"/>
        <v>391.01</v>
      </c>
      <c r="J633" s="28">
        <f t="shared" si="40"/>
        <v>390.08</v>
      </c>
      <c r="K633" s="28">
        <f t="shared" si="40"/>
        <v>388.55</v>
      </c>
      <c r="L633" s="28">
        <f t="shared" si="40"/>
        <v>387.49</v>
      </c>
      <c r="M633" s="28">
        <f t="shared" si="40"/>
        <v>386.05</v>
      </c>
      <c r="N633" s="28">
        <f t="shared" si="40"/>
        <v>384.33</v>
      </c>
    </row>
    <row r="634" spans="1:14" x14ac:dyDescent="0.4">
      <c r="A634" s="1">
        <v>40483</v>
      </c>
      <c r="B634" s="28">
        <v>388.67</v>
      </c>
      <c r="C634" s="28">
        <f t="shared" si="37"/>
        <v>387.16</v>
      </c>
      <c r="D634" s="28">
        <f t="shared" si="40"/>
        <v>386.84</v>
      </c>
      <c r="E634" s="28">
        <f t="shared" si="40"/>
        <v>388.52</v>
      </c>
      <c r="F634" s="28">
        <f t="shared" si="40"/>
        <v>390.33</v>
      </c>
      <c r="G634" s="28">
        <f t="shared" si="40"/>
        <v>392.24</v>
      </c>
      <c r="H634" s="28">
        <f t="shared" si="40"/>
        <v>393.22</v>
      </c>
      <c r="I634" s="28">
        <f t="shared" si="40"/>
        <v>392.38</v>
      </c>
      <c r="J634" s="28">
        <f t="shared" si="40"/>
        <v>391.01</v>
      </c>
      <c r="K634" s="28">
        <f t="shared" si="40"/>
        <v>390.08</v>
      </c>
      <c r="L634" s="28">
        <f t="shared" si="40"/>
        <v>388.55</v>
      </c>
      <c r="M634" s="28">
        <f t="shared" si="40"/>
        <v>387.49</v>
      </c>
      <c r="N634" s="28">
        <f t="shared" si="40"/>
        <v>386.05</v>
      </c>
    </row>
    <row r="635" spans="1:14" x14ac:dyDescent="0.4">
      <c r="A635" s="1">
        <v>40513</v>
      </c>
      <c r="B635" s="28">
        <v>389.81</v>
      </c>
      <c r="C635" s="28">
        <f t="shared" si="37"/>
        <v>388.67</v>
      </c>
      <c r="D635" s="28">
        <f t="shared" si="40"/>
        <v>387.16</v>
      </c>
      <c r="E635" s="28">
        <f t="shared" si="40"/>
        <v>386.84</v>
      </c>
      <c r="F635" s="28">
        <f t="shared" si="40"/>
        <v>388.52</v>
      </c>
      <c r="G635" s="28">
        <f t="shared" si="40"/>
        <v>390.33</v>
      </c>
      <c r="H635" s="28">
        <f t="shared" si="40"/>
        <v>392.24</v>
      </c>
      <c r="I635" s="28">
        <f t="shared" si="40"/>
        <v>393.22</v>
      </c>
      <c r="J635" s="28">
        <f t="shared" si="40"/>
        <v>392.38</v>
      </c>
      <c r="K635" s="28">
        <f t="shared" si="40"/>
        <v>391.01</v>
      </c>
      <c r="L635" s="28">
        <f t="shared" si="40"/>
        <v>390.08</v>
      </c>
      <c r="M635" s="28">
        <f t="shared" si="40"/>
        <v>388.55</v>
      </c>
      <c r="N635" s="28">
        <f t="shared" si="40"/>
        <v>387.49</v>
      </c>
    </row>
    <row r="636" spans="1:14" x14ac:dyDescent="0.4">
      <c r="A636" s="1">
        <v>40544</v>
      </c>
      <c r="B636" s="28">
        <v>391.3</v>
      </c>
      <c r="C636" s="28">
        <f t="shared" si="37"/>
        <v>389.81</v>
      </c>
      <c r="D636" s="28">
        <f t="shared" si="40"/>
        <v>388.67</v>
      </c>
      <c r="E636" s="28">
        <f t="shared" si="40"/>
        <v>387.16</v>
      </c>
      <c r="F636" s="28">
        <f t="shared" si="40"/>
        <v>386.84</v>
      </c>
      <c r="G636" s="28">
        <f t="shared" si="40"/>
        <v>388.52</v>
      </c>
      <c r="H636" s="28">
        <f t="shared" si="40"/>
        <v>390.33</v>
      </c>
      <c r="I636" s="28">
        <f t="shared" si="40"/>
        <v>392.24</v>
      </c>
      <c r="J636" s="28">
        <f t="shared" si="40"/>
        <v>393.22</v>
      </c>
      <c r="K636" s="28">
        <f t="shared" si="40"/>
        <v>392.38</v>
      </c>
      <c r="L636" s="28">
        <f t="shared" si="40"/>
        <v>391.01</v>
      </c>
      <c r="M636" s="28">
        <f t="shared" si="40"/>
        <v>390.08</v>
      </c>
      <c r="N636" s="28">
        <f t="shared" si="40"/>
        <v>388.55</v>
      </c>
    </row>
    <row r="637" spans="1:14" x14ac:dyDescent="0.4">
      <c r="A637" s="1">
        <v>40575</v>
      </c>
      <c r="B637" s="28">
        <v>391.92</v>
      </c>
      <c r="C637" s="28">
        <f t="shared" si="37"/>
        <v>391.3</v>
      </c>
      <c r="D637" s="28">
        <f t="shared" si="40"/>
        <v>389.81</v>
      </c>
      <c r="E637" s="28">
        <f t="shared" si="40"/>
        <v>388.67</v>
      </c>
      <c r="F637" s="28">
        <f t="shared" si="40"/>
        <v>387.16</v>
      </c>
      <c r="G637" s="28">
        <f t="shared" si="40"/>
        <v>386.84</v>
      </c>
      <c r="H637" s="28">
        <f t="shared" si="40"/>
        <v>388.52</v>
      </c>
      <c r="I637" s="28">
        <f t="shared" si="40"/>
        <v>390.33</v>
      </c>
      <c r="J637" s="28">
        <f t="shared" si="40"/>
        <v>392.24</v>
      </c>
      <c r="K637" s="28">
        <f t="shared" si="40"/>
        <v>393.22</v>
      </c>
      <c r="L637" s="28">
        <f t="shared" si="40"/>
        <v>392.38</v>
      </c>
      <c r="M637" s="28">
        <f t="shared" si="40"/>
        <v>391.01</v>
      </c>
      <c r="N637" s="28">
        <f t="shared" si="40"/>
        <v>390.08</v>
      </c>
    </row>
    <row r="638" spans="1:14" x14ac:dyDescent="0.4">
      <c r="A638" s="1">
        <v>40603</v>
      </c>
      <c r="B638" s="28">
        <v>392.45</v>
      </c>
      <c r="C638" s="28">
        <f t="shared" si="37"/>
        <v>391.92</v>
      </c>
      <c r="D638" s="28">
        <f t="shared" si="40"/>
        <v>391.3</v>
      </c>
      <c r="E638" s="28">
        <f t="shared" si="40"/>
        <v>389.81</v>
      </c>
      <c r="F638" s="28">
        <f t="shared" si="40"/>
        <v>388.67</v>
      </c>
      <c r="G638" s="28">
        <f t="shared" si="40"/>
        <v>387.16</v>
      </c>
      <c r="H638" s="28">
        <f t="shared" si="40"/>
        <v>386.84</v>
      </c>
      <c r="I638" s="28">
        <f t="shared" si="40"/>
        <v>388.52</v>
      </c>
      <c r="J638" s="28">
        <f t="shared" si="40"/>
        <v>390.33</v>
      </c>
      <c r="K638" s="28">
        <f t="shared" si="40"/>
        <v>392.24</v>
      </c>
      <c r="L638" s="28">
        <f t="shared" si="40"/>
        <v>393.22</v>
      </c>
      <c r="M638" s="28">
        <f t="shared" si="40"/>
        <v>392.38</v>
      </c>
      <c r="N638" s="28">
        <f t="shared" si="40"/>
        <v>391.01</v>
      </c>
    </row>
    <row r="639" spans="1:14" x14ac:dyDescent="0.4">
      <c r="A639" s="1">
        <v>40634</v>
      </c>
      <c r="B639" s="28">
        <v>393.37</v>
      </c>
      <c r="C639" s="28">
        <f t="shared" si="37"/>
        <v>392.45</v>
      </c>
      <c r="D639" s="28">
        <f t="shared" si="40"/>
        <v>391.92</v>
      </c>
      <c r="E639" s="28">
        <f t="shared" si="40"/>
        <v>391.3</v>
      </c>
      <c r="F639" s="28">
        <f t="shared" si="40"/>
        <v>389.81</v>
      </c>
      <c r="G639" s="28">
        <f t="shared" si="40"/>
        <v>388.67</v>
      </c>
      <c r="H639" s="28">
        <f t="shared" si="40"/>
        <v>387.16</v>
      </c>
      <c r="I639" s="28">
        <f t="shared" si="40"/>
        <v>386.84</v>
      </c>
      <c r="J639" s="28">
        <f t="shared" si="40"/>
        <v>388.52</v>
      </c>
      <c r="K639" s="28">
        <f t="shared" si="40"/>
        <v>390.33</v>
      </c>
      <c r="L639" s="28">
        <f t="shared" si="40"/>
        <v>392.24</v>
      </c>
      <c r="M639" s="28">
        <f t="shared" si="40"/>
        <v>393.22</v>
      </c>
      <c r="N639" s="28">
        <f t="shared" si="40"/>
        <v>392.38</v>
      </c>
    </row>
    <row r="640" spans="1:14" x14ac:dyDescent="0.4">
      <c r="A640" s="1">
        <v>40664</v>
      </c>
      <c r="B640" s="28">
        <v>394.28</v>
      </c>
      <c r="C640" s="28">
        <f t="shared" si="37"/>
        <v>393.37</v>
      </c>
      <c r="D640" s="28">
        <f t="shared" si="40"/>
        <v>392.45</v>
      </c>
      <c r="E640" s="28">
        <f t="shared" si="40"/>
        <v>391.92</v>
      </c>
      <c r="F640" s="28">
        <f t="shared" si="40"/>
        <v>391.3</v>
      </c>
      <c r="G640" s="28">
        <f t="shared" si="40"/>
        <v>389.81</v>
      </c>
      <c r="H640" s="28">
        <f t="shared" si="40"/>
        <v>388.67</v>
      </c>
      <c r="I640" s="28">
        <f t="shared" si="40"/>
        <v>387.16</v>
      </c>
      <c r="J640" s="28">
        <f t="shared" si="40"/>
        <v>386.84</v>
      </c>
      <c r="K640" s="28">
        <f t="shared" si="40"/>
        <v>388.52</v>
      </c>
      <c r="L640" s="28">
        <f t="shared" si="40"/>
        <v>390.33</v>
      </c>
      <c r="M640" s="28">
        <f t="shared" si="40"/>
        <v>392.24</v>
      </c>
      <c r="N640" s="28">
        <f t="shared" si="40"/>
        <v>393.22</v>
      </c>
    </row>
    <row r="641" spans="1:14" x14ac:dyDescent="0.4">
      <c r="A641" s="1">
        <v>40695</v>
      </c>
      <c r="B641" s="28">
        <v>393.69</v>
      </c>
      <c r="C641" s="28">
        <f t="shared" si="37"/>
        <v>394.28</v>
      </c>
      <c r="D641" s="28">
        <f t="shared" si="40"/>
        <v>393.37</v>
      </c>
      <c r="E641" s="28">
        <f t="shared" si="40"/>
        <v>392.45</v>
      </c>
      <c r="F641" s="28">
        <f t="shared" si="40"/>
        <v>391.92</v>
      </c>
      <c r="G641" s="28">
        <f t="shared" si="40"/>
        <v>391.3</v>
      </c>
      <c r="H641" s="28">
        <f t="shared" si="40"/>
        <v>389.81</v>
      </c>
      <c r="I641" s="28">
        <f t="shared" si="40"/>
        <v>388.67</v>
      </c>
      <c r="J641" s="28">
        <f t="shared" si="40"/>
        <v>387.16</v>
      </c>
      <c r="K641" s="28">
        <f t="shared" si="40"/>
        <v>386.84</v>
      </c>
      <c r="L641" s="28">
        <f t="shared" si="40"/>
        <v>388.52</v>
      </c>
      <c r="M641" s="28">
        <f t="shared" si="40"/>
        <v>390.33</v>
      </c>
      <c r="N641" s="28">
        <f t="shared" si="40"/>
        <v>392.24</v>
      </c>
    </row>
    <row r="642" spans="1:14" x14ac:dyDescent="0.4">
      <c r="A642" s="1">
        <v>40725</v>
      </c>
      <c r="B642" s="28">
        <v>392.59</v>
      </c>
      <c r="C642" s="28">
        <f t="shared" si="37"/>
        <v>393.69</v>
      </c>
      <c r="D642" s="28">
        <f t="shared" si="40"/>
        <v>394.28</v>
      </c>
      <c r="E642" s="28">
        <f t="shared" si="40"/>
        <v>393.37</v>
      </c>
      <c r="F642" s="28">
        <f t="shared" si="40"/>
        <v>392.45</v>
      </c>
      <c r="G642" s="28">
        <f t="shared" si="40"/>
        <v>391.92</v>
      </c>
      <c r="H642" s="28">
        <f t="shared" si="40"/>
        <v>391.3</v>
      </c>
      <c r="I642" s="28">
        <f t="shared" si="40"/>
        <v>389.81</v>
      </c>
      <c r="J642" s="28">
        <f t="shared" si="40"/>
        <v>388.67</v>
      </c>
      <c r="K642" s="28">
        <f t="shared" si="40"/>
        <v>387.16</v>
      </c>
      <c r="L642" s="28">
        <f t="shared" si="40"/>
        <v>386.84</v>
      </c>
      <c r="M642" s="28">
        <f t="shared" si="40"/>
        <v>388.52</v>
      </c>
      <c r="N642" s="28">
        <f t="shared" si="40"/>
        <v>390.33</v>
      </c>
    </row>
    <row r="643" spans="1:14" x14ac:dyDescent="0.4">
      <c r="A643" s="1">
        <v>40756</v>
      </c>
      <c r="B643" s="28">
        <v>390.21</v>
      </c>
      <c r="C643" s="28">
        <f t="shared" si="37"/>
        <v>392.59</v>
      </c>
      <c r="D643" s="28">
        <f t="shared" si="40"/>
        <v>393.69</v>
      </c>
      <c r="E643" s="28">
        <f t="shared" si="40"/>
        <v>394.28</v>
      </c>
      <c r="F643" s="28">
        <f t="shared" si="40"/>
        <v>393.37</v>
      </c>
      <c r="G643" s="28">
        <f t="shared" si="40"/>
        <v>392.45</v>
      </c>
      <c r="H643" s="28">
        <f t="shared" si="40"/>
        <v>391.92</v>
      </c>
      <c r="I643" s="28">
        <f t="shared" si="40"/>
        <v>391.3</v>
      </c>
      <c r="J643" s="28">
        <f t="shared" si="40"/>
        <v>389.81</v>
      </c>
      <c r="K643" s="28">
        <f t="shared" si="40"/>
        <v>388.67</v>
      </c>
      <c r="L643" s="28">
        <f t="shared" si="40"/>
        <v>387.16</v>
      </c>
      <c r="M643" s="28">
        <f t="shared" si="40"/>
        <v>386.84</v>
      </c>
      <c r="N643" s="28">
        <f t="shared" si="40"/>
        <v>388.52</v>
      </c>
    </row>
    <row r="644" spans="1:14" x14ac:dyDescent="0.4">
      <c r="A644" s="1">
        <v>40787</v>
      </c>
      <c r="B644" s="28">
        <v>389</v>
      </c>
      <c r="C644" s="28">
        <f t="shared" ref="C644:N707" si="41">IF(B643=0,"",B643)</f>
        <v>390.21</v>
      </c>
      <c r="D644" s="28">
        <f t="shared" si="41"/>
        <v>392.59</v>
      </c>
      <c r="E644" s="28">
        <f t="shared" si="41"/>
        <v>393.69</v>
      </c>
      <c r="F644" s="28">
        <f t="shared" si="41"/>
        <v>394.28</v>
      </c>
      <c r="G644" s="28">
        <f t="shared" si="41"/>
        <v>393.37</v>
      </c>
      <c r="H644" s="28">
        <f t="shared" si="41"/>
        <v>392.45</v>
      </c>
      <c r="I644" s="28">
        <f t="shared" si="41"/>
        <v>391.92</v>
      </c>
      <c r="J644" s="28">
        <f t="shared" si="41"/>
        <v>391.3</v>
      </c>
      <c r="K644" s="28">
        <f t="shared" si="41"/>
        <v>389.81</v>
      </c>
      <c r="L644" s="28">
        <f t="shared" si="41"/>
        <v>388.67</v>
      </c>
      <c r="M644" s="28">
        <f t="shared" si="41"/>
        <v>387.16</v>
      </c>
      <c r="N644" s="28">
        <f t="shared" si="41"/>
        <v>386.84</v>
      </c>
    </row>
    <row r="645" spans="1:14" x14ac:dyDescent="0.4">
      <c r="A645" s="1">
        <v>40817</v>
      </c>
      <c r="B645" s="28">
        <v>388.93</v>
      </c>
      <c r="C645" s="28">
        <f t="shared" si="41"/>
        <v>389</v>
      </c>
      <c r="D645" s="28">
        <f t="shared" si="41"/>
        <v>390.21</v>
      </c>
      <c r="E645" s="28">
        <f t="shared" si="41"/>
        <v>392.59</v>
      </c>
      <c r="F645" s="28">
        <f t="shared" si="41"/>
        <v>393.69</v>
      </c>
      <c r="G645" s="28">
        <f t="shared" si="41"/>
        <v>394.28</v>
      </c>
      <c r="H645" s="28">
        <f t="shared" si="41"/>
        <v>393.37</v>
      </c>
      <c r="I645" s="28">
        <f t="shared" si="41"/>
        <v>392.45</v>
      </c>
      <c r="J645" s="28">
        <f t="shared" si="41"/>
        <v>391.92</v>
      </c>
      <c r="K645" s="28">
        <f t="shared" si="41"/>
        <v>391.3</v>
      </c>
      <c r="L645" s="28">
        <f t="shared" si="41"/>
        <v>389.81</v>
      </c>
      <c r="M645" s="28">
        <f t="shared" si="41"/>
        <v>388.67</v>
      </c>
      <c r="N645" s="28">
        <f t="shared" si="41"/>
        <v>387.16</v>
      </c>
    </row>
    <row r="646" spans="1:14" x14ac:dyDescent="0.4">
      <c r="A646" s="1">
        <v>40848</v>
      </c>
      <c r="B646" s="28">
        <v>390.24</v>
      </c>
      <c r="C646" s="28">
        <f t="shared" si="41"/>
        <v>388.93</v>
      </c>
      <c r="D646" s="28">
        <f t="shared" si="41"/>
        <v>389</v>
      </c>
      <c r="E646" s="28">
        <f t="shared" si="41"/>
        <v>390.21</v>
      </c>
      <c r="F646" s="28">
        <f t="shared" si="41"/>
        <v>392.59</v>
      </c>
      <c r="G646" s="28">
        <f t="shared" si="41"/>
        <v>393.69</v>
      </c>
      <c r="H646" s="28">
        <f t="shared" si="41"/>
        <v>394.28</v>
      </c>
      <c r="I646" s="28">
        <f t="shared" si="41"/>
        <v>393.37</v>
      </c>
      <c r="J646" s="28">
        <f t="shared" si="41"/>
        <v>392.45</v>
      </c>
      <c r="K646" s="28">
        <f t="shared" si="41"/>
        <v>391.92</v>
      </c>
      <c r="L646" s="28">
        <f t="shared" si="41"/>
        <v>391.3</v>
      </c>
      <c r="M646" s="28">
        <f t="shared" si="41"/>
        <v>389.81</v>
      </c>
      <c r="N646" s="28">
        <f t="shared" si="41"/>
        <v>388.67</v>
      </c>
    </row>
    <row r="647" spans="1:14" x14ac:dyDescent="0.4">
      <c r="A647" s="1">
        <v>40878</v>
      </c>
      <c r="B647" s="28">
        <v>391.8</v>
      </c>
      <c r="C647" s="28">
        <f t="shared" si="41"/>
        <v>390.24</v>
      </c>
      <c r="D647" s="28">
        <f t="shared" si="41"/>
        <v>388.93</v>
      </c>
      <c r="E647" s="28">
        <f t="shared" si="41"/>
        <v>389</v>
      </c>
      <c r="F647" s="28">
        <f t="shared" si="41"/>
        <v>390.21</v>
      </c>
      <c r="G647" s="28">
        <f t="shared" si="41"/>
        <v>392.59</v>
      </c>
      <c r="H647" s="28">
        <f t="shared" si="41"/>
        <v>393.69</v>
      </c>
      <c r="I647" s="28">
        <f t="shared" si="41"/>
        <v>394.28</v>
      </c>
      <c r="J647" s="28">
        <f t="shared" si="41"/>
        <v>393.37</v>
      </c>
      <c r="K647" s="28">
        <f t="shared" si="41"/>
        <v>392.45</v>
      </c>
      <c r="L647" s="28">
        <f t="shared" si="41"/>
        <v>391.92</v>
      </c>
      <c r="M647" s="28">
        <f t="shared" si="41"/>
        <v>391.3</v>
      </c>
      <c r="N647" s="28">
        <f t="shared" si="41"/>
        <v>389.81</v>
      </c>
    </row>
    <row r="648" spans="1:14" x14ac:dyDescent="0.4">
      <c r="A648" s="1">
        <v>40909</v>
      </c>
      <c r="B648" s="28">
        <v>393.07</v>
      </c>
      <c r="C648" s="28">
        <f t="shared" si="41"/>
        <v>391.8</v>
      </c>
      <c r="D648" s="28">
        <f t="shared" si="41"/>
        <v>390.24</v>
      </c>
      <c r="E648" s="28">
        <f t="shared" si="41"/>
        <v>388.93</v>
      </c>
      <c r="F648" s="28">
        <f t="shared" si="41"/>
        <v>389</v>
      </c>
      <c r="G648" s="28">
        <f t="shared" si="41"/>
        <v>390.21</v>
      </c>
      <c r="H648" s="28">
        <f t="shared" si="41"/>
        <v>392.59</v>
      </c>
      <c r="I648" s="28">
        <f t="shared" si="41"/>
        <v>393.69</v>
      </c>
      <c r="J648" s="28">
        <f t="shared" si="41"/>
        <v>394.28</v>
      </c>
      <c r="K648" s="28">
        <f t="shared" si="41"/>
        <v>393.37</v>
      </c>
      <c r="L648" s="28">
        <f t="shared" si="41"/>
        <v>392.45</v>
      </c>
      <c r="M648" s="28">
        <f t="shared" si="41"/>
        <v>391.92</v>
      </c>
      <c r="N648" s="28">
        <f t="shared" si="41"/>
        <v>391.3</v>
      </c>
    </row>
    <row r="649" spans="1:14" x14ac:dyDescent="0.4">
      <c r="A649" s="1">
        <v>40940</v>
      </c>
      <c r="B649" s="28">
        <v>393.35</v>
      </c>
      <c r="C649" s="28">
        <f t="shared" si="41"/>
        <v>393.07</v>
      </c>
      <c r="D649" s="28">
        <f t="shared" si="41"/>
        <v>391.8</v>
      </c>
      <c r="E649" s="28">
        <f t="shared" si="41"/>
        <v>390.24</v>
      </c>
      <c r="F649" s="28">
        <f t="shared" si="41"/>
        <v>388.93</v>
      </c>
      <c r="G649" s="28">
        <f t="shared" si="41"/>
        <v>389</v>
      </c>
      <c r="H649" s="28">
        <f t="shared" si="41"/>
        <v>390.21</v>
      </c>
      <c r="I649" s="28">
        <f t="shared" si="41"/>
        <v>392.59</v>
      </c>
      <c r="J649" s="28">
        <f t="shared" si="41"/>
        <v>393.69</v>
      </c>
      <c r="K649" s="28">
        <f t="shared" si="41"/>
        <v>394.28</v>
      </c>
      <c r="L649" s="28">
        <f t="shared" si="41"/>
        <v>393.37</v>
      </c>
      <c r="M649" s="28">
        <f t="shared" si="41"/>
        <v>392.45</v>
      </c>
      <c r="N649" s="28">
        <f t="shared" si="41"/>
        <v>391.92</v>
      </c>
    </row>
    <row r="650" spans="1:14" x14ac:dyDescent="0.4">
      <c r="A650" s="1">
        <v>40969</v>
      </c>
      <c r="B650" s="28">
        <v>394.36</v>
      </c>
      <c r="C650" s="28">
        <f t="shared" si="41"/>
        <v>393.35</v>
      </c>
      <c r="D650" s="28">
        <f t="shared" si="41"/>
        <v>393.07</v>
      </c>
      <c r="E650" s="28">
        <f t="shared" si="41"/>
        <v>391.8</v>
      </c>
      <c r="F650" s="28">
        <f t="shared" si="41"/>
        <v>390.24</v>
      </c>
      <c r="G650" s="28">
        <f t="shared" si="41"/>
        <v>388.93</v>
      </c>
      <c r="H650" s="28">
        <f t="shared" si="41"/>
        <v>389</v>
      </c>
      <c r="I650" s="28">
        <f t="shared" si="41"/>
        <v>390.21</v>
      </c>
      <c r="J650" s="28">
        <f t="shared" si="41"/>
        <v>392.59</v>
      </c>
      <c r="K650" s="28">
        <f t="shared" si="41"/>
        <v>393.69</v>
      </c>
      <c r="L650" s="28">
        <f t="shared" si="41"/>
        <v>394.28</v>
      </c>
      <c r="M650" s="28">
        <f t="shared" si="41"/>
        <v>393.37</v>
      </c>
      <c r="N650" s="28">
        <f t="shared" si="41"/>
        <v>392.45</v>
      </c>
    </row>
    <row r="651" spans="1:14" x14ac:dyDescent="0.4">
      <c r="A651" s="1">
        <v>41000</v>
      </c>
      <c r="B651" s="28">
        <v>396.43</v>
      </c>
      <c r="C651" s="28">
        <f t="shared" si="41"/>
        <v>394.36</v>
      </c>
      <c r="D651" s="28">
        <f t="shared" si="41"/>
        <v>393.35</v>
      </c>
      <c r="E651" s="28">
        <f t="shared" si="41"/>
        <v>393.07</v>
      </c>
      <c r="F651" s="28">
        <f t="shared" si="41"/>
        <v>391.8</v>
      </c>
      <c r="G651" s="28">
        <f t="shared" si="41"/>
        <v>390.24</v>
      </c>
      <c r="H651" s="28">
        <f t="shared" si="41"/>
        <v>388.93</v>
      </c>
      <c r="I651" s="28">
        <f t="shared" si="41"/>
        <v>389</v>
      </c>
      <c r="J651" s="28">
        <f t="shared" si="41"/>
        <v>390.21</v>
      </c>
      <c r="K651" s="28">
        <f t="shared" si="41"/>
        <v>392.59</v>
      </c>
      <c r="L651" s="28">
        <f t="shared" si="41"/>
        <v>393.69</v>
      </c>
      <c r="M651" s="28">
        <f t="shared" si="41"/>
        <v>394.28</v>
      </c>
      <c r="N651" s="28">
        <f t="shared" si="41"/>
        <v>393.37</v>
      </c>
    </row>
    <row r="652" spans="1:14" x14ac:dyDescent="0.4">
      <c r="A652" s="1">
        <v>41030</v>
      </c>
      <c r="B652" s="28">
        <v>396.87</v>
      </c>
      <c r="C652" s="28">
        <f t="shared" si="41"/>
        <v>396.43</v>
      </c>
      <c r="D652" s="28">
        <f t="shared" si="41"/>
        <v>394.36</v>
      </c>
      <c r="E652" s="28">
        <f t="shared" si="41"/>
        <v>393.35</v>
      </c>
      <c r="F652" s="28">
        <f t="shared" si="41"/>
        <v>393.07</v>
      </c>
      <c r="G652" s="28">
        <f t="shared" si="41"/>
        <v>391.8</v>
      </c>
      <c r="H652" s="28">
        <f t="shared" si="41"/>
        <v>390.24</v>
      </c>
      <c r="I652" s="28">
        <f t="shared" si="41"/>
        <v>388.93</v>
      </c>
      <c r="J652" s="28">
        <f t="shared" si="41"/>
        <v>389</v>
      </c>
      <c r="K652" s="28">
        <f t="shared" si="41"/>
        <v>390.21</v>
      </c>
      <c r="L652" s="28">
        <f t="shared" si="41"/>
        <v>392.59</v>
      </c>
      <c r="M652" s="28">
        <f t="shared" si="41"/>
        <v>393.69</v>
      </c>
      <c r="N652" s="28">
        <f t="shared" si="41"/>
        <v>394.28</v>
      </c>
    </row>
    <row r="653" spans="1:14" x14ac:dyDescent="0.4">
      <c r="A653" s="1">
        <v>41061</v>
      </c>
      <c r="B653" s="28">
        <v>395.88</v>
      </c>
      <c r="C653" s="28">
        <f t="shared" si="41"/>
        <v>396.87</v>
      </c>
      <c r="D653" s="28">
        <f t="shared" si="41"/>
        <v>396.43</v>
      </c>
      <c r="E653" s="28">
        <f t="shared" si="41"/>
        <v>394.36</v>
      </c>
      <c r="F653" s="28">
        <f t="shared" si="41"/>
        <v>393.35</v>
      </c>
      <c r="G653" s="28">
        <f t="shared" si="41"/>
        <v>393.07</v>
      </c>
      <c r="H653" s="28">
        <f t="shared" si="41"/>
        <v>391.8</v>
      </c>
      <c r="I653" s="28">
        <f t="shared" si="41"/>
        <v>390.24</v>
      </c>
      <c r="J653" s="28">
        <f t="shared" si="41"/>
        <v>388.93</v>
      </c>
      <c r="K653" s="28">
        <f t="shared" si="41"/>
        <v>389</v>
      </c>
      <c r="L653" s="28">
        <f t="shared" si="41"/>
        <v>390.21</v>
      </c>
      <c r="M653" s="28">
        <f t="shared" si="41"/>
        <v>392.59</v>
      </c>
      <c r="N653" s="28">
        <f t="shared" si="41"/>
        <v>393.69</v>
      </c>
    </row>
    <row r="654" spans="1:14" x14ac:dyDescent="0.4">
      <c r="A654" s="1">
        <v>41091</v>
      </c>
      <c r="B654" s="28">
        <v>394.52</v>
      </c>
      <c r="C654" s="28">
        <f t="shared" si="41"/>
        <v>395.88</v>
      </c>
      <c r="D654" s="28">
        <f t="shared" si="41"/>
        <v>396.87</v>
      </c>
      <c r="E654" s="28">
        <f t="shared" si="41"/>
        <v>396.43</v>
      </c>
      <c r="F654" s="28">
        <f t="shared" si="41"/>
        <v>394.36</v>
      </c>
      <c r="G654" s="28">
        <f t="shared" si="41"/>
        <v>393.35</v>
      </c>
      <c r="H654" s="28">
        <f t="shared" si="41"/>
        <v>393.07</v>
      </c>
      <c r="I654" s="28">
        <f t="shared" si="41"/>
        <v>391.8</v>
      </c>
      <c r="J654" s="28">
        <f t="shared" si="41"/>
        <v>390.24</v>
      </c>
      <c r="K654" s="28">
        <f t="shared" si="41"/>
        <v>388.93</v>
      </c>
      <c r="L654" s="28">
        <f t="shared" si="41"/>
        <v>389</v>
      </c>
      <c r="M654" s="28">
        <f t="shared" si="41"/>
        <v>390.21</v>
      </c>
      <c r="N654" s="28">
        <f t="shared" si="41"/>
        <v>392.59</v>
      </c>
    </row>
    <row r="655" spans="1:14" x14ac:dyDescent="0.4">
      <c r="A655" s="1">
        <v>41122</v>
      </c>
      <c r="B655" s="28">
        <v>392.54</v>
      </c>
      <c r="C655" s="28">
        <f t="shared" si="41"/>
        <v>394.52</v>
      </c>
      <c r="D655" s="28">
        <f t="shared" si="41"/>
        <v>395.88</v>
      </c>
      <c r="E655" s="28">
        <f t="shared" si="41"/>
        <v>396.87</v>
      </c>
      <c r="F655" s="28">
        <f t="shared" si="41"/>
        <v>396.43</v>
      </c>
      <c r="G655" s="28">
        <f t="shared" si="41"/>
        <v>394.36</v>
      </c>
      <c r="H655" s="28">
        <f t="shared" si="41"/>
        <v>393.35</v>
      </c>
      <c r="I655" s="28">
        <f t="shared" si="41"/>
        <v>393.07</v>
      </c>
      <c r="J655" s="28">
        <f t="shared" si="41"/>
        <v>391.8</v>
      </c>
      <c r="K655" s="28">
        <f t="shared" si="41"/>
        <v>390.24</v>
      </c>
      <c r="L655" s="28">
        <f t="shared" si="41"/>
        <v>388.93</v>
      </c>
      <c r="M655" s="28">
        <f t="shared" si="41"/>
        <v>389</v>
      </c>
      <c r="N655" s="28">
        <f t="shared" si="41"/>
        <v>390.21</v>
      </c>
    </row>
    <row r="656" spans="1:14" x14ac:dyDescent="0.4">
      <c r="A656" s="1">
        <v>41153</v>
      </c>
      <c r="B656" s="28">
        <v>391.13</v>
      </c>
      <c r="C656" s="28">
        <f t="shared" si="41"/>
        <v>392.54</v>
      </c>
      <c r="D656" s="28">
        <f t="shared" si="41"/>
        <v>394.52</v>
      </c>
      <c r="E656" s="28">
        <f t="shared" si="41"/>
        <v>395.88</v>
      </c>
      <c r="F656" s="28">
        <f t="shared" si="41"/>
        <v>396.87</v>
      </c>
      <c r="G656" s="28">
        <f t="shared" si="41"/>
        <v>396.43</v>
      </c>
      <c r="H656" s="28">
        <f t="shared" si="41"/>
        <v>394.36</v>
      </c>
      <c r="I656" s="28">
        <f t="shared" si="41"/>
        <v>393.35</v>
      </c>
      <c r="J656" s="28">
        <f t="shared" si="41"/>
        <v>393.07</v>
      </c>
      <c r="K656" s="28">
        <f t="shared" si="41"/>
        <v>391.8</v>
      </c>
      <c r="L656" s="28">
        <f t="shared" si="41"/>
        <v>390.24</v>
      </c>
      <c r="M656" s="28">
        <f t="shared" si="41"/>
        <v>388.93</v>
      </c>
      <c r="N656" s="28">
        <f t="shared" si="41"/>
        <v>389</v>
      </c>
    </row>
    <row r="657" spans="1:14" x14ac:dyDescent="0.4">
      <c r="A657" s="1">
        <v>41183</v>
      </c>
      <c r="B657" s="28">
        <v>391.01</v>
      </c>
      <c r="C657" s="28">
        <f t="shared" si="41"/>
        <v>391.13</v>
      </c>
      <c r="D657" s="28">
        <f t="shared" si="41"/>
        <v>392.54</v>
      </c>
      <c r="E657" s="28">
        <f t="shared" si="41"/>
        <v>394.52</v>
      </c>
      <c r="F657" s="28">
        <f t="shared" si="41"/>
        <v>395.88</v>
      </c>
      <c r="G657" s="28">
        <f t="shared" si="41"/>
        <v>396.87</v>
      </c>
      <c r="H657" s="28">
        <f t="shared" si="41"/>
        <v>396.43</v>
      </c>
      <c r="I657" s="28">
        <f t="shared" si="41"/>
        <v>394.36</v>
      </c>
      <c r="J657" s="28">
        <f t="shared" si="41"/>
        <v>393.35</v>
      </c>
      <c r="K657" s="28">
        <f t="shared" si="41"/>
        <v>393.07</v>
      </c>
      <c r="L657" s="28">
        <f t="shared" si="41"/>
        <v>391.8</v>
      </c>
      <c r="M657" s="28">
        <f t="shared" si="41"/>
        <v>390.24</v>
      </c>
      <c r="N657" s="28">
        <f t="shared" si="41"/>
        <v>388.93</v>
      </c>
    </row>
    <row r="658" spans="1:14" x14ac:dyDescent="0.4">
      <c r="A658" s="1">
        <v>41214</v>
      </c>
      <c r="B658" s="28">
        <v>392.95</v>
      </c>
      <c r="C658" s="28">
        <f t="shared" si="41"/>
        <v>391.01</v>
      </c>
      <c r="D658" s="28">
        <f t="shared" si="41"/>
        <v>391.13</v>
      </c>
      <c r="E658" s="28">
        <f t="shared" si="41"/>
        <v>392.54</v>
      </c>
      <c r="F658" s="28">
        <f t="shared" si="41"/>
        <v>394.52</v>
      </c>
      <c r="G658" s="28">
        <f t="shared" si="41"/>
        <v>395.88</v>
      </c>
      <c r="H658" s="28">
        <f t="shared" si="41"/>
        <v>396.87</v>
      </c>
      <c r="I658" s="28">
        <f t="shared" si="41"/>
        <v>396.43</v>
      </c>
      <c r="J658" s="28">
        <f t="shared" si="41"/>
        <v>394.36</v>
      </c>
      <c r="K658" s="28">
        <f t="shared" si="41"/>
        <v>393.35</v>
      </c>
      <c r="L658" s="28">
        <f t="shared" si="41"/>
        <v>393.07</v>
      </c>
      <c r="M658" s="28">
        <f t="shared" si="41"/>
        <v>391.8</v>
      </c>
      <c r="N658" s="28">
        <f t="shared" si="41"/>
        <v>390.24</v>
      </c>
    </row>
    <row r="659" spans="1:14" x14ac:dyDescent="0.4">
      <c r="A659" s="1">
        <v>41244</v>
      </c>
      <c r="B659" s="28">
        <v>394.33</v>
      </c>
      <c r="C659" s="28">
        <f t="shared" si="41"/>
        <v>392.95</v>
      </c>
      <c r="D659" s="28">
        <f t="shared" si="41"/>
        <v>391.01</v>
      </c>
      <c r="E659" s="28">
        <f t="shared" si="41"/>
        <v>391.13</v>
      </c>
      <c r="F659" s="28">
        <f t="shared" si="41"/>
        <v>392.54</v>
      </c>
      <c r="G659" s="28">
        <f t="shared" si="41"/>
        <v>394.52</v>
      </c>
      <c r="H659" s="28">
        <f t="shared" si="41"/>
        <v>395.88</v>
      </c>
      <c r="I659" s="28">
        <f t="shared" si="41"/>
        <v>396.87</v>
      </c>
      <c r="J659" s="28">
        <f t="shared" si="41"/>
        <v>396.43</v>
      </c>
      <c r="K659" s="28">
        <f t="shared" si="41"/>
        <v>394.36</v>
      </c>
      <c r="L659" s="28">
        <f t="shared" si="41"/>
        <v>393.35</v>
      </c>
      <c r="M659" s="28">
        <f t="shared" si="41"/>
        <v>393.07</v>
      </c>
      <c r="N659" s="28">
        <f t="shared" si="41"/>
        <v>391.8</v>
      </c>
    </row>
    <row r="660" spans="1:14" x14ac:dyDescent="0.4">
      <c r="A660" s="1">
        <v>41275</v>
      </c>
      <c r="B660" s="28">
        <v>395.61</v>
      </c>
      <c r="C660" s="28">
        <f t="shared" si="41"/>
        <v>394.33</v>
      </c>
      <c r="D660" s="28">
        <f t="shared" si="41"/>
        <v>392.95</v>
      </c>
      <c r="E660" s="28">
        <f t="shared" si="41"/>
        <v>391.01</v>
      </c>
      <c r="F660" s="28">
        <f t="shared" si="41"/>
        <v>391.13</v>
      </c>
      <c r="G660" s="28">
        <f t="shared" si="41"/>
        <v>392.54</v>
      </c>
      <c r="H660" s="28">
        <f t="shared" si="41"/>
        <v>394.52</v>
      </c>
      <c r="I660" s="28">
        <f t="shared" si="41"/>
        <v>395.88</v>
      </c>
      <c r="J660" s="28">
        <f t="shared" si="41"/>
        <v>396.87</v>
      </c>
      <c r="K660" s="28">
        <f t="shared" si="41"/>
        <v>396.43</v>
      </c>
      <c r="L660" s="28">
        <f t="shared" si="41"/>
        <v>394.36</v>
      </c>
      <c r="M660" s="28">
        <f t="shared" si="41"/>
        <v>393.35</v>
      </c>
      <c r="N660" s="28">
        <f t="shared" si="41"/>
        <v>393.07</v>
      </c>
    </row>
    <row r="661" spans="1:14" x14ac:dyDescent="0.4">
      <c r="A661" s="1">
        <v>41306</v>
      </c>
      <c r="B661" s="28">
        <v>396.85</v>
      </c>
      <c r="C661" s="28">
        <f t="shared" si="41"/>
        <v>395.61</v>
      </c>
      <c r="D661" s="28">
        <f t="shared" si="41"/>
        <v>394.33</v>
      </c>
      <c r="E661" s="28">
        <f t="shared" si="41"/>
        <v>392.95</v>
      </c>
      <c r="F661" s="28">
        <f t="shared" si="41"/>
        <v>391.01</v>
      </c>
      <c r="G661" s="28">
        <f t="shared" si="41"/>
        <v>391.13</v>
      </c>
      <c r="H661" s="28">
        <f t="shared" ref="D661:N676" si="42">IF(G660=0,"",G660)</f>
        <v>392.54</v>
      </c>
      <c r="I661" s="28">
        <f t="shared" si="42"/>
        <v>394.52</v>
      </c>
      <c r="J661" s="28">
        <f t="shared" si="42"/>
        <v>395.88</v>
      </c>
      <c r="K661" s="28">
        <f t="shared" si="42"/>
        <v>396.87</v>
      </c>
      <c r="L661" s="28">
        <f t="shared" si="42"/>
        <v>396.43</v>
      </c>
      <c r="M661" s="28">
        <f t="shared" si="42"/>
        <v>394.36</v>
      </c>
      <c r="N661" s="28">
        <f t="shared" si="42"/>
        <v>393.35</v>
      </c>
    </row>
    <row r="662" spans="1:14" x14ac:dyDescent="0.4">
      <c r="A662" s="1">
        <v>41334</v>
      </c>
      <c r="B662" s="28">
        <v>397.26</v>
      </c>
      <c r="C662" s="28">
        <f t="shared" si="41"/>
        <v>396.85</v>
      </c>
      <c r="D662" s="28">
        <f t="shared" si="42"/>
        <v>395.61</v>
      </c>
      <c r="E662" s="28">
        <f t="shared" si="42"/>
        <v>394.33</v>
      </c>
      <c r="F662" s="28">
        <f t="shared" si="42"/>
        <v>392.95</v>
      </c>
      <c r="G662" s="28">
        <f t="shared" si="42"/>
        <v>391.01</v>
      </c>
      <c r="H662" s="28">
        <f t="shared" si="42"/>
        <v>391.13</v>
      </c>
      <c r="I662" s="28">
        <f t="shared" si="42"/>
        <v>392.54</v>
      </c>
      <c r="J662" s="28">
        <f t="shared" si="42"/>
        <v>394.52</v>
      </c>
      <c r="K662" s="28">
        <f t="shared" si="42"/>
        <v>395.88</v>
      </c>
      <c r="L662" s="28">
        <f t="shared" si="42"/>
        <v>396.87</v>
      </c>
      <c r="M662" s="28">
        <f t="shared" si="42"/>
        <v>396.43</v>
      </c>
      <c r="N662" s="28">
        <f t="shared" si="42"/>
        <v>394.36</v>
      </c>
    </row>
    <row r="663" spans="1:14" x14ac:dyDescent="0.4">
      <c r="A663" s="1">
        <v>41365</v>
      </c>
      <c r="B663" s="28">
        <v>398.35</v>
      </c>
      <c r="C663" s="28">
        <f t="shared" si="41"/>
        <v>397.26</v>
      </c>
      <c r="D663" s="28">
        <f t="shared" si="42"/>
        <v>396.85</v>
      </c>
      <c r="E663" s="28">
        <f t="shared" si="42"/>
        <v>395.61</v>
      </c>
      <c r="F663" s="28">
        <f t="shared" si="42"/>
        <v>394.33</v>
      </c>
      <c r="G663" s="28">
        <f t="shared" si="42"/>
        <v>392.95</v>
      </c>
      <c r="H663" s="28">
        <f t="shared" si="42"/>
        <v>391.01</v>
      </c>
      <c r="I663" s="28">
        <f t="shared" si="42"/>
        <v>391.13</v>
      </c>
      <c r="J663" s="28">
        <f t="shared" si="42"/>
        <v>392.54</v>
      </c>
      <c r="K663" s="28">
        <f t="shared" si="42"/>
        <v>394.52</v>
      </c>
      <c r="L663" s="28">
        <f t="shared" si="42"/>
        <v>395.88</v>
      </c>
      <c r="M663" s="28">
        <f t="shared" si="42"/>
        <v>396.87</v>
      </c>
      <c r="N663" s="28">
        <f t="shared" si="42"/>
        <v>396.43</v>
      </c>
    </row>
    <row r="664" spans="1:14" x14ac:dyDescent="0.4">
      <c r="A664" s="1">
        <v>41395</v>
      </c>
      <c r="B664" s="28">
        <v>399.98</v>
      </c>
      <c r="C664" s="28">
        <f t="shared" si="41"/>
        <v>398.35</v>
      </c>
      <c r="D664" s="28">
        <f t="shared" si="42"/>
        <v>397.26</v>
      </c>
      <c r="E664" s="28">
        <f t="shared" si="42"/>
        <v>396.85</v>
      </c>
      <c r="F664" s="28">
        <f t="shared" si="42"/>
        <v>395.61</v>
      </c>
      <c r="G664" s="28">
        <f t="shared" si="42"/>
        <v>394.33</v>
      </c>
      <c r="H664" s="28">
        <f t="shared" si="42"/>
        <v>392.95</v>
      </c>
      <c r="I664" s="28">
        <f t="shared" si="42"/>
        <v>391.01</v>
      </c>
      <c r="J664" s="28">
        <f t="shared" si="42"/>
        <v>391.13</v>
      </c>
      <c r="K664" s="28">
        <f t="shared" si="42"/>
        <v>392.54</v>
      </c>
      <c r="L664" s="28">
        <f t="shared" si="42"/>
        <v>394.52</v>
      </c>
      <c r="M664" s="28">
        <f t="shared" si="42"/>
        <v>395.88</v>
      </c>
      <c r="N664" s="28">
        <f t="shared" si="42"/>
        <v>396.87</v>
      </c>
    </row>
    <row r="665" spans="1:14" x14ac:dyDescent="0.4">
      <c r="A665" s="1">
        <v>41426</v>
      </c>
      <c r="B665" s="28">
        <v>398.87</v>
      </c>
      <c r="C665" s="28">
        <f t="shared" si="41"/>
        <v>399.98</v>
      </c>
      <c r="D665" s="28">
        <f t="shared" si="42"/>
        <v>398.35</v>
      </c>
      <c r="E665" s="28">
        <f t="shared" si="42"/>
        <v>397.26</v>
      </c>
      <c r="F665" s="28">
        <f t="shared" si="42"/>
        <v>396.85</v>
      </c>
      <c r="G665" s="28">
        <f t="shared" si="42"/>
        <v>395.61</v>
      </c>
      <c r="H665" s="28">
        <f t="shared" si="42"/>
        <v>394.33</v>
      </c>
      <c r="I665" s="28">
        <f t="shared" si="42"/>
        <v>392.95</v>
      </c>
      <c r="J665" s="28">
        <f t="shared" si="42"/>
        <v>391.01</v>
      </c>
      <c r="K665" s="28">
        <f t="shared" si="42"/>
        <v>391.13</v>
      </c>
      <c r="L665" s="28">
        <f t="shared" si="42"/>
        <v>392.54</v>
      </c>
      <c r="M665" s="28">
        <f t="shared" si="42"/>
        <v>394.52</v>
      </c>
      <c r="N665" s="28">
        <f t="shared" si="42"/>
        <v>395.88</v>
      </c>
    </row>
    <row r="666" spans="1:14" x14ac:dyDescent="0.4">
      <c r="A666" s="1">
        <v>41456</v>
      </c>
      <c r="B666" s="28">
        <v>397.37</v>
      </c>
      <c r="C666" s="28">
        <f t="shared" si="41"/>
        <v>398.87</v>
      </c>
      <c r="D666" s="28">
        <f t="shared" si="42"/>
        <v>399.98</v>
      </c>
      <c r="E666" s="28">
        <f t="shared" si="42"/>
        <v>398.35</v>
      </c>
      <c r="F666" s="28">
        <f t="shared" si="42"/>
        <v>397.26</v>
      </c>
      <c r="G666" s="28">
        <f t="shared" si="42"/>
        <v>396.85</v>
      </c>
      <c r="H666" s="28">
        <f t="shared" si="42"/>
        <v>395.61</v>
      </c>
      <c r="I666" s="28">
        <f t="shared" si="42"/>
        <v>394.33</v>
      </c>
      <c r="J666" s="28">
        <f t="shared" si="42"/>
        <v>392.95</v>
      </c>
      <c r="K666" s="28">
        <f t="shared" si="42"/>
        <v>391.01</v>
      </c>
      <c r="L666" s="28">
        <f t="shared" si="42"/>
        <v>391.13</v>
      </c>
      <c r="M666" s="28">
        <f t="shared" si="42"/>
        <v>392.54</v>
      </c>
      <c r="N666" s="28">
        <f t="shared" si="42"/>
        <v>394.52</v>
      </c>
    </row>
    <row r="667" spans="1:14" x14ac:dyDescent="0.4">
      <c r="A667" s="1">
        <v>41487</v>
      </c>
      <c r="B667" s="28">
        <v>395.41</v>
      </c>
      <c r="C667" s="28">
        <f t="shared" si="41"/>
        <v>397.37</v>
      </c>
      <c r="D667" s="28">
        <f t="shared" si="42"/>
        <v>398.87</v>
      </c>
      <c r="E667" s="28">
        <f t="shared" si="42"/>
        <v>399.98</v>
      </c>
      <c r="F667" s="28">
        <f t="shared" si="42"/>
        <v>398.35</v>
      </c>
      <c r="G667" s="28">
        <f t="shared" si="42"/>
        <v>397.26</v>
      </c>
      <c r="H667" s="28">
        <f t="shared" si="42"/>
        <v>396.85</v>
      </c>
      <c r="I667" s="28">
        <f t="shared" si="42"/>
        <v>395.61</v>
      </c>
      <c r="J667" s="28">
        <f t="shared" si="42"/>
        <v>394.33</v>
      </c>
      <c r="K667" s="28">
        <f t="shared" si="42"/>
        <v>392.95</v>
      </c>
      <c r="L667" s="28">
        <f t="shared" si="42"/>
        <v>391.01</v>
      </c>
      <c r="M667" s="28">
        <f t="shared" si="42"/>
        <v>391.13</v>
      </c>
      <c r="N667" s="28">
        <f t="shared" si="42"/>
        <v>392.54</v>
      </c>
    </row>
    <row r="668" spans="1:14" x14ac:dyDescent="0.4">
      <c r="A668" s="1">
        <v>41518</v>
      </c>
      <c r="B668" s="28">
        <v>393.39</v>
      </c>
      <c r="C668" s="28">
        <f t="shared" si="41"/>
        <v>395.41</v>
      </c>
      <c r="D668" s="28">
        <f t="shared" si="42"/>
        <v>397.37</v>
      </c>
      <c r="E668" s="28">
        <f t="shared" si="42"/>
        <v>398.87</v>
      </c>
      <c r="F668" s="28">
        <f t="shared" si="42"/>
        <v>399.98</v>
      </c>
      <c r="G668" s="28">
        <f t="shared" si="42"/>
        <v>398.35</v>
      </c>
      <c r="H668" s="28">
        <f t="shared" si="42"/>
        <v>397.26</v>
      </c>
      <c r="I668" s="28">
        <f t="shared" si="42"/>
        <v>396.85</v>
      </c>
      <c r="J668" s="28">
        <f t="shared" si="42"/>
        <v>395.61</v>
      </c>
      <c r="K668" s="28">
        <f t="shared" si="42"/>
        <v>394.33</v>
      </c>
      <c r="L668" s="28">
        <f t="shared" si="42"/>
        <v>392.95</v>
      </c>
      <c r="M668" s="28">
        <f t="shared" si="42"/>
        <v>391.01</v>
      </c>
      <c r="N668" s="28">
        <f t="shared" si="42"/>
        <v>391.13</v>
      </c>
    </row>
    <row r="669" spans="1:14" x14ac:dyDescent="0.4">
      <c r="A669" s="1">
        <v>41548</v>
      </c>
      <c r="B669" s="28">
        <v>393.7</v>
      </c>
      <c r="C669" s="28">
        <f t="shared" si="41"/>
        <v>393.39</v>
      </c>
      <c r="D669" s="28">
        <f t="shared" si="42"/>
        <v>395.41</v>
      </c>
      <c r="E669" s="28">
        <f t="shared" si="42"/>
        <v>397.37</v>
      </c>
      <c r="F669" s="28">
        <f t="shared" si="42"/>
        <v>398.87</v>
      </c>
      <c r="G669" s="28">
        <f t="shared" si="42"/>
        <v>399.98</v>
      </c>
      <c r="H669" s="28">
        <f t="shared" si="42"/>
        <v>398.35</v>
      </c>
      <c r="I669" s="28">
        <f t="shared" si="42"/>
        <v>397.26</v>
      </c>
      <c r="J669" s="28">
        <f t="shared" si="42"/>
        <v>396.85</v>
      </c>
      <c r="K669" s="28">
        <f t="shared" si="42"/>
        <v>395.61</v>
      </c>
      <c r="L669" s="28">
        <f t="shared" si="42"/>
        <v>394.33</v>
      </c>
      <c r="M669" s="28">
        <f t="shared" si="42"/>
        <v>392.95</v>
      </c>
      <c r="N669" s="28">
        <f t="shared" si="42"/>
        <v>391.01</v>
      </c>
    </row>
    <row r="670" spans="1:14" x14ac:dyDescent="0.4">
      <c r="A670" s="1">
        <v>41579</v>
      </c>
      <c r="B670" s="28">
        <v>395.19</v>
      </c>
      <c r="C670" s="28">
        <f t="shared" si="41"/>
        <v>393.7</v>
      </c>
      <c r="D670" s="28">
        <f t="shared" si="42"/>
        <v>393.39</v>
      </c>
      <c r="E670" s="28">
        <f t="shared" si="42"/>
        <v>395.41</v>
      </c>
      <c r="F670" s="28">
        <f t="shared" si="42"/>
        <v>397.37</v>
      </c>
      <c r="G670" s="28">
        <f t="shared" si="42"/>
        <v>398.87</v>
      </c>
      <c r="H670" s="28">
        <f t="shared" si="42"/>
        <v>399.98</v>
      </c>
      <c r="I670" s="28">
        <f t="shared" si="42"/>
        <v>398.35</v>
      </c>
      <c r="J670" s="28">
        <f t="shared" si="42"/>
        <v>397.26</v>
      </c>
      <c r="K670" s="28">
        <f t="shared" si="42"/>
        <v>396.85</v>
      </c>
      <c r="L670" s="28">
        <f t="shared" si="42"/>
        <v>395.61</v>
      </c>
      <c r="M670" s="28">
        <f t="shared" si="42"/>
        <v>394.33</v>
      </c>
      <c r="N670" s="28">
        <f t="shared" si="42"/>
        <v>392.95</v>
      </c>
    </row>
    <row r="671" spans="1:14" x14ac:dyDescent="0.4">
      <c r="A671" s="1">
        <v>41609</v>
      </c>
      <c r="B671" s="28">
        <v>396.82</v>
      </c>
      <c r="C671" s="28">
        <f t="shared" si="41"/>
        <v>395.19</v>
      </c>
      <c r="D671" s="28">
        <f t="shared" si="42"/>
        <v>393.7</v>
      </c>
      <c r="E671" s="28">
        <f t="shared" si="42"/>
        <v>393.39</v>
      </c>
      <c r="F671" s="28">
        <f t="shared" si="42"/>
        <v>395.41</v>
      </c>
      <c r="G671" s="28">
        <f t="shared" si="42"/>
        <v>397.37</v>
      </c>
      <c r="H671" s="28">
        <f t="shared" si="42"/>
        <v>398.87</v>
      </c>
      <c r="I671" s="28">
        <f t="shared" si="42"/>
        <v>399.98</v>
      </c>
      <c r="J671" s="28">
        <f t="shared" si="42"/>
        <v>398.35</v>
      </c>
      <c r="K671" s="28">
        <f t="shared" si="42"/>
        <v>397.26</v>
      </c>
      <c r="L671" s="28">
        <f t="shared" si="42"/>
        <v>396.85</v>
      </c>
      <c r="M671" s="28">
        <f t="shared" si="42"/>
        <v>395.61</v>
      </c>
      <c r="N671" s="28">
        <f t="shared" si="42"/>
        <v>394.33</v>
      </c>
    </row>
    <row r="672" spans="1:14" x14ac:dyDescent="0.4">
      <c r="A672" s="1">
        <v>41640</v>
      </c>
      <c r="B672" s="28">
        <v>397.93</v>
      </c>
      <c r="C672" s="28">
        <f t="shared" si="41"/>
        <v>396.82</v>
      </c>
      <c r="D672" s="28">
        <f t="shared" si="42"/>
        <v>395.19</v>
      </c>
      <c r="E672" s="28">
        <f t="shared" si="42"/>
        <v>393.7</v>
      </c>
      <c r="F672" s="28">
        <f t="shared" si="42"/>
        <v>393.39</v>
      </c>
      <c r="G672" s="28">
        <f t="shared" si="42"/>
        <v>395.41</v>
      </c>
      <c r="H672" s="28">
        <f t="shared" si="42"/>
        <v>397.37</v>
      </c>
      <c r="I672" s="28">
        <f t="shared" si="42"/>
        <v>398.87</v>
      </c>
      <c r="J672" s="28">
        <f t="shared" si="42"/>
        <v>399.98</v>
      </c>
      <c r="K672" s="28">
        <f t="shared" si="42"/>
        <v>398.35</v>
      </c>
      <c r="L672" s="28">
        <f t="shared" si="42"/>
        <v>397.26</v>
      </c>
      <c r="M672" s="28">
        <f t="shared" si="42"/>
        <v>396.85</v>
      </c>
      <c r="N672" s="28">
        <f t="shared" si="42"/>
        <v>395.61</v>
      </c>
    </row>
    <row r="673" spans="1:14" x14ac:dyDescent="0.4">
      <c r="A673" s="1">
        <v>41671</v>
      </c>
      <c r="B673" s="28">
        <v>398.1</v>
      </c>
      <c r="C673" s="28">
        <f t="shared" si="41"/>
        <v>397.93</v>
      </c>
      <c r="D673" s="28">
        <f t="shared" si="42"/>
        <v>396.82</v>
      </c>
      <c r="E673" s="28">
        <f t="shared" si="42"/>
        <v>395.19</v>
      </c>
      <c r="F673" s="28">
        <f t="shared" si="42"/>
        <v>393.7</v>
      </c>
      <c r="G673" s="28">
        <f t="shared" si="42"/>
        <v>393.39</v>
      </c>
      <c r="H673" s="28">
        <f t="shared" si="42"/>
        <v>395.41</v>
      </c>
      <c r="I673" s="28">
        <f t="shared" si="42"/>
        <v>397.37</v>
      </c>
      <c r="J673" s="28">
        <f t="shared" si="42"/>
        <v>398.87</v>
      </c>
      <c r="K673" s="28">
        <f t="shared" si="42"/>
        <v>399.98</v>
      </c>
      <c r="L673" s="28">
        <f t="shared" si="42"/>
        <v>398.35</v>
      </c>
      <c r="M673" s="28">
        <f t="shared" si="42"/>
        <v>397.26</v>
      </c>
      <c r="N673" s="28">
        <f t="shared" si="42"/>
        <v>396.85</v>
      </c>
    </row>
    <row r="674" spans="1:14" x14ac:dyDescent="0.4">
      <c r="A674" s="1">
        <v>41699</v>
      </c>
      <c r="B674" s="28">
        <v>399.47</v>
      </c>
      <c r="C674" s="28">
        <f t="shared" si="41"/>
        <v>398.1</v>
      </c>
      <c r="D674" s="28">
        <f t="shared" si="42"/>
        <v>397.93</v>
      </c>
      <c r="E674" s="28">
        <f t="shared" si="42"/>
        <v>396.82</v>
      </c>
      <c r="F674" s="28">
        <f t="shared" si="42"/>
        <v>395.19</v>
      </c>
      <c r="G674" s="28">
        <f t="shared" si="42"/>
        <v>393.7</v>
      </c>
      <c r="H674" s="28">
        <f t="shared" si="42"/>
        <v>393.39</v>
      </c>
      <c r="I674" s="28">
        <f t="shared" si="42"/>
        <v>395.41</v>
      </c>
      <c r="J674" s="28">
        <f t="shared" si="42"/>
        <v>397.37</v>
      </c>
      <c r="K674" s="28">
        <f t="shared" si="42"/>
        <v>398.87</v>
      </c>
      <c r="L674" s="28">
        <f t="shared" si="42"/>
        <v>399.98</v>
      </c>
      <c r="M674" s="28">
        <f t="shared" si="42"/>
        <v>398.35</v>
      </c>
      <c r="N674" s="28">
        <f t="shared" si="42"/>
        <v>397.26</v>
      </c>
    </row>
    <row r="675" spans="1:14" x14ac:dyDescent="0.4">
      <c r="A675" s="1">
        <v>41730</v>
      </c>
      <c r="B675" s="28">
        <v>401.33</v>
      </c>
      <c r="C675" s="28">
        <f t="shared" si="41"/>
        <v>399.47</v>
      </c>
      <c r="D675" s="28">
        <f t="shared" si="42"/>
        <v>398.1</v>
      </c>
      <c r="E675" s="28">
        <f t="shared" si="42"/>
        <v>397.93</v>
      </c>
      <c r="F675" s="28">
        <f t="shared" si="42"/>
        <v>396.82</v>
      </c>
      <c r="G675" s="28">
        <f t="shared" si="42"/>
        <v>395.19</v>
      </c>
      <c r="H675" s="28">
        <f t="shared" si="42"/>
        <v>393.7</v>
      </c>
      <c r="I675" s="28">
        <f t="shared" si="42"/>
        <v>393.39</v>
      </c>
      <c r="J675" s="28">
        <f t="shared" si="42"/>
        <v>395.41</v>
      </c>
      <c r="K675" s="28">
        <f t="shared" si="42"/>
        <v>397.37</v>
      </c>
      <c r="L675" s="28">
        <f t="shared" si="42"/>
        <v>398.87</v>
      </c>
      <c r="M675" s="28">
        <f t="shared" si="42"/>
        <v>399.98</v>
      </c>
      <c r="N675" s="28">
        <f t="shared" si="42"/>
        <v>398.35</v>
      </c>
    </row>
    <row r="676" spans="1:14" x14ac:dyDescent="0.4">
      <c r="A676" s="1">
        <v>41760</v>
      </c>
      <c r="B676" s="28">
        <v>401.88</v>
      </c>
      <c r="C676" s="28">
        <f t="shared" si="41"/>
        <v>401.33</v>
      </c>
      <c r="D676" s="28">
        <f t="shared" si="42"/>
        <v>399.47</v>
      </c>
      <c r="E676" s="28">
        <f t="shared" si="42"/>
        <v>398.1</v>
      </c>
      <c r="F676" s="28">
        <f t="shared" si="42"/>
        <v>397.93</v>
      </c>
      <c r="G676" s="28">
        <f t="shared" si="42"/>
        <v>396.82</v>
      </c>
      <c r="H676" s="28">
        <f t="shared" si="42"/>
        <v>395.19</v>
      </c>
      <c r="I676" s="28">
        <f t="shared" si="42"/>
        <v>393.7</v>
      </c>
      <c r="J676" s="28">
        <f t="shared" si="42"/>
        <v>393.39</v>
      </c>
      <c r="K676" s="28">
        <f t="shared" si="42"/>
        <v>395.41</v>
      </c>
      <c r="L676" s="28">
        <f t="shared" si="42"/>
        <v>397.37</v>
      </c>
      <c r="M676" s="28">
        <f t="shared" si="42"/>
        <v>398.87</v>
      </c>
      <c r="N676" s="28">
        <f t="shared" si="42"/>
        <v>399.98</v>
      </c>
    </row>
    <row r="677" spans="1:14" x14ac:dyDescent="0.4">
      <c r="A677" s="1">
        <v>41791</v>
      </c>
      <c r="B677" s="28">
        <v>401.31</v>
      </c>
      <c r="C677" s="28">
        <f t="shared" si="41"/>
        <v>401.88</v>
      </c>
      <c r="D677" s="28">
        <f t="shared" ref="D677:N692" si="43">IF(C676=0,"",C676)</f>
        <v>401.33</v>
      </c>
      <c r="E677" s="28">
        <f t="shared" si="43"/>
        <v>399.47</v>
      </c>
      <c r="F677" s="28">
        <f t="shared" si="43"/>
        <v>398.1</v>
      </c>
      <c r="G677" s="28">
        <f t="shared" si="43"/>
        <v>397.93</v>
      </c>
      <c r="H677" s="28">
        <f t="shared" si="43"/>
        <v>396.82</v>
      </c>
      <c r="I677" s="28">
        <f t="shared" si="43"/>
        <v>395.19</v>
      </c>
      <c r="J677" s="28">
        <f t="shared" si="43"/>
        <v>393.7</v>
      </c>
      <c r="K677" s="28">
        <f t="shared" si="43"/>
        <v>393.39</v>
      </c>
      <c r="L677" s="28">
        <f t="shared" si="43"/>
        <v>395.41</v>
      </c>
      <c r="M677" s="28">
        <f t="shared" si="43"/>
        <v>397.37</v>
      </c>
      <c r="N677" s="28">
        <f t="shared" si="43"/>
        <v>398.87</v>
      </c>
    </row>
    <row r="678" spans="1:14" x14ac:dyDescent="0.4">
      <c r="A678" s="1">
        <v>41821</v>
      </c>
      <c r="B678" s="28">
        <v>399.07</v>
      </c>
      <c r="C678" s="28">
        <f t="shared" si="41"/>
        <v>401.31</v>
      </c>
      <c r="D678" s="28">
        <f t="shared" si="43"/>
        <v>401.88</v>
      </c>
      <c r="E678" s="28">
        <f t="shared" si="43"/>
        <v>401.33</v>
      </c>
      <c r="F678" s="28">
        <f t="shared" si="43"/>
        <v>399.47</v>
      </c>
      <c r="G678" s="28">
        <f t="shared" si="43"/>
        <v>398.1</v>
      </c>
      <c r="H678" s="28">
        <f t="shared" si="43"/>
        <v>397.93</v>
      </c>
      <c r="I678" s="28">
        <f t="shared" si="43"/>
        <v>396.82</v>
      </c>
      <c r="J678" s="28">
        <f t="shared" si="43"/>
        <v>395.19</v>
      </c>
      <c r="K678" s="28">
        <f t="shared" si="43"/>
        <v>393.7</v>
      </c>
      <c r="L678" s="28">
        <f t="shared" si="43"/>
        <v>393.39</v>
      </c>
      <c r="M678" s="28">
        <f t="shared" si="43"/>
        <v>395.41</v>
      </c>
      <c r="N678" s="28">
        <f t="shared" si="43"/>
        <v>397.37</v>
      </c>
    </row>
    <row r="679" spans="1:14" x14ac:dyDescent="0.4">
      <c r="A679" s="1">
        <v>41852</v>
      </c>
      <c r="B679" s="28">
        <v>397.21</v>
      </c>
      <c r="C679" s="28">
        <f t="shared" si="41"/>
        <v>399.07</v>
      </c>
      <c r="D679" s="28">
        <f t="shared" si="43"/>
        <v>401.31</v>
      </c>
      <c r="E679" s="28">
        <f t="shared" si="43"/>
        <v>401.88</v>
      </c>
      <c r="F679" s="28">
        <f t="shared" si="43"/>
        <v>401.33</v>
      </c>
      <c r="G679" s="28">
        <f t="shared" si="43"/>
        <v>399.47</v>
      </c>
      <c r="H679" s="28">
        <f t="shared" si="43"/>
        <v>398.1</v>
      </c>
      <c r="I679" s="28">
        <f t="shared" si="43"/>
        <v>397.93</v>
      </c>
      <c r="J679" s="28">
        <f t="shared" si="43"/>
        <v>396.82</v>
      </c>
      <c r="K679" s="28">
        <f t="shared" si="43"/>
        <v>395.19</v>
      </c>
      <c r="L679" s="28">
        <f t="shared" si="43"/>
        <v>393.7</v>
      </c>
      <c r="M679" s="28">
        <f t="shared" si="43"/>
        <v>393.39</v>
      </c>
      <c r="N679" s="28">
        <f t="shared" si="43"/>
        <v>395.41</v>
      </c>
    </row>
    <row r="680" spans="1:14" x14ac:dyDescent="0.4">
      <c r="A680" s="1">
        <v>41883</v>
      </c>
      <c r="B680" s="28">
        <v>395.4</v>
      </c>
      <c r="C680" s="28">
        <f t="shared" si="41"/>
        <v>397.21</v>
      </c>
      <c r="D680" s="28">
        <f t="shared" si="43"/>
        <v>399.07</v>
      </c>
      <c r="E680" s="28">
        <f t="shared" si="43"/>
        <v>401.31</v>
      </c>
      <c r="F680" s="28">
        <f t="shared" si="43"/>
        <v>401.88</v>
      </c>
      <c r="G680" s="28">
        <f t="shared" si="43"/>
        <v>401.33</v>
      </c>
      <c r="H680" s="28">
        <f t="shared" si="43"/>
        <v>399.47</v>
      </c>
      <c r="I680" s="28">
        <f t="shared" si="43"/>
        <v>398.1</v>
      </c>
      <c r="J680" s="28">
        <f t="shared" si="43"/>
        <v>397.93</v>
      </c>
      <c r="K680" s="28">
        <f t="shared" si="43"/>
        <v>396.82</v>
      </c>
      <c r="L680" s="28">
        <f t="shared" si="43"/>
        <v>395.19</v>
      </c>
      <c r="M680" s="28">
        <f t="shared" si="43"/>
        <v>393.7</v>
      </c>
      <c r="N680" s="28">
        <f t="shared" si="43"/>
        <v>393.39</v>
      </c>
    </row>
    <row r="681" spans="1:14" x14ac:dyDescent="0.4">
      <c r="A681" s="1">
        <v>41913</v>
      </c>
      <c r="B681" s="28">
        <v>395.65</v>
      </c>
      <c r="C681" s="28">
        <f t="shared" si="41"/>
        <v>395.4</v>
      </c>
      <c r="D681" s="28">
        <f t="shared" si="43"/>
        <v>397.21</v>
      </c>
      <c r="E681" s="28">
        <f t="shared" si="43"/>
        <v>399.07</v>
      </c>
      <c r="F681" s="28">
        <f t="shared" si="43"/>
        <v>401.31</v>
      </c>
      <c r="G681" s="28">
        <f t="shared" si="43"/>
        <v>401.88</v>
      </c>
      <c r="H681" s="28">
        <f t="shared" si="43"/>
        <v>401.33</v>
      </c>
      <c r="I681" s="28">
        <f t="shared" si="43"/>
        <v>399.47</v>
      </c>
      <c r="J681" s="28">
        <f t="shared" si="43"/>
        <v>398.1</v>
      </c>
      <c r="K681" s="28">
        <f t="shared" si="43"/>
        <v>397.93</v>
      </c>
      <c r="L681" s="28">
        <f t="shared" si="43"/>
        <v>396.82</v>
      </c>
      <c r="M681" s="28">
        <f t="shared" si="43"/>
        <v>395.19</v>
      </c>
      <c r="N681" s="28">
        <f t="shared" si="43"/>
        <v>393.7</v>
      </c>
    </row>
    <row r="682" spans="1:14" x14ac:dyDescent="0.4">
      <c r="A682" s="1">
        <v>41944</v>
      </c>
      <c r="B682" s="28">
        <v>397.23</v>
      </c>
      <c r="C682" s="28">
        <f t="shared" si="41"/>
        <v>395.65</v>
      </c>
      <c r="D682" s="28">
        <f t="shared" si="43"/>
        <v>395.4</v>
      </c>
      <c r="E682" s="28">
        <f t="shared" si="43"/>
        <v>397.21</v>
      </c>
      <c r="F682" s="28">
        <f t="shared" si="43"/>
        <v>399.07</v>
      </c>
      <c r="G682" s="28">
        <f t="shared" si="43"/>
        <v>401.31</v>
      </c>
      <c r="H682" s="28">
        <f t="shared" si="43"/>
        <v>401.88</v>
      </c>
      <c r="I682" s="28">
        <f t="shared" si="43"/>
        <v>401.33</v>
      </c>
      <c r="J682" s="28">
        <f t="shared" si="43"/>
        <v>399.47</v>
      </c>
      <c r="K682" s="28">
        <f t="shared" si="43"/>
        <v>398.1</v>
      </c>
      <c r="L682" s="28">
        <f t="shared" si="43"/>
        <v>397.93</v>
      </c>
      <c r="M682" s="28">
        <f t="shared" si="43"/>
        <v>396.82</v>
      </c>
      <c r="N682" s="28">
        <f t="shared" si="43"/>
        <v>395.19</v>
      </c>
    </row>
    <row r="683" spans="1:14" x14ac:dyDescent="0.4">
      <c r="A683" s="1">
        <v>41974</v>
      </c>
      <c r="B683" s="28">
        <v>398.79</v>
      </c>
      <c r="C683" s="28">
        <f t="shared" si="41"/>
        <v>397.23</v>
      </c>
      <c r="D683" s="28">
        <f t="shared" si="43"/>
        <v>395.65</v>
      </c>
      <c r="E683" s="28">
        <f t="shared" si="43"/>
        <v>395.4</v>
      </c>
      <c r="F683" s="28">
        <f t="shared" si="43"/>
        <v>397.21</v>
      </c>
      <c r="G683" s="28">
        <f t="shared" si="43"/>
        <v>399.07</v>
      </c>
      <c r="H683" s="28">
        <f t="shared" si="43"/>
        <v>401.31</v>
      </c>
      <c r="I683" s="28">
        <f t="shared" si="43"/>
        <v>401.88</v>
      </c>
      <c r="J683" s="28">
        <f t="shared" si="43"/>
        <v>401.33</v>
      </c>
      <c r="K683" s="28">
        <f t="shared" si="43"/>
        <v>399.47</v>
      </c>
      <c r="L683" s="28">
        <f t="shared" si="43"/>
        <v>398.1</v>
      </c>
      <c r="M683" s="28">
        <f t="shared" si="43"/>
        <v>397.93</v>
      </c>
      <c r="N683" s="28">
        <f t="shared" si="43"/>
        <v>396.82</v>
      </c>
    </row>
    <row r="684" spans="1:14" x14ac:dyDescent="0.4">
      <c r="A684" s="1">
        <v>42005</v>
      </c>
      <c r="B684" s="28">
        <v>399.85</v>
      </c>
      <c r="C684" s="28">
        <f t="shared" si="41"/>
        <v>398.79</v>
      </c>
      <c r="D684" s="28">
        <f t="shared" si="43"/>
        <v>397.23</v>
      </c>
      <c r="E684" s="28">
        <f t="shared" si="43"/>
        <v>395.65</v>
      </c>
      <c r="F684" s="28">
        <f t="shared" si="43"/>
        <v>395.4</v>
      </c>
      <c r="G684" s="28">
        <f t="shared" si="43"/>
        <v>397.21</v>
      </c>
      <c r="H684" s="28">
        <f t="shared" si="43"/>
        <v>399.07</v>
      </c>
      <c r="I684" s="28">
        <f t="shared" si="43"/>
        <v>401.31</v>
      </c>
      <c r="J684" s="28">
        <f t="shared" si="43"/>
        <v>401.88</v>
      </c>
      <c r="K684" s="28">
        <f t="shared" si="43"/>
        <v>401.33</v>
      </c>
      <c r="L684" s="28">
        <f t="shared" si="43"/>
        <v>399.47</v>
      </c>
      <c r="M684" s="28">
        <f t="shared" si="43"/>
        <v>398.1</v>
      </c>
      <c r="N684" s="28">
        <f t="shared" si="43"/>
        <v>397.93</v>
      </c>
    </row>
    <row r="685" spans="1:14" x14ac:dyDescent="0.4">
      <c r="A685" s="1">
        <v>42036</v>
      </c>
      <c r="B685" s="28">
        <v>400.31</v>
      </c>
      <c r="C685" s="28">
        <f t="shared" si="41"/>
        <v>399.85</v>
      </c>
      <c r="D685" s="28">
        <f t="shared" si="43"/>
        <v>398.79</v>
      </c>
      <c r="E685" s="28">
        <f t="shared" si="43"/>
        <v>397.23</v>
      </c>
      <c r="F685" s="28">
        <f t="shared" si="43"/>
        <v>395.65</v>
      </c>
      <c r="G685" s="28">
        <f t="shared" si="43"/>
        <v>395.4</v>
      </c>
      <c r="H685" s="28">
        <f t="shared" si="43"/>
        <v>397.21</v>
      </c>
      <c r="I685" s="28">
        <f t="shared" si="43"/>
        <v>399.07</v>
      </c>
      <c r="J685" s="28">
        <f t="shared" si="43"/>
        <v>401.31</v>
      </c>
      <c r="K685" s="28">
        <f t="shared" si="43"/>
        <v>401.88</v>
      </c>
      <c r="L685" s="28">
        <f t="shared" si="43"/>
        <v>401.33</v>
      </c>
      <c r="M685" s="28">
        <f t="shared" si="43"/>
        <v>399.47</v>
      </c>
      <c r="N685" s="28">
        <f t="shared" si="43"/>
        <v>398.1</v>
      </c>
    </row>
    <row r="686" spans="1:14" x14ac:dyDescent="0.4">
      <c r="A686" s="1">
        <v>42064</v>
      </c>
      <c r="B686" s="28">
        <v>401.51</v>
      </c>
      <c r="C686" s="28">
        <f t="shared" si="41"/>
        <v>400.31</v>
      </c>
      <c r="D686" s="28">
        <f t="shared" si="43"/>
        <v>399.85</v>
      </c>
      <c r="E686" s="28">
        <f t="shared" si="43"/>
        <v>398.79</v>
      </c>
      <c r="F686" s="28">
        <f t="shared" si="43"/>
        <v>397.23</v>
      </c>
      <c r="G686" s="28">
        <f t="shared" si="43"/>
        <v>395.65</v>
      </c>
      <c r="H686" s="28">
        <f t="shared" si="43"/>
        <v>395.4</v>
      </c>
      <c r="I686" s="28">
        <f t="shared" si="43"/>
        <v>397.21</v>
      </c>
      <c r="J686" s="28">
        <f t="shared" si="43"/>
        <v>399.07</v>
      </c>
      <c r="K686" s="28">
        <f t="shared" si="43"/>
        <v>401.31</v>
      </c>
      <c r="L686" s="28">
        <f t="shared" si="43"/>
        <v>401.88</v>
      </c>
      <c r="M686" s="28">
        <f t="shared" si="43"/>
        <v>401.33</v>
      </c>
      <c r="N686" s="28">
        <f t="shared" si="43"/>
        <v>399.47</v>
      </c>
    </row>
    <row r="687" spans="1:14" x14ac:dyDescent="0.4">
      <c r="A687" s="1">
        <v>42095</v>
      </c>
      <c r="B687" s="28">
        <v>403.45</v>
      </c>
      <c r="C687" s="28">
        <f t="shared" si="41"/>
        <v>401.51</v>
      </c>
      <c r="D687" s="28">
        <f t="shared" si="43"/>
        <v>400.31</v>
      </c>
      <c r="E687" s="28">
        <f t="shared" si="43"/>
        <v>399.85</v>
      </c>
      <c r="F687" s="28">
        <f t="shared" si="43"/>
        <v>398.79</v>
      </c>
      <c r="G687" s="28">
        <f t="shared" si="43"/>
        <v>397.23</v>
      </c>
      <c r="H687" s="28">
        <f t="shared" si="43"/>
        <v>395.65</v>
      </c>
      <c r="I687" s="28">
        <f t="shared" si="43"/>
        <v>395.4</v>
      </c>
      <c r="J687" s="28">
        <f t="shared" si="43"/>
        <v>397.21</v>
      </c>
      <c r="K687" s="28">
        <f t="shared" si="43"/>
        <v>399.07</v>
      </c>
      <c r="L687" s="28">
        <f t="shared" si="43"/>
        <v>401.31</v>
      </c>
      <c r="M687" s="28">
        <f t="shared" si="43"/>
        <v>401.88</v>
      </c>
      <c r="N687" s="28">
        <f t="shared" si="43"/>
        <v>401.33</v>
      </c>
    </row>
    <row r="688" spans="1:14" x14ac:dyDescent="0.4">
      <c r="A688" s="1">
        <v>42125</v>
      </c>
      <c r="B688" s="28">
        <v>404.1</v>
      </c>
      <c r="C688" s="28">
        <f t="shared" si="41"/>
        <v>403.45</v>
      </c>
      <c r="D688" s="28">
        <f t="shared" si="43"/>
        <v>401.51</v>
      </c>
      <c r="E688" s="28">
        <f t="shared" si="43"/>
        <v>400.31</v>
      </c>
      <c r="F688" s="28">
        <f t="shared" si="43"/>
        <v>399.85</v>
      </c>
      <c r="G688" s="28">
        <f t="shared" si="43"/>
        <v>398.79</v>
      </c>
      <c r="H688" s="28">
        <f t="shared" si="43"/>
        <v>397.23</v>
      </c>
      <c r="I688" s="28">
        <f t="shared" si="43"/>
        <v>395.65</v>
      </c>
      <c r="J688" s="28">
        <f t="shared" si="43"/>
        <v>395.4</v>
      </c>
      <c r="K688" s="28">
        <f t="shared" si="43"/>
        <v>397.21</v>
      </c>
      <c r="L688" s="28">
        <f t="shared" si="43"/>
        <v>399.07</v>
      </c>
      <c r="M688" s="28">
        <f t="shared" si="43"/>
        <v>401.31</v>
      </c>
      <c r="N688" s="28">
        <f t="shared" si="43"/>
        <v>401.88</v>
      </c>
    </row>
    <row r="689" spans="1:14" x14ac:dyDescent="0.4">
      <c r="A689" s="1">
        <v>42156</v>
      </c>
      <c r="B689" s="28">
        <v>402.88</v>
      </c>
      <c r="C689" s="28">
        <f t="shared" si="41"/>
        <v>404.1</v>
      </c>
      <c r="D689" s="28">
        <f t="shared" si="43"/>
        <v>403.45</v>
      </c>
      <c r="E689" s="28">
        <f t="shared" si="43"/>
        <v>401.51</v>
      </c>
      <c r="F689" s="28">
        <f t="shared" si="43"/>
        <v>400.31</v>
      </c>
      <c r="G689" s="28">
        <f t="shared" si="43"/>
        <v>399.85</v>
      </c>
      <c r="H689" s="28">
        <f t="shared" si="43"/>
        <v>398.79</v>
      </c>
      <c r="I689" s="28">
        <f t="shared" si="43"/>
        <v>397.23</v>
      </c>
      <c r="J689" s="28">
        <f t="shared" si="43"/>
        <v>395.65</v>
      </c>
      <c r="K689" s="28">
        <f t="shared" si="43"/>
        <v>395.4</v>
      </c>
      <c r="L689" s="28">
        <f t="shared" si="43"/>
        <v>397.21</v>
      </c>
      <c r="M689" s="28">
        <f t="shared" si="43"/>
        <v>399.07</v>
      </c>
      <c r="N689" s="28">
        <f t="shared" si="43"/>
        <v>401.31</v>
      </c>
    </row>
    <row r="690" spans="1:14" x14ac:dyDescent="0.4">
      <c r="A690" s="1">
        <v>42186</v>
      </c>
      <c r="B690" s="28">
        <v>401.61</v>
      </c>
      <c r="C690" s="28">
        <f t="shared" si="41"/>
        <v>402.88</v>
      </c>
      <c r="D690" s="28">
        <f t="shared" si="43"/>
        <v>404.1</v>
      </c>
      <c r="E690" s="28">
        <f t="shared" si="43"/>
        <v>403.45</v>
      </c>
      <c r="F690" s="28">
        <f t="shared" si="43"/>
        <v>401.51</v>
      </c>
      <c r="G690" s="28">
        <f t="shared" si="43"/>
        <v>400.31</v>
      </c>
      <c r="H690" s="28">
        <f t="shared" si="43"/>
        <v>399.85</v>
      </c>
      <c r="I690" s="28">
        <f t="shared" si="43"/>
        <v>398.79</v>
      </c>
      <c r="J690" s="28">
        <f t="shared" si="43"/>
        <v>397.23</v>
      </c>
      <c r="K690" s="28">
        <f t="shared" si="43"/>
        <v>395.65</v>
      </c>
      <c r="L690" s="28">
        <f t="shared" si="43"/>
        <v>395.4</v>
      </c>
      <c r="M690" s="28">
        <f t="shared" si="43"/>
        <v>397.21</v>
      </c>
      <c r="N690" s="28">
        <f t="shared" si="43"/>
        <v>399.07</v>
      </c>
    </row>
    <row r="691" spans="1:14" x14ac:dyDescent="0.4">
      <c r="A691" s="1">
        <v>42217</v>
      </c>
      <c r="B691" s="28">
        <v>399</v>
      </c>
      <c r="C691" s="28">
        <f t="shared" si="41"/>
        <v>401.61</v>
      </c>
      <c r="D691" s="28">
        <f t="shared" si="43"/>
        <v>402.88</v>
      </c>
      <c r="E691" s="28">
        <f t="shared" si="43"/>
        <v>404.1</v>
      </c>
      <c r="F691" s="28">
        <f t="shared" si="43"/>
        <v>403.45</v>
      </c>
      <c r="G691" s="28">
        <f t="shared" si="43"/>
        <v>401.51</v>
      </c>
      <c r="H691" s="28">
        <f t="shared" si="43"/>
        <v>400.31</v>
      </c>
      <c r="I691" s="28">
        <f t="shared" si="43"/>
        <v>399.85</v>
      </c>
      <c r="J691" s="28">
        <f t="shared" si="43"/>
        <v>398.79</v>
      </c>
      <c r="K691" s="28">
        <f t="shared" si="43"/>
        <v>397.23</v>
      </c>
      <c r="L691" s="28">
        <f t="shared" si="43"/>
        <v>395.65</v>
      </c>
      <c r="M691" s="28">
        <f t="shared" si="43"/>
        <v>395.4</v>
      </c>
      <c r="N691" s="28">
        <f t="shared" si="43"/>
        <v>397.21</v>
      </c>
    </row>
    <row r="692" spans="1:14" x14ac:dyDescent="0.4">
      <c r="A692" s="1">
        <v>42248</v>
      </c>
      <c r="B692" s="28">
        <v>397.5</v>
      </c>
      <c r="C692" s="28">
        <f t="shared" si="41"/>
        <v>399</v>
      </c>
      <c r="D692" s="28">
        <f t="shared" si="43"/>
        <v>401.61</v>
      </c>
      <c r="E692" s="28">
        <f t="shared" si="43"/>
        <v>402.88</v>
      </c>
      <c r="F692" s="28">
        <f t="shared" si="43"/>
        <v>404.1</v>
      </c>
      <c r="G692" s="28">
        <f t="shared" si="43"/>
        <v>403.45</v>
      </c>
      <c r="H692" s="28">
        <f t="shared" si="43"/>
        <v>401.51</v>
      </c>
      <c r="I692" s="28">
        <f t="shared" si="43"/>
        <v>400.31</v>
      </c>
      <c r="J692" s="28">
        <f t="shared" si="43"/>
        <v>399.85</v>
      </c>
      <c r="K692" s="28">
        <f t="shared" si="43"/>
        <v>398.79</v>
      </c>
      <c r="L692" s="28">
        <f t="shared" si="43"/>
        <v>397.23</v>
      </c>
      <c r="M692" s="28">
        <f t="shared" si="43"/>
        <v>395.65</v>
      </c>
      <c r="N692" s="28">
        <f t="shared" si="43"/>
        <v>395.4</v>
      </c>
    </row>
    <row r="693" spans="1:14" x14ac:dyDescent="0.4">
      <c r="A693" s="1">
        <v>42278</v>
      </c>
      <c r="B693" s="28">
        <v>398.28</v>
      </c>
      <c r="C693" s="28">
        <f t="shared" si="41"/>
        <v>397.5</v>
      </c>
      <c r="D693" s="28">
        <f t="shared" ref="D693:N707" si="44">IF(C692=0,"",C692)</f>
        <v>399</v>
      </c>
      <c r="E693" s="28">
        <f t="shared" si="44"/>
        <v>401.61</v>
      </c>
      <c r="F693" s="28">
        <f t="shared" si="44"/>
        <v>402.88</v>
      </c>
      <c r="G693" s="28">
        <f t="shared" si="44"/>
        <v>404.1</v>
      </c>
      <c r="H693" s="28">
        <f t="shared" si="44"/>
        <v>403.45</v>
      </c>
      <c r="I693" s="28">
        <f t="shared" si="44"/>
        <v>401.51</v>
      </c>
      <c r="J693" s="28">
        <f t="shared" si="44"/>
        <v>400.31</v>
      </c>
      <c r="K693" s="28">
        <f t="shared" si="44"/>
        <v>399.85</v>
      </c>
      <c r="L693" s="28">
        <f t="shared" si="44"/>
        <v>398.79</v>
      </c>
      <c r="M693" s="28">
        <f t="shared" si="44"/>
        <v>397.23</v>
      </c>
      <c r="N693" s="28">
        <f t="shared" si="44"/>
        <v>395.65</v>
      </c>
    </row>
    <row r="694" spans="1:14" x14ac:dyDescent="0.4">
      <c r="A694" s="1">
        <v>42309</v>
      </c>
      <c r="B694" s="28">
        <v>400.24</v>
      </c>
      <c r="C694" s="28">
        <f t="shared" si="41"/>
        <v>398.28</v>
      </c>
      <c r="D694" s="28">
        <f t="shared" si="44"/>
        <v>397.5</v>
      </c>
      <c r="E694" s="28">
        <f t="shared" si="44"/>
        <v>399</v>
      </c>
      <c r="F694" s="28">
        <f t="shared" si="44"/>
        <v>401.61</v>
      </c>
      <c r="G694" s="28">
        <f t="shared" si="44"/>
        <v>402.88</v>
      </c>
      <c r="H694" s="28">
        <f t="shared" si="44"/>
        <v>404.1</v>
      </c>
      <c r="I694" s="28">
        <f t="shared" si="44"/>
        <v>403.45</v>
      </c>
      <c r="J694" s="28">
        <f t="shared" si="44"/>
        <v>401.51</v>
      </c>
      <c r="K694" s="28">
        <f t="shared" si="44"/>
        <v>400.31</v>
      </c>
      <c r="L694" s="28">
        <f t="shared" si="44"/>
        <v>399.85</v>
      </c>
      <c r="M694" s="28">
        <f t="shared" si="44"/>
        <v>398.79</v>
      </c>
      <c r="N694" s="28">
        <f t="shared" si="44"/>
        <v>397.23</v>
      </c>
    </row>
    <row r="695" spans="1:14" x14ac:dyDescent="0.4">
      <c r="A695" s="1">
        <v>42339</v>
      </c>
      <c r="B695" s="28">
        <v>401.89</v>
      </c>
      <c r="C695" s="28">
        <f t="shared" si="41"/>
        <v>400.24</v>
      </c>
      <c r="D695" s="28">
        <f t="shared" si="44"/>
        <v>398.28</v>
      </c>
      <c r="E695" s="28">
        <f t="shared" si="44"/>
        <v>397.5</v>
      </c>
      <c r="F695" s="28">
        <f t="shared" si="44"/>
        <v>399</v>
      </c>
      <c r="G695" s="28">
        <f t="shared" si="44"/>
        <v>401.61</v>
      </c>
      <c r="H695" s="28">
        <f t="shared" si="44"/>
        <v>402.88</v>
      </c>
      <c r="I695" s="28">
        <f t="shared" si="44"/>
        <v>404.1</v>
      </c>
      <c r="J695" s="28">
        <f t="shared" si="44"/>
        <v>403.45</v>
      </c>
      <c r="K695" s="28">
        <f t="shared" si="44"/>
        <v>401.51</v>
      </c>
      <c r="L695" s="28">
        <f t="shared" si="44"/>
        <v>400.31</v>
      </c>
      <c r="M695" s="28">
        <f t="shared" si="44"/>
        <v>399.85</v>
      </c>
      <c r="N695" s="28">
        <f t="shared" si="44"/>
        <v>398.79</v>
      </c>
    </row>
    <row r="696" spans="1:14" x14ac:dyDescent="0.4">
      <c r="A696" s="1">
        <v>42370</v>
      </c>
      <c r="B696" s="28">
        <v>402.65</v>
      </c>
      <c r="C696" s="28">
        <f t="shared" si="41"/>
        <v>401.89</v>
      </c>
      <c r="D696" s="28">
        <f t="shared" si="44"/>
        <v>400.24</v>
      </c>
      <c r="E696" s="28">
        <f t="shared" si="44"/>
        <v>398.28</v>
      </c>
      <c r="F696" s="28">
        <f t="shared" si="44"/>
        <v>397.5</v>
      </c>
      <c r="G696" s="28">
        <f t="shared" si="44"/>
        <v>399</v>
      </c>
      <c r="H696" s="28">
        <f t="shared" si="44"/>
        <v>401.61</v>
      </c>
      <c r="I696" s="28">
        <f t="shared" si="44"/>
        <v>402.88</v>
      </c>
      <c r="J696" s="28">
        <f t="shared" si="44"/>
        <v>404.1</v>
      </c>
      <c r="K696" s="28">
        <f t="shared" si="44"/>
        <v>403.45</v>
      </c>
      <c r="L696" s="28">
        <f t="shared" si="44"/>
        <v>401.51</v>
      </c>
      <c r="M696" s="28">
        <f t="shared" si="44"/>
        <v>400.31</v>
      </c>
      <c r="N696" s="28">
        <f t="shared" si="44"/>
        <v>399.85</v>
      </c>
    </row>
    <row r="697" spans="1:14" x14ac:dyDescent="0.4">
      <c r="A697" s="1">
        <v>42401</v>
      </c>
      <c r="B697" s="28">
        <v>404.16</v>
      </c>
      <c r="C697" s="28">
        <f t="shared" si="41"/>
        <v>402.65</v>
      </c>
      <c r="D697" s="28">
        <f t="shared" si="44"/>
        <v>401.89</v>
      </c>
      <c r="E697" s="28">
        <f t="shared" si="44"/>
        <v>400.24</v>
      </c>
      <c r="F697" s="28">
        <f t="shared" si="44"/>
        <v>398.28</v>
      </c>
      <c r="G697" s="28">
        <f t="shared" si="44"/>
        <v>397.5</v>
      </c>
      <c r="H697" s="28">
        <f t="shared" si="44"/>
        <v>399</v>
      </c>
      <c r="I697" s="28">
        <f t="shared" si="44"/>
        <v>401.61</v>
      </c>
      <c r="J697" s="28">
        <f t="shared" si="44"/>
        <v>402.88</v>
      </c>
      <c r="K697" s="28">
        <f t="shared" si="44"/>
        <v>404.1</v>
      </c>
      <c r="L697" s="28">
        <f t="shared" si="44"/>
        <v>403.45</v>
      </c>
      <c r="M697" s="28">
        <f t="shared" si="44"/>
        <v>401.51</v>
      </c>
      <c r="N697" s="28">
        <f t="shared" si="44"/>
        <v>400.31</v>
      </c>
    </row>
    <row r="698" spans="1:14" x14ac:dyDescent="0.4">
      <c r="A698" s="1">
        <v>42430</v>
      </c>
      <c r="B698" s="28">
        <v>404.85</v>
      </c>
      <c r="C698" s="28">
        <f t="shared" si="41"/>
        <v>404.16</v>
      </c>
      <c r="D698" s="28">
        <f t="shared" si="44"/>
        <v>402.65</v>
      </c>
      <c r="E698" s="28">
        <f t="shared" si="44"/>
        <v>401.89</v>
      </c>
      <c r="F698" s="28">
        <f t="shared" si="44"/>
        <v>400.24</v>
      </c>
      <c r="G698" s="28">
        <f t="shared" si="44"/>
        <v>398.28</v>
      </c>
      <c r="H698" s="28">
        <f t="shared" si="44"/>
        <v>397.5</v>
      </c>
      <c r="I698" s="28">
        <f t="shared" si="44"/>
        <v>399</v>
      </c>
      <c r="J698" s="28">
        <f t="shared" si="44"/>
        <v>401.61</v>
      </c>
      <c r="K698" s="28">
        <f t="shared" si="44"/>
        <v>402.88</v>
      </c>
      <c r="L698" s="28">
        <f t="shared" si="44"/>
        <v>404.1</v>
      </c>
      <c r="M698" s="28">
        <f t="shared" si="44"/>
        <v>403.45</v>
      </c>
      <c r="N698" s="28">
        <f t="shared" si="44"/>
        <v>401.51</v>
      </c>
    </row>
    <row r="699" spans="1:14" x14ac:dyDescent="0.4">
      <c r="A699" s="1">
        <v>42461</v>
      </c>
      <c r="B699" s="28">
        <v>407.57</v>
      </c>
      <c r="C699" s="28">
        <f t="shared" si="41"/>
        <v>404.85</v>
      </c>
      <c r="D699" s="28">
        <f t="shared" si="44"/>
        <v>404.16</v>
      </c>
      <c r="E699" s="28">
        <f t="shared" si="44"/>
        <v>402.65</v>
      </c>
      <c r="F699" s="28">
        <f t="shared" si="44"/>
        <v>401.89</v>
      </c>
      <c r="G699" s="28">
        <f t="shared" si="44"/>
        <v>400.24</v>
      </c>
      <c r="H699" s="28">
        <f t="shared" si="44"/>
        <v>398.28</v>
      </c>
      <c r="I699" s="28">
        <f t="shared" si="44"/>
        <v>397.5</v>
      </c>
      <c r="J699" s="28">
        <f t="shared" si="44"/>
        <v>399</v>
      </c>
      <c r="K699" s="28">
        <f t="shared" si="44"/>
        <v>401.61</v>
      </c>
      <c r="L699" s="28">
        <f t="shared" si="44"/>
        <v>402.88</v>
      </c>
      <c r="M699" s="28">
        <f t="shared" si="44"/>
        <v>404.1</v>
      </c>
      <c r="N699" s="28">
        <f t="shared" si="44"/>
        <v>403.45</v>
      </c>
    </row>
    <row r="700" spans="1:14" x14ac:dyDescent="0.4">
      <c r="A700" s="1">
        <v>42491</v>
      </c>
      <c r="B700" s="28">
        <v>407.66</v>
      </c>
      <c r="C700" s="28">
        <f t="shared" si="41"/>
        <v>407.57</v>
      </c>
      <c r="D700" s="28">
        <f t="shared" si="44"/>
        <v>404.85</v>
      </c>
      <c r="E700" s="28">
        <f t="shared" si="44"/>
        <v>404.16</v>
      </c>
      <c r="F700" s="28">
        <f t="shared" si="44"/>
        <v>402.65</v>
      </c>
      <c r="G700" s="28">
        <f t="shared" si="44"/>
        <v>401.89</v>
      </c>
      <c r="H700" s="28">
        <f t="shared" si="44"/>
        <v>400.24</v>
      </c>
      <c r="I700" s="28">
        <f t="shared" si="44"/>
        <v>398.28</v>
      </c>
      <c r="J700" s="28">
        <f t="shared" si="44"/>
        <v>397.5</v>
      </c>
      <c r="K700" s="28">
        <f t="shared" si="44"/>
        <v>399</v>
      </c>
      <c r="L700" s="28">
        <f t="shared" si="44"/>
        <v>401.61</v>
      </c>
      <c r="M700" s="28">
        <f t="shared" si="44"/>
        <v>402.88</v>
      </c>
      <c r="N700" s="28">
        <f t="shared" si="44"/>
        <v>404.1</v>
      </c>
    </row>
    <row r="701" spans="1:14" x14ac:dyDescent="0.4">
      <c r="A701" s="1">
        <v>42522</v>
      </c>
      <c r="B701" s="28">
        <v>407</v>
      </c>
      <c r="C701" s="28">
        <f t="shared" si="41"/>
        <v>407.66</v>
      </c>
      <c r="D701" s="28">
        <f t="shared" si="44"/>
        <v>407.57</v>
      </c>
      <c r="E701" s="28">
        <f t="shared" si="44"/>
        <v>404.85</v>
      </c>
      <c r="F701" s="28">
        <f t="shared" si="44"/>
        <v>404.16</v>
      </c>
      <c r="G701" s="28">
        <f t="shared" si="44"/>
        <v>402.65</v>
      </c>
      <c r="H701" s="28">
        <f t="shared" si="44"/>
        <v>401.89</v>
      </c>
      <c r="I701" s="28">
        <f t="shared" si="44"/>
        <v>400.24</v>
      </c>
      <c r="J701" s="28">
        <f t="shared" si="44"/>
        <v>398.28</v>
      </c>
      <c r="K701" s="28">
        <f t="shared" si="44"/>
        <v>397.5</v>
      </c>
      <c r="L701" s="28">
        <f t="shared" si="44"/>
        <v>399</v>
      </c>
      <c r="M701" s="28">
        <f t="shared" si="44"/>
        <v>401.61</v>
      </c>
      <c r="N701" s="28">
        <f t="shared" si="44"/>
        <v>402.88</v>
      </c>
    </row>
    <row r="702" spans="1:14" x14ac:dyDescent="0.4">
      <c r="A702" s="1">
        <v>42552</v>
      </c>
      <c r="B702" s="28">
        <v>404.5</v>
      </c>
      <c r="C702" s="28">
        <f t="shared" si="41"/>
        <v>407</v>
      </c>
      <c r="D702" s="28">
        <f t="shared" si="44"/>
        <v>407.66</v>
      </c>
      <c r="E702" s="28">
        <f t="shared" si="44"/>
        <v>407.57</v>
      </c>
      <c r="F702" s="28">
        <f t="shared" si="44"/>
        <v>404.85</v>
      </c>
      <c r="G702" s="28">
        <f t="shared" si="44"/>
        <v>404.16</v>
      </c>
      <c r="H702" s="28">
        <f t="shared" si="44"/>
        <v>402.65</v>
      </c>
      <c r="I702" s="28">
        <f t="shared" si="44"/>
        <v>401.89</v>
      </c>
      <c r="J702" s="28">
        <f t="shared" si="44"/>
        <v>400.24</v>
      </c>
      <c r="K702" s="28">
        <f t="shared" si="44"/>
        <v>398.28</v>
      </c>
      <c r="L702" s="28">
        <f t="shared" si="44"/>
        <v>397.5</v>
      </c>
      <c r="M702" s="28">
        <f t="shared" si="44"/>
        <v>399</v>
      </c>
      <c r="N702" s="28">
        <f t="shared" si="44"/>
        <v>401.61</v>
      </c>
    </row>
    <row r="703" spans="1:14" x14ac:dyDescent="0.4">
      <c r="A703" s="1">
        <v>42583</v>
      </c>
      <c r="B703" s="28">
        <v>402.24</v>
      </c>
      <c r="C703" s="28">
        <f t="shared" si="41"/>
        <v>404.5</v>
      </c>
      <c r="D703" s="28">
        <f t="shared" si="44"/>
        <v>407</v>
      </c>
      <c r="E703" s="28">
        <f t="shared" si="44"/>
        <v>407.66</v>
      </c>
      <c r="F703" s="28">
        <f t="shared" si="44"/>
        <v>407.57</v>
      </c>
      <c r="G703" s="28">
        <f t="shared" si="44"/>
        <v>404.85</v>
      </c>
      <c r="H703" s="28">
        <f t="shared" si="44"/>
        <v>404.16</v>
      </c>
      <c r="I703" s="28">
        <f t="shared" si="44"/>
        <v>402.65</v>
      </c>
      <c r="J703" s="28">
        <f t="shared" si="44"/>
        <v>401.89</v>
      </c>
      <c r="K703" s="28">
        <f t="shared" si="44"/>
        <v>400.24</v>
      </c>
      <c r="L703" s="28">
        <f t="shared" si="44"/>
        <v>398.28</v>
      </c>
      <c r="M703" s="28">
        <f t="shared" si="44"/>
        <v>397.5</v>
      </c>
      <c r="N703" s="28">
        <f t="shared" si="44"/>
        <v>399</v>
      </c>
    </row>
    <row r="704" spans="1:14" x14ac:dyDescent="0.4">
      <c r="A704" s="1">
        <v>42614</v>
      </c>
      <c r="B704" s="28">
        <v>401.01</v>
      </c>
      <c r="C704" s="28">
        <f t="shared" si="41"/>
        <v>402.24</v>
      </c>
      <c r="D704" s="28">
        <f t="shared" si="44"/>
        <v>404.5</v>
      </c>
      <c r="E704" s="28">
        <f t="shared" si="44"/>
        <v>407</v>
      </c>
      <c r="F704" s="28">
        <f t="shared" si="44"/>
        <v>407.66</v>
      </c>
      <c r="G704" s="28">
        <f t="shared" si="44"/>
        <v>407.57</v>
      </c>
      <c r="H704" s="28">
        <f t="shared" si="44"/>
        <v>404.85</v>
      </c>
      <c r="I704" s="28">
        <f t="shared" si="44"/>
        <v>404.16</v>
      </c>
      <c r="J704" s="28">
        <f t="shared" si="44"/>
        <v>402.65</v>
      </c>
      <c r="K704" s="28">
        <f t="shared" si="44"/>
        <v>401.89</v>
      </c>
      <c r="L704" s="28">
        <f t="shared" si="44"/>
        <v>400.24</v>
      </c>
      <c r="M704" s="28">
        <f t="shared" si="44"/>
        <v>398.28</v>
      </c>
      <c r="N704" s="28">
        <f t="shared" si="44"/>
        <v>397.5</v>
      </c>
    </row>
    <row r="705" spans="1:14" x14ac:dyDescent="0.4">
      <c r="A705" s="1">
        <v>42644</v>
      </c>
      <c r="B705" s="28">
        <v>401.5</v>
      </c>
      <c r="C705" s="28">
        <f t="shared" si="41"/>
        <v>401.01</v>
      </c>
      <c r="D705" s="28">
        <f t="shared" si="44"/>
        <v>402.24</v>
      </c>
      <c r="E705" s="28">
        <f t="shared" si="44"/>
        <v>404.5</v>
      </c>
      <c r="F705" s="28">
        <f t="shared" si="44"/>
        <v>407</v>
      </c>
      <c r="G705" s="28">
        <f t="shared" si="44"/>
        <v>407.66</v>
      </c>
      <c r="H705" s="28">
        <f t="shared" si="44"/>
        <v>407.57</v>
      </c>
      <c r="I705" s="28">
        <f t="shared" si="44"/>
        <v>404.85</v>
      </c>
      <c r="J705" s="28">
        <f t="shared" si="44"/>
        <v>404.16</v>
      </c>
      <c r="K705" s="28">
        <f t="shared" si="44"/>
        <v>402.65</v>
      </c>
      <c r="L705" s="28">
        <f t="shared" si="44"/>
        <v>401.89</v>
      </c>
      <c r="M705" s="28">
        <f t="shared" si="44"/>
        <v>400.24</v>
      </c>
      <c r="N705" s="28">
        <f t="shared" si="44"/>
        <v>398.28</v>
      </c>
    </row>
    <row r="706" spans="1:14" x14ac:dyDescent="0.4">
      <c r="A706" s="1">
        <v>42675</v>
      </c>
      <c r="B706" s="28">
        <v>403.64</v>
      </c>
      <c r="C706" s="28">
        <f t="shared" si="41"/>
        <v>401.5</v>
      </c>
      <c r="D706" s="28">
        <f t="shared" si="44"/>
        <v>401.01</v>
      </c>
      <c r="E706" s="28">
        <f t="shared" si="44"/>
        <v>402.24</v>
      </c>
      <c r="F706" s="28">
        <f t="shared" si="44"/>
        <v>404.5</v>
      </c>
      <c r="G706" s="28">
        <f t="shared" si="44"/>
        <v>407</v>
      </c>
      <c r="H706" s="28">
        <f t="shared" si="44"/>
        <v>407.66</v>
      </c>
      <c r="I706" s="28">
        <f t="shared" si="44"/>
        <v>407.57</v>
      </c>
      <c r="J706" s="28">
        <f t="shared" si="44"/>
        <v>404.85</v>
      </c>
      <c r="K706" s="28">
        <f t="shared" si="44"/>
        <v>404.16</v>
      </c>
      <c r="L706" s="28">
        <f t="shared" si="44"/>
        <v>402.65</v>
      </c>
      <c r="M706" s="28">
        <f t="shared" si="44"/>
        <v>401.89</v>
      </c>
      <c r="N706" s="28">
        <f t="shared" si="44"/>
        <v>400.24</v>
      </c>
    </row>
    <row r="707" spans="1:14" x14ac:dyDescent="0.4">
      <c r="A707" s="1">
        <v>42705</v>
      </c>
      <c r="B707" s="28">
        <v>404.55</v>
      </c>
      <c r="C707" s="28">
        <f t="shared" si="41"/>
        <v>403.64</v>
      </c>
      <c r="D707" s="28">
        <f t="shared" si="44"/>
        <v>401.5</v>
      </c>
      <c r="E707" s="28">
        <f t="shared" si="44"/>
        <v>401.01</v>
      </c>
      <c r="F707" s="28">
        <f t="shared" si="44"/>
        <v>402.24</v>
      </c>
      <c r="G707" s="28">
        <f t="shared" si="44"/>
        <v>404.5</v>
      </c>
      <c r="H707" s="28">
        <f t="shared" si="44"/>
        <v>407</v>
      </c>
      <c r="I707" s="28">
        <f t="shared" si="44"/>
        <v>407.66</v>
      </c>
      <c r="J707" s="28">
        <f t="shared" si="44"/>
        <v>407.57</v>
      </c>
      <c r="K707" s="28">
        <f t="shared" si="44"/>
        <v>404.85</v>
      </c>
      <c r="L707" s="28">
        <f t="shared" si="44"/>
        <v>404.16</v>
      </c>
      <c r="M707" s="28">
        <f t="shared" si="44"/>
        <v>402.65</v>
      </c>
      <c r="N707" s="28">
        <f t="shared" si="44"/>
        <v>401.89</v>
      </c>
    </row>
    <row r="708" spans="1:14" x14ac:dyDescent="0.4">
      <c r="A708" s="1">
        <v>42736</v>
      </c>
      <c r="B708" s="28">
        <v>406.07</v>
      </c>
      <c r="C708" s="28">
        <f t="shared" ref="C708:N747" si="45">IF(B707=0,"",B707)</f>
        <v>404.55</v>
      </c>
      <c r="D708" s="28">
        <f t="shared" si="45"/>
        <v>403.64</v>
      </c>
      <c r="E708" s="28">
        <f t="shared" si="45"/>
        <v>401.5</v>
      </c>
      <c r="F708" s="28">
        <f t="shared" si="45"/>
        <v>401.01</v>
      </c>
      <c r="G708" s="28">
        <f t="shared" si="45"/>
        <v>402.24</v>
      </c>
      <c r="H708" s="28">
        <f t="shared" si="45"/>
        <v>404.5</v>
      </c>
      <c r="I708" s="28">
        <f t="shared" si="45"/>
        <v>407</v>
      </c>
      <c r="J708" s="28">
        <f t="shared" si="45"/>
        <v>407.66</v>
      </c>
      <c r="K708" s="28">
        <f t="shared" si="45"/>
        <v>407.57</v>
      </c>
      <c r="L708" s="28">
        <f t="shared" si="45"/>
        <v>404.85</v>
      </c>
      <c r="M708" s="28">
        <f t="shared" si="45"/>
        <v>404.16</v>
      </c>
      <c r="N708" s="28">
        <f t="shared" si="45"/>
        <v>402.65</v>
      </c>
    </row>
    <row r="709" spans="1:14" x14ac:dyDescent="0.4">
      <c r="A709" s="1">
        <v>42767</v>
      </c>
      <c r="B709" s="28">
        <v>406.64</v>
      </c>
      <c r="C709" s="28">
        <f t="shared" si="45"/>
        <v>406.07</v>
      </c>
      <c r="D709" s="28">
        <f t="shared" si="45"/>
        <v>404.55</v>
      </c>
      <c r="E709" s="28">
        <f t="shared" si="45"/>
        <v>403.64</v>
      </c>
      <c r="F709" s="28">
        <f t="shared" si="45"/>
        <v>401.5</v>
      </c>
      <c r="G709" s="28">
        <f t="shared" si="45"/>
        <v>401.01</v>
      </c>
      <c r="H709" s="28">
        <f t="shared" si="45"/>
        <v>402.24</v>
      </c>
      <c r="I709" s="28">
        <f t="shared" si="45"/>
        <v>404.5</v>
      </c>
      <c r="J709" s="28">
        <f t="shared" si="45"/>
        <v>407</v>
      </c>
      <c r="K709" s="28">
        <f t="shared" si="45"/>
        <v>407.66</v>
      </c>
      <c r="L709" s="28">
        <f t="shared" si="45"/>
        <v>407.57</v>
      </c>
      <c r="M709" s="28">
        <f t="shared" si="45"/>
        <v>404.85</v>
      </c>
      <c r="N709" s="28">
        <f t="shared" si="45"/>
        <v>404.16</v>
      </c>
    </row>
    <row r="710" spans="1:14" x14ac:dyDescent="0.4">
      <c r="A710" s="1">
        <v>42795</v>
      </c>
      <c r="B710" s="28">
        <v>407.05</v>
      </c>
      <c r="C710" s="28">
        <f t="shared" si="45"/>
        <v>406.64</v>
      </c>
      <c r="D710" s="28">
        <f t="shared" si="45"/>
        <v>406.07</v>
      </c>
      <c r="E710" s="28">
        <f t="shared" si="45"/>
        <v>404.55</v>
      </c>
      <c r="F710" s="28">
        <f t="shared" si="45"/>
        <v>403.64</v>
      </c>
      <c r="G710" s="28">
        <f t="shared" si="45"/>
        <v>401.5</v>
      </c>
      <c r="H710" s="28">
        <f t="shared" si="45"/>
        <v>401.01</v>
      </c>
      <c r="I710" s="28">
        <f t="shared" si="45"/>
        <v>402.24</v>
      </c>
      <c r="J710" s="28">
        <f t="shared" si="45"/>
        <v>404.5</v>
      </c>
      <c r="K710" s="28">
        <f t="shared" si="45"/>
        <v>407</v>
      </c>
      <c r="L710" s="28">
        <f t="shared" si="45"/>
        <v>407.66</v>
      </c>
      <c r="M710" s="28">
        <f t="shared" si="45"/>
        <v>407.57</v>
      </c>
      <c r="N710" s="28">
        <f t="shared" si="45"/>
        <v>404.85</v>
      </c>
    </row>
    <row r="711" spans="1:14" x14ac:dyDescent="0.4">
      <c r="A711" s="1">
        <v>42826</v>
      </c>
      <c r="B711" s="28">
        <v>408.95</v>
      </c>
      <c r="C711" s="28">
        <f t="shared" si="45"/>
        <v>407.05</v>
      </c>
      <c r="D711" s="28">
        <f t="shared" si="45"/>
        <v>406.64</v>
      </c>
      <c r="E711" s="28">
        <f t="shared" si="45"/>
        <v>406.07</v>
      </c>
      <c r="F711" s="28">
        <f t="shared" si="45"/>
        <v>404.55</v>
      </c>
      <c r="G711" s="28">
        <f t="shared" si="45"/>
        <v>403.64</v>
      </c>
      <c r="H711" s="28">
        <f t="shared" si="45"/>
        <v>401.5</v>
      </c>
      <c r="I711" s="28">
        <f t="shared" si="45"/>
        <v>401.01</v>
      </c>
      <c r="J711" s="28">
        <f t="shared" si="45"/>
        <v>402.24</v>
      </c>
      <c r="K711" s="28">
        <f t="shared" si="45"/>
        <v>404.5</v>
      </c>
      <c r="L711" s="28">
        <f t="shared" si="45"/>
        <v>407</v>
      </c>
      <c r="M711" s="28">
        <f t="shared" si="45"/>
        <v>407.66</v>
      </c>
      <c r="N711" s="28">
        <f t="shared" si="45"/>
        <v>407.57</v>
      </c>
    </row>
    <row r="712" spans="1:14" x14ac:dyDescent="0.4">
      <c r="A712" s="1">
        <v>42856</v>
      </c>
      <c r="B712" s="28">
        <v>409.91</v>
      </c>
      <c r="C712" s="28">
        <f t="shared" si="45"/>
        <v>408.95</v>
      </c>
      <c r="D712" s="28">
        <f t="shared" si="45"/>
        <v>407.05</v>
      </c>
      <c r="E712" s="28">
        <f t="shared" si="45"/>
        <v>406.64</v>
      </c>
      <c r="F712" s="28">
        <f t="shared" si="45"/>
        <v>406.07</v>
      </c>
      <c r="G712" s="28">
        <f t="shared" si="45"/>
        <v>404.55</v>
      </c>
      <c r="H712" s="28">
        <f t="shared" si="45"/>
        <v>403.64</v>
      </c>
      <c r="I712" s="28">
        <f t="shared" si="45"/>
        <v>401.5</v>
      </c>
      <c r="J712" s="28">
        <f t="shared" si="45"/>
        <v>401.01</v>
      </c>
      <c r="K712" s="28">
        <f t="shared" si="45"/>
        <v>402.24</v>
      </c>
      <c r="L712" s="28">
        <f t="shared" si="45"/>
        <v>404.5</v>
      </c>
      <c r="M712" s="28">
        <f t="shared" si="45"/>
        <v>407</v>
      </c>
      <c r="N712" s="28">
        <f t="shared" si="45"/>
        <v>407.66</v>
      </c>
    </row>
    <row r="713" spans="1:14" x14ac:dyDescent="0.4">
      <c r="A713" s="1">
        <v>42887</v>
      </c>
      <c r="B713" s="28">
        <v>409.12</v>
      </c>
      <c r="C713" s="28">
        <f t="shared" si="45"/>
        <v>409.91</v>
      </c>
      <c r="D713" s="28">
        <f t="shared" si="45"/>
        <v>408.95</v>
      </c>
      <c r="E713" s="28">
        <f t="shared" si="45"/>
        <v>407.05</v>
      </c>
      <c r="F713" s="28">
        <f t="shared" si="45"/>
        <v>406.64</v>
      </c>
      <c r="G713" s="28">
        <f t="shared" si="45"/>
        <v>406.07</v>
      </c>
      <c r="H713" s="28">
        <f t="shared" si="45"/>
        <v>404.55</v>
      </c>
      <c r="I713" s="28">
        <f t="shared" si="45"/>
        <v>403.64</v>
      </c>
      <c r="J713" s="28">
        <f t="shared" si="45"/>
        <v>401.5</v>
      </c>
      <c r="K713" s="28">
        <f t="shared" si="45"/>
        <v>401.01</v>
      </c>
      <c r="L713" s="28">
        <f t="shared" si="45"/>
        <v>402.24</v>
      </c>
      <c r="M713" s="28">
        <f t="shared" si="45"/>
        <v>404.5</v>
      </c>
      <c r="N713" s="28">
        <f t="shared" si="45"/>
        <v>407</v>
      </c>
    </row>
    <row r="714" spans="1:14" x14ac:dyDescent="0.4">
      <c r="A714" s="1">
        <v>42917</v>
      </c>
      <c r="B714" s="28">
        <v>407.2</v>
      </c>
      <c r="C714" s="28">
        <f t="shared" si="45"/>
        <v>409.12</v>
      </c>
      <c r="D714" s="28">
        <f t="shared" si="45"/>
        <v>409.91</v>
      </c>
      <c r="E714" s="28">
        <f t="shared" si="45"/>
        <v>408.95</v>
      </c>
      <c r="F714" s="28">
        <f t="shared" si="45"/>
        <v>407.05</v>
      </c>
      <c r="G714" s="28">
        <f t="shared" si="45"/>
        <v>406.64</v>
      </c>
      <c r="H714" s="28">
        <f t="shared" si="45"/>
        <v>406.07</v>
      </c>
      <c r="I714" s="28">
        <f t="shared" si="45"/>
        <v>404.55</v>
      </c>
      <c r="J714" s="28">
        <f t="shared" si="45"/>
        <v>403.64</v>
      </c>
      <c r="K714" s="28">
        <f t="shared" si="45"/>
        <v>401.5</v>
      </c>
      <c r="L714" s="28">
        <f t="shared" si="45"/>
        <v>401.01</v>
      </c>
      <c r="M714" s="28">
        <f t="shared" si="45"/>
        <v>402.24</v>
      </c>
      <c r="N714" s="28">
        <f t="shared" si="45"/>
        <v>404.5</v>
      </c>
    </row>
    <row r="715" spans="1:14" x14ac:dyDescent="0.4">
      <c r="A715" s="1">
        <v>42948</v>
      </c>
      <c r="B715" s="28">
        <v>405.24</v>
      </c>
      <c r="C715" s="28">
        <f t="shared" si="45"/>
        <v>407.2</v>
      </c>
      <c r="D715" s="28">
        <f t="shared" si="45"/>
        <v>409.12</v>
      </c>
      <c r="E715" s="28">
        <f t="shared" si="45"/>
        <v>409.91</v>
      </c>
      <c r="F715" s="28">
        <f t="shared" si="45"/>
        <v>408.95</v>
      </c>
      <c r="G715" s="28">
        <f t="shared" si="45"/>
        <v>407.05</v>
      </c>
      <c r="H715" s="28">
        <f t="shared" si="45"/>
        <v>406.64</v>
      </c>
      <c r="I715" s="28">
        <f t="shared" si="45"/>
        <v>406.07</v>
      </c>
      <c r="J715" s="28">
        <f t="shared" si="45"/>
        <v>404.55</v>
      </c>
      <c r="K715" s="28">
        <f t="shared" si="45"/>
        <v>403.64</v>
      </c>
      <c r="L715" s="28">
        <f t="shared" si="45"/>
        <v>401.5</v>
      </c>
      <c r="M715" s="28">
        <f t="shared" si="45"/>
        <v>401.01</v>
      </c>
      <c r="N715" s="28">
        <f t="shared" si="45"/>
        <v>402.24</v>
      </c>
    </row>
    <row r="716" spans="1:14" x14ac:dyDescent="0.4">
      <c r="A716" s="1">
        <v>42979</v>
      </c>
      <c r="B716" s="28">
        <v>403.27</v>
      </c>
      <c r="C716" s="28">
        <f t="shared" si="45"/>
        <v>405.24</v>
      </c>
      <c r="D716" s="28">
        <f t="shared" si="45"/>
        <v>407.2</v>
      </c>
      <c r="E716" s="28">
        <f t="shared" si="45"/>
        <v>409.12</v>
      </c>
      <c r="F716" s="28">
        <f t="shared" si="45"/>
        <v>409.91</v>
      </c>
      <c r="G716" s="28">
        <f t="shared" si="45"/>
        <v>408.95</v>
      </c>
      <c r="H716" s="28">
        <f t="shared" si="45"/>
        <v>407.05</v>
      </c>
      <c r="I716" s="28">
        <f t="shared" si="45"/>
        <v>406.64</v>
      </c>
      <c r="J716" s="28">
        <f t="shared" si="45"/>
        <v>406.07</v>
      </c>
      <c r="K716" s="28">
        <f t="shared" si="45"/>
        <v>404.55</v>
      </c>
      <c r="L716" s="28">
        <f t="shared" si="45"/>
        <v>403.64</v>
      </c>
      <c r="M716" s="28">
        <f t="shared" si="45"/>
        <v>401.5</v>
      </c>
      <c r="N716" s="28">
        <f t="shared" si="45"/>
        <v>401.01</v>
      </c>
    </row>
    <row r="717" spans="1:14" x14ac:dyDescent="0.4">
      <c r="A717" s="1">
        <v>43009</v>
      </c>
      <c r="B717" s="28">
        <v>403.64</v>
      </c>
      <c r="C717" s="28">
        <f t="shared" si="45"/>
        <v>403.27</v>
      </c>
      <c r="D717" s="28">
        <f t="shared" si="45"/>
        <v>405.24</v>
      </c>
      <c r="E717" s="28">
        <f t="shared" si="45"/>
        <v>407.2</v>
      </c>
      <c r="F717" s="28">
        <f t="shared" si="45"/>
        <v>409.12</v>
      </c>
      <c r="G717" s="28">
        <f t="shared" si="45"/>
        <v>409.91</v>
      </c>
      <c r="H717" s="28">
        <f t="shared" si="45"/>
        <v>408.95</v>
      </c>
      <c r="I717" s="28">
        <f t="shared" si="45"/>
        <v>407.05</v>
      </c>
      <c r="J717" s="28">
        <f t="shared" si="45"/>
        <v>406.64</v>
      </c>
      <c r="K717" s="28">
        <f t="shared" si="45"/>
        <v>406.07</v>
      </c>
      <c r="L717" s="28">
        <f t="shared" si="45"/>
        <v>404.55</v>
      </c>
      <c r="M717" s="28">
        <f t="shared" si="45"/>
        <v>403.64</v>
      </c>
      <c r="N717" s="28">
        <f t="shared" si="45"/>
        <v>401.5</v>
      </c>
    </row>
    <row r="718" spans="1:14" x14ac:dyDescent="0.4">
      <c r="A718" s="1">
        <v>43040</v>
      </c>
      <c r="B718" s="28">
        <v>405.17</v>
      </c>
      <c r="C718" s="28">
        <f t="shared" si="45"/>
        <v>403.64</v>
      </c>
      <c r="D718" s="28">
        <f t="shared" si="45"/>
        <v>403.27</v>
      </c>
      <c r="E718" s="28">
        <f t="shared" si="45"/>
        <v>405.24</v>
      </c>
      <c r="F718" s="28">
        <f t="shared" si="45"/>
        <v>407.2</v>
      </c>
      <c r="G718" s="28">
        <f t="shared" si="45"/>
        <v>409.12</v>
      </c>
      <c r="H718" s="28">
        <f t="shared" si="45"/>
        <v>409.91</v>
      </c>
      <c r="I718" s="28">
        <f t="shared" si="45"/>
        <v>408.95</v>
      </c>
      <c r="J718" s="28">
        <f t="shared" si="45"/>
        <v>407.05</v>
      </c>
      <c r="K718" s="28">
        <f t="shared" si="45"/>
        <v>406.64</v>
      </c>
      <c r="L718" s="28">
        <f t="shared" si="45"/>
        <v>406.07</v>
      </c>
      <c r="M718" s="28">
        <f t="shared" si="45"/>
        <v>404.55</v>
      </c>
      <c r="N718" s="28">
        <f t="shared" si="45"/>
        <v>403.64</v>
      </c>
    </row>
    <row r="719" spans="1:14" x14ac:dyDescent="0.4">
      <c r="A719" s="1">
        <v>43070</v>
      </c>
      <c r="B719" s="28">
        <v>406.75</v>
      </c>
      <c r="C719" s="28">
        <f t="shared" si="45"/>
        <v>405.17</v>
      </c>
      <c r="D719" s="28">
        <f t="shared" si="45"/>
        <v>403.64</v>
      </c>
      <c r="E719" s="28">
        <f t="shared" si="45"/>
        <v>403.27</v>
      </c>
      <c r="F719" s="28">
        <f t="shared" si="45"/>
        <v>405.24</v>
      </c>
      <c r="G719" s="28">
        <f t="shared" si="45"/>
        <v>407.2</v>
      </c>
      <c r="H719" s="28">
        <f t="shared" si="45"/>
        <v>409.12</v>
      </c>
      <c r="I719" s="28">
        <f t="shared" si="45"/>
        <v>409.91</v>
      </c>
      <c r="J719" s="28">
        <f t="shared" si="45"/>
        <v>408.95</v>
      </c>
      <c r="K719" s="28">
        <f t="shared" si="45"/>
        <v>407.05</v>
      </c>
      <c r="L719" s="28">
        <f t="shared" si="45"/>
        <v>406.64</v>
      </c>
      <c r="M719" s="28">
        <f t="shared" si="45"/>
        <v>406.07</v>
      </c>
      <c r="N719" s="28">
        <f t="shared" si="45"/>
        <v>404.55</v>
      </c>
    </row>
    <row r="720" spans="1:14" x14ac:dyDescent="0.4">
      <c r="A720" s="1">
        <v>43101</v>
      </c>
      <c r="B720" s="28">
        <v>408.05</v>
      </c>
      <c r="C720" s="28">
        <f t="shared" si="45"/>
        <v>406.75</v>
      </c>
      <c r="D720" s="28">
        <f t="shared" si="45"/>
        <v>405.17</v>
      </c>
      <c r="E720" s="28">
        <f t="shared" si="45"/>
        <v>403.64</v>
      </c>
      <c r="F720" s="28">
        <f t="shared" si="45"/>
        <v>403.27</v>
      </c>
      <c r="G720" s="28">
        <f t="shared" si="45"/>
        <v>405.24</v>
      </c>
      <c r="H720" s="28">
        <f t="shared" si="45"/>
        <v>407.2</v>
      </c>
      <c r="I720" s="28">
        <f t="shared" si="45"/>
        <v>409.12</v>
      </c>
      <c r="J720" s="28">
        <f t="shared" si="45"/>
        <v>409.91</v>
      </c>
      <c r="K720" s="28">
        <f t="shared" si="45"/>
        <v>408.95</v>
      </c>
      <c r="L720" s="28">
        <f t="shared" si="45"/>
        <v>407.05</v>
      </c>
      <c r="M720" s="28">
        <f t="shared" si="45"/>
        <v>406.64</v>
      </c>
      <c r="N720" s="28">
        <f t="shared" si="45"/>
        <v>406.07</v>
      </c>
    </row>
    <row r="721" spans="1:14" x14ac:dyDescent="0.4">
      <c r="A721" s="1">
        <v>43132</v>
      </c>
      <c r="B721" s="28">
        <v>408.34</v>
      </c>
      <c r="C721" s="28">
        <f t="shared" si="45"/>
        <v>408.05</v>
      </c>
      <c r="D721" s="28">
        <f t="shared" si="45"/>
        <v>406.75</v>
      </c>
      <c r="E721" s="28">
        <f t="shared" si="45"/>
        <v>405.17</v>
      </c>
      <c r="F721" s="28">
        <f t="shared" si="45"/>
        <v>403.64</v>
      </c>
      <c r="G721" s="28">
        <f t="shared" si="45"/>
        <v>403.27</v>
      </c>
      <c r="H721" s="28">
        <f t="shared" si="45"/>
        <v>405.24</v>
      </c>
      <c r="I721" s="28">
        <f t="shared" si="45"/>
        <v>407.2</v>
      </c>
      <c r="J721" s="28">
        <f t="shared" si="45"/>
        <v>409.12</v>
      </c>
      <c r="K721" s="28">
        <f t="shared" si="45"/>
        <v>409.91</v>
      </c>
      <c r="L721" s="28">
        <f t="shared" si="45"/>
        <v>408.95</v>
      </c>
      <c r="M721" s="28">
        <f t="shared" si="45"/>
        <v>407.05</v>
      </c>
      <c r="N721" s="28">
        <f t="shared" si="45"/>
        <v>406.64</v>
      </c>
    </row>
    <row r="722" spans="1:14" x14ac:dyDescent="0.4">
      <c r="A722" s="1">
        <v>43160</v>
      </c>
      <c r="B722" s="28">
        <v>409.25</v>
      </c>
      <c r="C722" s="28">
        <f t="shared" si="45"/>
        <v>408.34</v>
      </c>
      <c r="D722" s="28">
        <f t="shared" si="45"/>
        <v>408.05</v>
      </c>
      <c r="E722" s="28">
        <f t="shared" si="45"/>
        <v>406.75</v>
      </c>
      <c r="F722" s="28">
        <f t="shared" si="45"/>
        <v>405.17</v>
      </c>
      <c r="G722" s="28">
        <f t="shared" si="45"/>
        <v>403.64</v>
      </c>
      <c r="H722" s="28">
        <f t="shared" si="45"/>
        <v>403.27</v>
      </c>
      <c r="I722" s="28">
        <f t="shared" si="45"/>
        <v>405.24</v>
      </c>
      <c r="J722" s="28">
        <f t="shared" si="45"/>
        <v>407.2</v>
      </c>
      <c r="K722" s="28">
        <f t="shared" si="45"/>
        <v>409.12</v>
      </c>
      <c r="L722" s="28">
        <f t="shared" si="45"/>
        <v>409.91</v>
      </c>
      <c r="M722" s="28">
        <f t="shared" si="45"/>
        <v>408.95</v>
      </c>
      <c r="N722" s="28">
        <f t="shared" si="45"/>
        <v>407.05</v>
      </c>
    </row>
    <row r="723" spans="1:14" x14ac:dyDescent="0.4">
      <c r="A723" s="1">
        <v>43191</v>
      </c>
      <c r="B723" s="28">
        <v>410.3</v>
      </c>
      <c r="C723" s="28">
        <f t="shared" si="45"/>
        <v>409.25</v>
      </c>
      <c r="D723" s="28">
        <f t="shared" si="45"/>
        <v>408.34</v>
      </c>
      <c r="E723" s="28">
        <f t="shared" si="45"/>
        <v>408.05</v>
      </c>
      <c r="F723" s="28">
        <f t="shared" si="45"/>
        <v>406.75</v>
      </c>
      <c r="G723" s="28">
        <f t="shared" si="45"/>
        <v>405.17</v>
      </c>
      <c r="H723" s="28">
        <f t="shared" si="45"/>
        <v>403.64</v>
      </c>
      <c r="I723" s="28">
        <f t="shared" si="45"/>
        <v>403.27</v>
      </c>
      <c r="J723" s="28">
        <f t="shared" si="45"/>
        <v>405.24</v>
      </c>
      <c r="K723" s="28">
        <f t="shared" si="45"/>
        <v>407.2</v>
      </c>
      <c r="L723" s="28">
        <f t="shared" si="45"/>
        <v>409.12</v>
      </c>
      <c r="M723" s="28">
        <f t="shared" si="45"/>
        <v>409.91</v>
      </c>
      <c r="N723" s="28">
        <f t="shared" si="45"/>
        <v>408.95</v>
      </c>
    </row>
    <row r="724" spans="1:14" x14ac:dyDescent="0.4">
      <c r="A724" s="1">
        <v>43221</v>
      </c>
      <c r="B724" s="28">
        <v>411.3</v>
      </c>
      <c r="C724" s="28">
        <f t="shared" si="45"/>
        <v>410.3</v>
      </c>
      <c r="D724" s="28">
        <f t="shared" si="45"/>
        <v>409.25</v>
      </c>
      <c r="E724" s="28">
        <f t="shared" si="45"/>
        <v>408.34</v>
      </c>
      <c r="F724" s="28">
        <f t="shared" si="45"/>
        <v>408.05</v>
      </c>
      <c r="G724" s="28">
        <f t="shared" si="45"/>
        <v>406.75</v>
      </c>
      <c r="H724" s="28">
        <f t="shared" si="45"/>
        <v>405.17</v>
      </c>
      <c r="I724" s="28">
        <f t="shared" si="45"/>
        <v>403.64</v>
      </c>
      <c r="J724" s="28">
        <f t="shared" si="45"/>
        <v>403.27</v>
      </c>
      <c r="K724" s="28">
        <f t="shared" si="45"/>
        <v>405.24</v>
      </c>
      <c r="L724" s="28">
        <f t="shared" si="45"/>
        <v>407.2</v>
      </c>
      <c r="M724" s="28">
        <f t="shared" si="45"/>
        <v>409.12</v>
      </c>
      <c r="N724" s="28">
        <f t="shared" si="45"/>
        <v>409.91</v>
      </c>
    </row>
    <row r="725" spans="1:14" x14ac:dyDescent="0.4">
      <c r="A725" s="1">
        <v>43252</v>
      </c>
      <c r="B725" s="28">
        <v>410.88</v>
      </c>
      <c r="C725" s="28">
        <f t="shared" si="45"/>
        <v>411.3</v>
      </c>
      <c r="D725" s="28">
        <f t="shared" si="45"/>
        <v>410.3</v>
      </c>
      <c r="E725" s="28">
        <f t="shared" si="45"/>
        <v>409.25</v>
      </c>
      <c r="F725" s="28">
        <f t="shared" si="45"/>
        <v>408.34</v>
      </c>
      <c r="G725" s="28">
        <f t="shared" si="45"/>
        <v>408.05</v>
      </c>
      <c r="H725" s="28">
        <f t="shared" si="45"/>
        <v>406.75</v>
      </c>
      <c r="I725" s="28">
        <f t="shared" si="45"/>
        <v>405.17</v>
      </c>
      <c r="J725" s="28">
        <f t="shared" si="45"/>
        <v>403.64</v>
      </c>
      <c r="K725" s="28">
        <f t="shared" si="45"/>
        <v>403.27</v>
      </c>
      <c r="L725" s="28">
        <f t="shared" si="45"/>
        <v>405.24</v>
      </c>
      <c r="M725" s="28">
        <f t="shared" si="45"/>
        <v>407.2</v>
      </c>
      <c r="N725" s="28">
        <f t="shared" si="45"/>
        <v>409.12</v>
      </c>
    </row>
    <row r="726" spans="1:14" x14ac:dyDescent="0.4">
      <c r="A726" s="1">
        <v>43282</v>
      </c>
      <c r="B726" s="28">
        <v>408.9</v>
      </c>
      <c r="C726" s="28">
        <f t="shared" si="45"/>
        <v>410.88</v>
      </c>
      <c r="D726" s="28">
        <f t="shared" si="45"/>
        <v>411.3</v>
      </c>
      <c r="E726" s="28">
        <f t="shared" si="45"/>
        <v>410.3</v>
      </c>
      <c r="F726" s="28">
        <f t="shared" si="45"/>
        <v>409.25</v>
      </c>
      <c r="G726" s="28">
        <f t="shared" si="45"/>
        <v>408.34</v>
      </c>
      <c r="H726" s="28">
        <f t="shared" si="45"/>
        <v>408.05</v>
      </c>
      <c r="I726" s="28">
        <f t="shared" si="45"/>
        <v>406.75</v>
      </c>
      <c r="J726" s="28">
        <f t="shared" si="45"/>
        <v>405.17</v>
      </c>
      <c r="K726" s="28">
        <f t="shared" si="45"/>
        <v>403.64</v>
      </c>
      <c r="L726" s="28">
        <f t="shared" si="45"/>
        <v>403.27</v>
      </c>
      <c r="M726" s="28">
        <f t="shared" si="45"/>
        <v>405.24</v>
      </c>
      <c r="N726" s="28">
        <f t="shared" si="45"/>
        <v>407.2</v>
      </c>
    </row>
    <row r="727" spans="1:14" x14ac:dyDescent="0.4">
      <c r="A727" s="1">
        <v>43313</v>
      </c>
      <c r="B727" s="28">
        <v>407.1</v>
      </c>
      <c r="C727" s="28">
        <f t="shared" si="45"/>
        <v>408.9</v>
      </c>
      <c r="D727" s="28">
        <f t="shared" si="45"/>
        <v>410.88</v>
      </c>
      <c r="E727" s="28">
        <f t="shared" si="45"/>
        <v>411.3</v>
      </c>
      <c r="F727" s="28">
        <f t="shared" si="45"/>
        <v>410.3</v>
      </c>
      <c r="G727" s="28">
        <f t="shared" si="45"/>
        <v>409.25</v>
      </c>
      <c r="H727" s="28">
        <f t="shared" si="45"/>
        <v>408.34</v>
      </c>
      <c r="I727" s="28">
        <f t="shared" si="45"/>
        <v>408.05</v>
      </c>
      <c r="J727" s="28">
        <f t="shared" ref="D727:N742" si="46">IF(I726=0,"",I726)</f>
        <v>406.75</v>
      </c>
      <c r="K727" s="28">
        <f t="shared" si="46"/>
        <v>405.17</v>
      </c>
      <c r="L727" s="28">
        <f t="shared" si="46"/>
        <v>403.64</v>
      </c>
      <c r="M727" s="28">
        <f t="shared" si="46"/>
        <v>403.27</v>
      </c>
      <c r="N727" s="28">
        <f t="shared" si="46"/>
        <v>405.24</v>
      </c>
    </row>
    <row r="728" spans="1:14" x14ac:dyDescent="0.4">
      <c r="A728" s="1">
        <v>43344</v>
      </c>
      <c r="B728" s="28">
        <v>405.59</v>
      </c>
      <c r="C728" s="28">
        <f t="shared" si="45"/>
        <v>407.1</v>
      </c>
      <c r="D728" s="28">
        <f t="shared" si="46"/>
        <v>408.9</v>
      </c>
      <c r="E728" s="28">
        <f t="shared" si="46"/>
        <v>410.88</v>
      </c>
      <c r="F728" s="28">
        <f t="shared" si="46"/>
        <v>411.3</v>
      </c>
      <c r="G728" s="28">
        <f t="shared" si="46"/>
        <v>410.3</v>
      </c>
      <c r="H728" s="28">
        <f t="shared" si="46"/>
        <v>409.25</v>
      </c>
      <c r="I728" s="28">
        <f t="shared" si="46"/>
        <v>408.34</v>
      </c>
      <c r="J728" s="28">
        <f t="shared" si="46"/>
        <v>408.05</v>
      </c>
      <c r="K728" s="28">
        <f t="shared" si="46"/>
        <v>406.75</v>
      </c>
      <c r="L728" s="28">
        <f t="shared" si="46"/>
        <v>405.17</v>
      </c>
      <c r="M728" s="28">
        <f t="shared" si="46"/>
        <v>403.64</v>
      </c>
      <c r="N728" s="28">
        <f t="shared" si="46"/>
        <v>403.27</v>
      </c>
    </row>
    <row r="729" spans="1:14" x14ac:dyDescent="0.4">
      <c r="A729" s="1">
        <v>43374</v>
      </c>
      <c r="B729" s="28">
        <v>405.99</v>
      </c>
      <c r="C729" s="28">
        <f t="shared" si="45"/>
        <v>405.59</v>
      </c>
      <c r="D729" s="28">
        <f t="shared" si="46"/>
        <v>407.1</v>
      </c>
      <c r="E729" s="28">
        <f t="shared" si="46"/>
        <v>408.9</v>
      </c>
      <c r="F729" s="28">
        <f t="shared" si="46"/>
        <v>410.88</v>
      </c>
      <c r="G729" s="28">
        <f t="shared" si="46"/>
        <v>411.3</v>
      </c>
      <c r="H729" s="28">
        <f t="shared" si="46"/>
        <v>410.3</v>
      </c>
      <c r="I729" s="28">
        <f t="shared" si="46"/>
        <v>409.25</v>
      </c>
      <c r="J729" s="28">
        <f t="shared" si="46"/>
        <v>408.34</v>
      </c>
      <c r="K729" s="28">
        <f t="shared" si="46"/>
        <v>408.05</v>
      </c>
      <c r="L729" s="28">
        <f t="shared" si="46"/>
        <v>406.75</v>
      </c>
      <c r="M729" s="28">
        <f t="shared" si="46"/>
        <v>405.17</v>
      </c>
      <c r="N729" s="28">
        <f t="shared" si="46"/>
        <v>403.64</v>
      </c>
    </row>
    <row r="730" spans="1:14" x14ac:dyDescent="0.4">
      <c r="A730" s="1">
        <v>43405</v>
      </c>
      <c r="B730" s="28">
        <v>408.12</v>
      </c>
      <c r="C730" s="28">
        <f t="shared" si="45"/>
        <v>405.99</v>
      </c>
      <c r="D730" s="28">
        <f t="shared" si="46"/>
        <v>405.59</v>
      </c>
      <c r="E730" s="28">
        <f t="shared" si="46"/>
        <v>407.1</v>
      </c>
      <c r="F730" s="28">
        <f t="shared" si="46"/>
        <v>408.9</v>
      </c>
      <c r="G730" s="28">
        <f t="shared" si="46"/>
        <v>410.88</v>
      </c>
      <c r="H730" s="28">
        <f t="shared" si="46"/>
        <v>411.3</v>
      </c>
      <c r="I730" s="28">
        <f t="shared" si="46"/>
        <v>410.3</v>
      </c>
      <c r="J730" s="28">
        <f t="shared" si="46"/>
        <v>409.25</v>
      </c>
      <c r="K730" s="28">
        <f t="shared" si="46"/>
        <v>408.34</v>
      </c>
      <c r="L730" s="28">
        <f t="shared" si="46"/>
        <v>408.05</v>
      </c>
      <c r="M730" s="28">
        <f t="shared" si="46"/>
        <v>406.75</v>
      </c>
      <c r="N730" s="28">
        <f t="shared" si="46"/>
        <v>405.17</v>
      </c>
    </row>
    <row r="731" spans="1:14" x14ac:dyDescent="0.4">
      <c r="A731" s="1">
        <v>43435</v>
      </c>
      <c r="B731" s="28">
        <v>409.23</v>
      </c>
      <c r="C731" s="28">
        <f t="shared" si="45"/>
        <v>408.12</v>
      </c>
      <c r="D731" s="28">
        <f t="shared" si="46"/>
        <v>405.99</v>
      </c>
      <c r="E731" s="28">
        <f t="shared" si="46"/>
        <v>405.59</v>
      </c>
      <c r="F731" s="28">
        <f t="shared" si="46"/>
        <v>407.1</v>
      </c>
      <c r="G731" s="28">
        <f t="shared" si="46"/>
        <v>408.9</v>
      </c>
      <c r="H731" s="28">
        <f t="shared" si="46"/>
        <v>410.88</v>
      </c>
      <c r="I731" s="28">
        <f t="shared" si="46"/>
        <v>411.3</v>
      </c>
      <c r="J731" s="28">
        <f t="shared" si="46"/>
        <v>410.3</v>
      </c>
      <c r="K731" s="28">
        <f t="shared" si="46"/>
        <v>409.25</v>
      </c>
      <c r="L731" s="28">
        <f t="shared" si="46"/>
        <v>408.34</v>
      </c>
      <c r="M731" s="28">
        <f t="shared" si="46"/>
        <v>408.05</v>
      </c>
      <c r="N731" s="28">
        <f t="shared" si="46"/>
        <v>406.75</v>
      </c>
    </row>
    <row r="732" spans="1:14" x14ac:dyDescent="0.4">
      <c r="A732" s="1">
        <v>43466</v>
      </c>
      <c r="B732" s="28">
        <v>410.92</v>
      </c>
      <c r="C732" s="28">
        <f t="shared" si="45"/>
        <v>409.23</v>
      </c>
      <c r="D732" s="28">
        <f t="shared" si="46"/>
        <v>408.12</v>
      </c>
      <c r="E732" s="28">
        <f t="shared" si="46"/>
        <v>405.99</v>
      </c>
      <c r="F732" s="28">
        <f t="shared" si="46"/>
        <v>405.59</v>
      </c>
      <c r="G732" s="28">
        <f t="shared" si="46"/>
        <v>407.1</v>
      </c>
      <c r="H732" s="28">
        <f t="shared" si="46"/>
        <v>408.9</v>
      </c>
      <c r="I732" s="28">
        <f t="shared" si="46"/>
        <v>410.88</v>
      </c>
      <c r="J732" s="28">
        <f t="shared" si="46"/>
        <v>411.3</v>
      </c>
      <c r="K732" s="28">
        <f t="shared" si="46"/>
        <v>410.3</v>
      </c>
      <c r="L732" s="28">
        <f t="shared" si="46"/>
        <v>409.25</v>
      </c>
      <c r="M732" s="28">
        <f t="shared" si="46"/>
        <v>408.34</v>
      </c>
      <c r="N732" s="28">
        <f t="shared" si="46"/>
        <v>408.05</v>
      </c>
    </row>
    <row r="733" spans="1:14" x14ac:dyDescent="0.4">
      <c r="A733" s="1">
        <v>43497</v>
      </c>
      <c r="B733" s="28">
        <v>411.66</v>
      </c>
      <c r="C733" s="28">
        <f t="shared" si="45"/>
        <v>410.92</v>
      </c>
      <c r="D733" s="28">
        <f t="shared" si="46"/>
        <v>409.23</v>
      </c>
      <c r="E733" s="28">
        <f t="shared" si="46"/>
        <v>408.12</v>
      </c>
      <c r="F733" s="28">
        <f t="shared" si="46"/>
        <v>405.99</v>
      </c>
      <c r="G733" s="28">
        <f t="shared" si="46"/>
        <v>405.59</v>
      </c>
      <c r="H733" s="28">
        <f t="shared" si="46"/>
        <v>407.1</v>
      </c>
      <c r="I733" s="28">
        <f t="shared" si="46"/>
        <v>408.9</v>
      </c>
      <c r="J733" s="28">
        <f t="shared" si="46"/>
        <v>410.88</v>
      </c>
      <c r="K733" s="28">
        <f t="shared" si="46"/>
        <v>411.3</v>
      </c>
      <c r="L733" s="28">
        <f t="shared" si="46"/>
        <v>410.3</v>
      </c>
      <c r="M733" s="28">
        <f t="shared" si="46"/>
        <v>409.25</v>
      </c>
      <c r="N733" s="28">
        <f t="shared" si="46"/>
        <v>408.34</v>
      </c>
    </row>
    <row r="734" spans="1:14" x14ac:dyDescent="0.4">
      <c r="A734" s="1">
        <v>43525</v>
      </c>
      <c r="B734" s="28">
        <v>412</v>
      </c>
      <c r="C734" s="28">
        <f t="shared" si="45"/>
        <v>411.66</v>
      </c>
      <c r="D734" s="28">
        <f t="shared" si="46"/>
        <v>410.92</v>
      </c>
      <c r="E734" s="28">
        <f t="shared" si="46"/>
        <v>409.23</v>
      </c>
      <c r="F734" s="28">
        <f t="shared" si="46"/>
        <v>408.12</v>
      </c>
      <c r="G734" s="28">
        <f t="shared" si="46"/>
        <v>405.99</v>
      </c>
      <c r="H734" s="28">
        <f t="shared" si="46"/>
        <v>405.59</v>
      </c>
      <c r="I734" s="28">
        <f t="shared" si="46"/>
        <v>407.1</v>
      </c>
      <c r="J734" s="28">
        <f t="shared" si="46"/>
        <v>408.9</v>
      </c>
      <c r="K734" s="28">
        <f t="shared" si="46"/>
        <v>410.88</v>
      </c>
      <c r="L734" s="28">
        <f t="shared" si="46"/>
        <v>411.3</v>
      </c>
      <c r="M734" s="28">
        <f t="shared" si="46"/>
        <v>410.3</v>
      </c>
      <c r="N734" s="28">
        <f t="shared" si="46"/>
        <v>409.25</v>
      </c>
    </row>
    <row r="735" spans="1:14" x14ac:dyDescent="0.4">
      <c r="A735" s="1">
        <v>43556</v>
      </c>
      <c r="B735" s="28">
        <v>413.52</v>
      </c>
      <c r="C735" s="28">
        <f t="shared" si="45"/>
        <v>412</v>
      </c>
      <c r="D735" s="28">
        <f t="shared" si="46"/>
        <v>411.66</v>
      </c>
      <c r="E735" s="28">
        <f t="shared" si="46"/>
        <v>410.92</v>
      </c>
      <c r="F735" s="28">
        <f t="shared" si="46"/>
        <v>409.23</v>
      </c>
      <c r="G735" s="28">
        <f t="shared" si="46"/>
        <v>408.12</v>
      </c>
      <c r="H735" s="28">
        <f t="shared" si="46"/>
        <v>405.99</v>
      </c>
      <c r="I735" s="28">
        <f t="shared" si="46"/>
        <v>405.59</v>
      </c>
      <c r="J735" s="28">
        <f t="shared" si="46"/>
        <v>407.1</v>
      </c>
      <c r="K735" s="28">
        <f t="shared" si="46"/>
        <v>408.9</v>
      </c>
      <c r="L735" s="28">
        <f t="shared" si="46"/>
        <v>410.88</v>
      </c>
      <c r="M735" s="28">
        <f t="shared" si="46"/>
        <v>411.3</v>
      </c>
      <c r="N735" s="28">
        <f t="shared" si="46"/>
        <v>410.3</v>
      </c>
    </row>
    <row r="736" spans="1:14" x14ac:dyDescent="0.4">
      <c r="A736" s="1">
        <v>43586</v>
      </c>
      <c r="B736" s="28">
        <v>414.83</v>
      </c>
      <c r="C736" s="28">
        <f t="shared" si="45"/>
        <v>413.52</v>
      </c>
      <c r="D736" s="28">
        <f t="shared" si="46"/>
        <v>412</v>
      </c>
      <c r="E736" s="28">
        <f t="shared" si="46"/>
        <v>411.66</v>
      </c>
      <c r="F736" s="28">
        <f t="shared" si="46"/>
        <v>410.92</v>
      </c>
      <c r="G736" s="28">
        <f t="shared" si="46"/>
        <v>409.23</v>
      </c>
      <c r="H736" s="28">
        <f t="shared" si="46"/>
        <v>408.12</v>
      </c>
      <c r="I736" s="28">
        <f t="shared" si="46"/>
        <v>405.99</v>
      </c>
      <c r="J736" s="28">
        <f t="shared" si="46"/>
        <v>405.59</v>
      </c>
      <c r="K736" s="28">
        <f t="shared" si="46"/>
        <v>407.1</v>
      </c>
      <c r="L736" s="28">
        <f t="shared" si="46"/>
        <v>408.9</v>
      </c>
      <c r="M736" s="28">
        <f t="shared" si="46"/>
        <v>410.88</v>
      </c>
      <c r="N736" s="28">
        <f t="shared" si="46"/>
        <v>411.3</v>
      </c>
    </row>
    <row r="737" spans="1:14" x14ac:dyDescent="0.4">
      <c r="A737" s="1">
        <v>43617</v>
      </c>
      <c r="B737" s="28">
        <v>413.96</v>
      </c>
      <c r="C737" s="28">
        <f t="shared" si="45"/>
        <v>414.83</v>
      </c>
      <c r="D737" s="28">
        <f t="shared" si="46"/>
        <v>413.52</v>
      </c>
      <c r="E737" s="28">
        <f t="shared" si="46"/>
        <v>412</v>
      </c>
      <c r="F737" s="28">
        <f t="shared" si="46"/>
        <v>411.66</v>
      </c>
      <c r="G737" s="28">
        <f t="shared" si="46"/>
        <v>410.92</v>
      </c>
      <c r="H737" s="28">
        <f t="shared" si="46"/>
        <v>409.23</v>
      </c>
      <c r="I737" s="28">
        <f t="shared" si="46"/>
        <v>408.12</v>
      </c>
      <c r="J737" s="28">
        <f t="shared" si="46"/>
        <v>405.99</v>
      </c>
      <c r="K737" s="28">
        <f t="shared" si="46"/>
        <v>405.59</v>
      </c>
      <c r="L737" s="28">
        <f t="shared" si="46"/>
        <v>407.1</v>
      </c>
      <c r="M737" s="28">
        <f t="shared" si="46"/>
        <v>408.9</v>
      </c>
      <c r="N737" s="28">
        <f t="shared" si="46"/>
        <v>410.88</v>
      </c>
    </row>
    <row r="738" spans="1:14" x14ac:dyDescent="0.4">
      <c r="A738" s="1">
        <v>43647</v>
      </c>
      <c r="B738" s="28">
        <v>411.85</v>
      </c>
      <c r="C738" s="28">
        <f t="shared" si="45"/>
        <v>413.96</v>
      </c>
      <c r="D738" s="28">
        <f t="shared" si="46"/>
        <v>414.83</v>
      </c>
      <c r="E738" s="28">
        <f t="shared" si="46"/>
        <v>413.52</v>
      </c>
      <c r="F738" s="28">
        <f t="shared" si="46"/>
        <v>412</v>
      </c>
      <c r="G738" s="28">
        <f t="shared" si="46"/>
        <v>411.66</v>
      </c>
      <c r="H738" s="28">
        <f t="shared" si="46"/>
        <v>410.92</v>
      </c>
      <c r="I738" s="28">
        <f t="shared" si="46"/>
        <v>409.23</v>
      </c>
      <c r="J738" s="28">
        <f t="shared" si="46"/>
        <v>408.12</v>
      </c>
      <c r="K738" s="28">
        <f t="shared" si="46"/>
        <v>405.99</v>
      </c>
      <c r="L738" s="28">
        <f t="shared" si="46"/>
        <v>405.59</v>
      </c>
      <c r="M738" s="28">
        <f t="shared" si="46"/>
        <v>407.1</v>
      </c>
      <c r="N738" s="28">
        <f t="shared" si="46"/>
        <v>408.9</v>
      </c>
    </row>
    <row r="739" spans="1:14" x14ac:dyDescent="0.4">
      <c r="A739" s="1">
        <v>43678</v>
      </c>
      <c r="B739" s="28">
        <v>410.08</v>
      </c>
      <c r="C739" s="28">
        <f t="shared" si="45"/>
        <v>411.85</v>
      </c>
      <c r="D739" s="28">
        <f t="shared" si="46"/>
        <v>413.96</v>
      </c>
      <c r="E739" s="28">
        <f t="shared" si="46"/>
        <v>414.83</v>
      </c>
      <c r="F739" s="28">
        <f t="shared" si="46"/>
        <v>413.52</v>
      </c>
      <c r="G739" s="28">
        <f t="shared" si="46"/>
        <v>412</v>
      </c>
      <c r="H739" s="28">
        <f t="shared" si="46"/>
        <v>411.66</v>
      </c>
      <c r="I739" s="28">
        <f t="shared" si="46"/>
        <v>410.92</v>
      </c>
      <c r="J739" s="28">
        <f t="shared" si="46"/>
        <v>409.23</v>
      </c>
      <c r="K739" s="28">
        <f t="shared" si="46"/>
        <v>408.12</v>
      </c>
      <c r="L739" s="28">
        <f t="shared" si="46"/>
        <v>405.99</v>
      </c>
      <c r="M739" s="28">
        <f t="shared" si="46"/>
        <v>405.59</v>
      </c>
      <c r="N739" s="28">
        <f t="shared" si="46"/>
        <v>407.1</v>
      </c>
    </row>
    <row r="740" spans="1:14" x14ac:dyDescent="0.4">
      <c r="A740" s="1">
        <v>43709</v>
      </c>
      <c r="B740" s="28">
        <v>408.55</v>
      </c>
      <c r="C740" s="28">
        <f t="shared" si="45"/>
        <v>410.08</v>
      </c>
      <c r="D740" s="28">
        <f t="shared" si="46"/>
        <v>411.85</v>
      </c>
      <c r="E740" s="28">
        <f t="shared" si="46"/>
        <v>413.96</v>
      </c>
      <c r="F740" s="28">
        <f t="shared" si="46"/>
        <v>414.83</v>
      </c>
      <c r="G740" s="28">
        <f t="shared" si="46"/>
        <v>413.52</v>
      </c>
      <c r="H740" s="28">
        <f t="shared" si="46"/>
        <v>412</v>
      </c>
      <c r="I740" s="28">
        <f t="shared" si="46"/>
        <v>411.66</v>
      </c>
      <c r="J740" s="28">
        <f t="shared" si="46"/>
        <v>410.92</v>
      </c>
      <c r="K740" s="28">
        <f t="shared" si="46"/>
        <v>409.23</v>
      </c>
      <c r="L740" s="28">
        <f t="shared" si="46"/>
        <v>408.12</v>
      </c>
      <c r="M740" s="28">
        <f t="shared" si="46"/>
        <v>405.99</v>
      </c>
      <c r="N740" s="28">
        <f t="shared" si="46"/>
        <v>405.59</v>
      </c>
    </row>
    <row r="741" spans="1:14" x14ac:dyDescent="0.4">
      <c r="A741" s="1">
        <v>43739</v>
      </c>
      <c r="B741" s="28">
        <v>408.43</v>
      </c>
      <c r="C741" s="28">
        <f t="shared" si="45"/>
        <v>408.55</v>
      </c>
      <c r="D741" s="28">
        <f t="shared" si="46"/>
        <v>410.08</v>
      </c>
      <c r="E741" s="28">
        <f t="shared" si="46"/>
        <v>411.85</v>
      </c>
      <c r="F741" s="28">
        <f t="shared" si="46"/>
        <v>413.96</v>
      </c>
      <c r="G741" s="28">
        <f t="shared" si="46"/>
        <v>414.83</v>
      </c>
      <c r="H741" s="28">
        <f t="shared" si="46"/>
        <v>413.52</v>
      </c>
      <c r="I741" s="28">
        <f t="shared" si="46"/>
        <v>412</v>
      </c>
      <c r="J741" s="28">
        <f t="shared" si="46"/>
        <v>411.66</v>
      </c>
      <c r="K741" s="28">
        <f t="shared" si="46"/>
        <v>410.92</v>
      </c>
      <c r="L741" s="28">
        <f t="shared" si="46"/>
        <v>409.23</v>
      </c>
      <c r="M741" s="28">
        <f t="shared" si="46"/>
        <v>408.12</v>
      </c>
      <c r="N741" s="28">
        <f t="shared" si="46"/>
        <v>405.99</v>
      </c>
    </row>
    <row r="742" spans="1:14" x14ac:dyDescent="0.4">
      <c r="A742" s="1">
        <v>43770</v>
      </c>
      <c r="B742" s="28">
        <v>410.29</v>
      </c>
      <c r="C742" s="28">
        <f t="shared" si="45"/>
        <v>408.43</v>
      </c>
      <c r="D742" s="28">
        <f t="shared" si="46"/>
        <v>408.55</v>
      </c>
      <c r="E742" s="28">
        <f t="shared" si="46"/>
        <v>410.08</v>
      </c>
      <c r="F742" s="28">
        <f t="shared" si="46"/>
        <v>411.85</v>
      </c>
      <c r="G742" s="28">
        <f t="shared" si="46"/>
        <v>413.96</v>
      </c>
      <c r="H742" s="28">
        <f t="shared" si="46"/>
        <v>414.83</v>
      </c>
      <c r="I742" s="28">
        <f t="shared" si="46"/>
        <v>413.52</v>
      </c>
      <c r="J742" s="28">
        <f t="shared" si="46"/>
        <v>412</v>
      </c>
      <c r="K742" s="28">
        <f t="shared" si="46"/>
        <v>411.66</v>
      </c>
      <c r="L742" s="28">
        <f t="shared" si="46"/>
        <v>410.92</v>
      </c>
      <c r="M742" s="28">
        <f t="shared" si="46"/>
        <v>409.23</v>
      </c>
      <c r="N742" s="28">
        <f t="shared" si="46"/>
        <v>408.12</v>
      </c>
    </row>
    <row r="743" spans="1:14" x14ac:dyDescent="0.4">
      <c r="A743" s="1">
        <v>43800</v>
      </c>
      <c r="B743" s="28">
        <v>411.85</v>
      </c>
      <c r="C743" s="28">
        <f t="shared" si="45"/>
        <v>410.29</v>
      </c>
      <c r="D743" s="28">
        <f t="shared" ref="D743:N747" si="47">IF(C742=0,"",C742)</f>
        <v>408.43</v>
      </c>
      <c r="E743" s="28">
        <f t="shared" si="47"/>
        <v>408.55</v>
      </c>
      <c r="F743" s="28">
        <f t="shared" si="47"/>
        <v>410.08</v>
      </c>
      <c r="G743" s="28">
        <f t="shared" si="47"/>
        <v>411.85</v>
      </c>
      <c r="H743" s="28">
        <f t="shared" si="47"/>
        <v>413.96</v>
      </c>
      <c r="I743" s="28">
        <f t="shared" si="47"/>
        <v>414.83</v>
      </c>
      <c r="J743" s="28">
        <f t="shared" si="47"/>
        <v>413.52</v>
      </c>
      <c r="K743" s="28">
        <f t="shared" si="47"/>
        <v>412</v>
      </c>
      <c r="L743" s="28">
        <f t="shared" si="47"/>
        <v>411.66</v>
      </c>
      <c r="M743" s="28">
        <f t="shared" si="47"/>
        <v>410.92</v>
      </c>
      <c r="N743" s="28">
        <f t="shared" si="47"/>
        <v>409.23</v>
      </c>
    </row>
    <row r="744" spans="1:14" x14ac:dyDescent="0.4">
      <c r="A744" s="1">
        <v>43831</v>
      </c>
      <c r="B744" s="28">
        <v>413.37</v>
      </c>
      <c r="C744" s="28">
        <f t="shared" si="45"/>
        <v>411.85</v>
      </c>
      <c r="D744" s="28">
        <f t="shared" si="47"/>
        <v>410.29</v>
      </c>
      <c r="E744" s="28">
        <f t="shared" si="47"/>
        <v>408.43</v>
      </c>
      <c r="F744" s="28">
        <f t="shared" si="47"/>
        <v>408.55</v>
      </c>
      <c r="G744" s="28">
        <f t="shared" si="47"/>
        <v>410.08</v>
      </c>
      <c r="H744" s="28">
        <f t="shared" si="47"/>
        <v>411.85</v>
      </c>
      <c r="I744" s="28">
        <f t="shared" si="47"/>
        <v>413.96</v>
      </c>
      <c r="J744" s="28">
        <f t="shared" si="47"/>
        <v>414.83</v>
      </c>
      <c r="K744" s="28">
        <f t="shared" si="47"/>
        <v>413.52</v>
      </c>
      <c r="L744" s="28">
        <f t="shared" si="47"/>
        <v>412</v>
      </c>
      <c r="M744" s="28">
        <f t="shared" si="47"/>
        <v>411.66</v>
      </c>
      <c r="N744" s="28">
        <f t="shared" si="47"/>
        <v>410.92</v>
      </c>
    </row>
    <row r="745" spans="1:14" x14ac:dyDescent="0.4">
      <c r="A745" s="1">
        <v>43862</v>
      </c>
      <c r="B745" s="28">
        <v>414.09</v>
      </c>
      <c r="C745" s="28">
        <f t="shared" si="45"/>
        <v>413.37</v>
      </c>
      <c r="D745" s="28">
        <f t="shared" si="47"/>
        <v>411.85</v>
      </c>
      <c r="E745" s="28">
        <f t="shared" si="47"/>
        <v>410.29</v>
      </c>
      <c r="F745" s="28">
        <f t="shared" si="47"/>
        <v>408.43</v>
      </c>
      <c r="G745" s="28">
        <f t="shared" si="47"/>
        <v>408.55</v>
      </c>
      <c r="H745" s="28">
        <f t="shared" si="47"/>
        <v>410.08</v>
      </c>
      <c r="I745" s="28">
        <f t="shared" si="47"/>
        <v>411.85</v>
      </c>
      <c r="J745" s="28">
        <f t="shared" si="47"/>
        <v>413.96</v>
      </c>
      <c r="K745" s="28">
        <f t="shared" si="47"/>
        <v>414.83</v>
      </c>
      <c r="L745" s="28">
        <f t="shared" si="47"/>
        <v>413.52</v>
      </c>
      <c r="M745" s="28">
        <f t="shared" si="47"/>
        <v>412</v>
      </c>
      <c r="N745" s="28">
        <f t="shared" si="47"/>
        <v>411.66</v>
      </c>
    </row>
    <row r="746" spans="1:14" x14ac:dyDescent="0.4">
      <c r="A746" s="1">
        <v>43891</v>
      </c>
      <c r="B746" s="28">
        <v>414.51</v>
      </c>
      <c r="C746" s="28">
        <f t="shared" si="45"/>
        <v>414.09</v>
      </c>
      <c r="D746" s="28">
        <f t="shared" si="47"/>
        <v>413.37</v>
      </c>
      <c r="E746" s="28">
        <f t="shared" si="47"/>
        <v>411.85</v>
      </c>
      <c r="F746" s="28">
        <f t="shared" si="47"/>
        <v>410.29</v>
      </c>
      <c r="G746" s="28">
        <f t="shared" si="47"/>
        <v>408.43</v>
      </c>
      <c r="H746" s="28">
        <f t="shared" si="47"/>
        <v>408.55</v>
      </c>
      <c r="I746" s="28">
        <f t="shared" si="47"/>
        <v>410.08</v>
      </c>
      <c r="J746" s="28">
        <f t="shared" si="47"/>
        <v>411.85</v>
      </c>
      <c r="K746" s="28">
        <f t="shared" si="47"/>
        <v>413.96</v>
      </c>
      <c r="L746" s="28">
        <f t="shared" si="47"/>
        <v>414.83</v>
      </c>
      <c r="M746" s="28">
        <f t="shared" si="47"/>
        <v>413.52</v>
      </c>
      <c r="N746" s="28">
        <f t="shared" si="47"/>
        <v>412</v>
      </c>
    </row>
    <row r="747" spans="1:14" x14ac:dyDescent="0.4">
      <c r="A747" s="1">
        <v>43922</v>
      </c>
      <c r="B747" s="28">
        <v>416.18</v>
      </c>
      <c r="C747" s="28">
        <f t="shared" si="45"/>
        <v>414.51</v>
      </c>
      <c r="D747" s="28">
        <f t="shared" si="47"/>
        <v>414.09</v>
      </c>
      <c r="E747" s="28">
        <f t="shared" si="47"/>
        <v>413.37</v>
      </c>
      <c r="F747" s="28">
        <f t="shared" si="47"/>
        <v>411.85</v>
      </c>
      <c r="G747" s="28">
        <f t="shared" si="47"/>
        <v>410.29</v>
      </c>
      <c r="H747" s="28">
        <f t="shared" si="47"/>
        <v>408.43</v>
      </c>
      <c r="I747" s="28">
        <f t="shared" si="47"/>
        <v>408.55</v>
      </c>
      <c r="J747" s="28">
        <f t="shared" si="47"/>
        <v>410.08</v>
      </c>
      <c r="K747" s="28">
        <f t="shared" si="47"/>
        <v>411.85</v>
      </c>
      <c r="L747" s="28">
        <f t="shared" si="47"/>
        <v>413.96</v>
      </c>
      <c r="M747" s="28">
        <f t="shared" si="47"/>
        <v>414.83</v>
      </c>
      <c r="N747" s="28">
        <f t="shared" si="47"/>
        <v>413.52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0C66-00BA-49BE-A668-088C842AB3B7}">
  <dimension ref="A1:AC747"/>
  <sheetViews>
    <sheetView tabSelected="1" topLeftCell="A40" zoomScaleNormal="100" workbookViewId="0">
      <selection activeCell="P1" sqref="P1:AC14"/>
    </sheetView>
  </sheetViews>
  <sheetFormatPr defaultRowHeight="18.75" x14ac:dyDescent="0.4"/>
  <cols>
    <col min="1" max="1" width="10.25" bestFit="1" customWidth="1"/>
    <col min="2" max="2" width="7.75" style="28" bestFit="1" customWidth="1"/>
    <col min="3" max="14" width="7.75" style="28" customWidth="1"/>
  </cols>
  <sheetData>
    <row r="1" spans="1:29" s="3" customFormat="1" x14ac:dyDescent="0.4">
      <c r="A1" s="3" t="s">
        <v>0</v>
      </c>
      <c r="B1" s="30" t="s">
        <v>86</v>
      </c>
      <c r="C1" s="34">
        <v>-1</v>
      </c>
      <c r="D1" s="34">
        <v>-2</v>
      </c>
      <c r="E1" s="34">
        <v>-3</v>
      </c>
      <c r="F1" s="34">
        <v>-4</v>
      </c>
      <c r="G1" s="34">
        <v>-5</v>
      </c>
      <c r="H1" s="34">
        <v>-6</v>
      </c>
      <c r="I1" s="34">
        <v>-7</v>
      </c>
      <c r="J1" s="34">
        <v>-8</v>
      </c>
      <c r="K1" s="34">
        <v>-9</v>
      </c>
      <c r="L1" s="34">
        <v>-10</v>
      </c>
      <c r="M1" s="34">
        <v>-11</v>
      </c>
      <c r="N1" s="34">
        <v>-12</v>
      </c>
      <c r="P1" s="37"/>
      <c r="Q1" s="37" t="s">
        <v>68</v>
      </c>
      <c r="R1" s="37" t="s">
        <v>69</v>
      </c>
      <c r="S1" s="37" t="s">
        <v>70</v>
      </c>
      <c r="T1" s="37" t="s">
        <v>71</v>
      </c>
      <c r="U1" s="37" t="s">
        <v>72</v>
      </c>
      <c r="V1" s="37" t="s">
        <v>73</v>
      </c>
      <c r="W1" s="37" t="s">
        <v>74</v>
      </c>
      <c r="X1" s="37" t="s">
        <v>75</v>
      </c>
      <c r="Y1" s="37" t="s">
        <v>76</v>
      </c>
      <c r="Z1" s="37" t="s">
        <v>77</v>
      </c>
      <c r="AA1" s="37" t="s">
        <v>78</v>
      </c>
      <c r="AB1" s="37" t="s">
        <v>79</v>
      </c>
      <c r="AC1" s="37" t="s">
        <v>80</v>
      </c>
    </row>
    <row r="2" spans="1:29" x14ac:dyDescent="0.4">
      <c r="A2" s="1">
        <v>21245</v>
      </c>
      <c r="B2" s="28">
        <v>314.32770424061778</v>
      </c>
      <c r="P2" s="35" t="s">
        <v>68</v>
      </c>
      <c r="Q2" s="35">
        <v>1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4">
      <c r="A3" s="1">
        <v>21276</v>
      </c>
      <c r="B3" s="28">
        <v>314.87195276159508</v>
      </c>
      <c r="C3" s="28">
        <f>IF(B2=0,"",B2)</f>
        <v>314.32770424061778</v>
      </c>
      <c r="D3" s="28" t="str">
        <f t="shared" ref="D3:N3" si="0">IF(C2=0,"",C2)</f>
        <v/>
      </c>
      <c r="E3" s="28" t="str">
        <f t="shared" si="0"/>
        <v/>
      </c>
      <c r="F3" s="28" t="str">
        <f t="shared" si="0"/>
        <v/>
      </c>
      <c r="G3" s="28" t="str">
        <f t="shared" si="0"/>
        <v/>
      </c>
      <c r="H3" s="28" t="str">
        <f t="shared" si="0"/>
        <v/>
      </c>
      <c r="I3" s="28" t="str">
        <f t="shared" si="0"/>
        <v/>
      </c>
      <c r="J3" s="28" t="str">
        <f t="shared" si="0"/>
        <v/>
      </c>
      <c r="K3" s="28" t="str">
        <f t="shared" si="0"/>
        <v/>
      </c>
      <c r="L3" s="28" t="str">
        <f t="shared" si="0"/>
        <v/>
      </c>
      <c r="M3" s="28" t="str">
        <f t="shared" si="0"/>
        <v/>
      </c>
      <c r="N3" s="28" t="str">
        <f t="shared" si="0"/>
        <v/>
      </c>
      <c r="P3" s="35" t="s">
        <v>69</v>
      </c>
      <c r="Q3" s="35">
        <v>0.9999341236525513</v>
      </c>
      <c r="R3" s="35">
        <v>1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x14ac:dyDescent="0.4">
      <c r="A4" s="1">
        <v>21306</v>
      </c>
      <c r="B4" s="28">
        <v>314.42902474822739</v>
      </c>
      <c r="C4" s="28">
        <f t="shared" ref="C4:N67" si="1">IF(B3=0,"",B3)</f>
        <v>314.87195276159508</v>
      </c>
      <c r="D4" s="28">
        <f t="shared" si="1"/>
        <v>314.32770424061778</v>
      </c>
      <c r="E4" s="28" t="str">
        <f t="shared" si="1"/>
        <v/>
      </c>
      <c r="F4" s="28" t="str">
        <f t="shared" si="1"/>
        <v/>
      </c>
      <c r="G4" s="28" t="str">
        <f t="shared" si="1"/>
        <v/>
      </c>
      <c r="H4" s="28" t="str">
        <f t="shared" si="1"/>
        <v/>
      </c>
      <c r="I4" s="28" t="str">
        <f t="shared" si="1"/>
        <v/>
      </c>
      <c r="J4" s="28" t="str">
        <f t="shared" si="1"/>
        <v/>
      </c>
      <c r="K4" s="28" t="str">
        <f t="shared" si="1"/>
        <v/>
      </c>
      <c r="L4" s="28" t="str">
        <f t="shared" si="1"/>
        <v/>
      </c>
      <c r="M4" s="28" t="str">
        <f t="shared" si="1"/>
        <v/>
      </c>
      <c r="N4" s="28" t="str">
        <f t="shared" si="1"/>
        <v/>
      </c>
      <c r="P4" s="35" t="s">
        <v>70</v>
      </c>
      <c r="Q4" s="35">
        <v>0.99989662774313048</v>
      </c>
      <c r="R4" s="35">
        <v>0.99993393916238205</v>
      </c>
      <c r="S4" s="35">
        <v>1</v>
      </c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x14ac:dyDescent="0.4">
      <c r="A5" s="1">
        <v>21337</v>
      </c>
      <c r="B5" s="29">
        <v>314.31309578647875</v>
      </c>
      <c r="C5" s="28">
        <f t="shared" si="1"/>
        <v>314.42902474822739</v>
      </c>
      <c r="D5" s="28">
        <f t="shared" si="1"/>
        <v>314.87195276159508</v>
      </c>
      <c r="E5" s="28">
        <f t="shared" si="1"/>
        <v>314.32770424061778</v>
      </c>
      <c r="F5" s="28" t="str">
        <f t="shared" si="1"/>
        <v/>
      </c>
      <c r="G5" s="28" t="str">
        <f t="shared" si="1"/>
        <v/>
      </c>
      <c r="H5" s="28" t="str">
        <f t="shared" si="1"/>
        <v/>
      </c>
      <c r="I5" s="28" t="str">
        <f t="shared" si="1"/>
        <v/>
      </c>
      <c r="J5" s="28" t="str">
        <f t="shared" si="1"/>
        <v/>
      </c>
      <c r="K5" s="28" t="str">
        <f t="shared" si="1"/>
        <v/>
      </c>
      <c r="L5" s="28" t="str">
        <f t="shared" si="1"/>
        <v/>
      </c>
      <c r="M5" s="28" t="str">
        <f t="shared" si="1"/>
        <v/>
      </c>
      <c r="N5" s="28" t="str">
        <f t="shared" si="1"/>
        <v/>
      </c>
      <c r="P5" s="35" t="s">
        <v>71</v>
      </c>
      <c r="Q5" s="35">
        <v>0.99986307700240062</v>
      </c>
      <c r="R5" s="35">
        <v>0.99989635671848032</v>
      </c>
      <c r="S5" s="35">
        <v>0.99993392639851897</v>
      </c>
      <c r="T5" s="35">
        <v>1</v>
      </c>
      <c r="U5" s="35"/>
      <c r="V5" s="35"/>
      <c r="W5" s="35"/>
      <c r="X5" s="35"/>
      <c r="Y5" s="35"/>
      <c r="Z5" s="35"/>
      <c r="AA5" s="35"/>
      <c r="AB5" s="35"/>
      <c r="AC5" s="35"/>
    </row>
    <row r="6" spans="1:29" x14ac:dyDescent="0.4">
      <c r="A6" s="1">
        <v>21367</v>
      </c>
      <c r="B6" s="28">
        <v>315.13208485751704</v>
      </c>
      <c r="C6" s="28">
        <f t="shared" si="1"/>
        <v>314.31309578647875</v>
      </c>
      <c r="D6" s="28">
        <f t="shared" si="1"/>
        <v>314.42902474822739</v>
      </c>
      <c r="E6" s="28">
        <f t="shared" si="1"/>
        <v>314.87195276159508</v>
      </c>
      <c r="F6" s="28">
        <f t="shared" si="1"/>
        <v>314.32770424061778</v>
      </c>
      <c r="G6" s="28" t="str">
        <f t="shared" si="1"/>
        <v/>
      </c>
      <c r="H6" s="28" t="str">
        <f t="shared" si="1"/>
        <v/>
      </c>
      <c r="I6" s="28" t="str">
        <f t="shared" si="1"/>
        <v/>
      </c>
      <c r="J6" s="28" t="str">
        <f t="shared" si="1"/>
        <v/>
      </c>
      <c r="K6" s="28" t="str">
        <f t="shared" si="1"/>
        <v/>
      </c>
      <c r="L6" s="28" t="str">
        <f t="shared" si="1"/>
        <v/>
      </c>
      <c r="M6" s="28" t="str">
        <f t="shared" si="1"/>
        <v/>
      </c>
      <c r="N6" s="28" t="str">
        <f t="shared" si="1"/>
        <v/>
      </c>
      <c r="P6" s="35" t="s">
        <v>72</v>
      </c>
      <c r="Q6" s="35">
        <v>0.99984040554788789</v>
      </c>
      <c r="R6" s="35">
        <v>0.99986275132106239</v>
      </c>
      <c r="S6" s="35">
        <v>0.99989637000942388</v>
      </c>
      <c r="T6" s="35">
        <v>0.99993373053541534</v>
      </c>
      <c r="U6" s="35">
        <v>1</v>
      </c>
      <c r="V6" s="35"/>
      <c r="W6" s="35"/>
      <c r="X6" s="35"/>
      <c r="Y6" s="35"/>
      <c r="Z6" s="35"/>
      <c r="AA6" s="35"/>
      <c r="AB6" s="35"/>
      <c r="AC6" s="35"/>
    </row>
    <row r="7" spans="1:29" x14ac:dyDescent="0.4">
      <c r="A7" s="1">
        <v>21398</v>
      </c>
      <c r="B7" s="28">
        <v>316.33992638757172</v>
      </c>
      <c r="C7" s="28">
        <f t="shared" si="1"/>
        <v>315.13208485751704</v>
      </c>
      <c r="D7" s="28">
        <f t="shared" si="1"/>
        <v>314.31309578647875</v>
      </c>
      <c r="E7" s="28">
        <f t="shared" si="1"/>
        <v>314.42902474822739</v>
      </c>
      <c r="F7" s="28">
        <f t="shared" si="1"/>
        <v>314.87195276159508</v>
      </c>
      <c r="G7" s="28">
        <f t="shared" si="1"/>
        <v>314.32770424061778</v>
      </c>
      <c r="H7" s="28" t="str">
        <f t="shared" si="1"/>
        <v/>
      </c>
      <c r="I7" s="28" t="str">
        <f t="shared" si="1"/>
        <v/>
      </c>
      <c r="J7" s="28" t="str">
        <f t="shared" si="1"/>
        <v/>
      </c>
      <c r="K7" s="28" t="str">
        <f t="shared" si="1"/>
        <v/>
      </c>
      <c r="L7" s="28" t="str">
        <f t="shared" si="1"/>
        <v/>
      </c>
      <c r="M7" s="28" t="str">
        <f t="shared" si="1"/>
        <v/>
      </c>
      <c r="N7" s="28" t="str">
        <f t="shared" si="1"/>
        <v/>
      </c>
      <c r="P7" s="35" t="s">
        <v>73</v>
      </c>
      <c r="Q7" s="35">
        <v>0.9998207392021583</v>
      </c>
      <c r="R7" s="35">
        <v>0.99983888215334327</v>
      </c>
      <c r="S7" s="35">
        <v>0.99986094913903945</v>
      </c>
      <c r="T7" s="35">
        <v>0.9998948786335935</v>
      </c>
      <c r="U7" s="35">
        <v>0.9999322014897174</v>
      </c>
      <c r="V7" s="35">
        <v>1</v>
      </c>
      <c r="W7" s="35"/>
      <c r="X7" s="35"/>
      <c r="Y7" s="35"/>
      <c r="Z7" s="35"/>
      <c r="AA7" s="35"/>
      <c r="AB7" s="35"/>
      <c r="AC7" s="35"/>
    </row>
    <row r="8" spans="1:29" x14ac:dyDescent="0.4">
      <c r="A8" s="1">
        <v>21429</v>
      </c>
      <c r="B8" s="28">
        <v>316.41432529467551</v>
      </c>
      <c r="C8" s="28">
        <f t="shared" si="1"/>
        <v>316.33992638757172</v>
      </c>
      <c r="D8" s="28">
        <f t="shared" si="1"/>
        <v>315.13208485751704</v>
      </c>
      <c r="E8" s="28">
        <f t="shared" si="1"/>
        <v>314.31309578647875</v>
      </c>
      <c r="F8" s="28">
        <f t="shared" si="1"/>
        <v>314.42902474822739</v>
      </c>
      <c r="G8" s="28">
        <f t="shared" si="1"/>
        <v>314.87195276159508</v>
      </c>
      <c r="H8" s="28">
        <f t="shared" si="1"/>
        <v>314.32770424061778</v>
      </c>
      <c r="I8" s="28" t="str">
        <f t="shared" si="1"/>
        <v/>
      </c>
      <c r="J8" s="28" t="str">
        <f t="shared" si="1"/>
        <v/>
      </c>
      <c r="K8" s="28" t="str">
        <f t="shared" si="1"/>
        <v/>
      </c>
      <c r="L8" s="28" t="str">
        <f t="shared" si="1"/>
        <v/>
      </c>
      <c r="M8" s="28" t="str">
        <f t="shared" si="1"/>
        <v/>
      </c>
      <c r="N8" s="28" t="str">
        <f t="shared" si="1"/>
        <v/>
      </c>
      <c r="P8" s="35" t="s">
        <v>74</v>
      </c>
      <c r="Q8" s="35">
        <v>0.99980534390415021</v>
      </c>
      <c r="R8" s="35">
        <v>0.99981937683895195</v>
      </c>
      <c r="S8" s="35">
        <v>0.9998371964559466</v>
      </c>
      <c r="T8" s="35">
        <v>0.99985965923236952</v>
      </c>
      <c r="U8" s="35">
        <v>0.99989360079648582</v>
      </c>
      <c r="V8" s="35">
        <v>0.99993200308583507</v>
      </c>
      <c r="W8" s="35">
        <v>1</v>
      </c>
      <c r="X8" s="35"/>
      <c r="Y8" s="35"/>
      <c r="Z8" s="35"/>
      <c r="AA8" s="35"/>
      <c r="AB8" s="35"/>
      <c r="AC8" s="35"/>
    </row>
    <row r="9" spans="1:29" x14ac:dyDescent="0.4">
      <c r="A9" s="1">
        <v>21459</v>
      </c>
      <c r="B9" s="29">
        <v>316.59610125095963</v>
      </c>
      <c r="C9" s="28">
        <f t="shared" si="1"/>
        <v>316.41432529467551</v>
      </c>
      <c r="D9" s="28">
        <f t="shared" si="1"/>
        <v>316.33992638757172</v>
      </c>
      <c r="E9" s="28">
        <f t="shared" si="1"/>
        <v>315.13208485751704</v>
      </c>
      <c r="F9" s="28">
        <f t="shared" si="1"/>
        <v>314.31309578647875</v>
      </c>
      <c r="G9" s="28">
        <f t="shared" si="1"/>
        <v>314.42902474822739</v>
      </c>
      <c r="H9" s="28">
        <f t="shared" si="1"/>
        <v>314.87195276159508</v>
      </c>
      <c r="I9" s="28">
        <f t="shared" si="1"/>
        <v>314.32770424061778</v>
      </c>
      <c r="J9" s="28" t="str">
        <f t="shared" si="1"/>
        <v/>
      </c>
      <c r="K9" s="28" t="str">
        <f t="shared" si="1"/>
        <v/>
      </c>
      <c r="L9" s="28" t="str">
        <f t="shared" si="1"/>
        <v/>
      </c>
      <c r="M9" s="28" t="str">
        <f t="shared" si="1"/>
        <v/>
      </c>
      <c r="N9" s="28" t="str">
        <f t="shared" si="1"/>
        <v/>
      </c>
      <c r="P9" s="35" t="s">
        <v>75</v>
      </c>
      <c r="Q9" s="35">
        <v>0.99979492612428689</v>
      </c>
      <c r="R9" s="35">
        <v>0.99980415607578665</v>
      </c>
      <c r="S9" s="35">
        <v>0.99981770616513643</v>
      </c>
      <c r="T9" s="35">
        <v>0.99983620844392784</v>
      </c>
      <c r="U9" s="35">
        <v>0.9998587345291613</v>
      </c>
      <c r="V9" s="35">
        <v>0.99989351113996383</v>
      </c>
      <c r="W9" s="35">
        <v>0.99993190906758056</v>
      </c>
      <c r="X9" s="35">
        <v>1</v>
      </c>
      <c r="Y9" s="35"/>
      <c r="Z9" s="35"/>
      <c r="AA9" s="35"/>
      <c r="AB9" s="35"/>
      <c r="AC9" s="35"/>
    </row>
    <row r="10" spans="1:29" x14ac:dyDescent="0.4">
      <c r="A10" s="1">
        <v>21490</v>
      </c>
      <c r="B10" s="28">
        <v>315.38164769904711</v>
      </c>
      <c r="C10" s="28">
        <f t="shared" si="1"/>
        <v>316.59610125095963</v>
      </c>
      <c r="D10" s="28">
        <f t="shared" si="1"/>
        <v>316.41432529467551</v>
      </c>
      <c r="E10" s="28">
        <f t="shared" si="1"/>
        <v>316.33992638757172</v>
      </c>
      <c r="F10" s="28">
        <f t="shared" si="1"/>
        <v>315.13208485751704</v>
      </c>
      <c r="G10" s="28">
        <f t="shared" si="1"/>
        <v>314.31309578647875</v>
      </c>
      <c r="H10" s="28">
        <f t="shared" si="1"/>
        <v>314.42902474822739</v>
      </c>
      <c r="I10" s="28">
        <f t="shared" si="1"/>
        <v>314.87195276159508</v>
      </c>
      <c r="J10" s="28">
        <f t="shared" si="1"/>
        <v>314.32770424061778</v>
      </c>
      <c r="K10" s="28" t="str">
        <f t="shared" si="1"/>
        <v/>
      </c>
      <c r="L10" s="28" t="str">
        <f t="shared" si="1"/>
        <v/>
      </c>
      <c r="M10" s="28" t="str">
        <f t="shared" si="1"/>
        <v/>
      </c>
      <c r="N10" s="28" t="str">
        <f t="shared" si="1"/>
        <v/>
      </c>
      <c r="P10" s="35" t="s">
        <v>76</v>
      </c>
      <c r="Q10" s="35">
        <v>0.99978522216241861</v>
      </c>
      <c r="R10" s="35">
        <v>0.99979436668832211</v>
      </c>
      <c r="S10" s="35">
        <v>0.99980358084532728</v>
      </c>
      <c r="T10" s="35">
        <v>0.99981740644036832</v>
      </c>
      <c r="U10" s="35">
        <v>0.99983611205950618</v>
      </c>
      <c r="V10" s="35">
        <v>0.9998570304103952</v>
      </c>
      <c r="W10" s="35">
        <v>0.99989207573450367</v>
      </c>
      <c r="X10" s="35">
        <v>0.99993061961198115</v>
      </c>
      <c r="Y10" s="35">
        <v>1</v>
      </c>
      <c r="Z10" s="35"/>
      <c r="AA10" s="35"/>
      <c r="AB10" s="35"/>
      <c r="AC10" s="35"/>
    </row>
    <row r="11" spans="1:29" x14ac:dyDescent="0.4">
      <c r="A11" s="1">
        <v>21520</v>
      </c>
      <c r="B11" s="28">
        <v>315.55768595041326</v>
      </c>
      <c r="C11" s="28">
        <f t="shared" si="1"/>
        <v>315.38164769904711</v>
      </c>
      <c r="D11" s="28">
        <f t="shared" si="1"/>
        <v>316.59610125095963</v>
      </c>
      <c r="E11" s="28">
        <f t="shared" si="1"/>
        <v>316.41432529467551</v>
      </c>
      <c r="F11" s="28">
        <f t="shared" si="1"/>
        <v>316.33992638757172</v>
      </c>
      <c r="G11" s="28">
        <f t="shared" si="1"/>
        <v>315.13208485751704</v>
      </c>
      <c r="H11" s="28">
        <f t="shared" si="1"/>
        <v>314.31309578647875</v>
      </c>
      <c r="I11" s="28">
        <f t="shared" si="1"/>
        <v>314.42902474822739</v>
      </c>
      <c r="J11" s="28">
        <f t="shared" si="1"/>
        <v>314.87195276159508</v>
      </c>
      <c r="K11" s="28">
        <f t="shared" si="1"/>
        <v>314.32770424061778</v>
      </c>
      <c r="L11" s="28" t="str">
        <f t="shared" si="1"/>
        <v/>
      </c>
      <c r="M11" s="28" t="str">
        <f t="shared" si="1"/>
        <v/>
      </c>
      <c r="N11" s="28" t="str">
        <f t="shared" si="1"/>
        <v/>
      </c>
      <c r="P11" s="35" t="s">
        <v>77</v>
      </c>
      <c r="Q11" s="35">
        <v>0.99978152271664689</v>
      </c>
      <c r="R11" s="35">
        <v>0.99978397518554007</v>
      </c>
      <c r="S11" s="35">
        <v>0.99979334246115747</v>
      </c>
      <c r="T11" s="35">
        <v>0.99980271791849396</v>
      </c>
      <c r="U11" s="35">
        <v>0.99981687800802987</v>
      </c>
      <c r="V11" s="35">
        <v>0.99983226716321616</v>
      </c>
      <c r="W11" s="35">
        <v>0.99985354105264013</v>
      </c>
      <c r="X11" s="35">
        <v>0.9998886942596571</v>
      </c>
      <c r="Y11" s="35">
        <v>0.99992993641632799</v>
      </c>
      <c r="Z11" s="35">
        <v>1</v>
      </c>
      <c r="AA11" s="35"/>
      <c r="AB11" s="35"/>
      <c r="AC11" s="35"/>
    </row>
    <row r="12" spans="1:29" x14ac:dyDescent="0.4">
      <c r="A12" s="1">
        <v>21551</v>
      </c>
      <c r="B12" s="28">
        <v>315.52110125095965</v>
      </c>
      <c r="C12" s="28">
        <f t="shared" si="1"/>
        <v>315.55768595041326</v>
      </c>
      <c r="D12" s="28">
        <f t="shared" si="1"/>
        <v>315.38164769904711</v>
      </c>
      <c r="E12" s="28">
        <f t="shared" si="1"/>
        <v>316.59610125095963</v>
      </c>
      <c r="F12" s="28">
        <f t="shared" si="1"/>
        <v>316.41432529467551</v>
      </c>
      <c r="G12" s="28">
        <f t="shared" si="1"/>
        <v>316.33992638757172</v>
      </c>
      <c r="H12" s="28">
        <f t="shared" si="1"/>
        <v>315.13208485751704</v>
      </c>
      <c r="I12" s="28">
        <f t="shared" si="1"/>
        <v>314.31309578647875</v>
      </c>
      <c r="J12" s="28">
        <f t="shared" si="1"/>
        <v>314.42902474822739</v>
      </c>
      <c r="K12" s="28">
        <f t="shared" si="1"/>
        <v>314.87195276159508</v>
      </c>
      <c r="L12" s="28">
        <f t="shared" si="1"/>
        <v>314.32770424061778</v>
      </c>
      <c r="M12" s="28" t="str">
        <f t="shared" si="1"/>
        <v/>
      </c>
      <c r="N12" s="28" t="str">
        <f t="shared" si="1"/>
        <v/>
      </c>
      <c r="P12" s="35" t="s">
        <v>78</v>
      </c>
      <c r="Q12" s="35">
        <v>0.99978093213229879</v>
      </c>
      <c r="R12" s="35">
        <v>0.99978065347226552</v>
      </c>
      <c r="S12" s="35">
        <v>0.99978317941872086</v>
      </c>
      <c r="T12" s="35">
        <v>0.99979287343587209</v>
      </c>
      <c r="U12" s="35">
        <v>0.99980257286217689</v>
      </c>
      <c r="V12" s="35">
        <v>0.99981373517257655</v>
      </c>
      <c r="W12" s="35">
        <v>0.99982937919575299</v>
      </c>
      <c r="X12" s="35">
        <v>0.99985062062809804</v>
      </c>
      <c r="Y12" s="35">
        <v>0.99988814249978752</v>
      </c>
      <c r="Z12" s="35">
        <v>0.99992972728097684</v>
      </c>
      <c r="AA12" s="35">
        <v>1</v>
      </c>
      <c r="AB12" s="35"/>
      <c r="AC12" s="35"/>
    </row>
    <row r="13" spans="1:29" x14ac:dyDescent="0.4">
      <c r="A13" s="1">
        <v>21582</v>
      </c>
      <c r="B13" s="28">
        <v>315.79584157521566</v>
      </c>
      <c r="C13" s="28">
        <f t="shared" si="1"/>
        <v>315.52110125095965</v>
      </c>
      <c r="D13" s="28">
        <f t="shared" si="1"/>
        <v>315.55768595041326</v>
      </c>
      <c r="E13" s="28">
        <f t="shared" si="1"/>
        <v>315.38164769904711</v>
      </c>
      <c r="F13" s="28">
        <f t="shared" si="1"/>
        <v>316.59610125095963</v>
      </c>
      <c r="G13" s="28">
        <f t="shared" si="1"/>
        <v>316.41432529467551</v>
      </c>
      <c r="H13" s="28">
        <f t="shared" si="1"/>
        <v>316.33992638757172</v>
      </c>
      <c r="I13" s="28">
        <f t="shared" si="1"/>
        <v>315.13208485751704</v>
      </c>
      <c r="J13" s="28">
        <f t="shared" si="1"/>
        <v>314.31309578647875</v>
      </c>
      <c r="K13" s="28">
        <f t="shared" si="1"/>
        <v>314.42902474822739</v>
      </c>
      <c r="L13" s="28">
        <f t="shared" si="1"/>
        <v>314.87195276159508</v>
      </c>
      <c r="M13" s="28">
        <f t="shared" si="1"/>
        <v>314.32770424061778</v>
      </c>
      <c r="N13" s="28" t="str">
        <f t="shared" si="1"/>
        <v/>
      </c>
      <c r="P13" s="35" t="s">
        <v>79</v>
      </c>
      <c r="Q13" s="35">
        <v>0.99978483137189256</v>
      </c>
      <c r="R13" s="35">
        <v>0.99978026584899937</v>
      </c>
      <c r="S13" s="35">
        <v>0.99978015556632871</v>
      </c>
      <c r="T13" s="35">
        <v>0.99978250921732859</v>
      </c>
      <c r="U13" s="35">
        <v>0.99979226933107002</v>
      </c>
      <c r="V13" s="35">
        <v>0.99980054093647797</v>
      </c>
      <c r="W13" s="35">
        <v>0.9998120581899228</v>
      </c>
      <c r="X13" s="35">
        <v>0.999828097014826</v>
      </c>
      <c r="Y13" s="35">
        <v>0.99985038318925712</v>
      </c>
      <c r="Z13" s="35">
        <v>0.9998876297482624</v>
      </c>
      <c r="AA13" s="35">
        <v>0.99992971108821083</v>
      </c>
      <c r="AB13" s="35">
        <v>1</v>
      </c>
      <c r="AC13" s="35"/>
    </row>
    <row r="14" spans="1:29" ht="19.5" thickBot="1" x14ac:dyDescent="0.45">
      <c r="A14" s="1">
        <v>21610</v>
      </c>
      <c r="B14" s="28">
        <v>315.27770424061777</v>
      </c>
      <c r="C14" s="28">
        <f t="shared" si="1"/>
        <v>315.79584157521566</v>
      </c>
      <c r="D14" s="28">
        <f t="shared" si="1"/>
        <v>315.52110125095965</v>
      </c>
      <c r="E14" s="28">
        <f t="shared" si="1"/>
        <v>315.55768595041326</v>
      </c>
      <c r="F14" s="28">
        <f t="shared" si="1"/>
        <v>315.38164769904711</v>
      </c>
      <c r="G14" s="28">
        <f t="shared" si="1"/>
        <v>316.59610125095963</v>
      </c>
      <c r="H14" s="28">
        <f t="shared" si="1"/>
        <v>316.41432529467551</v>
      </c>
      <c r="I14" s="28">
        <f t="shared" si="1"/>
        <v>316.33992638757172</v>
      </c>
      <c r="J14" s="28">
        <f t="shared" si="1"/>
        <v>315.13208485751704</v>
      </c>
      <c r="K14" s="28">
        <f t="shared" si="1"/>
        <v>314.31309578647875</v>
      </c>
      <c r="L14" s="28">
        <f t="shared" si="1"/>
        <v>314.42902474822739</v>
      </c>
      <c r="M14" s="28">
        <f t="shared" si="1"/>
        <v>314.87195276159508</v>
      </c>
      <c r="N14" s="28">
        <f t="shared" si="1"/>
        <v>314.32770424061778</v>
      </c>
      <c r="P14" s="36" t="s">
        <v>80</v>
      </c>
      <c r="Q14" s="36">
        <v>0.99977523758181708</v>
      </c>
      <c r="R14" s="36">
        <v>0.99978405799686709</v>
      </c>
      <c r="S14" s="36">
        <v>0.99977996287955095</v>
      </c>
      <c r="T14" s="36">
        <v>0.9997792764672615</v>
      </c>
      <c r="U14" s="36">
        <v>0.99978167115562666</v>
      </c>
      <c r="V14" s="36">
        <v>0.99978916764772641</v>
      </c>
      <c r="W14" s="36">
        <v>0.9997979899088465</v>
      </c>
      <c r="X14" s="36">
        <v>0.99981012815708958</v>
      </c>
      <c r="Y14" s="36">
        <v>0.99982800078854717</v>
      </c>
      <c r="Z14" s="36">
        <v>0.99985061856239543</v>
      </c>
      <c r="AA14" s="36">
        <v>0.99988829066140383</v>
      </c>
      <c r="AB14" s="36">
        <v>0.9999294191337702</v>
      </c>
      <c r="AC14" s="36">
        <v>1</v>
      </c>
    </row>
    <row r="15" spans="1:29" ht="19.5" thickBot="1" x14ac:dyDescent="0.45">
      <c r="A15" s="1">
        <v>21641</v>
      </c>
      <c r="B15" s="28">
        <v>315.13195276159513</v>
      </c>
      <c r="C15" s="28">
        <f t="shared" si="1"/>
        <v>315.27770424061777</v>
      </c>
      <c r="D15" s="28">
        <f t="shared" si="1"/>
        <v>315.79584157521566</v>
      </c>
      <c r="E15" s="28">
        <f t="shared" si="1"/>
        <v>315.52110125095965</v>
      </c>
      <c r="F15" s="28">
        <f t="shared" si="1"/>
        <v>315.55768595041326</v>
      </c>
      <c r="G15" s="28">
        <f t="shared" si="1"/>
        <v>315.38164769904711</v>
      </c>
      <c r="H15" s="28">
        <f t="shared" si="1"/>
        <v>316.59610125095963</v>
      </c>
      <c r="I15" s="28">
        <f t="shared" si="1"/>
        <v>316.41432529467551</v>
      </c>
      <c r="J15" s="28">
        <f t="shared" si="1"/>
        <v>316.33992638757172</v>
      </c>
      <c r="K15" s="28">
        <f t="shared" si="1"/>
        <v>315.13208485751704</v>
      </c>
      <c r="L15" s="28">
        <f t="shared" si="1"/>
        <v>314.31309578647875</v>
      </c>
      <c r="M15" s="28">
        <f t="shared" si="1"/>
        <v>314.42902474822739</v>
      </c>
      <c r="N15" s="28">
        <f t="shared" si="1"/>
        <v>314.87195276159508</v>
      </c>
    </row>
    <row r="16" spans="1:29" x14ac:dyDescent="0.4">
      <c r="A16" s="1">
        <v>21671</v>
      </c>
      <c r="B16" s="28">
        <v>315.20902474822742</v>
      </c>
      <c r="C16" s="28">
        <f t="shared" si="1"/>
        <v>315.13195276159513</v>
      </c>
      <c r="D16" s="28">
        <f t="shared" si="1"/>
        <v>315.27770424061777</v>
      </c>
      <c r="E16" s="28">
        <f t="shared" si="1"/>
        <v>315.79584157521566</v>
      </c>
      <c r="F16" s="28">
        <f t="shared" si="1"/>
        <v>315.52110125095965</v>
      </c>
      <c r="G16" s="28">
        <f t="shared" si="1"/>
        <v>315.55768595041326</v>
      </c>
      <c r="H16" s="28">
        <f t="shared" si="1"/>
        <v>315.38164769904711</v>
      </c>
      <c r="I16" s="28">
        <f t="shared" si="1"/>
        <v>316.59610125095963</v>
      </c>
      <c r="J16" s="28">
        <f t="shared" si="1"/>
        <v>316.41432529467551</v>
      </c>
      <c r="K16" s="28">
        <f t="shared" si="1"/>
        <v>316.33992638757172</v>
      </c>
      <c r="L16" s="28">
        <f t="shared" si="1"/>
        <v>315.13208485751704</v>
      </c>
      <c r="M16" s="28">
        <f t="shared" si="1"/>
        <v>314.31309578647875</v>
      </c>
      <c r="N16" s="28">
        <f t="shared" si="1"/>
        <v>314.42902474822739</v>
      </c>
      <c r="P16" s="39" t="s">
        <v>81</v>
      </c>
      <c r="Q16" s="37" t="s">
        <v>1</v>
      </c>
      <c r="R16" s="37">
        <v>-1</v>
      </c>
      <c r="S16" s="37">
        <v>-2</v>
      </c>
      <c r="T16" s="37">
        <v>-3</v>
      </c>
      <c r="U16" s="37">
        <v>-4</v>
      </c>
      <c r="V16" s="37">
        <v>-5</v>
      </c>
      <c r="W16" s="37">
        <v>-6</v>
      </c>
      <c r="X16" s="37">
        <v>-7</v>
      </c>
      <c r="Y16" s="37">
        <v>-8</v>
      </c>
      <c r="Z16" s="37">
        <v>-9</v>
      </c>
      <c r="AA16" s="37">
        <v>-10</v>
      </c>
      <c r="AB16" s="37">
        <v>-11</v>
      </c>
      <c r="AC16" s="37">
        <v>-12</v>
      </c>
    </row>
    <row r="17" spans="1:29" x14ac:dyDescent="0.4">
      <c r="A17" s="1">
        <v>21702</v>
      </c>
      <c r="B17" s="28">
        <v>315.7916203766427</v>
      </c>
      <c r="C17" s="28">
        <f t="shared" si="1"/>
        <v>315.20902474822742</v>
      </c>
      <c r="D17" s="28">
        <f t="shared" si="1"/>
        <v>315.13195276159513</v>
      </c>
      <c r="E17" s="28">
        <f t="shared" si="1"/>
        <v>315.27770424061777</v>
      </c>
      <c r="F17" s="28">
        <f t="shared" si="1"/>
        <v>315.79584157521566</v>
      </c>
      <c r="G17" s="28">
        <f t="shared" si="1"/>
        <v>315.52110125095965</v>
      </c>
      <c r="H17" s="28">
        <f t="shared" si="1"/>
        <v>315.55768595041326</v>
      </c>
      <c r="I17" s="28">
        <f t="shared" si="1"/>
        <v>315.38164769904711</v>
      </c>
      <c r="J17" s="28">
        <f t="shared" si="1"/>
        <v>316.59610125095963</v>
      </c>
      <c r="K17" s="28">
        <f t="shared" si="1"/>
        <v>316.41432529467551</v>
      </c>
      <c r="L17" s="28">
        <f t="shared" si="1"/>
        <v>316.33992638757172</v>
      </c>
      <c r="M17" s="28">
        <f t="shared" si="1"/>
        <v>315.13208485751704</v>
      </c>
      <c r="N17" s="28">
        <f t="shared" si="1"/>
        <v>314.31309578647875</v>
      </c>
      <c r="P17" s="40" t="s">
        <v>1</v>
      </c>
      <c r="Q17" s="35">
        <f t="array" ref="Q17:AC29">Q2:AC14+TRANSPOSE(Q2:AC14)-_xlfn.MUNIT(13)</f>
        <v>1</v>
      </c>
      <c r="R17" s="35">
        <v>0.9999341236525513</v>
      </c>
      <c r="S17" s="35">
        <v>0.99989662774313048</v>
      </c>
      <c r="T17" s="35">
        <v>0.99986307700240062</v>
      </c>
      <c r="U17" s="35">
        <v>0.99984040554788789</v>
      </c>
      <c r="V17" s="35">
        <v>0.9998207392021583</v>
      </c>
      <c r="W17" s="35">
        <v>0.99980534390415021</v>
      </c>
      <c r="X17" s="35">
        <v>0.99979492612428689</v>
      </c>
      <c r="Y17" s="35">
        <v>0.99978522216241861</v>
      </c>
      <c r="Z17" s="35">
        <v>0.99978152271664689</v>
      </c>
      <c r="AA17" s="35">
        <v>0.99978093213229879</v>
      </c>
      <c r="AB17" s="35">
        <v>0.99978483137189256</v>
      </c>
      <c r="AC17" s="35">
        <v>0.99977523758181708</v>
      </c>
    </row>
    <row r="18" spans="1:29" x14ac:dyDescent="0.4">
      <c r="A18" s="1">
        <v>21732</v>
      </c>
      <c r="B18" s="28">
        <v>315.81208485751705</v>
      </c>
      <c r="C18" s="28">
        <f t="shared" si="1"/>
        <v>315.7916203766427</v>
      </c>
      <c r="D18" s="28">
        <f t="shared" si="1"/>
        <v>315.20902474822742</v>
      </c>
      <c r="E18" s="28">
        <f t="shared" si="1"/>
        <v>315.13195276159513</v>
      </c>
      <c r="F18" s="28">
        <f t="shared" si="1"/>
        <v>315.27770424061777</v>
      </c>
      <c r="G18" s="28">
        <f t="shared" si="1"/>
        <v>315.79584157521566</v>
      </c>
      <c r="H18" s="28">
        <f t="shared" si="1"/>
        <v>315.52110125095965</v>
      </c>
      <c r="I18" s="28">
        <f t="shared" si="1"/>
        <v>315.55768595041326</v>
      </c>
      <c r="J18" s="28">
        <f t="shared" si="1"/>
        <v>315.38164769904711</v>
      </c>
      <c r="K18" s="28">
        <f t="shared" si="1"/>
        <v>316.59610125095963</v>
      </c>
      <c r="L18" s="28">
        <f t="shared" si="1"/>
        <v>316.41432529467551</v>
      </c>
      <c r="M18" s="28">
        <f t="shared" si="1"/>
        <v>316.33992638757172</v>
      </c>
      <c r="N18" s="28">
        <f t="shared" si="1"/>
        <v>315.13208485751704</v>
      </c>
      <c r="P18" s="40">
        <v>-1</v>
      </c>
      <c r="Q18" s="35">
        <v>0.9999341236525513</v>
      </c>
      <c r="R18" s="35">
        <v>1</v>
      </c>
      <c r="S18" s="35">
        <v>0.99993393916238205</v>
      </c>
      <c r="T18" s="35">
        <v>0.99989635671848032</v>
      </c>
      <c r="U18" s="35">
        <v>0.99986275132106239</v>
      </c>
      <c r="V18" s="35">
        <v>0.99983888215334327</v>
      </c>
      <c r="W18" s="35">
        <v>0.99981937683895195</v>
      </c>
      <c r="X18" s="35">
        <v>0.99980415607578665</v>
      </c>
      <c r="Y18" s="35">
        <v>0.99979436668832211</v>
      </c>
      <c r="Z18" s="35">
        <v>0.99978397518554007</v>
      </c>
      <c r="AA18" s="35">
        <v>0.99978065347226552</v>
      </c>
      <c r="AB18" s="35">
        <v>0.99978026584899937</v>
      </c>
      <c r="AC18" s="35">
        <v>0.99978405799686709</v>
      </c>
    </row>
    <row r="19" spans="1:29" x14ac:dyDescent="0.4">
      <c r="A19" s="1">
        <v>21763</v>
      </c>
      <c r="B19" s="28">
        <v>316.20992638757173</v>
      </c>
      <c r="C19" s="28">
        <f t="shared" si="1"/>
        <v>315.81208485751705</v>
      </c>
      <c r="D19" s="28">
        <f t="shared" si="1"/>
        <v>315.7916203766427</v>
      </c>
      <c r="E19" s="28">
        <f t="shared" si="1"/>
        <v>315.20902474822742</v>
      </c>
      <c r="F19" s="28">
        <f t="shared" si="1"/>
        <v>315.13195276159513</v>
      </c>
      <c r="G19" s="28">
        <f t="shared" si="1"/>
        <v>315.27770424061777</v>
      </c>
      <c r="H19" s="28">
        <f t="shared" si="1"/>
        <v>315.79584157521566</v>
      </c>
      <c r="I19" s="28">
        <f t="shared" si="1"/>
        <v>315.52110125095965</v>
      </c>
      <c r="J19" s="28">
        <f t="shared" si="1"/>
        <v>315.55768595041326</v>
      </c>
      <c r="K19" s="28">
        <f t="shared" si="1"/>
        <v>315.38164769904711</v>
      </c>
      <c r="L19" s="28">
        <f t="shared" si="1"/>
        <v>316.59610125095963</v>
      </c>
      <c r="M19" s="28">
        <f t="shared" si="1"/>
        <v>316.41432529467551</v>
      </c>
      <c r="N19" s="28">
        <f t="shared" si="1"/>
        <v>316.33992638757172</v>
      </c>
      <c r="P19" s="40">
        <v>-2</v>
      </c>
      <c r="Q19" s="35">
        <v>0.99989662774313048</v>
      </c>
      <c r="R19" s="35">
        <v>0.99993393916238205</v>
      </c>
      <c r="S19" s="35">
        <v>1</v>
      </c>
      <c r="T19" s="35">
        <v>0.99993392639851897</v>
      </c>
      <c r="U19" s="35">
        <v>0.99989637000942388</v>
      </c>
      <c r="V19" s="35">
        <v>0.99986094913903945</v>
      </c>
      <c r="W19" s="35">
        <v>0.9998371964559466</v>
      </c>
      <c r="X19" s="35">
        <v>0.99981770616513643</v>
      </c>
      <c r="Y19" s="35">
        <v>0.99980358084532728</v>
      </c>
      <c r="Z19" s="35">
        <v>0.99979334246115747</v>
      </c>
      <c r="AA19" s="35">
        <v>0.99978317941872086</v>
      </c>
      <c r="AB19" s="35">
        <v>0.99978015556632871</v>
      </c>
      <c r="AC19" s="35">
        <v>0.99977996287955095</v>
      </c>
    </row>
    <row r="20" spans="1:29" x14ac:dyDescent="0.4">
      <c r="A20" s="1">
        <v>21794</v>
      </c>
      <c r="B20" s="28">
        <v>317.0443252946755</v>
      </c>
      <c r="C20" s="28">
        <f t="shared" si="1"/>
        <v>316.20992638757173</v>
      </c>
      <c r="D20" s="28">
        <f t="shared" si="1"/>
        <v>315.81208485751705</v>
      </c>
      <c r="E20" s="28">
        <f t="shared" si="1"/>
        <v>315.7916203766427</v>
      </c>
      <c r="F20" s="28">
        <f t="shared" si="1"/>
        <v>315.20902474822742</v>
      </c>
      <c r="G20" s="28">
        <f t="shared" si="1"/>
        <v>315.13195276159513</v>
      </c>
      <c r="H20" s="28">
        <f t="shared" si="1"/>
        <v>315.27770424061777</v>
      </c>
      <c r="I20" s="28">
        <f t="shared" si="1"/>
        <v>315.79584157521566</v>
      </c>
      <c r="J20" s="28">
        <f t="shared" si="1"/>
        <v>315.52110125095965</v>
      </c>
      <c r="K20" s="28">
        <f t="shared" si="1"/>
        <v>315.55768595041326</v>
      </c>
      <c r="L20" s="28">
        <f t="shared" si="1"/>
        <v>315.38164769904711</v>
      </c>
      <c r="M20" s="28">
        <f t="shared" si="1"/>
        <v>316.59610125095963</v>
      </c>
      <c r="N20" s="28">
        <f t="shared" si="1"/>
        <v>316.41432529467551</v>
      </c>
      <c r="P20" s="40">
        <v>-3</v>
      </c>
      <c r="Q20" s="35">
        <v>0.99986307700240062</v>
      </c>
      <c r="R20" s="35">
        <v>0.99989635671848032</v>
      </c>
      <c r="S20" s="35">
        <v>0.99993392639851897</v>
      </c>
      <c r="T20" s="35">
        <v>1</v>
      </c>
      <c r="U20" s="35">
        <v>0.99993373053541534</v>
      </c>
      <c r="V20" s="35">
        <v>0.9998948786335935</v>
      </c>
      <c r="W20" s="35">
        <v>0.99985965923236952</v>
      </c>
      <c r="X20" s="35">
        <v>0.99983620844392784</v>
      </c>
      <c r="Y20" s="35">
        <v>0.99981740644036832</v>
      </c>
      <c r="Z20" s="35">
        <v>0.99980271791849396</v>
      </c>
      <c r="AA20" s="35">
        <v>0.99979287343587209</v>
      </c>
      <c r="AB20" s="35">
        <v>0.99978250921732859</v>
      </c>
      <c r="AC20" s="35">
        <v>0.9997792764672615</v>
      </c>
    </row>
    <row r="21" spans="1:29" x14ac:dyDescent="0.4">
      <c r="A21" s="1">
        <v>21824</v>
      </c>
      <c r="B21" s="28">
        <v>316.65708485751702</v>
      </c>
      <c r="C21" s="28">
        <f t="shared" si="1"/>
        <v>317.0443252946755</v>
      </c>
      <c r="D21" s="28">
        <f t="shared" si="1"/>
        <v>316.20992638757173</v>
      </c>
      <c r="E21" s="28">
        <f t="shared" si="1"/>
        <v>315.81208485751705</v>
      </c>
      <c r="F21" s="28">
        <f t="shared" si="1"/>
        <v>315.7916203766427</v>
      </c>
      <c r="G21" s="28">
        <f t="shared" si="1"/>
        <v>315.20902474822742</v>
      </c>
      <c r="H21" s="28">
        <f t="shared" si="1"/>
        <v>315.13195276159513</v>
      </c>
      <c r="I21" s="28">
        <f t="shared" si="1"/>
        <v>315.27770424061777</v>
      </c>
      <c r="J21" s="28">
        <f t="shared" si="1"/>
        <v>315.79584157521566</v>
      </c>
      <c r="K21" s="28">
        <f t="shared" si="1"/>
        <v>315.52110125095965</v>
      </c>
      <c r="L21" s="28">
        <f t="shared" si="1"/>
        <v>315.55768595041326</v>
      </c>
      <c r="M21" s="28">
        <f t="shared" si="1"/>
        <v>315.38164769904711</v>
      </c>
      <c r="N21" s="28">
        <f t="shared" si="1"/>
        <v>316.59610125095963</v>
      </c>
      <c r="P21" s="40">
        <v>-4</v>
      </c>
      <c r="Q21" s="35">
        <v>0.99984040554788789</v>
      </c>
      <c r="R21" s="35">
        <v>0.99986275132106239</v>
      </c>
      <c r="S21" s="35">
        <v>0.99989637000942388</v>
      </c>
      <c r="T21" s="35">
        <v>0.99993373053541534</v>
      </c>
      <c r="U21" s="35">
        <v>1</v>
      </c>
      <c r="V21" s="35">
        <v>0.9999322014897174</v>
      </c>
      <c r="W21" s="35">
        <v>0.99989360079648582</v>
      </c>
      <c r="X21" s="35">
        <v>0.9998587345291613</v>
      </c>
      <c r="Y21" s="35">
        <v>0.99983611205950618</v>
      </c>
      <c r="Z21" s="35">
        <v>0.99981687800802987</v>
      </c>
      <c r="AA21" s="35">
        <v>0.99980257286217689</v>
      </c>
      <c r="AB21" s="35">
        <v>0.99979226933107002</v>
      </c>
      <c r="AC21" s="35">
        <v>0.99978167115562666</v>
      </c>
    </row>
    <row r="22" spans="1:29" x14ac:dyDescent="0.4">
      <c r="A22" s="1">
        <v>21855</v>
      </c>
      <c r="B22" s="28">
        <v>316.86164769904713</v>
      </c>
      <c r="C22" s="28">
        <f t="shared" si="1"/>
        <v>316.65708485751702</v>
      </c>
      <c r="D22" s="28">
        <f t="shared" si="1"/>
        <v>317.0443252946755</v>
      </c>
      <c r="E22" s="28">
        <f t="shared" si="1"/>
        <v>316.20992638757173</v>
      </c>
      <c r="F22" s="28">
        <f t="shared" si="1"/>
        <v>315.81208485751705</v>
      </c>
      <c r="G22" s="28">
        <f t="shared" si="1"/>
        <v>315.7916203766427</v>
      </c>
      <c r="H22" s="28">
        <f t="shared" si="1"/>
        <v>315.20902474822742</v>
      </c>
      <c r="I22" s="28">
        <f t="shared" si="1"/>
        <v>315.13195276159513</v>
      </c>
      <c r="J22" s="28">
        <f t="shared" si="1"/>
        <v>315.27770424061777</v>
      </c>
      <c r="K22" s="28">
        <f t="shared" si="1"/>
        <v>315.79584157521566</v>
      </c>
      <c r="L22" s="28">
        <f t="shared" si="1"/>
        <v>315.52110125095965</v>
      </c>
      <c r="M22" s="28">
        <f t="shared" si="1"/>
        <v>315.55768595041326</v>
      </c>
      <c r="N22" s="28">
        <f t="shared" si="1"/>
        <v>315.38164769904711</v>
      </c>
      <c r="P22" s="40">
        <v>-5</v>
      </c>
      <c r="Q22" s="35">
        <v>0.9998207392021583</v>
      </c>
      <c r="R22" s="35">
        <v>0.99983888215334327</v>
      </c>
      <c r="S22" s="35">
        <v>0.99986094913903945</v>
      </c>
      <c r="T22" s="35">
        <v>0.9998948786335935</v>
      </c>
      <c r="U22" s="35">
        <v>0.9999322014897174</v>
      </c>
      <c r="V22" s="35">
        <v>1</v>
      </c>
      <c r="W22" s="35">
        <v>0.99993200308583507</v>
      </c>
      <c r="X22" s="35">
        <v>0.99989351113996383</v>
      </c>
      <c r="Y22" s="35">
        <v>0.9998570304103952</v>
      </c>
      <c r="Z22" s="35">
        <v>0.99983226716321616</v>
      </c>
      <c r="AA22" s="35">
        <v>0.99981373517257655</v>
      </c>
      <c r="AB22" s="35">
        <v>0.99980054093647797</v>
      </c>
      <c r="AC22" s="35">
        <v>0.99978916764772641</v>
      </c>
    </row>
    <row r="23" spans="1:29" x14ac:dyDescent="0.4">
      <c r="A23" s="1">
        <v>21885</v>
      </c>
      <c r="B23" s="28">
        <v>316.46768595041323</v>
      </c>
      <c r="C23" s="28">
        <f t="shared" si="1"/>
        <v>316.86164769904713</v>
      </c>
      <c r="D23" s="28">
        <f t="shared" si="1"/>
        <v>316.65708485751702</v>
      </c>
      <c r="E23" s="28">
        <f t="shared" si="1"/>
        <v>317.0443252946755</v>
      </c>
      <c r="F23" s="28">
        <f t="shared" si="1"/>
        <v>316.20992638757173</v>
      </c>
      <c r="G23" s="28">
        <f t="shared" si="1"/>
        <v>315.81208485751705</v>
      </c>
      <c r="H23" s="28">
        <f t="shared" si="1"/>
        <v>315.7916203766427</v>
      </c>
      <c r="I23" s="28">
        <f t="shared" si="1"/>
        <v>315.20902474822742</v>
      </c>
      <c r="J23" s="28">
        <f t="shared" si="1"/>
        <v>315.13195276159513</v>
      </c>
      <c r="K23" s="28">
        <f t="shared" si="1"/>
        <v>315.27770424061777</v>
      </c>
      <c r="L23" s="28">
        <f t="shared" si="1"/>
        <v>315.79584157521566</v>
      </c>
      <c r="M23" s="28">
        <f t="shared" si="1"/>
        <v>315.52110125095965</v>
      </c>
      <c r="N23" s="28">
        <f t="shared" si="1"/>
        <v>315.55768595041326</v>
      </c>
      <c r="P23" s="40">
        <v>-6</v>
      </c>
      <c r="Q23" s="35">
        <v>0.99980534390415021</v>
      </c>
      <c r="R23" s="35">
        <v>0.99981937683895195</v>
      </c>
      <c r="S23" s="35">
        <v>0.9998371964559466</v>
      </c>
      <c r="T23" s="35">
        <v>0.99985965923236952</v>
      </c>
      <c r="U23" s="35">
        <v>0.99989360079648582</v>
      </c>
      <c r="V23" s="35">
        <v>0.99993200308583507</v>
      </c>
      <c r="W23" s="35">
        <v>1</v>
      </c>
      <c r="X23" s="35">
        <v>0.99993190906758056</v>
      </c>
      <c r="Y23" s="35">
        <v>0.99989207573450367</v>
      </c>
      <c r="Z23" s="35">
        <v>0.99985354105264013</v>
      </c>
      <c r="AA23" s="35">
        <v>0.99982937919575299</v>
      </c>
      <c r="AB23" s="35">
        <v>0.9998120581899228</v>
      </c>
      <c r="AC23" s="35">
        <v>0.9997979899088465</v>
      </c>
    </row>
    <row r="24" spans="1:29" x14ac:dyDescent="0.4">
      <c r="A24" s="1">
        <v>21916</v>
      </c>
      <c r="B24" s="28">
        <v>316.37110125095967</v>
      </c>
      <c r="C24" s="28">
        <f t="shared" si="1"/>
        <v>316.46768595041323</v>
      </c>
      <c r="D24" s="28">
        <f t="shared" si="1"/>
        <v>316.86164769904713</v>
      </c>
      <c r="E24" s="28">
        <f t="shared" si="1"/>
        <v>316.65708485751702</v>
      </c>
      <c r="F24" s="28">
        <f t="shared" si="1"/>
        <v>317.0443252946755</v>
      </c>
      <c r="G24" s="28">
        <f t="shared" si="1"/>
        <v>316.20992638757173</v>
      </c>
      <c r="H24" s="28">
        <f t="shared" si="1"/>
        <v>315.81208485751705</v>
      </c>
      <c r="I24" s="28">
        <f t="shared" si="1"/>
        <v>315.7916203766427</v>
      </c>
      <c r="J24" s="28">
        <f t="shared" si="1"/>
        <v>315.20902474822742</v>
      </c>
      <c r="K24" s="28">
        <f t="shared" si="1"/>
        <v>315.13195276159513</v>
      </c>
      <c r="L24" s="28">
        <f t="shared" si="1"/>
        <v>315.27770424061777</v>
      </c>
      <c r="M24" s="28">
        <f t="shared" si="1"/>
        <v>315.79584157521566</v>
      </c>
      <c r="N24" s="28">
        <f t="shared" si="1"/>
        <v>315.52110125095965</v>
      </c>
      <c r="P24" s="40">
        <v>-7</v>
      </c>
      <c r="Q24" s="35">
        <v>0.99979492612428689</v>
      </c>
      <c r="R24" s="35">
        <v>0.99980415607578665</v>
      </c>
      <c r="S24" s="35">
        <v>0.99981770616513643</v>
      </c>
      <c r="T24" s="35">
        <v>0.99983620844392784</v>
      </c>
      <c r="U24" s="35">
        <v>0.9998587345291613</v>
      </c>
      <c r="V24" s="35">
        <v>0.99989351113996383</v>
      </c>
      <c r="W24" s="35">
        <v>0.99993190906758056</v>
      </c>
      <c r="X24" s="35">
        <v>1</v>
      </c>
      <c r="Y24" s="35">
        <v>0.99993061961198115</v>
      </c>
      <c r="Z24" s="35">
        <v>0.9998886942596571</v>
      </c>
      <c r="AA24" s="35">
        <v>0.99985062062809804</v>
      </c>
      <c r="AB24" s="35">
        <v>0.999828097014826</v>
      </c>
      <c r="AC24" s="35">
        <v>0.99981012815708958</v>
      </c>
    </row>
    <row r="25" spans="1:29" x14ac:dyDescent="0.4">
      <c r="A25" s="1">
        <v>21947</v>
      </c>
      <c r="B25" s="28">
        <v>316.28584157521567</v>
      </c>
      <c r="C25" s="28">
        <f t="shared" si="1"/>
        <v>316.37110125095967</v>
      </c>
      <c r="D25" s="28">
        <f t="shared" si="1"/>
        <v>316.46768595041323</v>
      </c>
      <c r="E25" s="28">
        <f t="shared" si="1"/>
        <v>316.86164769904713</v>
      </c>
      <c r="F25" s="28">
        <f t="shared" ref="D25:P40" si="2">IF(E24=0,"",E24)</f>
        <v>316.65708485751702</v>
      </c>
      <c r="G25" s="28">
        <f t="shared" si="2"/>
        <v>317.0443252946755</v>
      </c>
      <c r="H25" s="28">
        <f t="shared" si="2"/>
        <v>316.20992638757173</v>
      </c>
      <c r="I25" s="28">
        <f t="shared" si="2"/>
        <v>315.81208485751705</v>
      </c>
      <c r="J25" s="28">
        <f t="shared" si="2"/>
        <v>315.7916203766427</v>
      </c>
      <c r="K25" s="28">
        <f t="shared" si="2"/>
        <v>315.20902474822742</v>
      </c>
      <c r="L25" s="28">
        <f t="shared" si="2"/>
        <v>315.13195276159513</v>
      </c>
      <c r="M25" s="28">
        <f t="shared" si="2"/>
        <v>315.27770424061777</v>
      </c>
      <c r="N25" s="28">
        <f t="shared" si="2"/>
        <v>315.79584157521566</v>
      </c>
      <c r="P25" s="40">
        <v>-8</v>
      </c>
      <c r="Q25" s="35">
        <v>0.99978522216241861</v>
      </c>
      <c r="R25" s="35">
        <v>0.99979436668832211</v>
      </c>
      <c r="S25" s="35">
        <v>0.99980358084532728</v>
      </c>
      <c r="T25" s="35">
        <v>0.99981740644036832</v>
      </c>
      <c r="U25" s="35">
        <v>0.99983611205950618</v>
      </c>
      <c r="V25" s="35">
        <v>0.9998570304103952</v>
      </c>
      <c r="W25" s="35">
        <v>0.99989207573450367</v>
      </c>
      <c r="X25" s="35">
        <v>0.99993061961198115</v>
      </c>
      <c r="Y25" s="35">
        <v>1</v>
      </c>
      <c r="Z25" s="35">
        <v>0.99992993641632799</v>
      </c>
      <c r="AA25" s="35">
        <v>0.99988814249978752</v>
      </c>
      <c r="AB25" s="35">
        <v>0.99985038318925712</v>
      </c>
      <c r="AC25" s="35">
        <v>0.99982800078854717</v>
      </c>
    </row>
    <row r="26" spans="1:29" x14ac:dyDescent="0.4">
      <c r="A26" s="1">
        <v>21976</v>
      </c>
      <c r="B26" s="28">
        <v>316.20770424061777</v>
      </c>
      <c r="C26" s="28">
        <f t="shared" ref="C26:N89" si="3">IF(B25=0,"",B25)</f>
        <v>316.28584157521567</v>
      </c>
      <c r="D26" s="28">
        <f t="shared" si="2"/>
        <v>316.37110125095967</v>
      </c>
      <c r="E26" s="28">
        <f t="shared" si="2"/>
        <v>316.46768595041323</v>
      </c>
      <c r="F26" s="28">
        <f t="shared" si="2"/>
        <v>316.86164769904713</v>
      </c>
      <c r="G26" s="28">
        <f t="shared" si="2"/>
        <v>316.65708485751702</v>
      </c>
      <c r="H26" s="28">
        <f t="shared" si="2"/>
        <v>317.0443252946755</v>
      </c>
      <c r="I26" s="28">
        <f t="shared" si="2"/>
        <v>316.20992638757173</v>
      </c>
      <c r="J26" s="28">
        <f t="shared" si="2"/>
        <v>315.81208485751705</v>
      </c>
      <c r="K26" s="28">
        <f t="shared" si="2"/>
        <v>315.7916203766427</v>
      </c>
      <c r="L26" s="28">
        <f t="shared" si="2"/>
        <v>315.20902474822742</v>
      </c>
      <c r="M26" s="28">
        <f t="shared" si="2"/>
        <v>315.13195276159513</v>
      </c>
      <c r="N26" s="28">
        <f t="shared" si="2"/>
        <v>315.27770424061777</v>
      </c>
      <c r="P26" s="40">
        <v>-9</v>
      </c>
      <c r="Q26" s="35">
        <v>0.99978152271664689</v>
      </c>
      <c r="R26" s="35">
        <v>0.99978397518554007</v>
      </c>
      <c r="S26" s="35">
        <v>0.99979334246115747</v>
      </c>
      <c r="T26" s="35">
        <v>0.99980271791849396</v>
      </c>
      <c r="U26" s="35">
        <v>0.99981687800802987</v>
      </c>
      <c r="V26" s="35">
        <v>0.99983226716321616</v>
      </c>
      <c r="W26" s="35">
        <v>0.99985354105264013</v>
      </c>
      <c r="X26" s="35">
        <v>0.9998886942596571</v>
      </c>
      <c r="Y26" s="35">
        <v>0.99992993641632799</v>
      </c>
      <c r="Z26" s="35">
        <v>1</v>
      </c>
      <c r="AA26" s="35">
        <v>0.99992972728097684</v>
      </c>
      <c r="AB26" s="35">
        <v>0.9998876297482624</v>
      </c>
      <c r="AC26" s="35">
        <v>0.99985061856239543</v>
      </c>
    </row>
    <row r="27" spans="1:29" x14ac:dyDescent="0.4">
      <c r="A27" s="1">
        <v>22007</v>
      </c>
      <c r="B27" s="28">
        <v>316.44195276159508</v>
      </c>
      <c r="C27" s="28">
        <f t="shared" si="3"/>
        <v>316.20770424061777</v>
      </c>
      <c r="D27" s="28">
        <f t="shared" si="2"/>
        <v>316.28584157521567</v>
      </c>
      <c r="E27" s="28">
        <f t="shared" si="2"/>
        <v>316.37110125095967</v>
      </c>
      <c r="F27" s="28">
        <f t="shared" si="2"/>
        <v>316.46768595041323</v>
      </c>
      <c r="G27" s="28">
        <f t="shared" si="2"/>
        <v>316.86164769904713</v>
      </c>
      <c r="H27" s="28">
        <f t="shared" si="2"/>
        <v>316.65708485751702</v>
      </c>
      <c r="I27" s="28">
        <f t="shared" si="2"/>
        <v>317.0443252946755</v>
      </c>
      <c r="J27" s="28">
        <f t="shared" si="2"/>
        <v>316.20992638757173</v>
      </c>
      <c r="K27" s="28">
        <f t="shared" si="2"/>
        <v>315.81208485751705</v>
      </c>
      <c r="L27" s="28">
        <f t="shared" si="2"/>
        <v>315.7916203766427</v>
      </c>
      <c r="M27" s="28">
        <f t="shared" si="2"/>
        <v>315.20902474822742</v>
      </c>
      <c r="N27" s="28">
        <f t="shared" si="2"/>
        <v>315.13195276159513</v>
      </c>
      <c r="P27" s="40">
        <v>-10</v>
      </c>
      <c r="Q27" s="35">
        <v>0.99978093213229879</v>
      </c>
      <c r="R27" s="35">
        <v>0.99978065347226552</v>
      </c>
      <c r="S27" s="35">
        <v>0.99978317941872086</v>
      </c>
      <c r="T27" s="35">
        <v>0.99979287343587209</v>
      </c>
      <c r="U27" s="35">
        <v>0.99980257286217689</v>
      </c>
      <c r="V27" s="35">
        <v>0.99981373517257655</v>
      </c>
      <c r="W27" s="35">
        <v>0.99982937919575299</v>
      </c>
      <c r="X27" s="35">
        <v>0.99985062062809804</v>
      </c>
      <c r="Y27" s="35">
        <v>0.99988814249978752</v>
      </c>
      <c r="Z27" s="35">
        <v>0.99992972728097684</v>
      </c>
      <c r="AA27" s="35">
        <v>1</v>
      </c>
      <c r="AB27" s="35">
        <v>0.99992971108821083</v>
      </c>
      <c r="AC27" s="35">
        <v>0.99988829066140383</v>
      </c>
    </row>
    <row r="28" spans="1:29" x14ac:dyDescent="0.4">
      <c r="A28" s="1">
        <v>22037</v>
      </c>
      <c r="B28" s="28">
        <v>316.95902474822742</v>
      </c>
      <c r="C28" s="28">
        <f t="shared" si="3"/>
        <v>316.44195276159508</v>
      </c>
      <c r="D28" s="28">
        <f t="shared" si="2"/>
        <v>316.20770424061777</v>
      </c>
      <c r="E28" s="28">
        <f t="shared" si="2"/>
        <v>316.28584157521567</v>
      </c>
      <c r="F28" s="28">
        <f t="shared" si="2"/>
        <v>316.37110125095967</v>
      </c>
      <c r="G28" s="28">
        <f t="shared" si="2"/>
        <v>316.46768595041323</v>
      </c>
      <c r="H28" s="28">
        <f t="shared" si="2"/>
        <v>316.86164769904713</v>
      </c>
      <c r="I28" s="28">
        <f t="shared" si="2"/>
        <v>316.65708485751702</v>
      </c>
      <c r="J28" s="28">
        <f t="shared" si="2"/>
        <v>317.0443252946755</v>
      </c>
      <c r="K28" s="28">
        <f t="shared" si="2"/>
        <v>316.20992638757173</v>
      </c>
      <c r="L28" s="28">
        <f t="shared" si="2"/>
        <v>315.81208485751705</v>
      </c>
      <c r="M28" s="28">
        <f t="shared" si="2"/>
        <v>315.7916203766427</v>
      </c>
      <c r="N28" s="28">
        <f t="shared" si="2"/>
        <v>315.20902474822742</v>
      </c>
      <c r="P28" s="40">
        <v>-11</v>
      </c>
      <c r="Q28" s="35">
        <v>0.99978483137189256</v>
      </c>
      <c r="R28" s="35">
        <v>0.99978026584899937</v>
      </c>
      <c r="S28" s="35">
        <v>0.99978015556632871</v>
      </c>
      <c r="T28" s="35">
        <v>0.99978250921732859</v>
      </c>
      <c r="U28" s="35">
        <v>0.99979226933107002</v>
      </c>
      <c r="V28" s="35">
        <v>0.99980054093647797</v>
      </c>
      <c r="W28" s="35">
        <v>0.9998120581899228</v>
      </c>
      <c r="X28" s="35">
        <v>0.999828097014826</v>
      </c>
      <c r="Y28" s="35">
        <v>0.99985038318925712</v>
      </c>
      <c r="Z28" s="35">
        <v>0.9998876297482624</v>
      </c>
      <c r="AA28" s="35">
        <v>0.99992971108821083</v>
      </c>
      <c r="AB28" s="35">
        <v>1</v>
      </c>
      <c r="AC28" s="35">
        <v>0.9999294191337702</v>
      </c>
    </row>
    <row r="29" spans="1:29" ht="19.5" thickBot="1" x14ac:dyDescent="0.45">
      <c r="A29" s="1">
        <v>22068</v>
      </c>
      <c r="B29" s="28">
        <v>317.2216203766427</v>
      </c>
      <c r="C29" s="28">
        <f t="shared" si="3"/>
        <v>316.95902474822742</v>
      </c>
      <c r="D29" s="28">
        <f t="shared" si="2"/>
        <v>316.44195276159508</v>
      </c>
      <c r="E29" s="28">
        <f t="shared" si="2"/>
        <v>316.20770424061777</v>
      </c>
      <c r="F29" s="28">
        <f t="shared" si="2"/>
        <v>316.28584157521567</v>
      </c>
      <c r="G29" s="28">
        <f t="shared" si="2"/>
        <v>316.37110125095967</v>
      </c>
      <c r="H29" s="28">
        <f t="shared" si="2"/>
        <v>316.46768595041323</v>
      </c>
      <c r="I29" s="28">
        <f t="shared" si="2"/>
        <v>316.86164769904713</v>
      </c>
      <c r="J29" s="28">
        <f t="shared" si="2"/>
        <v>316.65708485751702</v>
      </c>
      <c r="K29" s="28">
        <f t="shared" si="2"/>
        <v>317.0443252946755</v>
      </c>
      <c r="L29" s="28">
        <f t="shared" si="2"/>
        <v>316.20992638757173</v>
      </c>
      <c r="M29" s="28">
        <f t="shared" si="2"/>
        <v>315.81208485751705</v>
      </c>
      <c r="N29" s="28">
        <f t="shared" si="2"/>
        <v>315.7916203766427</v>
      </c>
      <c r="P29" s="41">
        <v>-12</v>
      </c>
      <c r="Q29" s="36">
        <v>0.99977523758181708</v>
      </c>
      <c r="R29" s="36">
        <v>0.99978405799686709</v>
      </c>
      <c r="S29" s="36">
        <v>0.99977996287955095</v>
      </c>
      <c r="T29" s="36">
        <v>0.9997792764672615</v>
      </c>
      <c r="U29" s="36">
        <v>0.99978167115562666</v>
      </c>
      <c r="V29" s="36">
        <v>0.99978916764772641</v>
      </c>
      <c r="W29" s="36">
        <v>0.9997979899088465</v>
      </c>
      <c r="X29" s="36">
        <v>0.99981012815708958</v>
      </c>
      <c r="Y29" s="36">
        <v>0.99982800078854717</v>
      </c>
      <c r="Z29" s="36">
        <v>0.99985061856239543</v>
      </c>
      <c r="AA29" s="36">
        <v>0.99988829066140383</v>
      </c>
      <c r="AB29" s="36">
        <v>0.9999294191337702</v>
      </c>
      <c r="AC29" s="36">
        <v>1</v>
      </c>
    </row>
    <row r="30" spans="1:29" ht="19.5" thickBot="1" x14ac:dyDescent="0.45">
      <c r="A30" s="1">
        <v>22098</v>
      </c>
      <c r="B30" s="28">
        <v>317.45208485751704</v>
      </c>
      <c r="C30" s="28">
        <f t="shared" si="3"/>
        <v>317.2216203766427</v>
      </c>
      <c r="D30" s="28">
        <f t="shared" si="2"/>
        <v>316.95902474822742</v>
      </c>
      <c r="E30" s="28">
        <f t="shared" si="2"/>
        <v>316.44195276159508</v>
      </c>
      <c r="F30" s="28">
        <f t="shared" si="2"/>
        <v>316.20770424061777</v>
      </c>
      <c r="G30" s="28">
        <f t="shared" si="2"/>
        <v>316.28584157521567</v>
      </c>
      <c r="H30" s="28">
        <f t="shared" si="2"/>
        <v>316.37110125095967</v>
      </c>
      <c r="I30" s="28">
        <f t="shared" si="2"/>
        <v>316.46768595041323</v>
      </c>
      <c r="J30" s="28">
        <f t="shared" si="2"/>
        <v>316.86164769904713</v>
      </c>
      <c r="K30" s="28">
        <f t="shared" si="2"/>
        <v>316.65708485751702</v>
      </c>
      <c r="L30" s="28">
        <f t="shared" si="2"/>
        <v>317.0443252946755</v>
      </c>
      <c r="M30" s="28">
        <f t="shared" si="2"/>
        <v>316.20992638757173</v>
      </c>
      <c r="N30" s="28">
        <f t="shared" si="2"/>
        <v>315.81208485751705</v>
      </c>
    </row>
    <row r="31" spans="1:29" ht="19.5" x14ac:dyDescent="0.4">
      <c r="A31" s="1">
        <v>22129</v>
      </c>
      <c r="B31" s="28">
        <v>317.30992638757169</v>
      </c>
      <c r="C31" s="28">
        <f t="shared" si="3"/>
        <v>317.45208485751704</v>
      </c>
      <c r="D31" s="28">
        <f t="shared" si="2"/>
        <v>317.2216203766427</v>
      </c>
      <c r="E31" s="28">
        <f t="shared" si="2"/>
        <v>316.95902474822742</v>
      </c>
      <c r="F31" s="28">
        <f t="shared" si="2"/>
        <v>316.44195276159508</v>
      </c>
      <c r="G31" s="28">
        <f t="shared" si="2"/>
        <v>316.20770424061777</v>
      </c>
      <c r="H31" s="28">
        <f t="shared" si="2"/>
        <v>316.28584157521567</v>
      </c>
      <c r="I31" s="28">
        <f t="shared" si="2"/>
        <v>316.37110125095967</v>
      </c>
      <c r="J31" s="28">
        <f t="shared" si="2"/>
        <v>316.46768595041323</v>
      </c>
      <c r="K31" s="28">
        <f t="shared" si="2"/>
        <v>316.86164769904713</v>
      </c>
      <c r="L31" s="28">
        <f t="shared" si="2"/>
        <v>316.65708485751702</v>
      </c>
      <c r="M31" s="28">
        <f t="shared" si="2"/>
        <v>317.0443252946755</v>
      </c>
      <c r="N31" s="28">
        <f t="shared" si="2"/>
        <v>316.20992638757173</v>
      </c>
      <c r="P31" s="39" t="s">
        <v>82</v>
      </c>
      <c r="Q31" s="37" t="s">
        <v>1</v>
      </c>
      <c r="R31" s="37">
        <v>-1</v>
      </c>
      <c r="S31" s="37">
        <v>-2</v>
      </c>
      <c r="T31" s="37">
        <v>-3</v>
      </c>
      <c r="U31" s="37">
        <v>-4</v>
      </c>
      <c r="V31" s="37">
        <v>-5</v>
      </c>
      <c r="W31" s="37">
        <v>-6</v>
      </c>
      <c r="X31" s="37">
        <v>-7</v>
      </c>
      <c r="Y31" s="37">
        <v>-8</v>
      </c>
      <c r="Z31" s="37">
        <v>-9</v>
      </c>
      <c r="AA31" s="37">
        <v>-10</v>
      </c>
      <c r="AB31" s="37">
        <v>-11</v>
      </c>
      <c r="AC31" s="37">
        <v>-12</v>
      </c>
    </row>
    <row r="32" spans="1:29" x14ac:dyDescent="0.4">
      <c r="A32" s="1">
        <v>22160</v>
      </c>
      <c r="B32" s="28">
        <v>317.37432529467554</v>
      </c>
      <c r="C32" s="28">
        <f t="shared" si="3"/>
        <v>317.30992638757169</v>
      </c>
      <c r="D32" s="28">
        <f t="shared" si="2"/>
        <v>317.45208485751704</v>
      </c>
      <c r="E32" s="28">
        <f t="shared" si="2"/>
        <v>317.2216203766427</v>
      </c>
      <c r="F32" s="28">
        <f t="shared" si="2"/>
        <v>316.95902474822742</v>
      </c>
      <c r="G32" s="28">
        <f t="shared" si="2"/>
        <v>316.44195276159508</v>
      </c>
      <c r="H32" s="28">
        <f t="shared" si="2"/>
        <v>316.20770424061777</v>
      </c>
      <c r="I32" s="28">
        <f t="shared" si="2"/>
        <v>316.28584157521567</v>
      </c>
      <c r="J32" s="28">
        <f t="shared" si="2"/>
        <v>316.37110125095967</v>
      </c>
      <c r="K32" s="28">
        <f t="shared" si="2"/>
        <v>316.46768595041323</v>
      </c>
      <c r="L32" s="28">
        <f t="shared" si="2"/>
        <v>316.86164769904713</v>
      </c>
      <c r="M32" s="28">
        <f t="shared" si="2"/>
        <v>316.65708485751702</v>
      </c>
      <c r="N32" s="28">
        <f t="shared" si="2"/>
        <v>317.0443252946755</v>
      </c>
      <c r="P32" s="40" t="s">
        <v>1</v>
      </c>
      <c r="Q32" s="35">
        <f t="array" ref="Q32:AC44">MINVERSE(_R)</f>
        <v>8552.4845055920487</v>
      </c>
      <c r="R32" s="35">
        <v>-6068.8624501521372</v>
      </c>
      <c r="S32" s="35">
        <v>-1060.0163809370065</v>
      </c>
      <c r="T32" s="35">
        <v>171.5012441021475</v>
      </c>
      <c r="U32" s="35">
        <v>-261.42968654375829</v>
      </c>
      <c r="V32" s="35">
        <v>-100.0986307529561</v>
      </c>
      <c r="W32" s="35">
        <v>-33.390324495336415</v>
      </c>
      <c r="X32" s="35">
        <v>-287.85091371740452</v>
      </c>
      <c r="Y32" s="35">
        <v>164.19553422388816</v>
      </c>
      <c r="Z32" s="35">
        <v>-146.66462358939145</v>
      </c>
      <c r="AA32" s="35">
        <v>-171.32792328311143</v>
      </c>
      <c r="AB32" s="35">
        <v>-995.58749175494995</v>
      </c>
      <c r="AC32" s="35">
        <v>237.24085003749769</v>
      </c>
    </row>
    <row r="33" spans="1:29" x14ac:dyDescent="0.4">
      <c r="A33" s="1">
        <v>22190</v>
      </c>
      <c r="B33" s="28">
        <v>317.15708485751702</v>
      </c>
      <c r="C33" s="28">
        <f t="shared" si="3"/>
        <v>317.37432529467554</v>
      </c>
      <c r="D33" s="28">
        <f t="shared" si="2"/>
        <v>317.30992638757169</v>
      </c>
      <c r="E33" s="28">
        <f t="shared" si="2"/>
        <v>317.45208485751704</v>
      </c>
      <c r="F33" s="28">
        <f t="shared" si="2"/>
        <v>317.2216203766427</v>
      </c>
      <c r="G33" s="28">
        <f t="shared" si="2"/>
        <v>316.95902474822742</v>
      </c>
      <c r="H33" s="28">
        <f t="shared" si="2"/>
        <v>316.44195276159508</v>
      </c>
      <c r="I33" s="28">
        <f t="shared" si="2"/>
        <v>316.20770424061777</v>
      </c>
      <c r="J33" s="28">
        <f t="shared" si="2"/>
        <v>316.28584157521567</v>
      </c>
      <c r="K33" s="28">
        <f t="shared" si="2"/>
        <v>316.37110125095967</v>
      </c>
      <c r="L33" s="28">
        <f t="shared" si="2"/>
        <v>316.46768595041323</v>
      </c>
      <c r="M33" s="28">
        <f t="shared" si="2"/>
        <v>316.86164769904713</v>
      </c>
      <c r="N33" s="28">
        <f t="shared" si="2"/>
        <v>316.65708485751702</v>
      </c>
      <c r="P33" s="40">
        <v>-1</v>
      </c>
      <c r="Q33" s="35">
        <v>-6068.862450152139</v>
      </c>
      <c r="R33" s="35">
        <v>12824.076066761947</v>
      </c>
      <c r="S33" s="35">
        <v>-5273.6247716734542</v>
      </c>
      <c r="T33" s="35">
        <v>-1168.4706559705712</v>
      </c>
      <c r="U33" s="35">
        <v>386.63424029653584</v>
      </c>
      <c r="V33" s="35">
        <v>-217.91351558917205</v>
      </c>
      <c r="W33" s="35">
        <v>-75.075862961535549</v>
      </c>
      <c r="X33" s="35">
        <v>150.66630363173832</v>
      </c>
      <c r="Y33" s="35">
        <v>-391.94498798175152</v>
      </c>
      <c r="Z33" s="35">
        <v>296.30111269154742</v>
      </c>
      <c r="AA33" s="35">
        <v>-38.953588585936409</v>
      </c>
      <c r="AB33" s="35">
        <v>552.25148220572657</v>
      </c>
      <c r="AC33" s="35">
        <v>-975.03308441854756</v>
      </c>
    </row>
    <row r="34" spans="1:29" x14ac:dyDescent="0.4">
      <c r="A34" s="1">
        <v>22221</v>
      </c>
      <c r="B34" s="28">
        <v>317.05164769904712</v>
      </c>
      <c r="C34" s="28">
        <f t="shared" si="3"/>
        <v>317.15708485751702</v>
      </c>
      <c r="D34" s="28">
        <f t="shared" si="2"/>
        <v>317.37432529467554</v>
      </c>
      <c r="E34" s="28">
        <f t="shared" si="2"/>
        <v>317.30992638757169</v>
      </c>
      <c r="F34" s="28">
        <f t="shared" si="2"/>
        <v>317.45208485751704</v>
      </c>
      <c r="G34" s="28">
        <f t="shared" si="2"/>
        <v>317.2216203766427</v>
      </c>
      <c r="H34" s="28">
        <f t="shared" si="2"/>
        <v>316.95902474822742</v>
      </c>
      <c r="I34" s="28">
        <f t="shared" si="2"/>
        <v>316.44195276159508</v>
      </c>
      <c r="J34" s="28">
        <f t="shared" si="2"/>
        <v>316.20770424061777</v>
      </c>
      <c r="K34" s="28">
        <f t="shared" si="2"/>
        <v>316.28584157521567</v>
      </c>
      <c r="L34" s="28">
        <f t="shared" si="2"/>
        <v>316.37110125095967</v>
      </c>
      <c r="M34" s="28">
        <f t="shared" si="2"/>
        <v>316.46768595041323</v>
      </c>
      <c r="N34" s="28">
        <f t="shared" si="2"/>
        <v>316.86164769904713</v>
      </c>
      <c r="P34" s="40">
        <v>-2</v>
      </c>
      <c r="Q34" s="35">
        <v>-1060.0163809370047</v>
      </c>
      <c r="R34" s="35">
        <v>-5273.6247716734542</v>
      </c>
      <c r="S34" s="35">
        <v>12835.822523393925</v>
      </c>
      <c r="T34" s="35">
        <v>-5326.4150491294013</v>
      </c>
      <c r="U34" s="35">
        <v>-1203.1867935928121</v>
      </c>
      <c r="V34" s="35">
        <v>449.85112956931135</v>
      </c>
      <c r="W34" s="35">
        <v>-231.14751611390648</v>
      </c>
      <c r="X34" s="35">
        <v>-2.1061735055558279</v>
      </c>
      <c r="Y34" s="35">
        <v>94.633109640165955</v>
      </c>
      <c r="Z34" s="35">
        <v>-435.34083829320377</v>
      </c>
      <c r="AA34" s="35">
        <v>402.63015065343569</v>
      </c>
      <c r="AB34" s="35">
        <v>-32.304147170396341</v>
      </c>
      <c r="AC34" s="35">
        <v>-218.74459827412508</v>
      </c>
    </row>
    <row r="35" spans="1:29" x14ac:dyDescent="0.4">
      <c r="A35" s="1">
        <v>22251</v>
      </c>
      <c r="B35" s="28">
        <v>317.07768595041324</v>
      </c>
      <c r="C35" s="28">
        <f t="shared" si="3"/>
        <v>317.05164769904712</v>
      </c>
      <c r="D35" s="28">
        <f t="shared" si="2"/>
        <v>317.15708485751702</v>
      </c>
      <c r="E35" s="28">
        <f t="shared" si="2"/>
        <v>317.37432529467554</v>
      </c>
      <c r="F35" s="28">
        <f t="shared" si="2"/>
        <v>317.30992638757169</v>
      </c>
      <c r="G35" s="28">
        <f t="shared" si="2"/>
        <v>317.45208485751704</v>
      </c>
      <c r="H35" s="28">
        <f t="shared" si="2"/>
        <v>317.2216203766427</v>
      </c>
      <c r="I35" s="28">
        <f t="shared" si="2"/>
        <v>316.95902474822742</v>
      </c>
      <c r="J35" s="28">
        <f t="shared" si="2"/>
        <v>316.44195276159508</v>
      </c>
      <c r="K35" s="28">
        <f t="shared" si="2"/>
        <v>316.20770424061777</v>
      </c>
      <c r="L35" s="28">
        <f t="shared" si="2"/>
        <v>316.28584157521567</v>
      </c>
      <c r="M35" s="28">
        <f t="shared" si="2"/>
        <v>316.37110125095967</v>
      </c>
      <c r="N35" s="28">
        <f t="shared" si="2"/>
        <v>316.46768595041323</v>
      </c>
      <c r="P35" s="40">
        <v>-3</v>
      </c>
      <c r="Q35" s="35">
        <v>171.50124410215054</v>
      </c>
      <c r="R35" s="35">
        <v>-1168.470655970571</v>
      </c>
      <c r="S35" s="35">
        <v>-5326.4150491294031</v>
      </c>
      <c r="T35" s="35">
        <v>12805.039912057709</v>
      </c>
      <c r="U35" s="35">
        <v>-5302.1927009777455</v>
      </c>
      <c r="V35" s="35">
        <v>-1200.848411393134</v>
      </c>
      <c r="W35" s="35">
        <v>446.1048393403932</v>
      </c>
      <c r="X35" s="35">
        <v>-257.85303713105901</v>
      </c>
      <c r="Y35" s="35">
        <v>3.2080931685330545</v>
      </c>
      <c r="Z35" s="35">
        <v>85.770782937930278</v>
      </c>
      <c r="AA35" s="35">
        <v>-453.99000238530124</v>
      </c>
      <c r="AB35" s="35">
        <v>363.48830953453211</v>
      </c>
      <c r="AC35" s="35">
        <v>-165.28407030045821</v>
      </c>
    </row>
    <row r="36" spans="1:29" x14ac:dyDescent="0.4">
      <c r="A36" s="1">
        <v>22282</v>
      </c>
      <c r="B36" s="28">
        <v>316.84110125095964</v>
      </c>
      <c r="C36" s="28">
        <f t="shared" si="3"/>
        <v>317.07768595041324</v>
      </c>
      <c r="D36" s="28">
        <f t="shared" si="2"/>
        <v>317.05164769904712</v>
      </c>
      <c r="E36" s="28">
        <f t="shared" si="2"/>
        <v>317.15708485751702</v>
      </c>
      <c r="F36" s="28">
        <f t="shared" si="2"/>
        <v>317.37432529467554</v>
      </c>
      <c r="G36" s="28">
        <f t="shared" si="2"/>
        <v>317.30992638757169</v>
      </c>
      <c r="H36" s="28">
        <f t="shared" si="2"/>
        <v>317.45208485751704</v>
      </c>
      <c r="I36" s="28">
        <f t="shared" si="2"/>
        <v>317.2216203766427</v>
      </c>
      <c r="J36" s="28">
        <f t="shared" si="2"/>
        <v>316.95902474822742</v>
      </c>
      <c r="K36" s="28">
        <f t="shared" si="2"/>
        <v>316.44195276159508</v>
      </c>
      <c r="L36" s="28">
        <f t="shared" si="2"/>
        <v>316.20770424061777</v>
      </c>
      <c r="M36" s="28">
        <f t="shared" si="2"/>
        <v>316.28584157521567</v>
      </c>
      <c r="N36" s="28">
        <f t="shared" si="2"/>
        <v>316.37110125095967</v>
      </c>
      <c r="P36" s="40">
        <v>-4</v>
      </c>
      <c r="Q36" s="35">
        <v>-261.42968654375801</v>
      </c>
      <c r="R36" s="35">
        <v>386.63424029653623</v>
      </c>
      <c r="S36" s="35">
        <v>-1203.186793592813</v>
      </c>
      <c r="T36" s="35">
        <v>-5302.1927009777437</v>
      </c>
      <c r="U36" s="35">
        <v>12679.315045728883</v>
      </c>
      <c r="V36" s="35">
        <v>-5159.2899398351847</v>
      </c>
      <c r="W36" s="35">
        <v>-1171.6692373782919</v>
      </c>
      <c r="X36" s="35">
        <v>528.74689927679958</v>
      </c>
      <c r="Y36" s="35">
        <v>-285.09865311540744</v>
      </c>
      <c r="Z36" s="35">
        <v>-100.34799071011554</v>
      </c>
      <c r="AA36" s="35">
        <v>32.107270212724366</v>
      </c>
      <c r="AB36" s="35">
        <v>-345.25064272747244</v>
      </c>
      <c r="AC36" s="35">
        <v>201.71126773590723</v>
      </c>
    </row>
    <row r="37" spans="1:29" x14ac:dyDescent="0.4">
      <c r="A37" s="1">
        <v>22313</v>
      </c>
      <c r="B37" s="28">
        <v>317.00584157521564</v>
      </c>
      <c r="C37" s="28">
        <f t="shared" si="3"/>
        <v>316.84110125095964</v>
      </c>
      <c r="D37" s="28">
        <f t="shared" si="2"/>
        <v>317.07768595041324</v>
      </c>
      <c r="E37" s="28">
        <f t="shared" si="2"/>
        <v>317.05164769904712</v>
      </c>
      <c r="F37" s="28">
        <f t="shared" si="2"/>
        <v>317.15708485751702</v>
      </c>
      <c r="G37" s="28">
        <f t="shared" si="2"/>
        <v>317.37432529467554</v>
      </c>
      <c r="H37" s="28">
        <f t="shared" si="2"/>
        <v>317.30992638757169</v>
      </c>
      <c r="I37" s="28">
        <f t="shared" si="2"/>
        <v>317.45208485751704</v>
      </c>
      <c r="J37" s="28">
        <f t="shared" si="2"/>
        <v>317.2216203766427</v>
      </c>
      <c r="K37" s="28">
        <f t="shared" si="2"/>
        <v>316.95902474822742</v>
      </c>
      <c r="L37" s="28">
        <f t="shared" si="2"/>
        <v>316.44195276159508</v>
      </c>
      <c r="M37" s="28">
        <f t="shared" si="2"/>
        <v>316.20770424061777</v>
      </c>
      <c r="N37" s="28">
        <f t="shared" si="2"/>
        <v>316.28584157521567</v>
      </c>
      <c r="P37" s="40">
        <v>-5</v>
      </c>
      <c r="Q37" s="35">
        <v>-100.09863075295769</v>
      </c>
      <c r="R37" s="35">
        <v>-217.9135155891725</v>
      </c>
      <c r="S37" s="35">
        <v>449.85112956931135</v>
      </c>
      <c r="T37" s="35">
        <v>-1200.8484113931333</v>
      </c>
      <c r="U37" s="35">
        <v>-5159.2899398351856</v>
      </c>
      <c r="V37" s="35">
        <v>12502.323242588329</v>
      </c>
      <c r="W37" s="35">
        <v>-5165.4116068568028</v>
      </c>
      <c r="X37" s="35">
        <v>-1267.8137363973387</v>
      </c>
      <c r="Y37" s="35">
        <v>558.13686332431678</v>
      </c>
      <c r="Z37" s="35">
        <v>-162.14801106494431</v>
      </c>
      <c r="AA37" s="35">
        <v>-69.272944919177121</v>
      </c>
      <c r="AB37" s="35">
        <v>-25.332688096809573</v>
      </c>
      <c r="AC37" s="35">
        <v>-142.12984145720063</v>
      </c>
    </row>
    <row r="38" spans="1:29" x14ac:dyDescent="0.4">
      <c r="A38" s="1">
        <v>22341</v>
      </c>
      <c r="B38" s="28">
        <v>317.16770424061781</v>
      </c>
      <c r="C38" s="28">
        <f t="shared" si="3"/>
        <v>317.00584157521564</v>
      </c>
      <c r="D38" s="28">
        <f t="shared" si="2"/>
        <v>316.84110125095964</v>
      </c>
      <c r="E38" s="28">
        <f t="shared" si="2"/>
        <v>317.07768595041324</v>
      </c>
      <c r="F38" s="28">
        <f t="shared" si="2"/>
        <v>317.05164769904712</v>
      </c>
      <c r="G38" s="28">
        <f t="shared" si="2"/>
        <v>317.15708485751702</v>
      </c>
      <c r="H38" s="28">
        <f t="shared" si="2"/>
        <v>317.37432529467554</v>
      </c>
      <c r="I38" s="28">
        <f t="shared" si="2"/>
        <v>317.30992638757169</v>
      </c>
      <c r="J38" s="28">
        <f t="shared" si="2"/>
        <v>317.45208485751704</v>
      </c>
      <c r="K38" s="28">
        <f t="shared" si="2"/>
        <v>317.2216203766427</v>
      </c>
      <c r="L38" s="28">
        <f t="shared" si="2"/>
        <v>316.95902474822742</v>
      </c>
      <c r="M38" s="28">
        <f t="shared" si="2"/>
        <v>316.44195276159508</v>
      </c>
      <c r="N38" s="28">
        <f t="shared" si="2"/>
        <v>316.20770424061777</v>
      </c>
      <c r="P38" s="40">
        <v>-6</v>
      </c>
      <c r="Q38" s="35">
        <v>-33.39032449533849</v>
      </c>
      <c r="R38" s="35">
        <v>-75.075862961532692</v>
      </c>
      <c r="S38" s="35">
        <v>-231.14751611390594</v>
      </c>
      <c r="T38" s="35">
        <v>446.10483934038962</v>
      </c>
      <c r="U38" s="35">
        <v>-1171.669237378291</v>
      </c>
      <c r="V38" s="35">
        <v>-5165.4116068567982</v>
      </c>
      <c r="W38" s="35">
        <v>12456.583330600954</v>
      </c>
      <c r="X38" s="35">
        <v>-5175.4835451859872</v>
      </c>
      <c r="Y38" s="35">
        <v>-1260.1666127974038</v>
      </c>
      <c r="Z38" s="35">
        <v>573.10411972468046</v>
      </c>
      <c r="AA38" s="35">
        <v>-155.34440504831184</v>
      </c>
      <c r="AB38" s="35">
        <v>-97.032030940619251</v>
      </c>
      <c r="AC38" s="35">
        <v>-111.01376671453576</v>
      </c>
    </row>
    <row r="39" spans="1:29" x14ac:dyDescent="0.4">
      <c r="A39" s="1">
        <v>22372</v>
      </c>
      <c r="B39" s="28">
        <v>316.89195276159512</v>
      </c>
      <c r="C39" s="28">
        <f t="shared" si="3"/>
        <v>317.16770424061781</v>
      </c>
      <c r="D39" s="28">
        <f t="shared" si="2"/>
        <v>317.00584157521564</v>
      </c>
      <c r="E39" s="28">
        <f t="shared" si="2"/>
        <v>316.84110125095964</v>
      </c>
      <c r="F39" s="28">
        <f t="shared" si="2"/>
        <v>317.07768595041324</v>
      </c>
      <c r="G39" s="28">
        <f t="shared" si="2"/>
        <v>317.05164769904712</v>
      </c>
      <c r="H39" s="28">
        <f t="shared" si="2"/>
        <v>317.15708485751702</v>
      </c>
      <c r="I39" s="28">
        <f t="shared" si="2"/>
        <v>317.37432529467554</v>
      </c>
      <c r="J39" s="28">
        <f t="shared" si="2"/>
        <v>317.30992638757169</v>
      </c>
      <c r="K39" s="28">
        <f t="shared" si="2"/>
        <v>317.45208485751704</v>
      </c>
      <c r="L39" s="28">
        <f t="shared" si="2"/>
        <v>317.2216203766427</v>
      </c>
      <c r="M39" s="28">
        <f t="shared" si="2"/>
        <v>316.95902474822742</v>
      </c>
      <c r="N39" s="28">
        <f t="shared" si="2"/>
        <v>316.44195276159508</v>
      </c>
      <c r="P39" s="40">
        <v>-7</v>
      </c>
      <c r="Q39" s="35">
        <v>-287.85091371740327</v>
      </c>
      <c r="R39" s="35">
        <v>150.66630363173761</v>
      </c>
      <c r="S39" s="35">
        <v>-2.1061735055566748</v>
      </c>
      <c r="T39" s="35">
        <v>-257.85303713105748</v>
      </c>
      <c r="U39" s="35">
        <v>528.7468992767964</v>
      </c>
      <c r="V39" s="35">
        <v>-1267.813736397344</v>
      </c>
      <c r="W39" s="35">
        <v>-5175.4835451859726</v>
      </c>
      <c r="X39" s="35">
        <v>12361.650382119011</v>
      </c>
      <c r="Y39" s="35">
        <v>-5151.4628366969564</v>
      </c>
      <c r="Z39" s="35">
        <v>-1166.091514505777</v>
      </c>
      <c r="AA39" s="35">
        <v>647.17906202192626</v>
      </c>
      <c r="AB39" s="35">
        <v>-222.90222398342766</v>
      </c>
      <c r="AC39" s="35">
        <v>-156.62210915534723</v>
      </c>
    </row>
    <row r="40" spans="1:29" x14ac:dyDescent="0.4">
      <c r="A40" s="1">
        <v>22402</v>
      </c>
      <c r="B40" s="28">
        <v>317.49902474822738</v>
      </c>
      <c r="C40" s="28">
        <f t="shared" si="3"/>
        <v>316.89195276159512</v>
      </c>
      <c r="D40" s="28">
        <f t="shared" si="2"/>
        <v>317.16770424061781</v>
      </c>
      <c r="E40" s="28">
        <f t="shared" si="2"/>
        <v>317.00584157521564</v>
      </c>
      <c r="F40" s="28">
        <f t="shared" si="2"/>
        <v>316.84110125095964</v>
      </c>
      <c r="G40" s="28">
        <f t="shared" si="2"/>
        <v>317.07768595041324</v>
      </c>
      <c r="H40" s="28">
        <f t="shared" si="2"/>
        <v>317.05164769904712</v>
      </c>
      <c r="I40" s="28">
        <f t="shared" si="2"/>
        <v>317.15708485751702</v>
      </c>
      <c r="J40" s="28">
        <f t="shared" si="2"/>
        <v>317.37432529467554</v>
      </c>
      <c r="K40" s="28">
        <f t="shared" si="2"/>
        <v>317.30992638757169</v>
      </c>
      <c r="L40" s="28">
        <f t="shared" si="2"/>
        <v>317.45208485751704</v>
      </c>
      <c r="M40" s="28">
        <f t="shared" si="2"/>
        <v>317.2216203766427</v>
      </c>
      <c r="N40" s="28">
        <f t="shared" si="2"/>
        <v>316.95902474822742</v>
      </c>
      <c r="P40" s="40">
        <v>-8</v>
      </c>
      <c r="Q40" s="35">
        <v>164.1955342238879</v>
      </c>
      <c r="R40" s="35">
        <v>-391.94498798175289</v>
      </c>
      <c r="S40" s="35">
        <v>94.633109640166793</v>
      </c>
      <c r="T40" s="35">
        <v>3.208093168532054</v>
      </c>
      <c r="U40" s="35">
        <v>-285.0986531154025</v>
      </c>
      <c r="V40" s="35">
        <v>558.13686332431575</v>
      </c>
      <c r="W40" s="35">
        <v>-1260.1666127974183</v>
      </c>
      <c r="X40" s="35">
        <v>-5151.4628366969446</v>
      </c>
      <c r="Y40" s="35">
        <v>12321.554159071102</v>
      </c>
      <c r="Z40" s="35">
        <v>-5170.7030487621505</v>
      </c>
      <c r="AA40" s="35">
        <v>-1180.2468484583828</v>
      </c>
      <c r="AB40" s="35">
        <v>633.18627244781237</v>
      </c>
      <c r="AC40" s="35">
        <v>-335.23476484699233</v>
      </c>
    </row>
    <row r="41" spans="1:29" x14ac:dyDescent="0.4">
      <c r="A41" s="1">
        <v>22433</v>
      </c>
      <c r="B41" s="28">
        <v>317.4116203766427</v>
      </c>
      <c r="C41" s="28">
        <f t="shared" si="3"/>
        <v>317.49902474822738</v>
      </c>
      <c r="D41" s="28">
        <f t="shared" si="3"/>
        <v>316.89195276159512</v>
      </c>
      <c r="E41" s="28">
        <f t="shared" si="3"/>
        <v>317.16770424061781</v>
      </c>
      <c r="F41" s="28">
        <f t="shared" si="3"/>
        <v>317.00584157521564</v>
      </c>
      <c r="G41" s="28">
        <f t="shared" si="3"/>
        <v>316.84110125095964</v>
      </c>
      <c r="H41" s="28">
        <f t="shared" si="3"/>
        <v>317.07768595041324</v>
      </c>
      <c r="I41" s="28">
        <f t="shared" si="3"/>
        <v>317.05164769904712</v>
      </c>
      <c r="J41" s="28">
        <f t="shared" si="3"/>
        <v>317.15708485751702</v>
      </c>
      <c r="K41" s="28">
        <f t="shared" si="3"/>
        <v>317.37432529467554</v>
      </c>
      <c r="L41" s="28">
        <f t="shared" si="3"/>
        <v>317.30992638757169</v>
      </c>
      <c r="M41" s="28">
        <f t="shared" si="3"/>
        <v>317.45208485751704</v>
      </c>
      <c r="N41" s="28">
        <f t="shared" si="3"/>
        <v>317.2216203766427</v>
      </c>
      <c r="P41" s="40">
        <v>-9</v>
      </c>
      <c r="Q41" s="35">
        <v>-146.66462358939114</v>
      </c>
      <c r="R41" s="35">
        <v>296.30111269154713</v>
      </c>
      <c r="S41" s="35">
        <v>-435.340838293204</v>
      </c>
      <c r="T41" s="35">
        <v>85.770782937930662</v>
      </c>
      <c r="U41" s="35">
        <v>-100.34799071011601</v>
      </c>
      <c r="V41" s="35">
        <v>-162.14801106494201</v>
      </c>
      <c r="W41" s="35">
        <v>573.10411972467966</v>
      </c>
      <c r="X41" s="35">
        <v>-1166.0915145057779</v>
      </c>
      <c r="Y41" s="35">
        <v>-5170.7030487621496</v>
      </c>
      <c r="Z41" s="35">
        <v>12180.977316332201</v>
      </c>
      <c r="AA41" s="35">
        <v>-5168.9674903260402</v>
      </c>
      <c r="AB41" s="35">
        <v>-1121.601750464235</v>
      </c>
      <c r="AC41" s="35">
        <v>335.77803513197438</v>
      </c>
    </row>
    <row r="42" spans="1:29" x14ac:dyDescent="0.4">
      <c r="A42" s="1">
        <v>22463</v>
      </c>
      <c r="B42" s="28">
        <v>317.84208485751702</v>
      </c>
      <c r="C42" s="28">
        <f t="shared" si="3"/>
        <v>317.4116203766427</v>
      </c>
      <c r="D42" s="28">
        <f t="shared" si="3"/>
        <v>317.49902474822738</v>
      </c>
      <c r="E42" s="28">
        <f t="shared" si="3"/>
        <v>316.89195276159512</v>
      </c>
      <c r="F42" s="28">
        <f t="shared" si="3"/>
        <v>317.16770424061781</v>
      </c>
      <c r="G42" s="28">
        <f t="shared" si="3"/>
        <v>317.00584157521564</v>
      </c>
      <c r="H42" s="28">
        <f t="shared" si="3"/>
        <v>316.84110125095964</v>
      </c>
      <c r="I42" s="28">
        <f t="shared" si="3"/>
        <v>317.07768595041324</v>
      </c>
      <c r="J42" s="28">
        <f t="shared" si="3"/>
        <v>317.05164769904712</v>
      </c>
      <c r="K42" s="28">
        <f t="shared" si="3"/>
        <v>317.15708485751702</v>
      </c>
      <c r="L42" s="28">
        <f t="shared" si="3"/>
        <v>317.37432529467554</v>
      </c>
      <c r="M42" s="28">
        <f t="shared" si="3"/>
        <v>317.30992638757169</v>
      </c>
      <c r="N42" s="28">
        <f t="shared" si="3"/>
        <v>317.45208485751704</v>
      </c>
      <c r="P42" s="40">
        <v>-10</v>
      </c>
      <c r="Q42" s="35">
        <v>-171.327923283112</v>
      </c>
      <c r="R42" s="35">
        <v>-38.953588585937041</v>
      </c>
      <c r="S42" s="35">
        <v>402.63015065343563</v>
      </c>
      <c r="T42" s="35">
        <v>-453.99000238530027</v>
      </c>
      <c r="U42" s="35">
        <v>32.107270212724075</v>
      </c>
      <c r="V42" s="35">
        <v>-69.272944919176894</v>
      </c>
      <c r="W42" s="35">
        <v>-155.34440504830863</v>
      </c>
      <c r="X42" s="35">
        <v>647.17906202192182</v>
      </c>
      <c r="Y42" s="35">
        <v>-1180.246848458381</v>
      </c>
      <c r="Z42" s="35">
        <v>-5168.9674903260429</v>
      </c>
      <c r="AA42" s="35">
        <v>12191.153088642122</v>
      </c>
      <c r="AB42" s="35">
        <v>-5095.5444215453499</v>
      </c>
      <c r="AC42" s="35">
        <v>-939.36950617485093</v>
      </c>
    </row>
    <row r="43" spans="1:29" x14ac:dyDescent="0.4">
      <c r="A43" s="1">
        <v>22494</v>
      </c>
      <c r="B43" s="28">
        <v>318.19992638757174</v>
      </c>
      <c r="C43" s="28">
        <f t="shared" si="3"/>
        <v>317.84208485751702</v>
      </c>
      <c r="D43" s="28">
        <f t="shared" si="3"/>
        <v>317.4116203766427</v>
      </c>
      <c r="E43" s="28">
        <f t="shared" si="3"/>
        <v>317.49902474822738</v>
      </c>
      <c r="F43" s="28">
        <f t="shared" si="3"/>
        <v>316.89195276159512</v>
      </c>
      <c r="G43" s="28">
        <f t="shared" si="3"/>
        <v>317.16770424061781</v>
      </c>
      <c r="H43" s="28">
        <f t="shared" si="3"/>
        <v>317.00584157521564</v>
      </c>
      <c r="I43" s="28">
        <f t="shared" si="3"/>
        <v>316.84110125095964</v>
      </c>
      <c r="J43" s="28">
        <f t="shared" si="3"/>
        <v>317.07768595041324</v>
      </c>
      <c r="K43" s="28">
        <f t="shared" si="3"/>
        <v>317.05164769904712</v>
      </c>
      <c r="L43" s="28">
        <f t="shared" si="3"/>
        <v>317.15708485751702</v>
      </c>
      <c r="M43" s="28">
        <f t="shared" si="3"/>
        <v>317.37432529467554</v>
      </c>
      <c r="N43" s="28">
        <f t="shared" si="3"/>
        <v>317.30992638757169</v>
      </c>
      <c r="P43" s="40">
        <v>-11</v>
      </c>
      <c r="Q43" s="35">
        <v>-995.5874917549487</v>
      </c>
      <c r="R43" s="35">
        <v>552.2514822057276</v>
      </c>
      <c r="S43" s="35">
        <v>-32.30414717039713</v>
      </c>
      <c r="T43" s="35">
        <v>363.48830953453216</v>
      </c>
      <c r="U43" s="35">
        <v>-345.25064272747193</v>
      </c>
      <c r="V43" s="35">
        <v>-25.332688096811289</v>
      </c>
      <c r="W43" s="35">
        <v>-97.03203094062053</v>
      </c>
      <c r="X43" s="35">
        <v>-222.9022239834274</v>
      </c>
      <c r="Y43" s="35">
        <v>633.18627244781362</v>
      </c>
      <c r="Z43" s="35">
        <v>-1121.6017504642323</v>
      </c>
      <c r="AA43" s="35">
        <v>-5095.5444215453535</v>
      </c>
      <c r="AB43" s="35">
        <v>12106.475804931315</v>
      </c>
      <c r="AC43" s="35">
        <v>-5719.7938832044156</v>
      </c>
    </row>
    <row r="44" spans="1:29" ht="19.5" thickBot="1" x14ac:dyDescent="0.45">
      <c r="A44" s="1">
        <v>22525</v>
      </c>
      <c r="B44" s="28">
        <v>318.19432529467554</v>
      </c>
      <c r="C44" s="28">
        <f t="shared" si="3"/>
        <v>318.19992638757174</v>
      </c>
      <c r="D44" s="28">
        <f t="shared" si="3"/>
        <v>317.84208485751702</v>
      </c>
      <c r="E44" s="28">
        <f t="shared" si="3"/>
        <v>317.4116203766427</v>
      </c>
      <c r="F44" s="28">
        <f t="shared" si="3"/>
        <v>317.49902474822738</v>
      </c>
      <c r="G44" s="28">
        <f t="shared" si="3"/>
        <v>316.89195276159512</v>
      </c>
      <c r="H44" s="28">
        <f t="shared" si="3"/>
        <v>317.16770424061781</v>
      </c>
      <c r="I44" s="28">
        <f t="shared" si="3"/>
        <v>317.00584157521564</v>
      </c>
      <c r="J44" s="28">
        <f t="shared" si="3"/>
        <v>316.84110125095964</v>
      </c>
      <c r="K44" s="28">
        <f t="shared" si="3"/>
        <v>317.07768595041324</v>
      </c>
      <c r="L44" s="28">
        <f t="shared" si="3"/>
        <v>317.05164769904712</v>
      </c>
      <c r="M44" s="28">
        <f t="shared" si="3"/>
        <v>317.15708485751702</v>
      </c>
      <c r="N44" s="28">
        <f t="shared" si="3"/>
        <v>317.37432529467554</v>
      </c>
      <c r="P44" s="41">
        <v>-12</v>
      </c>
      <c r="Q44" s="36">
        <v>237.24085003749732</v>
      </c>
      <c r="R44" s="36">
        <v>-975.03308441854824</v>
      </c>
      <c r="S44" s="36">
        <v>-218.7445982741242</v>
      </c>
      <c r="T44" s="36">
        <v>-165.28407030045804</v>
      </c>
      <c r="U44" s="36">
        <v>201.71126773590632</v>
      </c>
      <c r="V44" s="36">
        <v>-142.12984145719963</v>
      </c>
      <c r="W44" s="36">
        <v>-111.01376671453497</v>
      </c>
      <c r="X44" s="36">
        <v>-156.62210915534533</v>
      </c>
      <c r="Y44" s="36">
        <v>-335.23476484699717</v>
      </c>
      <c r="Z44" s="36">
        <v>335.77803513197404</v>
      </c>
      <c r="AA44" s="36">
        <v>-939.36950617484979</v>
      </c>
      <c r="AB44" s="36">
        <v>-5719.7938832044138</v>
      </c>
      <c r="AC44" s="36">
        <v>7988.6993941822248</v>
      </c>
    </row>
    <row r="45" spans="1:29" ht="19.5" thickBot="1" x14ac:dyDescent="0.45">
      <c r="A45" s="1">
        <v>22555</v>
      </c>
      <c r="B45" s="28">
        <v>318.63708485751704</v>
      </c>
      <c r="C45" s="28">
        <f t="shared" si="3"/>
        <v>318.19432529467554</v>
      </c>
      <c r="D45" s="28">
        <f t="shared" si="3"/>
        <v>318.19992638757174</v>
      </c>
      <c r="E45" s="28">
        <f t="shared" si="3"/>
        <v>317.84208485751702</v>
      </c>
      <c r="F45" s="28">
        <f t="shared" si="3"/>
        <v>317.4116203766427</v>
      </c>
      <c r="G45" s="28">
        <f t="shared" si="3"/>
        <v>317.49902474822738</v>
      </c>
      <c r="H45" s="28">
        <f t="shared" si="3"/>
        <v>316.89195276159512</v>
      </c>
      <c r="I45" s="28">
        <f t="shared" si="3"/>
        <v>317.16770424061781</v>
      </c>
      <c r="J45" s="28">
        <f t="shared" si="3"/>
        <v>317.00584157521564</v>
      </c>
      <c r="K45" s="28">
        <f t="shared" si="3"/>
        <v>316.84110125095964</v>
      </c>
      <c r="L45" s="28">
        <f t="shared" si="3"/>
        <v>317.07768595041324</v>
      </c>
      <c r="M45" s="28">
        <f t="shared" si="3"/>
        <v>317.05164769904712</v>
      </c>
      <c r="N45" s="28">
        <f t="shared" si="3"/>
        <v>317.15708485751702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4">
      <c r="A46" s="1">
        <v>22586</v>
      </c>
      <c r="B46" s="28">
        <v>318.15164769904715</v>
      </c>
      <c r="C46" s="28">
        <f t="shared" si="3"/>
        <v>318.63708485751704</v>
      </c>
      <c r="D46" s="28">
        <f t="shared" si="3"/>
        <v>318.19432529467554</v>
      </c>
      <c r="E46" s="28">
        <f t="shared" si="3"/>
        <v>318.19992638757174</v>
      </c>
      <c r="F46" s="28">
        <f t="shared" si="3"/>
        <v>317.84208485751702</v>
      </c>
      <c r="G46" s="28">
        <f t="shared" si="3"/>
        <v>317.4116203766427</v>
      </c>
      <c r="H46" s="28">
        <f t="shared" si="3"/>
        <v>317.49902474822738</v>
      </c>
      <c r="I46" s="28">
        <f t="shared" si="3"/>
        <v>316.89195276159512</v>
      </c>
      <c r="J46" s="28">
        <f t="shared" si="3"/>
        <v>317.16770424061781</v>
      </c>
      <c r="K46" s="28">
        <f t="shared" si="3"/>
        <v>317.00584157521564</v>
      </c>
      <c r="L46" s="28">
        <f t="shared" si="3"/>
        <v>316.84110125095964</v>
      </c>
      <c r="M46" s="28">
        <f t="shared" si="3"/>
        <v>317.07768595041324</v>
      </c>
      <c r="N46" s="28">
        <f t="shared" si="3"/>
        <v>317.05164769904712</v>
      </c>
      <c r="P46" s="39" t="s">
        <v>83</v>
      </c>
      <c r="Q46" s="37" t="s">
        <v>1</v>
      </c>
      <c r="R46" s="37">
        <v>-1</v>
      </c>
      <c r="S46" s="37">
        <v>-2</v>
      </c>
      <c r="T46" s="37">
        <v>-3</v>
      </c>
      <c r="U46" s="37">
        <v>-4</v>
      </c>
      <c r="V46" s="37">
        <v>-5</v>
      </c>
      <c r="W46" s="37">
        <v>-6</v>
      </c>
      <c r="X46" s="37">
        <v>-7</v>
      </c>
      <c r="Y46" s="37">
        <v>-8</v>
      </c>
      <c r="Z46" s="37">
        <v>-9</v>
      </c>
      <c r="AA46" s="37">
        <v>-10</v>
      </c>
      <c r="AB46" s="37">
        <v>-11</v>
      </c>
      <c r="AC46" s="37">
        <v>-12</v>
      </c>
    </row>
    <row r="47" spans="1:29" x14ac:dyDescent="0.4">
      <c r="A47" s="1">
        <v>22616</v>
      </c>
      <c r="B47" s="28">
        <v>317.89768595041323</v>
      </c>
      <c r="C47" s="28">
        <f t="shared" si="3"/>
        <v>318.15164769904715</v>
      </c>
      <c r="D47" s="28">
        <f t="shared" si="3"/>
        <v>318.63708485751704</v>
      </c>
      <c r="E47" s="28">
        <f t="shared" si="3"/>
        <v>318.19432529467554</v>
      </c>
      <c r="F47" s="28">
        <f t="shared" si="3"/>
        <v>318.19992638757174</v>
      </c>
      <c r="G47" s="28">
        <f t="shared" si="3"/>
        <v>317.84208485751702</v>
      </c>
      <c r="H47" s="28">
        <f t="shared" si="3"/>
        <v>317.4116203766427</v>
      </c>
      <c r="I47" s="28">
        <f t="shared" si="3"/>
        <v>317.49902474822738</v>
      </c>
      <c r="J47" s="28">
        <f t="shared" si="3"/>
        <v>316.89195276159512</v>
      </c>
      <c r="K47" s="28">
        <f t="shared" si="3"/>
        <v>317.16770424061781</v>
      </c>
      <c r="L47" s="28">
        <f t="shared" si="3"/>
        <v>317.00584157521564</v>
      </c>
      <c r="M47" s="28">
        <f t="shared" si="3"/>
        <v>316.84110125095964</v>
      </c>
      <c r="N47" s="28">
        <f t="shared" si="3"/>
        <v>317.07768595041324</v>
      </c>
      <c r="P47" s="40">
        <v>0</v>
      </c>
      <c r="Q47" s="35">
        <v>1</v>
      </c>
      <c r="R47" s="35" cm="1">
        <f t="array" ref="R47">-R32/SQRT(INDEX(_R_1,ROW(B1),ROW(B1))*INDEX(_R_1,COLUMN(B1),COLUMN(B1)))</f>
        <v>0.57949287910686031</v>
      </c>
      <c r="S47" s="35" cm="1">
        <f t="array" ref="S47">-S32/SQRT(INDEX(_R_1,ROW(C1),ROW(C1))*INDEX(_R_1,COLUMN(C1),COLUMN(C1)))</f>
        <v>0.10117065852276914</v>
      </c>
      <c r="T47" s="35" cm="1">
        <f t="array" ref="T47">-T32/SQRT(INDEX(_R_1,ROW(D1),ROW(D1))*INDEX(_R_1,COLUMN(D1),COLUMN(D1)))</f>
        <v>-1.6388177479109842E-2</v>
      </c>
      <c r="U47" s="35" cm="1">
        <f t="array" ref="U47">-U32/SQRT(INDEX(_R_1,ROW(E1),ROW(E1))*INDEX(_R_1,COLUMN(E1),COLUMN(E1)))</f>
        <v>2.5105036530864194E-2</v>
      </c>
      <c r="V47" s="35" cm="1">
        <f t="array" ref="V47">-V32/SQRT(INDEX(_R_1,ROW(F1),ROW(F1))*INDEX(_R_1,COLUMN(F1),COLUMN(F1)))</f>
        <v>9.680251197628725E-3</v>
      </c>
      <c r="W47" s="35" cm="1">
        <f t="array" ref="W47">-W32/SQRT(INDEX(_R_1,ROW(G1),ROW(G1))*INDEX(_R_1,COLUMN(G1),COLUMN(G1)))</f>
        <v>3.2350054957409891E-3</v>
      </c>
      <c r="X47" s="35" cm="1">
        <f t="array" ref="X47">-X32/SQRT(INDEX(_R_1,ROW(H1),ROW(H1))*INDEX(_R_1,COLUMN(H1),COLUMN(H1)))</f>
        <v>2.7995178186428951E-2</v>
      </c>
      <c r="Y47" s="35" cm="1">
        <f t="array" ref="Y47">-Y32/SQRT(INDEX(_R_1,ROW(I1),ROW(I1))*INDEX(_R_1,COLUMN(I1),COLUMN(I1)))</f>
        <v>-1.5994933833088872E-2</v>
      </c>
      <c r="Z47" s="35" cm="1">
        <f t="array" ref="Z47">-Z32/SQRT(INDEX(_R_1,ROW(J1),ROW(J1))*INDEX(_R_1,COLUMN(J1),COLUMN(J1)))</f>
        <v>1.4369384196061083E-2</v>
      </c>
      <c r="AA47" s="35" cm="1">
        <f t="array" ref="AA47">-AA32/SQRT(INDEX(_R_1,ROW(K1),ROW(K1))*INDEX(_R_1,COLUMN(K1),COLUMN(K1)))</f>
        <v>1.67787502717896E-2</v>
      </c>
      <c r="AB47" s="35" cm="1">
        <f t="array" ref="AB47">-AB32/SQRT(INDEX(_R_1,ROW(L1),ROW(L1))*INDEX(_R_1,COLUMN(L1),COLUMN(L1)))</f>
        <v>9.7841795620492653E-2</v>
      </c>
      <c r="AC47" s="35" cm="1">
        <f t="array" ref="AC47">-AC32/SQRT(INDEX(_R_1,ROW(M1),ROW(M1))*INDEX(_R_1,COLUMN(M1),COLUMN(M1)))</f>
        <v>-2.8701545550092449E-2</v>
      </c>
    </row>
    <row r="48" spans="1:29" x14ac:dyDescent="0.4">
      <c r="A48" s="1">
        <v>22647</v>
      </c>
      <c r="B48" s="28">
        <v>317.88110125095966</v>
      </c>
      <c r="C48" s="28">
        <f t="shared" si="3"/>
        <v>317.89768595041323</v>
      </c>
      <c r="D48" s="28">
        <f t="shared" si="3"/>
        <v>318.15164769904715</v>
      </c>
      <c r="E48" s="28">
        <f t="shared" si="3"/>
        <v>318.63708485751704</v>
      </c>
      <c r="F48" s="28">
        <f t="shared" si="3"/>
        <v>318.19432529467554</v>
      </c>
      <c r="G48" s="28">
        <f t="shared" si="3"/>
        <v>318.19992638757174</v>
      </c>
      <c r="H48" s="28">
        <f t="shared" si="3"/>
        <v>317.84208485751702</v>
      </c>
      <c r="I48" s="28">
        <f t="shared" si="3"/>
        <v>317.4116203766427</v>
      </c>
      <c r="J48" s="28">
        <f t="shared" si="3"/>
        <v>317.49902474822738</v>
      </c>
      <c r="K48" s="28">
        <f t="shared" si="3"/>
        <v>316.89195276159512</v>
      </c>
      <c r="L48" s="28">
        <f t="shared" si="3"/>
        <v>317.16770424061781</v>
      </c>
      <c r="M48" s="28">
        <f t="shared" si="3"/>
        <v>317.00584157521564</v>
      </c>
      <c r="N48" s="28">
        <f t="shared" si="3"/>
        <v>316.84110125095964</v>
      </c>
      <c r="P48" s="40">
        <v>-1</v>
      </c>
      <c r="Q48" s="35" cm="1">
        <f t="array" ref="Q48">-Q33/SQRT(INDEX(_R_1,ROW(A2),ROW(A2))*INDEX(_R_1,COLUMN(A2),COLUMN(A2)))</f>
        <v>0.57949287910686043</v>
      </c>
      <c r="R48" s="35">
        <v>1</v>
      </c>
      <c r="S48" s="35" cm="1">
        <f t="array" ref="S48">-S33/SQRT(INDEX(_R_1,ROW(C2),ROW(C2))*INDEX(_R_1,COLUMN(C2),COLUMN(C2)))</f>
        <v>0.4110402311770151</v>
      </c>
      <c r="T48" s="35" cm="1">
        <f t="array" ref="T48">-T33/SQRT(INDEX(_R_1,ROW(D2),ROW(D2))*INDEX(_R_1,COLUMN(D2),COLUMN(D2)))</f>
        <v>9.1183088737842768E-2</v>
      </c>
      <c r="U48" s="35" cm="1">
        <f t="array" ref="U48">-U33/SQRT(INDEX(_R_1,ROW(E2),ROW(E2))*INDEX(_R_1,COLUMN(E2),COLUMN(E2)))</f>
        <v>-3.0320710462333082E-2</v>
      </c>
      <c r="V48" s="35" cm="1">
        <f t="array" ref="V48">-V33/SQRT(INDEX(_R_1,ROW(F2),ROW(F2))*INDEX(_R_1,COLUMN(F2),COLUMN(F2)))</f>
        <v>1.7209797606546375E-2</v>
      </c>
      <c r="W48" s="35" cm="1">
        <f t="array" ref="W48">-W33/SQRT(INDEX(_R_1,ROW(G2),ROW(G2))*INDEX(_R_1,COLUMN(G2),COLUMN(G2)))</f>
        <v>5.9400188255612713E-3</v>
      </c>
      <c r="X48" s="35" cm="1">
        <f t="array" ref="X48">-X33/SQRT(INDEX(_R_1,ROW(H2),ROW(H2))*INDEX(_R_1,COLUMN(H2),COLUMN(H2)))</f>
        <v>-1.1966437109678905E-2</v>
      </c>
      <c r="Y48" s="35" cm="1">
        <f t="array" ref="Y48">-Y33/SQRT(INDEX(_R_1,ROW(I2),ROW(I2))*INDEX(_R_1,COLUMN(I2),COLUMN(I2)))</f>
        <v>3.1180230931701639E-2</v>
      </c>
      <c r="Z48" s="35" cm="1">
        <f t="array" ref="Z48">-Z33/SQRT(INDEX(_R_1,ROW(J2),ROW(J2))*INDEX(_R_1,COLUMN(J2),COLUMN(J2)))</f>
        <v>-2.370714044037852E-2</v>
      </c>
      <c r="AA48" s="35" cm="1">
        <f t="array" ref="AA48">-AA33/SQRT(INDEX(_R_1,ROW(K2),ROW(K2))*INDEX(_R_1,COLUMN(K2),COLUMN(K2)))</f>
        <v>3.1153872482432192E-3</v>
      </c>
      <c r="AB48" s="35" cm="1">
        <f t="array" ref="AB48">-AB33/SQRT(INDEX(_R_1,ROW(L2),ROW(L2))*INDEX(_R_1,COLUMN(L2),COLUMN(L2)))</f>
        <v>-4.4321553903757215E-2</v>
      </c>
      <c r="AC48" s="35" cm="1">
        <f t="array" ref="AC48">-AC33/SQRT(INDEX(_R_1,ROW(M2),ROW(M2))*INDEX(_R_1,COLUMN(M2),COLUMN(M2)))</f>
        <v>9.6331488241047078E-2</v>
      </c>
    </row>
    <row r="49" spans="1:29" x14ac:dyDescent="0.4">
      <c r="A49" s="1">
        <v>22678</v>
      </c>
      <c r="B49" s="28">
        <v>317.85584157521566</v>
      </c>
      <c r="C49" s="28">
        <f t="shared" si="3"/>
        <v>317.88110125095966</v>
      </c>
      <c r="D49" s="28">
        <f t="shared" si="3"/>
        <v>317.89768595041323</v>
      </c>
      <c r="E49" s="28">
        <f t="shared" si="3"/>
        <v>318.15164769904715</v>
      </c>
      <c r="F49" s="28">
        <f t="shared" si="3"/>
        <v>318.63708485751704</v>
      </c>
      <c r="G49" s="28">
        <f t="shared" si="3"/>
        <v>318.19432529467554</v>
      </c>
      <c r="H49" s="28">
        <f t="shared" si="3"/>
        <v>318.19992638757174</v>
      </c>
      <c r="I49" s="28">
        <f t="shared" si="3"/>
        <v>317.84208485751702</v>
      </c>
      <c r="J49" s="28">
        <f t="shared" si="3"/>
        <v>317.4116203766427</v>
      </c>
      <c r="K49" s="28">
        <f t="shared" si="3"/>
        <v>317.49902474822738</v>
      </c>
      <c r="L49" s="28">
        <f t="shared" si="3"/>
        <v>316.89195276159512</v>
      </c>
      <c r="M49" s="28">
        <f t="shared" si="3"/>
        <v>317.16770424061781</v>
      </c>
      <c r="N49" s="28">
        <f t="shared" si="3"/>
        <v>317.00584157521564</v>
      </c>
      <c r="P49" s="40">
        <v>-2</v>
      </c>
      <c r="Q49" s="35" cm="1">
        <f t="array" ref="Q49">-Q34/SQRT(INDEX(_R_1,ROW(A3),ROW(A3))*INDEX(_R_1,COLUMN(A3),COLUMN(A3)))</f>
        <v>0.10117065852276898</v>
      </c>
      <c r="R49" s="35" cm="1">
        <f t="array" ref="R49">-R34/SQRT(INDEX(_R_1,ROW(B3),ROW(B3))*INDEX(_R_1,COLUMN(B3),COLUMN(B3)))</f>
        <v>0.4110402311770151</v>
      </c>
      <c r="S49" s="35">
        <v>1</v>
      </c>
      <c r="T49" s="35" cm="1">
        <f t="array" ref="T49">-T34/SQRT(INDEX(_R_1,ROW(D3),ROW(D3))*INDEX(_R_1,COLUMN(D3),COLUMN(D3)))</f>
        <v>0.41546331765915989</v>
      </c>
      <c r="U49" s="35" cm="1">
        <f t="array" ref="U49">-U34/SQRT(INDEX(_R_1,ROW(E3),ROW(E3))*INDEX(_R_1,COLUMN(E3),COLUMN(E3)))</f>
        <v>9.4313379719103307E-2</v>
      </c>
      <c r="V49" s="35" cm="1">
        <f t="array" ref="V49">-V34/SQRT(INDEX(_R_1,ROW(F3),ROW(F3))*INDEX(_R_1,COLUMN(F3),COLUMN(F3)))</f>
        <v>-3.5510893667752515E-2</v>
      </c>
      <c r="W49" s="35" cm="1">
        <f t="array" ref="W49">-W34/SQRT(INDEX(_R_1,ROW(G3),ROW(G3))*INDEX(_R_1,COLUMN(G3),COLUMN(G3)))</f>
        <v>1.8280072350013454E-2</v>
      </c>
      <c r="X49" s="35" cm="1">
        <f t="array" ref="X49">-X34/SQRT(INDEX(_R_1,ROW(H3),ROW(H3))*INDEX(_R_1,COLUMN(H3),COLUMN(H3)))</f>
        <v>1.6720299993356436E-4</v>
      </c>
      <c r="Y49" s="35" cm="1">
        <f t="array" ref="Y49">-Y34/SQRT(INDEX(_R_1,ROW(I3),ROW(I3))*INDEX(_R_1,COLUMN(I3),COLUMN(I3)))</f>
        <v>-7.5248615588290801E-3</v>
      </c>
      <c r="Z49" s="35" cm="1">
        <f t="array" ref="Z49">-Z34/SQRT(INDEX(_R_1,ROW(J3),ROW(J3))*INDEX(_R_1,COLUMN(J3),COLUMN(J3)))</f>
        <v>3.481580892224239E-2</v>
      </c>
      <c r="AA49" s="35" cm="1">
        <f t="array" ref="AA49">-AA34/SQRT(INDEX(_R_1,ROW(K3),ROW(K3))*INDEX(_R_1,COLUMN(K3),COLUMN(K3)))</f>
        <v>-3.2186373697936664E-2</v>
      </c>
      <c r="AB49" s="35" cm="1">
        <f t="array" ref="AB49">-AB34/SQRT(INDEX(_R_1,ROW(L3),ROW(L3))*INDEX(_R_1,COLUMN(L3),COLUMN(L3)))</f>
        <v>2.5914185255650991E-3</v>
      </c>
      <c r="AC49" s="35" cm="1">
        <f t="array" ref="AC49">-AC34/SQRT(INDEX(_R_1,ROW(M3),ROW(M3))*INDEX(_R_1,COLUMN(M3),COLUMN(M3)))</f>
        <v>2.1601675893141072E-2</v>
      </c>
    </row>
    <row r="50" spans="1:29" x14ac:dyDescent="0.4">
      <c r="A50" s="1">
        <v>22706</v>
      </c>
      <c r="B50" s="28">
        <v>318.3077042406178</v>
      </c>
      <c r="C50" s="28">
        <f t="shared" si="3"/>
        <v>317.85584157521566</v>
      </c>
      <c r="D50" s="28">
        <f t="shared" si="3"/>
        <v>317.88110125095966</v>
      </c>
      <c r="E50" s="28">
        <f t="shared" si="3"/>
        <v>317.89768595041323</v>
      </c>
      <c r="F50" s="28">
        <f t="shared" si="3"/>
        <v>318.15164769904715</v>
      </c>
      <c r="G50" s="28">
        <f t="shared" si="3"/>
        <v>318.63708485751704</v>
      </c>
      <c r="H50" s="28">
        <f t="shared" si="3"/>
        <v>318.19432529467554</v>
      </c>
      <c r="I50" s="28">
        <f t="shared" si="3"/>
        <v>318.19992638757174</v>
      </c>
      <c r="J50" s="28">
        <f t="shared" si="3"/>
        <v>317.84208485751702</v>
      </c>
      <c r="K50" s="28">
        <f t="shared" si="3"/>
        <v>317.4116203766427</v>
      </c>
      <c r="L50" s="28">
        <f t="shared" si="3"/>
        <v>317.49902474822738</v>
      </c>
      <c r="M50" s="28">
        <f t="shared" si="3"/>
        <v>316.89195276159512</v>
      </c>
      <c r="N50" s="28">
        <f t="shared" si="3"/>
        <v>317.16770424061781</v>
      </c>
      <c r="P50" s="40">
        <v>-3</v>
      </c>
      <c r="Q50" s="35" cm="1">
        <f t="array" ref="Q50">-Q35/SQRT(INDEX(_R_1,ROW(A4),ROW(A4))*INDEX(_R_1,COLUMN(A4),COLUMN(A4)))</f>
        <v>-1.6388177479110134E-2</v>
      </c>
      <c r="R50" s="35" cm="1">
        <f t="array" ref="R50">-R35/SQRT(INDEX(_R_1,ROW(B4),ROW(B4))*INDEX(_R_1,COLUMN(B4),COLUMN(B4)))</f>
        <v>9.1183088737842741E-2</v>
      </c>
      <c r="S50" s="35" cm="1">
        <f t="array" ref="S50">-S35/SQRT(INDEX(_R_1,ROW(C4),ROW(C4))*INDEX(_R_1,COLUMN(C4),COLUMN(C4)))</f>
        <v>0.41546331765916</v>
      </c>
      <c r="T50" s="35">
        <v>1</v>
      </c>
      <c r="U50" s="35" cm="1">
        <f t="array" ref="U50">-U35/SQRT(INDEX(_R_1,ROW(E4),ROW(E4))*INDEX(_R_1,COLUMN(E4),COLUMN(E4)))</f>
        <v>0.41611861354426943</v>
      </c>
      <c r="V50" s="35" cm="1">
        <f t="array" ref="V50">-V35/SQRT(INDEX(_R_1,ROW(F4),ROW(F4))*INDEX(_R_1,COLUMN(F4),COLUMN(F4)))</f>
        <v>9.4907898698056381E-2</v>
      </c>
      <c r="W50" s="35" cm="1">
        <f t="array" ref="W50">-W35/SQRT(INDEX(_R_1,ROW(G4),ROW(G4))*INDEX(_R_1,COLUMN(G4),COLUMN(G4)))</f>
        <v>-3.5322139178275667E-2</v>
      </c>
      <c r="X50" s="35" cm="1">
        <f t="array" ref="X50">-X35/SQRT(INDEX(_R_1,ROW(H4),ROW(H4))*INDEX(_R_1,COLUMN(H4),COLUMN(H4)))</f>
        <v>2.0494793868010005E-2</v>
      </c>
      <c r="Y50" s="35" cm="1">
        <f t="array" ref="Y50">-Y35/SQRT(INDEX(_R_1,ROW(I4),ROW(I4))*INDEX(_R_1,COLUMN(I4),COLUMN(I4)))</f>
        <v>-2.5540168552677097E-4</v>
      </c>
      <c r="Z50" s="35" cm="1">
        <f t="array" ref="Z50">-Z35/SQRT(INDEX(_R_1,ROW(J4),ROW(J4))*INDEX(_R_1,COLUMN(J4),COLUMN(J4)))</f>
        <v>-6.8676450210663695E-3</v>
      </c>
      <c r="AA50" s="35" cm="1">
        <f t="array" ref="AA50">-AA35/SQRT(INDEX(_R_1,ROW(K4),ROW(K4))*INDEX(_R_1,COLUMN(K4),COLUMN(K4)))</f>
        <v>3.6335691398572345E-2</v>
      </c>
      <c r="AB50" s="35" cm="1">
        <f t="array" ref="AB50">-AB35/SQRT(INDEX(_R_1,ROW(L4),ROW(L4))*INDEX(_R_1,COLUMN(L4),COLUMN(L4)))</f>
        <v>-2.9193832387906304E-2</v>
      </c>
      <c r="AC50" s="35" cm="1">
        <f t="array" ref="AC50">-AC35/SQRT(INDEX(_R_1,ROW(M4),ROW(M4))*INDEX(_R_1,COLUMN(M4),COLUMN(M4)))</f>
        <v>1.6341897844183793E-2</v>
      </c>
    </row>
    <row r="51" spans="1:29" x14ac:dyDescent="0.4">
      <c r="A51" s="1">
        <v>22737</v>
      </c>
      <c r="B51" s="28">
        <v>317.9819527615951</v>
      </c>
      <c r="C51" s="28">
        <f t="shared" si="3"/>
        <v>318.3077042406178</v>
      </c>
      <c r="D51" s="28">
        <f t="shared" si="3"/>
        <v>317.85584157521566</v>
      </c>
      <c r="E51" s="28">
        <f t="shared" si="3"/>
        <v>317.88110125095966</v>
      </c>
      <c r="F51" s="28">
        <f t="shared" si="3"/>
        <v>317.89768595041323</v>
      </c>
      <c r="G51" s="28">
        <f t="shared" si="3"/>
        <v>318.15164769904715</v>
      </c>
      <c r="H51" s="28">
        <f t="shared" si="3"/>
        <v>318.63708485751704</v>
      </c>
      <c r="I51" s="28">
        <f t="shared" si="3"/>
        <v>318.19432529467554</v>
      </c>
      <c r="J51" s="28">
        <f t="shared" si="3"/>
        <v>318.19992638757174</v>
      </c>
      <c r="K51" s="28">
        <f t="shared" si="3"/>
        <v>317.84208485751702</v>
      </c>
      <c r="L51" s="28">
        <f t="shared" si="3"/>
        <v>317.4116203766427</v>
      </c>
      <c r="M51" s="28">
        <f t="shared" si="3"/>
        <v>317.49902474822738</v>
      </c>
      <c r="N51" s="28">
        <f t="shared" si="3"/>
        <v>316.89195276159512</v>
      </c>
      <c r="P51" s="40">
        <v>-4</v>
      </c>
      <c r="Q51" s="35" cm="1">
        <f t="array" ref="Q51">-Q36/SQRT(INDEX(_R_1,ROW(A5),ROW(A5))*INDEX(_R_1,COLUMN(A5),COLUMN(A5)))</f>
        <v>2.5105036530864166E-2</v>
      </c>
      <c r="R51" s="35" cm="1">
        <f t="array" ref="R51">-R36/SQRT(INDEX(_R_1,ROW(B5),ROW(B5))*INDEX(_R_1,COLUMN(B5),COLUMN(B5)))</f>
        <v>-3.0320710462333113E-2</v>
      </c>
      <c r="S51" s="35" cm="1">
        <f t="array" ref="S51">-S36/SQRT(INDEX(_R_1,ROW(C5),ROW(C5))*INDEX(_R_1,COLUMN(C5),COLUMN(C5)))</f>
        <v>9.4313379719103377E-2</v>
      </c>
      <c r="T51" s="35" cm="1">
        <f t="array" ref="T51">-T36/SQRT(INDEX(_R_1,ROW(D5),ROW(D5))*INDEX(_R_1,COLUMN(D5),COLUMN(D5)))</f>
        <v>0.41611861354426927</v>
      </c>
      <c r="U51" s="35">
        <v>1</v>
      </c>
      <c r="V51" s="35" cm="1">
        <f t="array" ref="V51">-V36/SQRT(INDEX(_R_1,ROW(F5),ROW(F5))*INDEX(_R_1,COLUMN(F5),COLUMN(F5)))</f>
        <v>0.40977614905668364</v>
      </c>
      <c r="W51" s="35" cm="1">
        <f t="array" ref="W51">-W36/SQRT(INDEX(_R_1,ROW(G5),ROW(G5))*INDEX(_R_1,COLUMN(G5),COLUMN(G5)))</f>
        <v>9.3230424610264984E-2</v>
      </c>
      <c r="X51" s="35" cm="1">
        <f t="array" ref="X51">-X36/SQRT(INDEX(_R_1,ROW(H5),ROW(H5))*INDEX(_R_1,COLUMN(H5),COLUMN(H5)))</f>
        <v>-4.2233950717662457E-2</v>
      </c>
      <c r="Y51" s="35" cm="1">
        <f t="array" ref="Y51">-Y36/SQRT(INDEX(_R_1,ROW(I5),ROW(I5))*INDEX(_R_1,COLUMN(I5),COLUMN(I5)))</f>
        <v>2.2809434800487877E-2</v>
      </c>
      <c r="Z51" s="35" cm="1">
        <f t="array" ref="Z51">-Z36/SQRT(INDEX(_R_1,ROW(J5),ROW(J5))*INDEX(_R_1,COLUMN(J5),COLUMN(J5)))</f>
        <v>8.0745758259611732E-3</v>
      </c>
      <c r="AA51" s="35" cm="1">
        <f t="array" ref="AA51">-AA36/SQRT(INDEX(_R_1,ROW(K5),ROW(K5))*INDEX(_R_1,COLUMN(K5),COLUMN(K5)))</f>
        <v>-2.582456971549278E-3</v>
      </c>
      <c r="AB51" s="35" cm="1">
        <f t="array" ref="AB51">-AB36/SQRT(INDEX(_R_1,ROW(L5),ROW(L5))*INDEX(_R_1,COLUMN(L5),COLUMN(L5)))</f>
        <v>2.7866198733315192E-2</v>
      </c>
      <c r="AC51" s="35" cm="1">
        <f t="array" ref="AC51">-AC36/SQRT(INDEX(_R_1,ROW(M5),ROW(M5))*INDEX(_R_1,COLUMN(M5),COLUMN(M5)))</f>
        <v>-2.0042146054601709E-2</v>
      </c>
    </row>
    <row r="52" spans="1:29" x14ac:dyDescent="0.4">
      <c r="A52" s="1">
        <v>22767</v>
      </c>
      <c r="B52" s="28">
        <v>317.93902474822738</v>
      </c>
      <c r="C52" s="28">
        <f t="shared" si="3"/>
        <v>317.9819527615951</v>
      </c>
      <c r="D52" s="28">
        <f t="shared" si="3"/>
        <v>318.3077042406178</v>
      </c>
      <c r="E52" s="28">
        <f t="shared" si="3"/>
        <v>317.85584157521566</v>
      </c>
      <c r="F52" s="28">
        <f t="shared" si="3"/>
        <v>317.88110125095966</v>
      </c>
      <c r="G52" s="28">
        <f t="shared" si="3"/>
        <v>317.89768595041323</v>
      </c>
      <c r="H52" s="28">
        <f t="shared" si="3"/>
        <v>318.15164769904715</v>
      </c>
      <c r="I52" s="28">
        <f t="shared" si="3"/>
        <v>318.63708485751704</v>
      </c>
      <c r="J52" s="28">
        <f t="shared" si="3"/>
        <v>318.19432529467554</v>
      </c>
      <c r="K52" s="28">
        <f t="shared" si="3"/>
        <v>318.19992638757174</v>
      </c>
      <c r="L52" s="28">
        <f t="shared" si="3"/>
        <v>317.84208485751702</v>
      </c>
      <c r="M52" s="28">
        <f t="shared" si="3"/>
        <v>317.4116203766427</v>
      </c>
      <c r="N52" s="28">
        <f t="shared" si="3"/>
        <v>317.49902474822738</v>
      </c>
      <c r="P52" s="40">
        <v>-5</v>
      </c>
      <c r="Q52" s="35" cm="1">
        <f t="array" ref="Q52">-Q37/SQRT(INDEX(_R_1,ROW(A6),ROW(A6))*INDEX(_R_1,COLUMN(A6),COLUMN(A6)))</f>
        <v>9.6802511976288794E-3</v>
      </c>
      <c r="R52" s="35" cm="1">
        <f t="array" ref="R52">-R37/SQRT(INDEX(_R_1,ROW(B6),ROW(B6))*INDEX(_R_1,COLUMN(B6),COLUMN(B6)))</f>
        <v>1.7209797606546409E-2</v>
      </c>
      <c r="S52" s="35" cm="1">
        <f t="array" ref="S52">-S37/SQRT(INDEX(_R_1,ROW(C6),ROW(C6))*INDEX(_R_1,COLUMN(C6),COLUMN(C6)))</f>
        <v>-3.5510893667752515E-2</v>
      </c>
      <c r="T52" s="35" cm="1">
        <f t="array" ref="T52">-T37/SQRT(INDEX(_R_1,ROW(D6),ROW(D6))*INDEX(_R_1,COLUMN(D6),COLUMN(D6)))</f>
        <v>9.4907898698056326E-2</v>
      </c>
      <c r="U52" s="35" cm="1">
        <f t="array" ref="U52">-U37/SQRT(INDEX(_R_1,ROW(E6),ROW(E6))*INDEX(_R_1,COLUMN(E6),COLUMN(E6)))</f>
        <v>0.40977614905668369</v>
      </c>
      <c r="V52" s="35">
        <v>1</v>
      </c>
      <c r="W52" s="35" cm="1">
        <f t="array" ref="W52">-W37/SQRT(INDEX(_R_1,ROW(G6),ROW(G6))*INDEX(_R_1,COLUMN(G6),COLUMN(G6)))</f>
        <v>0.41391398822964731</v>
      </c>
      <c r="X52" s="35" cm="1">
        <f t="array" ref="X52">-X37/SQRT(INDEX(_R_1,ROW(H6),ROW(H6))*INDEX(_R_1,COLUMN(H6),COLUMN(H6)))</f>
        <v>0.10198160978565557</v>
      </c>
      <c r="Y52" s="35" cm="1">
        <f t="array" ref="Y52">-Y37/SQRT(INDEX(_R_1,ROW(I6),ROW(I6))*INDEX(_R_1,COLUMN(I6),COLUMN(I6)))</f>
        <v>-4.4968934824570858E-2</v>
      </c>
      <c r="Z52" s="35" cm="1">
        <f t="array" ref="Z52">-Z37/SQRT(INDEX(_R_1,ROW(J6),ROW(J6))*INDEX(_R_1,COLUMN(J6),COLUMN(J6)))</f>
        <v>1.3139389807415735E-2</v>
      </c>
      <c r="AA52" s="35" cm="1">
        <f t="array" ref="AA52">-AA37/SQRT(INDEX(_R_1,ROW(K6),ROW(K6))*INDEX(_R_1,COLUMN(K6),COLUMN(K6)))</f>
        <v>5.6110727120788758E-3</v>
      </c>
      <c r="AB52" s="35" cm="1">
        <f t="array" ref="AB52">-AB37/SQRT(INDEX(_R_1,ROW(L6),ROW(L6))*INDEX(_R_1,COLUMN(L6),COLUMN(L6)))</f>
        <v>2.0590981346859318E-3</v>
      </c>
      <c r="AC52" s="35" cm="1">
        <f t="array" ref="AC52">-AC37/SQRT(INDEX(_R_1,ROW(M6),ROW(M6))*INDEX(_R_1,COLUMN(M6),COLUMN(M6)))</f>
        <v>1.4221711693475938E-2</v>
      </c>
    </row>
    <row r="53" spans="1:29" x14ac:dyDescent="0.4">
      <c r="A53" s="1">
        <v>22798</v>
      </c>
      <c r="B53" s="28">
        <v>318.26162037664272</v>
      </c>
      <c r="C53" s="28">
        <f t="shared" si="3"/>
        <v>317.93902474822738</v>
      </c>
      <c r="D53" s="28">
        <f t="shared" si="3"/>
        <v>317.9819527615951</v>
      </c>
      <c r="E53" s="28">
        <f t="shared" si="3"/>
        <v>318.3077042406178</v>
      </c>
      <c r="F53" s="28">
        <f t="shared" si="3"/>
        <v>317.85584157521566</v>
      </c>
      <c r="G53" s="28">
        <f t="shared" si="3"/>
        <v>317.88110125095966</v>
      </c>
      <c r="H53" s="28">
        <f t="shared" si="3"/>
        <v>317.89768595041323</v>
      </c>
      <c r="I53" s="28">
        <f t="shared" si="3"/>
        <v>318.15164769904715</v>
      </c>
      <c r="J53" s="28">
        <f t="shared" si="3"/>
        <v>318.63708485751704</v>
      </c>
      <c r="K53" s="28">
        <f t="shared" si="3"/>
        <v>318.19432529467554</v>
      </c>
      <c r="L53" s="28">
        <f t="shared" si="3"/>
        <v>318.19992638757174</v>
      </c>
      <c r="M53" s="28">
        <f t="shared" si="3"/>
        <v>317.84208485751702</v>
      </c>
      <c r="N53" s="28">
        <f t="shared" si="3"/>
        <v>317.4116203766427</v>
      </c>
      <c r="P53" s="40">
        <v>-6</v>
      </c>
      <c r="Q53" s="35" cm="1">
        <f t="array" ref="Q53">-Q38/SQRT(INDEX(_R_1,ROW(A7),ROW(A7))*INDEX(_R_1,COLUMN(A7),COLUMN(A7)))</f>
        <v>3.2350054957411899E-3</v>
      </c>
      <c r="R53" s="35" cm="1">
        <f t="array" ref="R53">-R38/SQRT(INDEX(_R_1,ROW(B7),ROW(B7))*INDEX(_R_1,COLUMN(B7),COLUMN(B7)))</f>
        <v>5.9400188255610458E-3</v>
      </c>
      <c r="S53" s="35" cm="1">
        <f t="array" ref="S53">-S38/SQRT(INDEX(_R_1,ROW(C7),ROW(C7))*INDEX(_R_1,COLUMN(C7),COLUMN(C7)))</f>
        <v>1.8280072350013412E-2</v>
      </c>
      <c r="T53" s="35" cm="1">
        <f t="array" ref="T53">-T38/SQRT(INDEX(_R_1,ROW(D7),ROW(D7))*INDEX(_R_1,COLUMN(D7),COLUMN(D7)))</f>
        <v>-3.5322139178275383E-2</v>
      </c>
      <c r="U53" s="35" cm="1">
        <f t="array" ref="U53">-U38/SQRT(INDEX(_R_1,ROW(E7),ROW(E7))*INDEX(_R_1,COLUMN(E7),COLUMN(E7)))</f>
        <v>9.3230424610264914E-2</v>
      </c>
      <c r="V53" s="35" cm="1">
        <f t="array" ref="V53">-V38/SQRT(INDEX(_R_1,ROW(F7),ROW(F7))*INDEX(_R_1,COLUMN(F7),COLUMN(F7)))</f>
        <v>0.41391398822964698</v>
      </c>
      <c r="W53" s="35">
        <v>1</v>
      </c>
      <c r="X53" s="35" cm="1">
        <f t="array" ref="X53">-X38/SQRT(INDEX(_R_1,ROW(H7),ROW(H7))*INDEX(_R_1,COLUMN(H7),COLUMN(H7)))</f>
        <v>0.41707411319803217</v>
      </c>
      <c r="Y53" s="35" cm="1">
        <f t="array" ref="Y53">-Y38/SQRT(INDEX(_R_1,ROW(I7),ROW(I7))*INDEX(_R_1,COLUMN(I7),COLUMN(I7)))</f>
        <v>0.10171751815907819</v>
      </c>
      <c r="Z53" s="35" cm="1">
        <f t="array" ref="Z53">-Z38/SQRT(INDEX(_R_1,ROW(J7),ROW(J7))*INDEX(_R_1,COLUMN(J7),COLUMN(J7)))</f>
        <v>-4.6525708389518666E-2</v>
      </c>
      <c r="AA53" s="35" cm="1">
        <f t="array" ref="AA53">-AA38/SQRT(INDEX(_R_1,ROW(K7),ROW(K7))*INDEX(_R_1,COLUMN(K7),COLUMN(K7)))</f>
        <v>1.2605897016816267E-2</v>
      </c>
      <c r="AB53" s="35" cm="1">
        <f t="array" ref="AB53">-AB38/SQRT(INDEX(_R_1,ROW(L7),ROW(L7))*INDEX(_R_1,COLUMN(L7),COLUMN(L7)))</f>
        <v>7.9014497677981649E-3</v>
      </c>
      <c r="AC53" s="35" cm="1">
        <f t="array" ref="AC53">-AC38/SQRT(INDEX(_R_1,ROW(M7),ROW(M7))*INDEX(_R_1,COLUMN(M7),COLUMN(M7)))</f>
        <v>1.1128569183133557E-2</v>
      </c>
    </row>
    <row r="54" spans="1:29" x14ac:dyDescent="0.4">
      <c r="A54" s="1">
        <v>22828</v>
      </c>
      <c r="B54" s="28">
        <v>318.88208485751704</v>
      </c>
      <c r="C54" s="28">
        <f t="shared" si="3"/>
        <v>318.26162037664272</v>
      </c>
      <c r="D54" s="28">
        <f t="shared" si="3"/>
        <v>317.93902474822738</v>
      </c>
      <c r="E54" s="28">
        <f t="shared" si="3"/>
        <v>317.9819527615951</v>
      </c>
      <c r="F54" s="28">
        <f t="shared" si="3"/>
        <v>318.3077042406178</v>
      </c>
      <c r="G54" s="28">
        <f t="shared" si="3"/>
        <v>317.85584157521566</v>
      </c>
      <c r="H54" s="28">
        <f t="shared" si="3"/>
        <v>317.88110125095966</v>
      </c>
      <c r="I54" s="28">
        <f t="shared" si="3"/>
        <v>317.89768595041323</v>
      </c>
      <c r="J54" s="28">
        <f t="shared" si="3"/>
        <v>318.15164769904715</v>
      </c>
      <c r="K54" s="28">
        <f t="shared" si="3"/>
        <v>318.63708485751704</v>
      </c>
      <c r="L54" s="28">
        <f t="shared" si="3"/>
        <v>318.19432529467554</v>
      </c>
      <c r="M54" s="28">
        <f t="shared" si="3"/>
        <v>318.19992638757174</v>
      </c>
      <c r="N54" s="28">
        <f t="shared" si="3"/>
        <v>317.84208485751702</v>
      </c>
      <c r="P54" s="40">
        <v>-7</v>
      </c>
      <c r="Q54" s="35" cm="1">
        <f t="array" ref="Q54">-Q39/SQRT(INDEX(_R_1,ROW(A8),ROW(A8))*INDEX(_R_1,COLUMN(A8),COLUMN(A8)))</f>
        <v>2.799517818642883E-2</v>
      </c>
      <c r="R54" s="35" cm="1">
        <f t="array" ref="R54">-R39/SQRT(INDEX(_R_1,ROW(B8),ROW(B8))*INDEX(_R_1,COLUMN(B8),COLUMN(B8)))</f>
        <v>-1.1966437109678848E-2</v>
      </c>
      <c r="S54" s="35" cm="1">
        <f t="array" ref="S54">-S39/SQRT(INDEX(_R_1,ROW(C8),ROW(C8))*INDEX(_R_1,COLUMN(C8),COLUMN(C8)))</f>
        <v>1.6720299993363159E-4</v>
      </c>
      <c r="T54" s="35" cm="1">
        <f t="array" ref="T54">-T39/SQRT(INDEX(_R_1,ROW(D8),ROW(D8))*INDEX(_R_1,COLUMN(D8),COLUMN(D8)))</f>
        <v>2.0494793868009883E-2</v>
      </c>
      <c r="U54" s="35" cm="1">
        <f t="array" ref="U54">-U39/SQRT(INDEX(_R_1,ROW(E8),ROW(E8))*INDEX(_R_1,COLUMN(E8),COLUMN(E8)))</f>
        <v>-4.22339507176622E-2</v>
      </c>
      <c r="V54" s="35" cm="1">
        <f t="array" ref="V54">-V39/SQRT(INDEX(_R_1,ROW(F8),ROW(F8))*INDEX(_R_1,COLUMN(F8),COLUMN(F8)))</f>
        <v>0.10198160978565599</v>
      </c>
      <c r="W54" s="35" cm="1">
        <f t="array" ref="W54">-W39/SQRT(INDEX(_R_1,ROW(G8),ROW(G8))*INDEX(_R_1,COLUMN(G8),COLUMN(G8)))</f>
        <v>0.41707411319803095</v>
      </c>
      <c r="X54" s="35">
        <v>1</v>
      </c>
      <c r="Y54" s="35" cm="1">
        <f t="array" ref="Y54">-Y39/SQRT(INDEX(_R_1,ROW(I8),ROW(I8))*INDEX(_R_1,COLUMN(I8),COLUMN(I8)))</f>
        <v>0.41740687477696098</v>
      </c>
      <c r="Z54" s="35" cm="1">
        <f t="array" ref="Z54">-Z39/SQRT(INDEX(_R_1,ROW(J8),ROW(J8))*INDEX(_R_1,COLUMN(J8),COLUMN(J8)))</f>
        <v>9.50283830425145E-2</v>
      </c>
      <c r="AA54" s="35" cm="1">
        <f t="array" ref="AA54">-AA39/SQRT(INDEX(_R_1,ROW(K8),ROW(K8))*INDEX(_R_1,COLUMN(K8),COLUMN(K8)))</f>
        <v>-5.271859623242358E-2</v>
      </c>
      <c r="AB54" s="35" cm="1">
        <f t="array" ref="AB54">-AB39/SQRT(INDEX(_R_1,ROW(L8),ROW(L8))*INDEX(_R_1,COLUMN(L8),COLUMN(L8)))</f>
        <v>1.8220794253547799E-2</v>
      </c>
      <c r="AC54" s="35" cm="1">
        <f t="array" ref="AC54">-AC39/SQRT(INDEX(_R_1,ROW(M8),ROW(M8))*INDEX(_R_1,COLUMN(M8),COLUMN(M8)))</f>
        <v>1.5760747093012017E-2</v>
      </c>
    </row>
    <row r="55" spans="1:29" x14ac:dyDescent="0.4">
      <c r="A55" s="1">
        <v>22859</v>
      </c>
      <c r="B55" s="28">
        <v>318.80992638757169</v>
      </c>
      <c r="C55" s="28">
        <f t="shared" si="3"/>
        <v>318.88208485751704</v>
      </c>
      <c r="D55" s="28">
        <f t="shared" si="3"/>
        <v>318.26162037664272</v>
      </c>
      <c r="E55" s="28">
        <f t="shared" si="3"/>
        <v>317.93902474822738</v>
      </c>
      <c r="F55" s="28">
        <f t="shared" si="3"/>
        <v>317.9819527615951</v>
      </c>
      <c r="G55" s="28">
        <f t="shared" si="3"/>
        <v>318.3077042406178</v>
      </c>
      <c r="H55" s="28">
        <f t="shared" si="3"/>
        <v>317.85584157521566</v>
      </c>
      <c r="I55" s="28">
        <f t="shared" si="3"/>
        <v>317.88110125095966</v>
      </c>
      <c r="J55" s="28">
        <f t="shared" si="3"/>
        <v>317.89768595041323</v>
      </c>
      <c r="K55" s="28">
        <f t="shared" si="3"/>
        <v>318.15164769904715</v>
      </c>
      <c r="L55" s="28">
        <f t="shared" si="3"/>
        <v>318.63708485751704</v>
      </c>
      <c r="M55" s="28">
        <f t="shared" si="3"/>
        <v>318.19432529467554</v>
      </c>
      <c r="N55" s="28">
        <f t="shared" si="3"/>
        <v>318.19992638757174</v>
      </c>
      <c r="P55" s="40">
        <v>-8</v>
      </c>
      <c r="Q55" s="35" cm="1">
        <f t="array" ref="Q55">-Q40/SQRT(INDEX(_R_1,ROW(A9),ROW(A9))*INDEX(_R_1,COLUMN(A9),COLUMN(A9)))</f>
        <v>-1.5994933833088847E-2</v>
      </c>
      <c r="R55" s="35" cm="1">
        <f t="array" ref="R55">-R40/SQRT(INDEX(_R_1,ROW(B9),ROW(B9))*INDEX(_R_1,COLUMN(B9),COLUMN(B9)))</f>
        <v>3.118023093170175E-2</v>
      </c>
      <c r="S55" s="35" cm="1">
        <f t="array" ref="S55">-S40/SQRT(INDEX(_R_1,ROW(C9),ROW(C9))*INDEX(_R_1,COLUMN(C9),COLUMN(C9)))</f>
        <v>-7.5248615588291469E-3</v>
      </c>
      <c r="T55" s="35" cm="1">
        <f t="array" ref="T55">-T40/SQRT(INDEX(_R_1,ROW(D9),ROW(D9))*INDEX(_R_1,COLUMN(D9),COLUMN(D9)))</f>
        <v>-2.5540168552669134E-4</v>
      </c>
      <c r="U55" s="35" cm="1">
        <f t="array" ref="U55">-U40/SQRT(INDEX(_R_1,ROW(E9),ROW(E9))*INDEX(_R_1,COLUMN(E9),COLUMN(E9)))</f>
        <v>2.2809434800487482E-2</v>
      </c>
      <c r="V55" s="35" cm="1">
        <f t="array" ref="V55">-V40/SQRT(INDEX(_R_1,ROW(F9),ROW(F9))*INDEX(_R_1,COLUMN(F9),COLUMN(F9)))</f>
        <v>-4.4968934824570775E-2</v>
      </c>
      <c r="W55" s="35" cm="1">
        <f t="array" ref="W55">-W40/SQRT(INDEX(_R_1,ROW(G9),ROW(G9))*INDEX(_R_1,COLUMN(G9),COLUMN(G9)))</f>
        <v>0.10171751815907937</v>
      </c>
      <c r="X55" s="35" cm="1">
        <f t="array" ref="X55">-X40/SQRT(INDEX(_R_1,ROW(H9),ROW(H9))*INDEX(_R_1,COLUMN(H9),COLUMN(H9)))</f>
        <v>0.41740687477696004</v>
      </c>
      <c r="Y55" s="35">
        <v>1</v>
      </c>
      <c r="Z55" s="35" cm="1">
        <f t="array" ref="Z55">-Z40/SQRT(INDEX(_R_1,ROW(J9),ROW(J9))*INDEX(_R_1,COLUMN(J9),COLUMN(J9)))</f>
        <v>0.42206154537225293</v>
      </c>
      <c r="AA55" s="35" cm="1">
        <f t="array" ref="AA55">-AA40/SQRT(INDEX(_R_1,ROW(K9),ROW(K9))*INDEX(_R_1,COLUMN(K9),COLUMN(K9)))</f>
        <v>9.6298098543072821E-2</v>
      </c>
      <c r="AB55" s="35" cm="1">
        <f t="array" ref="AB55">-AB40/SQRT(INDEX(_R_1,ROW(L9),ROW(L9))*INDEX(_R_1,COLUMN(L9),COLUMN(L9)))</f>
        <v>-5.1842970330692163E-2</v>
      </c>
      <c r="AC55" s="35" cm="1">
        <f t="array" ref="AC55">-AC40/SQRT(INDEX(_R_1,ROW(M9),ROW(M9))*INDEX(_R_1,COLUMN(M9),COLUMN(M9)))</f>
        <v>3.3789227666475304E-2</v>
      </c>
    </row>
    <row r="56" spans="1:29" x14ac:dyDescent="0.4">
      <c r="A56" s="1">
        <v>22890</v>
      </c>
      <c r="B56" s="28">
        <v>319.45432529467553</v>
      </c>
      <c r="C56" s="28">
        <f t="shared" si="3"/>
        <v>318.80992638757169</v>
      </c>
      <c r="D56" s="28">
        <f t="shared" si="3"/>
        <v>318.88208485751704</v>
      </c>
      <c r="E56" s="28">
        <f t="shared" si="3"/>
        <v>318.26162037664272</v>
      </c>
      <c r="F56" s="28">
        <f t="shared" si="3"/>
        <v>317.93902474822738</v>
      </c>
      <c r="G56" s="28">
        <f t="shared" si="3"/>
        <v>317.9819527615951</v>
      </c>
      <c r="H56" s="28">
        <f t="shared" si="3"/>
        <v>318.3077042406178</v>
      </c>
      <c r="I56" s="28">
        <f t="shared" si="3"/>
        <v>317.85584157521566</v>
      </c>
      <c r="J56" s="28">
        <f t="shared" si="3"/>
        <v>317.88110125095966</v>
      </c>
      <c r="K56" s="28">
        <f t="shared" si="3"/>
        <v>317.89768595041323</v>
      </c>
      <c r="L56" s="28">
        <f t="shared" si="3"/>
        <v>318.15164769904715</v>
      </c>
      <c r="M56" s="28">
        <f t="shared" si="3"/>
        <v>318.63708485751704</v>
      </c>
      <c r="N56" s="28">
        <f t="shared" si="3"/>
        <v>318.19432529467554</v>
      </c>
      <c r="P56" s="40">
        <v>-9</v>
      </c>
      <c r="Q56" s="35" cm="1">
        <f t="array" ref="Q56">-Q41/SQRT(INDEX(_R_1,ROW(A10),ROW(A10))*INDEX(_R_1,COLUMN(A10),COLUMN(A10)))</f>
        <v>1.4369384196061053E-2</v>
      </c>
      <c r="R56" s="35" cm="1">
        <f t="array" ref="R56">-R41/SQRT(INDEX(_R_1,ROW(B10),ROW(B10))*INDEX(_R_1,COLUMN(B10),COLUMN(B10)))</f>
        <v>-2.3707140440378496E-2</v>
      </c>
      <c r="S56" s="35" cm="1">
        <f t="array" ref="S56">-S41/SQRT(INDEX(_R_1,ROW(C10),ROW(C10))*INDEX(_R_1,COLUMN(C10),COLUMN(C10)))</f>
        <v>3.4815808922242411E-2</v>
      </c>
      <c r="T56" s="35" cm="1">
        <f t="array" ref="T56">-T41/SQRT(INDEX(_R_1,ROW(D10),ROW(D10))*INDEX(_R_1,COLUMN(D10),COLUMN(D10)))</f>
        <v>-6.8676450210664007E-3</v>
      </c>
      <c r="U56" s="35" cm="1">
        <f t="array" ref="U56">-U41/SQRT(INDEX(_R_1,ROW(E10),ROW(E10))*INDEX(_R_1,COLUMN(E10),COLUMN(E10)))</f>
        <v>8.0745758259612114E-3</v>
      </c>
      <c r="V56" s="35" cm="1">
        <f t="array" ref="V56">-V41/SQRT(INDEX(_R_1,ROW(F10),ROW(F10))*INDEX(_R_1,COLUMN(F10),COLUMN(F10)))</f>
        <v>1.3139389807415547E-2</v>
      </c>
      <c r="W56" s="35" cm="1">
        <f t="array" ref="W56">-W41/SQRT(INDEX(_R_1,ROW(G10),ROW(G10))*INDEX(_R_1,COLUMN(G10),COLUMN(G10)))</f>
        <v>-4.6525708389518604E-2</v>
      </c>
      <c r="X56" s="35" cm="1">
        <f t="array" ref="X56">-X41/SQRT(INDEX(_R_1,ROW(H10),ROW(H10))*INDEX(_R_1,COLUMN(H10),COLUMN(H10)))</f>
        <v>9.5028383042514569E-2</v>
      </c>
      <c r="Y56" s="35" cm="1">
        <f t="array" ref="Y56">-Y41/SQRT(INDEX(_R_1,ROW(I10),ROW(I10))*INDEX(_R_1,COLUMN(I10),COLUMN(I10)))</f>
        <v>0.42206154537225282</v>
      </c>
      <c r="Z56" s="35">
        <v>1</v>
      </c>
      <c r="AA56" s="35" cm="1">
        <f t="array" ref="AA56">-AA41/SQRT(INDEX(_R_1,ROW(K10),ROW(K10))*INDEX(_R_1,COLUMN(K10),COLUMN(K10)))</f>
        <v>0.42417038272525442</v>
      </c>
      <c r="AB56" s="35" cm="1">
        <f t="array" ref="AB56">-AB41/SQRT(INDEX(_R_1,ROW(L10),ROW(L10))*INDEX(_R_1,COLUMN(L10),COLUMN(L10)))</f>
        <v>9.2361024579504555E-2</v>
      </c>
      <c r="AC56" s="35" cm="1">
        <f t="array" ref="AC56">-AC41/SQRT(INDEX(_R_1,ROW(M10),ROW(M10))*INDEX(_R_1,COLUMN(M10),COLUMN(M10)))</f>
        <v>-3.403871655689155E-2</v>
      </c>
    </row>
    <row r="57" spans="1:29" x14ac:dyDescent="0.4">
      <c r="A57" s="1">
        <v>22920</v>
      </c>
      <c r="B57" s="28">
        <v>318.74708485751705</v>
      </c>
      <c r="C57" s="28">
        <f t="shared" si="3"/>
        <v>319.45432529467553</v>
      </c>
      <c r="D57" s="28">
        <f t="shared" si="3"/>
        <v>318.80992638757169</v>
      </c>
      <c r="E57" s="28">
        <f t="shared" si="3"/>
        <v>318.88208485751704</v>
      </c>
      <c r="F57" s="28">
        <f t="shared" si="3"/>
        <v>318.26162037664272</v>
      </c>
      <c r="G57" s="28">
        <f t="shared" si="3"/>
        <v>317.93902474822738</v>
      </c>
      <c r="H57" s="28">
        <f t="shared" si="3"/>
        <v>317.9819527615951</v>
      </c>
      <c r="I57" s="28">
        <f t="shared" si="3"/>
        <v>318.3077042406178</v>
      </c>
      <c r="J57" s="28">
        <f t="shared" si="3"/>
        <v>317.85584157521566</v>
      </c>
      <c r="K57" s="28">
        <f t="shared" si="3"/>
        <v>317.88110125095966</v>
      </c>
      <c r="L57" s="28">
        <f t="shared" si="3"/>
        <v>317.89768595041323</v>
      </c>
      <c r="M57" s="28">
        <f t="shared" si="3"/>
        <v>318.15164769904715</v>
      </c>
      <c r="N57" s="28">
        <f t="shared" si="3"/>
        <v>318.63708485751704</v>
      </c>
      <c r="P57" s="40">
        <v>-10</v>
      </c>
      <c r="Q57" s="35" cm="1">
        <f t="array" ref="Q57">-Q42/SQRT(INDEX(_R_1,ROW(A11),ROW(A11))*INDEX(_R_1,COLUMN(A11),COLUMN(A11)))</f>
        <v>1.6778750271789655E-2</v>
      </c>
      <c r="R57" s="35" cm="1">
        <f t="array" ref="R57">-R42/SQRT(INDEX(_R_1,ROW(B11),ROW(B11))*INDEX(_R_1,COLUMN(B11),COLUMN(B11)))</f>
        <v>3.1153872482432695E-3</v>
      </c>
      <c r="S57" s="35" cm="1">
        <f t="array" ref="S57">-S42/SQRT(INDEX(_R_1,ROW(C11),ROW(C11))*INDEX(_R_1,COLUMN(C11),COLUMN(C11)))</f>
        <v>-3.2186373697936657E-2</v>
      </c>
      <c r="T57" s="35" cm="1">
        <f t="array" ref="T57">-T42/SQRT(INDEX(_R_1,ROW(D11),ROW(D11))*INDEX(_R_1,COLUMN(D11),COLUMN(D11)))</f>
        <v>3.6335691398572269E-2</v>
      </c>
      <c r="U57" s="35" cm="1">
        <f t="array" ref="U57">-U42/SQRT(INDEX(_R_1,ROW(E11),ROW(E11))*INDEX(_R_1,COLUMN(E11),COLUMN(E11)))</f>
        <v>-2.5824569715492546E-3</v>
      </c>
      <c r="V57" s="35" cm="1">
        <f t="array" ref="V57">-V42/SQRT(INDEX(_R_1,ROW(F11),ROW(F11))*INDEX(_R_1,COLUMN(F11),COLUMN(F11)))</f>
        <v>5.6110727120788576E-3</v>
      </c>
      <c r="W57" s="35" cm="1">
        <f t="array" ref="W57">-W42/SQRT(INDEX(_R_1,ROW(G11),ROW(G11))*INDEX(_R_1,COLUMN(G11),COLUMN(G11)))</f>
        <v>1.2605897016816005E-2</v>
      </c>
      <c r="X57" s="35" cm="1">
        <f t="array" ref="X57">-X42/SQRT(INDEX(_R_1,ROW(H11),ROW(H11))*INDEX(_R_1,COLUMN(H11),COLUMN(H11)))</f>
        <v>-5.2718596232423219E-2</v>
      </c>
      <c r="Y57" s="35" cm="1">
        <f t="array" ref="Y57">-Y42/SQRT(INDEX(_R_1,ROW(I11),ROW(I11))*INDEX(_R_1,COLUMN(I11),COLUMN(I11)))</f>
        <v>9.6298098543072669E-2</v>
      </c>
      <c r="Z57" s="35" cm="1">
        <f t="array" ref="Z57">-Z42/SQRT(INDEX(_R_1,ROW(J11),ROW(J11))*INDEX(_R_1,COLUMN(J11),COLUMN(J11)))</f>
        <v>0.42417038272525465</v>
      </c>
      <c r="AA57" s="35">
        <v>1</v>
      </c>
      <c r="AB57" s="35" cm="1">
        <f t="array" ref="AB57">-AB42/SQRT(INDEX(_R_1,ROW(L11),ROW(L11))*INDEX(_R_1,COLUMN(L11),COLUMN(L11)))</f>
        <v>0.41942984539335609</v>
      </c>
      <c r="AC57" s="35" cm="1">
        <f t="array" ref="AC57">-AC42/SQRT(INDEX(_R_1,ROW(M11),ROW(M11))*INDEX(_R_1,COLUMN(M11),COLUMN(M11)))</f>
        <v>9.5186646341314449E-2</v>
      </c>
    </row>
    <row r="58" spans="1:29" x14ac:dyDescent="0.4">
      <c r="A58" s="1">
        <v>22951</v>
      </c>
      <c r="B58" s="28">
        <v>318.74164769904712</v>
      </c>
      <c r="C58" s="28">
        <f t="shared" si="3"/>
        <v>318.74708485751705</v>
      </c>
      <c r="D58" s="28">
        <f t="shared" si="3"/>
        <v>319.45432529467553</v>
      </c>
      <c r="E58" s="28">
        <f t="shared" si="3"/>
        <v>318.80992638757169</v>
      </c>
      <c r="F58" s="28">
        <f t="shared" si="3"/>
        <v>318.88208485751704</v>
      </c>
      <c r="G58" s="28">
        <f t="shared" si="3"/>
        <v>318.26162037664272</v>
      </c>
      <c r="H58" s="28">
        <f t="shared" si="3"/>
        <v>317.93902474822738</v>
      </c>
      <c r="I58" s="28">
        <f t="shared" si="3"/>
        <v>317.9819527615951</v>
      </c>
      <c r="J58" s="28">
        <f t="shared" si="3"/>
        <v>318.3077042406178</v>
      </c>
      <c r="K58" s="28">
        <f t="shared" si="3"/>
        <v>317.85584157521566</v>
      </c>
      <c r="L58" s="28">
        <f t="shared" si="3"/>
        <v>317.88110125095966</v>
      </c>
      <c r="M58" s="28">
        <f t="shared" si="3"/>
        <v>317.89768595041323</v>
      </c>
      <c r="N58" s="28">
        <f t="shared" si="3"/>
        <v>318.15164769904715</v>
      </c>
      <c r="P58" s="40">
        <v>-11</v>
      </c>
      <c r="Q58" s="35" cm="1">
        <f t="array" ref="Q58">-Q43/SQRT(INDEX(_R_1,ROW(A12),ROW(A12))*INDEX(_R_1,COLUMN(A12),COLUMN(A12)))</f>
        <v>9.7841795620492542E-2</v>
      </c>
      <c r="R58" s="35" cm="1">
        <f t="array" ref="R58">-R43/SQRT(INDEX(_R_1,ROW(B12),ROW(B12))*INDEX(_R_1,COLUMN(B12),COLUMN(B12)))</f>
        <v>-4.4321553903757298E-2</v>
      </c>
      <c r="S58" s="35" cm="1">
        <f t="array" ref="S58">-S43/SQRT(INDEX(_R_1,ROW(C12),ROW(C12))*INDEX(_R_1,COLUMN(C12),COLUMN(C12)))</f>
        <v>2.5914185255651624E-3</v>
      </c>
      <c r="T58" s="35" cm="1">
        <f t="array" ref="T58">-T43/SQRT(INDEX(_R_1,ROW(D12),ROW(D12))*INDEX(_R_1,COLUMN(D12),COLUMN(D12)))</f>
        <v>-2.9193832387906307E-2</v>
      </c>
      <c r="U58" s="35" cm="1">
        <f t="array" ref="U58">-U43/SQRT(INDEX(_R_1,ROW(E12),ROW(E12))*INDEX(_R_1,COLUMN(E12),COLUMN(E12)))</f>
        <v>2.786619873331515E-2</v>
      </c>
      <c r="V58" s="35" cm="1">
        <f t="array" ref="V58">-V43/SQRT(INDEX(_R_1,ROW(F12),ROW(F12))*INDEX(_R_1,COLUMN(F12),COLUMN(F12)))</f>
        <v>2.059098134686071E-3</v>
      </c>
      <c r="W58" s="35" cm="1">
        <f t="array" ref="W58">-W43/SQRT(INDEX(_R_1,ROW(G12),ROW(G12))*INDEX(_R_1,COLUMN(G12),COLUMN(G12)))</f>
        <v>7.901449767798269E-3</v>
      </c>
      <c r="X58" s="35" cm="1">
        <f t="array" ref="X58">-X43/SQRT(INDEX(_R_1,ROW(H12),ROW(H12))*INDEX(_R_1,COLUMN(H12),COLUMN(H12)))</f>
        <v>1.8220794253547778E-2</v>
      </c>
      <c r="Y58" s="35" cm="1">
        <f t="array" ref="Y58">-Y43/SQRT(INDEX(_R_1,ROW(I12),ROW(I12))*INDEX(_R_1,COLUMN(I12),COLUMN(I12)))</f>
        <v>-5.1842970330692267E-2</v>
      </c>
      <c r="Z58" s="35" cm="1">
        <f t="array" ref="Z58">-Z43/SQRT(INDEX(_R_1,ROW(J12),ROW(J12))*INDEX(_R_1,COLUMN(J12),COLUMN(J12)))</f>
        <v>9.2361024579504333E-2</v>
      </c>
      <c r="AA58" s="35" cm="1">
        <f t="array" ref="AA58">-AA43/SQRT(INDEX(_R_1,ROW(K12),ROW(K12))*INDEX(_R_1,COLUMN(K12),COLUMN(K12)))</f>
        <v>0.41942984539335637</v>
      </c>
      <c r="AB58" s="35">
        <v>1</v>
      </c>
      <c r="AC58" s="35" cm="1">
        <f t="array" ref="AC58">-AC43/SQRT(INDEX(_R_1,ROW(M12),ROW(M12))*INDEX(_R_1,COLUMN(M12),COLUMN(M12)))</f>
        <v>0.58161214944392636</v>
      </c>
    </row>
    <row r="59" spans="1:29" ht="19.5" thickBot="1" x14ac:dyDescent="0.45">
      <c r="A59" s="1">
        <v>22981</v>
      </c>
      <c r="B59" s="28">
        <v>318.58768595041323</v>
      </c>
      <c r="C59" s="28">
        <f t="shared" si="3"/>
        <v>318.74164769904712</v>
      </c>
      <c r="D59" s="28">
        <f t="shared" si="3"/>
        <v>318.74708485751705</v>
      </c>
      <c r="E59" s="28">
        <f t="shared" si="3"/>
        <v>319.45432529467553</v>
      </c>
      <c r="F59" s="28">
        <f t="shared" si="3"/>
        <v>318.80992638757169</v>
      </c>
      <c r="G59" s="28">
        <f t="shared" si="3"/>
        <v>318.88208485751704</v>
      </c>
      <c r="H59" s="28">
        <f t="shared" si="3"/>
        <v>318.26162037664272</v>
      </c>
      <c r="I59" s="28">
        <f t="shared" si="3"/>
        <v>317.93902474822738</v>
      </c>
      <c r="J59" s="28">
        <f t="shared" si="3"/>
        <v>317.9819527615951</v>
      </c>
      <c r="K59" s="28">
        <f t="shared" si="3"/>
        <v>318.3077042406178</v>
      </c>
      <c r="L59" s="28">
        <f t="shared" si="3"/>
        <v>317.85584157521566</v>
      </c>
      <c r="M59" s="28">
        <f t="shared" si="3"/>
        <v>317.88110125095966</v>
      </c>
      <c r="N59" s="28">
        <f t="shared" si="3"/>
        <v>317.89768595041323</v>
      </c>
      <c r="P59" s="41">
        <v>-12</v>
      </c>
      <c r="Q59" s="36" cm="1">
        <f t="array" ref="Q59">-Q44/SQRT(INDEX(_R_1,ROW(A13),ROW(A13))*INDEX(_R_1,COLUMN(A13),COLUMN(A13)))</f>
        <v>-2.8701545550092408E-2</v>
      </c>
      <c r="R59" s="36" cm="1">
        <f t="array" ref="R59">-R44/SQRT(INDEX(_R_1,ROW(B13),ROW(B13))*INDEX(_R_1,COLUMN(B13),COLUMN(B13)))</f>
        <v>9.6331488241047147E-2</v>
      </c>
      <c r="S59" s="36" cm="1">
        <f t="array" ref="S59">-S44/SQRT(INDEX(_R_1,ROW(C13),ROW(C13))*INDEX(_R_1,COLUMN(C13),COLUMN(C13)))</f>
        <v>2.1601675893140986E-2</v>
      </c>
      <c r="T59" s="36" cm="1">
        <f t="array" ref="T59">-T44/SQRT(INDEX(_R_1,ROW(D13),ROW(D13))*INDEX(_R_1,COLUMN(D13),COLUMN(D13)))</f>
        <v>1.6341897844183776E-2</v>
      </c>
      <c r="U59" s="36" cm="1">
        <f t="array" ref="U59">-U44/SQRT(INDEX(_R_1,ROW(E13),ROW(E13))*INDEX(_R_1,COLUMN(E13),COLUMN(E13)))</f>
        <v>-2.0042146054601619E-2</v>
      </c>
      <c r="V59" s="36" cm="1">
        <f t="array" ref="V59">-V44/SQRT(INDEX(_R_1,ROW(F13),ROW(F13))*INDEX(_R_1,COLUMN(F13),COLUMN(F13)))</f>
        <v>1.4221711693475839E-2</v>
      </c>
      <c r="W59" s="36" cm="1">
        <f t="array" ref="W59">-W44/SQRT(INDEX(_R_1,ROW(G13),ROW(G13))*INDEX(_R_1,COLUMN(G13),COLUMN(G13)))</f>
        <v>1.1128569183133477E-2</v>
      </c>
      <c r="X59" s="36" cm="1">
        <f t="array" ref="X59">-X44/SQRT(INDEX(_R_1,ROW(H13),ROW(H13))*INDEX(_R_1,COLUMN(H13),COLUMN(H13)))</f>
        <v>1.5760747093011826E-2</v>
      </c>
      <c r="Y59" s="36" cm="1">
        <f t="array" ref="Y59">-Y44/SQRT(INDEX(_R_1,ROW(I13),ROW(I13))*INDEX(_R_1,COLUMN(I13),COLUMN(I13)))</f>
        <v>3.3789227666475789E-2</v>
      </c>
      <c r="Z59" s="36" cm="1">
        <f t="array" ref="Z59">-Z44/SQRT(INDEX(_R_1,ROW(J13),ROW(J13))*INDEX(_R_1,COLUMN(J13),COLUMN(J13)))</f>
        <v>-3.4038716556891516E-2</v>
      </c>
      <c r="AA59" s="36" cm="1">
        <f t="array" ref="AA59">-AA44/SQRT(INDEX(_R_1,ROW(K13),ROW(K13))*INDEX(_R_1,COLUMN(K13),COLUMN(K13)))</f>
        <v>9.5186646341314338E-2</v>
      </c>
      <c r="AB59" s="36" cm="1">
        <f t="array" ref="AB59">-AB44/SQRT(INDEX(_R_1,ROW(L13),ROW(L13))*INDEX(_R_1,COLUMN(L13),COLUMN(L13)))</f>
        <v>0.58161214944392625</v>
      </c>
      <c r="AC59" s="36">
        <v>1</v>
      </c>
    </row>
    <row r="60" spans="1:29" x14ac:dyDescent="0.4">
      <c r="A60" s="1">
        <v>23012</v>
      </c>
      <c r="B60" s="28">
        <v>318.68110125095967</v>
      </c>
      <c r="C60" s="28">
        <f t="shared" si="3"/>
        <v>318.58768595041323</v>
      </c>
      <c r="D60" s="28">
        <f t="shared" si="3"/>
        <v>318.74164769904712</v>
      </c>
      <c r="E60" s="28">
        <f t="shared" si="3"/>
        <v>318.74708485751705</v>
      </c>
      <c r="F60" s="28">
        <f t="shared" si="3"/>
        <v>319.45432529467553</v>
      </c>
      <c r="G60" s="28">
        <f t="shared" si="3"/>
        <v>318.80992638757169</v>
      </c>
      <c r="H60" s="28">
        <f t="shared" si="3"/>
        <v>318.88208485751704</v>
      </c>
      <c r="I60" s="28">
        <f t="shared" si="3"/>
        <v>318.26162037664272</v>
      </c>
      <c r="J60" s="28">
        <f t="shared" si="3"/>
        <v>317.93902474822738</v>
      </c>
      <c r="K60" s="28">
        <f t="shared" si="3"/>
        <v>317.9819527615951</v>
      </c>
      <c r="L60" s="28">
        <f t="shared" si="3"/>
        <v>318.3077042406178</v>
      </c>
      <c r="M60" s="28">
        <f t="shared" si="3"/>
        <v>317.85584157521566</v>
      </c>
      <c r="N60" s="28">
        <f t="shared" si="3"/>
        <v>317.88110125095966</v>
      </c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4">
      <c r="A61" s="1">
        <v>23043</v>
      </c>
      <c r="B61" s="28">
        <v>318.37584157521565</v>
      </c>
      <c r="C61" s="28">
        <f t="shared" ref="C61:N124" si="4">IF(B60=0,"",B60)</f>
        <v>318.68110125095967</v>
      </c>
      <c r="D61" s="28">
        <f t="shared" si="4"/>
        <v>318.58768595041323</v>
      </c>
      <c r="E61" s="28">
        <f t="shared" si="4"/>
        <v>318.74164769904712</v>
      </c>
      <c r="F61" s="28">
        <f t="shared" si="4"/>
        <v>318.74708485751705</v>
      </c>
      <c r="G61" s="28">
        <f t="shared" si="4"/>
        <v>319.45432529467553</v>
      </c>
      <c r="H61" s="28">
        <f t="shared" si="4"/>
        <v>318.80992638757169</v>
      </c>
      <c r="I61" s="28">
        <f t="shared" si="4"/>
        <v>318.88208485751704</v>
      </c>
      <c r="J61" s="28">
        <f t="shared" si="4"/>
        <v>318.26162037664272</v>
      </c>
      <c r="K61" s="28">
        <f t="shared" si="4"/>
        <v>317.93902474822738</v>
      </c>
      <c r="L61" s="28">
        <f t="shared" si="4"/>
        <v>317.9819527615951</v>
      </c>
      <c r="M61" s="28">
        <f t="shared" si="4"/>
        <v>318.3077042406178</v>
      </c>
      <c r="N61" s="28">
        <f t="shared" si="4"/>
        <v>317.85584157521566</v>
      </c>
    </row>
    <row r="62" spans="1:29" x14ac:dyDescent="0.4">
      <c r="A62" s="1">
        <v>23071</v>
      </c>
      <c r="B62" s="28">
        <v>318.4877042406178</v>
      </c>
      <c r="C62" s="28">
        <f t="shared" si="4"/>
        <v>318.37584157521565</v>
      </c>
      <c r="D62" s="28">
        <f t="shared" si="4"/>
        <v>318.68110125095967</v>
      </c>
      <c r="E62" s="28">
        <f t="shared" si="4"/>
        <v>318.58768595041323</v>
      </c>
      <c r="F62" s="28">
        <f t="shared" si="4"/>
        <v>318.74164769904712</v>
      </c>
      <c r="G62" s="28">
        <f t="shared" si="4"/>
        <v>318.74708485751705</v>
      </c>
      <c r="H62" s="28">
        <f t="shared" si="4"/>
        <v>319.45432529467553</v>
      </c>
      <c r="I62" s="28">
        <f t="shared" si="4"/>
        <v>318.80992638757169</v>
      </c>
      <c r="J62" s="28">
        <f t="shared" si="4"/>
        <v>318.88208485751704</v>
      </c>
      <c r="K62" s="28">
        <f t="shared" si="4"/>
        <v>318.26162037664272</v>
      </c>
      <c r="L62" s="28">
        <f t="shared" si="4"/>
        <v>317.93902474822738</v>
      </c>
      <c r="M62" s="28">
        <f t="shared" si="4"/>
        <v>317.9819527615951</v>
      </c>
      <c r="N62" s="28">
        <f t="shared" si="4"/>
        <v>318.3077042406178</v>
      </c>
    </row>
    <row r="63" spans="1:29" x14ac:dyDescent="0.4">
      <c r="A63" s="1">
        <v>23102</v>
      </c>
      <c r="B63" s="28">
        <v>318.7919527615951</v>
      </c>
      <c r="C63" s="28">
        <f t="shared" si="4"/>
        <v>318.4877042406178</v>
      </c>
      <c r="D63" s="28">
        <f t="shared" si="4"/>
        <v>318.37584157521565</v>
      </c>
      <c r="E63" s="28">
        <f t="shared" si="4"/>
        <v>318.68110125095967</v>
      </c>
      <c r="F63" s="28">
        <f t="shared" si="4"/>
        <v>318.58768595041323</v>
      </c>
      <c r="G63" s="28">
        <f t="shared" si="4"/>
        <v>318.74164769904712</v>
      </c>
      <c r="H63" s="28">
        <f t="shared" si="4"/>
        <v>318.74708485751705</v>
      </c>
      <c r="I63" s="28">
        <f t="shared" si="4"/>
        <v>319.45432529467553</v>
      </c>
      <c r="J63" s="28">
        <f t="shared" si="4"/>
        <v>318.80992638757169</v>
      </c>
      <c r="K63" s="28">
        <f t="shared" si="4"/>
        <v>318.88208485751704</v>
      </c>
      <c r="L63" s="28">
        <f t="shared" si="4"/>
        <v>318.26162037664272</v>
      </c>
      <c r="M63" s="28">
        <f t="shared" si="4"/>
        <v>317.93902474822738</v>
      </c>
      <c r="N63" s="28">
        <f t="shared" si="4"/>
        <v>317.9819527615951</v>
      </c>
    </row>
    <row r="64" spans="1:29" x14ac:dyDescent="0.4">
      <c r="A64" s="1">
        <v>23132</v>
      </c>
      <c r="B64" s="28">
        <v>319.1690247482274</v>
      </c>
      <c r="C64" s="28">
        <f t="shared" si="4"/>
        <v>318.7919527615951</v>
      </c>
      <c r="D64" s="28">
        <f t="shared" si="4"/>
        <v>318.4877042406178</v>
      </c>
      <c r="E64" s="28">
        <f t="shared" si="4"/>
        <v>318.37584157521565</v>
      </c>
      <c r="F64" s="28">
        <f t="shared" si="4"/>
        <v>318.68110125095967</v>
      </c>
      <c r="G64" s="28">
        <f t="shared" si="4"/>
        <v>318.58768595041323</v>
      </c>
      <c r="H64" s="28">
        <f t="shared" si="4"/>
        <v>318.74164769904712</v>
      </c>
      <c r="I64" s="28">
        <f t="shared" si="4"/>
        <v>318.74708485751705</v>
      </c>
      <c r="J64" s="28">
        <f t="shared" si="4"/>
        <v>319.45432529467553</v>
      </c>
      <c r="K64" s="28">
        <f t="shared" si="4"/>
        <v>318.80992638757169</v>
      </c>
      <c r="L64" s="28">
        <f t="shared" si="4"/>
        <v>318.88208485751704</v>
      </c>
      <c r="M64" s="28">
        <f t="shared" si="4"/>
        <v>318.26162037664272</v>
      </c>
      <c r="N64" s="28">
        <f t="shared" si="4"/>
        <v>317.93902474822738</v>
      </c>
    </row>
    <row r="65" spans="1:14" x14ac:dyDescent="0.4">
      <c r="A65" s="1">
        <v>23163</v>
      </c>
      <c r="B65" s="28">
        <v>319.12162037664274</v>
      </c>
      <c r="C65" s="28">
        <f t="shared" si="4"/>
        <v>319.1690247482274</v>
      </c>
      <c r="D65" s="28">
        <f t="shared" si="4"/>
        <v>318.7919527615951</v>
      </c>
      <c r="E65" s="28">
        <f t="shared" si="4"/>
        <v>318.4877042406178</v>
      </c>
      <c r="F65" s="28">
        <f t="shared" si="4"/>
        <v>318.37584157521565</v>
      </c>
      <c r="G65" s="28">
        <f t="shared" si="4"/>
        <v>318.68110125095967</v>
      </c>
      <c r="H65" s="28">
        <f t="shared" si="4"/>
        <v>318.58768595041323</v>
      </c>
      <c r="I65" s="28">
        <f t="shared" si="4"/>
        <v>318.74164769904712</v>
      </c>
      <c r="J65" s="28">
        <f t="shared" si="4"/>
        <v>318.74708485751705</v>
      </c>
      <c r="K65" s="28">
        <f t="shared" si="4"/>
        <v>319.45432529467553</v>
      </c>
      <c r="L65" s="28">
        <f t="shared" si="4"/>
        <v>318.80992638757169</v>
      </c>
      <c r="M65" s="28">
        <f t="shared" si="4"/>
        <v>318.88208485751704</v>
      </c>
      <c r="N65" s="28">
        <f t="shared" si="4"/>
        <v>318.26162037664272</v>
      </c>
    </row>
    <row r="66" spans="1:14" x14ac:dyDescent="0.4">
      <c r="A66" s="1">
        <v>23193</v>
      </c>
      <c r="B66" s="28">
        <v>319.01208485751704</v>
      </c>
      <c r="C66" s="28">
        <f t="shared" si="4"/>
        <v>319.12162037664274</v>
      </c>
      <c r="D66" s="28">
        <f t="shared" si="4"/>
        <v>319.1690247482274</v>
      </c>
      <c r="E66" s="28">
        <f t="shared" si="4"/>
        <v>318.7919527615951</v>
      </c>
      <c r="F66" s="28">
        <f t="shared" si="4"/>
        <v>318.4877042406178</v>
      </c>
      <c r="G66" s="28">
        <f t="shared" si="4"/>
        <v>318.37584157521565</v>
      </c>
      <c r="H66" s="28">
        <f t="shared" si="4"/>
        <v>318.68110125095967</v>
      </c>
      <c r="I66" s="28">
        <f t="shared" si="4"/>
        <v>318.58768595041323</v>
      </c>
      <c r="J66" s="28">
        <f t="shared" si="4"/>
        <v>318.74164769904712</v>
      </c>
      <c r="K66" s="28">
        <f t="shared" si="4"/>
        <v>318.74708485751705</v>
      </c>
      <c r="L66" s="28">
        <f t="shared" si="4"/>
        <v>319.45432529467553</v>
      </c>
      <c r="M66" s="28">
        <f t="shared" si="4"/>
        <v>318.80992638757169</v>
      </c>
      <c r="N66" s="28">
        <f t="shared" si="4"/>
        <v>318.88208485751704</v>
      </c>
    </row>
    <row r="67" spans="1:14" x14ac:dyDescent="0.4">
      <c r="A67" s="1">
        <v>23224</v>
      </c>
      <c r="B67" s="28">
        <v>319.1799263875717</v>
      </c>
      <c r="C67" s="28">
        <f t="shared" si="4"/>
        <v>319.01208485751704</v>
      </c>
      <c r="D67" s="28">
        <f t="shared" si="4"/>
        <v>319.12162037664274</v>
      </c>
      <c r="E67" s="28">
        <f t="shared" si="4"/>
        <v>319.1690247482274</v>
      </c>
      <c r="F67" s="28">
        <f t="shared" si="4"/>
        <v>318.7919527615951</v>
      </c>
      <c r="G67" s="28">
        <f t="shared" si="4"/>
        <v>318.4877042406178</v>
      </c>
      <c r="H67" s="28">
        <f t="shared" si="4"/>
        <v>318.37584157521565</v>
      </c>
      <c r="I67" s="28">
        <f t="shared" si="4"/>
        <v>318.68110125095967</v>
      </c>
      <c r="J67" s="28">
        <f t="shared" si="4"/>
        <v>318.58768595041323</v>
      </c>
      <c r="K67" s="28">
        <f t="shared" si="4"/>
        <v>318.74164769904712</v>
      </c>
      <c r="L67" s="28">
        <f t="shared" si="4"/>
        <v>318.74708485751705</v>
      </c>
      <c r="M67" s="28">
        <f t="shared" si="4"/>
        <v>319.45432529467553</v>
      </c>
      <c r="N67" s="28">
        <f t="shared" si="4"/>
        <v>318.80992638757169</v>
      </c>
    </row>
    <row r="68" spans="1:14" x14ac:dyDescent="0.4">
      <c r="A68" s="1">
        <v>23255</v>
      </c>
      <c r="B68" s="28">
        <v>319.41432529467551</v>
      </c>
      <c r="C68" s="28">
        <f t="shared" si="4"/>
        <v>319.1799263875717</v>
      </c>
      <c r="D68" s="28">
        <f t="shared" si="4"/>
        <v>319.01208485751704</v>
      </c>
      <c r="E68" s="28">
        <f t="shared" si="4"/>
        <v>319.12162037664274</v>
      </c>
      <c r="F68" s="28">
        <f t="shared" si="4"/>
        <v>319.1690247482274</v>
      </c>
      <c r="G68" s="28">
        <f t="shared" si="4"/>
        <v>318.7919527615951</v>
      </c>
      <c r="H68" s="28">
        <f t="shared" si="4"/>
        <v>318.4877042406178</v>
      </c>
      <c r="I68" s="28">
        <f t="shared" si="4"/>
        <v>318.37584157521565</v>
      </c>
      <c r="J68" s="28">
        <f t="shared" si="4"/>
        <v>318.68110125095967</v>
      </c>
      <c r="K68" s="28">
        <f t="shared" si="4"/>
        <v>318.58768595041323</v>
      </c>
      <c r="L68" s="28">
        <f t="shared" si="4"/>
        <v>318.74164769904712</v>
      </c>
      <c r="M68" s="28">
        <f t="shared" si="4"/>
        <v>318.74708485751705</v>
      </c>
      <c r="N68" s="28">
        <f t="shared" si="4"/>
        <v>319.45432529467553</v>
      </c>
    </row>
    <row r="69" spans="1:14" x14ac:dyDescent="0.4">
      <c r="A69" s="1">
        <v>23285</v>
      </c>
      <c r="B69" s="28">
        <v>319.31708485751705</v>
      </c>
      <c r="C69" s="28">
        <f t="shared" si="4"/>
        <v>319.41432529467551</v>
      </c>
      <c r="D69" s="28">
        <f t="shared" si="4"/>
        <v>319.1799263875717</v>
      </c>
      <c r="E69" s="28">
        <f t="shared" si="4"/>
        <v>319.01208485751704</v>
      </c>
      <c r="F69" s="28">
        <f t="shared" si="4"/>
        <v>319.12162037664274</v>
      </c>
      <c r="G69" s="28">
        <f t="shared" si="4"/>
        <v>319.1690247482274</v>
      </c>
      <c r="H69" s="28">
        <f t="shared" si="4"/>
        <v>318.7919527615951</v>
      </c>
      <c r="I69" s="28">
        <f t="shared" si="4"/>
        <v>318.4877042406178</v>
      </c>
      <c r="J69" s="28">
        <f t="shared" si="4"/>
        <v>318.37584157521565</v>
      </c>
      <c r="K69" s="28">
        <f t="shared" si="4"/>
        <v>318.68110125095967</v>
      </c>
      <c r="L69" s="28">
        <f t="shared" si="4"/>
        <v>318.58768595041323</v>
      </c>
      <c r="M69" s="28">
        <f t="shared" si="4"/>
        <v>318.74164769904712</v>
      </c>
      <c r="N69" s="28">
        <f t="shared" si="4"/>
        <v>318.74708485751705</v>
      </c>
    </row>
    <row r="70" spans="1:14" x14ac:dyDescent="0.4">
      <c r="A70" s="1">
        <v>23316</v>
      </c>
      <c r="B70" s="28">
        <v>319.12164769904712</v>
      </c>
      <c r="C70" s="28">
        <f t="shared" si="4"/>
        <v>319.31708485751705</v>
      </c>
      <c r="D70" s="28">
        <f t="shared" si="4"/>
        <v>319.41432529467551</v>
      </c>
      <c r="E70" s="28">
        <f t="shared" si="4"/>
        <v>319.1799263875717</v>
      </c>
      <c r="F70" s="28">
        <f t="shared" si="4"/>
        <v>319.01208485751704</v>
      </c>
      <c r="G70" s="28">
        <f t="shared" si="4"/>
        <v>319.12162037664274</v>
      </c>
      <c r="H70" s="28">
        <f t="shared" si="4"/>
        <v>319.1690247482274</v>
      </c>
      <c r="I70" s="28">
        <f t="shared" si="4"/>
        <v>318.7919527615951</v>
      </c>
      <c r="J70" s="28">
        <f t="shared" si="4"/>
        <v>318.4877042406178</v>
      </c>
      <c r="K70" s="28">
        <f t="shared" si="4"/>
        <v>318.37584157521565</v>
      </c>
      <c r="L70" s="28">
        <f t="shared" si="4"/>
        <v>318.68110125095967</v>
      </c>
      <c r="M70" s="28">
        <f t="shared" si="4"/>
        <v>318.58768595041323</v>
      </c>
      <c r="N70" s="28">
        <f t="shared" si="4"/>
        <v>318.74164769904712</v>
      </c>
    </row>
    <row r="71" spans="1:14" x14ac:dyDescent="0.4">
      <c r="A71" s="1">
        <v>23346</v>
      </c>
      <c r="B71" s="28">
        <v>319.23768595041327</v>
      </c>
      <c r="C71" s="28">
        <f t="shared" si="4"/>
        <v>319.12164769904712</v>
      </c>
      <c r="D71" s="28">
        <f t="shared" si="4"/>
        <v>319.31708485751705</v>
      </c>
      <c r="E71" s="28">
        <f t="shared" si="4"/>
        <v>319.41432529467551</v>
      </c>
      <c r="F71" s="28">
        <f t="shared" si="4"/>
        <v>319.1799263875717</v>
      </c>
      <c r="G71" s="28">
        <f t="shared" si="4"/>
        <v>319.01208485751704</v>
      </c>
      <c r="H71" s="28">
        <f t="shared" si="4"/>
        <v>319.12162037664274</v>
      </c>
      <c r="I71" s="28">
        <f t="shared" si="4"/>
        <v>319.1690247482274</v>
      </c>
      <c r="J71" s="28">
        <f t="shared" si="4"/>
        <v>318.7919527615951</v>
      </c>
      <c r="K71" s="28">
        <f t="shared" si="4"/>
        <v>318.4877042406178</v>
      </c>
      <c r="L71" s="28">
        <f t="shared" si="4"/>
        <v>318.37584157521565</v>
      </c>
      <c r="M71" s="28">
        <f t="shared" si="4"/>
        <v>318.68110125095967</v>
      </c>
      <c r="N71" s="28">
        <f t="shared" si="4"/>
        <v>318.58768595041323</v>
      </c>
    </row>
    <row r="72" spans="1:14" x14ac:dyDescent="0.4">
      <c r="A72" s="1">
        <v>23377</v>
      </c>
      <c r="B72" s="28">
        <v>319.51110125095965</v>
      </c>
      <c r="C72" s="28">
        <f t="shared" si="4"/>
        <v>319.23768595041327</v>
      </c>
      <c r="D72" s="28">
        <f t="shared" si="4"/>
        <v>319.12164769904712</v>
      </c>
      <c r="E72" s="28">
        <f t="shared" si="4"/>
        <v>319.31708485751705</v>
      </c>
      <c r="F72" s="28">
        <f t="shared" si="4"/>
        <v>319.41432529467551</v>
      </c>
      <c r="G72" s="28">
        <f t="shared" si="4"/>
        <v>319.1799263875717</v>
      </c>
      <c r="H72" s="28">
        <f t="shared" si="4"/>
        <v>319.01208485751704</v>
      </c>
      <c r="I72" s="28">
        <f t="shared" si="4"/>
        <v>319.12162037664274</v>
      </c>
      <c r="J72" s="28">
        <f t="shared" si="4"/>
        <v>319.1690247482274</v>
      </c>
      <c r="K72" s="28">
        <f t="shared" si="4"/>
        <v>318.7919527615951</v>
      </c>
      <c r="L72" s="28">
        <f t="shared" si="4"/>
        <v>318.4877042406178</v>
      </c>
      <c r="M72" s="28">
        <f t="shared" si="4"/>
        <v>318.37584157521565</v>
      </c>
      <c r="N72" s="28">
        <f t="shared" si="4"/>
        <v>318.68110125095967</v>
      </c>
    </row>
    <row r="73" spans="1:14" x14ac:dyDescent="0.4">
      <c r="A73" s="1">
        <v>23408</v>
      </c>
      <c r="B73" s="29">
        <v>319.56501512893465</v>
      </c>
      <c r="C73" s="28">
        <f t="shared" si="4"/>
        <v>319.51110125095965</v>
      </c>
      <c r="D73" s="28">
        <f t="shared" si="4"/>
        <v>319.23768595041327</v>
      </c>
      <c r="E73" s="28">
        <f t="shared" si="4"/>
        <v>319.12164769904712</v>
      </c>
      <c r="F73" s="28">
        <f t="shared" si="4"/>
        <v>319.31708485751705</v>
      </c>
      <c r="G73" s="28">
        <f t="shared" si="4"/>
        <v>319.41432529467551</v>
      </c>
      <c r="H73" s="28">
        <f t="shared" si="4"/>
        <v>319.1799263875717</v>
      </c>
      <c r="I73" s="28">
        <f t="shared" si="4"/>
        <v>319.01208485751704</v>
      </c>
      <c r="J73" s="28">
        <f t="shared" si="4"/>
        <v>319.12162037664274</v>
      </c>
      <c r="K73" s="28">
        <f t="shared" si="4"/>
        <v>319.1690247482274</v>
      </c>
      <c r="L73" s="28">
        <f t="shared" si="4"/>
        <v>318.7919527615951</v>
      </c>
      <c r="M73" s="28">
        <f t="shared" si="4"/>
        <v>318.4877042406178</v>
      </c>
      <c r="N73" s="28">
        <f t="shared" si="4"/>
        <v>318.37584157521565</v>
      </c>
    </row>
    <row r="74" spans="1:14" x14ac:dyDescent="0.4">
      <c r="A74" s="1">
        <v>23437</v>
      </c>
      <c r="B74" s="29">
        <v>319.53158853813841</v>
      </c>
      <c r="C74" s="28">
        <f t="shared" si="4"/>
        <v>319.56501512893465</v>
      </c>
      <c r="D74" s="28">
        <f t="shared" si="4"/>
        <v>319.51110125095965</v>
      </c>
      <c r="E74" s="28">
        <f t="shared" si="4"/>
        <v>319.23768595041327</v>
      </c>
      <c r="F74" s="28">
        <f t="shared" si="4"/>
        <v>319.12164769904712</v>
      </c>
      <c r="G74" s="28">
        <f t="shared" si="4"/>
        <v>319.31708485751705</v>
      </c>
      <c r="H74" s="28">
        <f t="shared" si="4"/>
        <v>319.41432529467551</v>
      </c>
      <c r="I74" s="28">
        <f t="shared" si="4"/>
        <v>319.1799263875717</v>
      </c>
      <c r="J74" s="28">
        <f t="shared" si="4"/>
        <v>319.01208485751704</v>
      </c>
      <c r="K74" s="28">
        <f t="shared" si="4"/>
        <v>319.12162037664274</v>
      </c>
      <c r="L74" s="28">
        <f t="shared" si="4"/>
        <v>319.1690247482274</v>
      </c>
      <c r="M74" s="28">
        <f t="shared" si="4"/>
        <v>318.7919527615951</v>
      </c>
      <c r="N74" s="28">
        <f t="shared" si="4"/>
        <v>318.4877042406178</v>
      </c>
    </row>
    <row r="75" spans="1:14" x14ac:dyDescent="0.4">
      <c r="A75" s="1">
        <v>23468</v>
      </c>
      <c r="B75" s="29">
        <v>319.00501061283478</v>
      </c>
      <c r="C75" s="28">
        <f t="shared" si="4"/>
        <v>319.53158853813841</v>
      </c>
      <c r="D75" s="28">
        <f t="shared" si="4"/>
        <v>319.56501512893465</v>
      </c>
      <c r="E75" s="28">
        <f t="shared" si="4"/>
        <v>319.51110125095965</v>
      </c>
      <c r="F75" s="28">
        <f t="shared" si="4"/>
        <v>319.23768595041327</v>
      </c>
      <c r="G75" s="28">
        <f t="shared" si="4"/>
        <v>319.12164769904712</v>
      </c>
      <c r="H75" s="28">
        <f t="shared" si="4"/>
        <v>319.31708485751705</v>
      </c>
      <c r="I75" s="28">
        <f t="shared" si="4"/>
        <v>319.41432529467551</v>
      </c>
      <c r="J75" s="28">
        <f t="shared" si="4"/>
        <v>319.1799263875717</v>
      </c>
      <c r="K75" s="28">
        <f t="shared" si="4"/>
        <v>319.01208485751704</v>
      </c>
      <c r="L75" s="28">
        <f t="shared" si="4"/>
        <v>319.12162037664274</v>
      </c>
      <c r="M75" s="28">
        <f t="shared" si="4"/>
        <v>319.1690247482274</v>
      </c>
      <c r="N75" s="28">
        <f t="shared" si="4"/>
        <v>318.7919527615951</v>
      </c>
    </row>
    <row r="76" spans="1:14" x14ac:dyDescent="0.4">
      <c r="A76" s="1">
        <v>23498</v>
      </c>
      <c r="B76" s="28">
        <v>319.17902474822739</v>
      </c>
      <c r="C76" s="28">
        <f t="shared" si="4"/>
        <v>319.00501061283478</v>
      </c>
      <c r="D76" s="28">
        <f t="shared" si="4"/>
        <v>319.53158853813841</v>
      </c>
      <c r="E76" s="28">
        <f t="shared" si="4"/>
        <v>319.56501512893465</v>
      </c>
      <c r="F76" s="28">
        <f t="shared" si="4"/>
        <v>319.51110125095965</v>
      </c>
      <c r="G76" s="28">
        <f t="shared" si="4"/>
        <v>319.23768595041327</v>
      </c>
      <c r="H76" s="28">
        <f t="shared" si="4"/>
        <v>319.12164769904712</v>
      </c>
      <c r="I76" s="28">
        <f t="shared" si="4"/>
        <v>319.31708485751705</v>
      </c>
      <c r="J76" s="28">
        <f t="shared" si="4"/>
        <v>319.41432529467551</v>
      </c>
      <c r="K76" s="28">
        <f t="shared" si="4"/>
        <v>319.1799263875717</v>
      </c>
      <c r="L76" s="28">
        <f t="shared" si="4"/>
        <v>319.01208485751704</v>
      </c>
      <c r="M76" s="28">
        <f t="shared" si="4"/>
        <v>319.12162037664274</v>
      </c>
      <c r="N76" s="28">
        <f t="shared" si="4"/>
        <v>319.1690247482274</v>
      </c>
    </row>
    <row r="77" spans="1:14" x14ac:dyDescent="0.4">
      <c r="A77" s="1">
        <v>23529</v>
      </c>
      <c r="B77" s="28">
        <v>319.53162037664271</v>
      </c>
      <c r="C77" s="28">
        <f t="shared" si="4"/>
        <v>319.17902474822739</v>
      </c>
      <c r="D77" s="28">
        <f t="shared" si="4"/>
        <v>319.00501061283478</v>
      </c>
      <c r="E77" s="28">
        <f t="shared" si="4"/>
        <v>319.53158853813841</v>
      </c>
      <c r="F77" s="28">
        <f t="shared" si="4"/>
        <v>319.56501512893465</v>
      </c>
      <c r="G77" s="28">
        <f t="shared" si="4"/>
        <v>319.51110125095965</v>
      </c>
      <c r="H77" s="28">
        <f t="shared" si="4"/>
        <v>319.23768595041327</v>
      </c>
      <c r="I77" s="28">
        <f t="shared" si="4"/>
        <v>319.12164769904712</v>
      </c>
      <c r="J77" s="28">
        <f t="shared" si="4"/>
        <v>319.31708485751705</v>
      </c>
      <c r="K77" s="28">
        <f t="shared" si="4"/>
        <v>319.41432529467551</v>
      </c>
      <c r="L77" s="28">
        <f t="shared" si="4"/>
        <v>319.1799263875717</v>
      </c>
      <c r="M77" s="28">
        <f t="shared" si="4"/>
        <v>319.01208485751704</v>
      </c>
      <c r="N77" s="28">
        <f t="shared" si="4"/>
        <v>319.12162037664274</v>
      </c>
    </row>
    <row r="78" spans="1:14" x14ac:dyDescent="0.4">
      <c r="A78" s="1">
        <v>23559</v>
      </c>
      <c r="B78" s="28">
        <v>319.71208485751703</v>
      </c>
      <c r="C78" s="28">
        <f t="shared" si="4"/>
        <v>319.53162037664271</v>
      </c>
      <c r="D78" s="28">
        <f t="shared" si="4"/>
        <v>319.17902474822739</v>
      </c>
      <c r="E78" s="28">
        <f t="shared" si="4"/>
        <v>319.00501061283478</v>
      </c>
      <c r="F78" s="28">
        <f t="shared" si="4"/>
        <v>319.53158853813841</v>
      </c>
      <c r="G78" s="28">
        <f t="shared" si="4"/>
        <v>319.56501512893465</v>
      </c>
      <c r="H78" s="28">
        <f t="shared" si="4"/>
        <v>319.51110125095965</v>
      </c>
      <c r="I78" s="28">
        <f t="shared" si="4"/>
        <v>319.23768595041327</v>
      </c>
      <c r="J78" s="28">
        <f t="shared" si="4"/>
        <v>319.12164769904712</v>
      </c>
      <c r="K78" s="28">
        <f t="shared" si="4"/>
        <v>319.31708485751705</v>
      </c>
      <c r="L78" s="28">
        <f t="shared" si="4"/>
        <v>319.41432529467551</v>
      </c>
      <c r="M78" s="28">
        <f t="shared" si="4"/>
        <v>319.1799263875717</v>
      </c>
      <c r="N78" s="28">
        <f t="shared" si="4"/>
        <v>319.01208485751704</v>
      </c>
    </row>
    <row r="79" spans="1:14" x14ac:dyDescent="0.4">
      <c r="A79" s="1">
        <v>23590</v>
      </c>
      <c r="B79" s="28">
        <v>320.09992638757171</v>
      </c>
      <c r="C79" s="28">
        <f t="shared" si="4"/>
        <v>319.71208485751703</v>
      </c>
      <c r="D79" s="28">
        <f t="shared" si="4"/>
        <v>319.53162037664271</v>
      </c>
      <c r="E79" s="28">
        <f t="shared" si="4"/>
        <v>319.17902474822739</v>
      </c>
      <c r="F79" s="28">
        <f t="shared" si="4"/>
        <v>319.00501061283478</v>
      </c>
      <c r="G79" s="28">
        <f t="shared" si="4"/>
        <v>319.53158853813841</v>
      </c>
      <c r="H79" s="28">
        <f t="shared" si="4"/>
        <v>319.56501512893465</v>
      </c>
      <c r="I79" s="28">
        <f t="shared" si="4"/>
        <v>319.51110125095965</v>
      </c>
      <c r="J79" s="28">
        <f t="shared" si="4"/>
        <v>319.23768595041327</v>
      </c>
      <c r="K79" s="28">
        <f t="shared" si="4"/>
        <v>319.12164769904712</v>
      </c>
      <c r="L79" s="28">
        <f t="shared" si="4"/>
        <v>319.31708485751705</v>
      </c>
      <c r="M79" s="28">
        <f t="shared" si="4"/>
        <v>319.41432529467551</v>
      </c>
      <c r="N79" s="28">
        <f t="shared" si="4"/>
        <v>319.1799263875717</v>
      </c>
    </row>
    <row r="80" spans="1:14" x14ac:dyDescent="0.4">
      <c r="A80" s="1">
        <v>23621</v>
      </c>
      <c r="B80" s="28">
        <v>319.90432529467552</v>
      </c>
      <c r="C80" s="28">
        <f t="shared" si="4"/>
        <v>320.09992638757171</v>
      </c>
      <c r="D80" s="28">
        <f t="shared" si="4"/>
        <v>319.71208485751703</v>
      </c>
      <c r="E80" s="28">
        <f t="shared" si="4"/>
        <v>319.53162037664271</v>
      </c>
      <c r="F80" s="28">
        <f t="shared" si="4"/>
        <v>319.17902474822739</v>
      </c>
      <c r="G80" s="28">
        <f t="shared" si="4"/>
        <v>319.00501061283478</v>
      </c>
      <c r="H80" s="28">
        <f t="shared" si="4"/>
        <v>319.53158853813841</v>
      </c>
      <c r="I80" s="28">
        <f t="shared" si="4"/>
        <v>319.56501512893465</v>
      </c>
      <c r="J80" s="28">
        <f t="shared" si="4"/>
        <v>319.51110125095965</v>
      </c>
      <c r="K80" s="28">
        <f t="shared" si="4"/>
        <v>319.23768595041327</v>
      </c>
      <c r="L80" s="28">
        <f t="shared" si="4"/>
        <v>319.12164769904712</v>
      </c>
      <c r="M80" s="28">
        <f t="shared" si="4"/>
        <v>319.31708485751705</v>
      </c>
      <c r="N80" s="28">
        <f t="shared" si="4"/>
        <v>319.41432529467551</v>
      </c>
    </row>
    <row r="81" spans="1:14" x14ac:dyDescent="0.4">
      <c r="A81" s="1">
        <v>23651</v>
      </c>
      <c r="B81" s="28">
        <v>320.19708485751704</v>
      </c>
      <c r="C81" s="28">
        <f t="shared" si="4"/>
        <v>319.90432529467552</v>
      </c>
      <c r="D81" s="28">
        <f t="shared" si="4"/>
        <v>320.09992638757171</v>
      </c>
      <c r="E81" s="28">
        <f t="shared" si="4"/>
        <v>319.71208485751703</v>
      </c>
      <c r="F81" s="28">
        <f t="shared" si="4"/>
        <v>319.53162037664271</v>
      </c>
      <c r="G81" s="28">
        <f t="shared" si="4"/>
        <v>319.17902474822739</v>
      </c>
      <c r="H81" s="28">
        <f t="shared" si="4"/>
        <v>319.00501061283478</v>
      </c>
      <c r="I81" s="28">
        <f t="shared" si="4"/>
        <v>319.53158853813841</v>
      </c>
      <c r="J81" s="28">
        <f t="shared" si="4"/>
        <v>319.56501512893465</v>
      </c>
      <c r="K81" s="28">
        <f t="shared" si="4"/>
        <v>319.51110125095965</v>
      </c>
      <c r="L81" s="28">
        <f t="shared" si="4"/>
        <v>319.23768595041327</v>
      </c>
      <c r="M81" s="28">
        <f t="shared" si="4"/>
        <v>319.12164769904712</v>
      </c>
      <c r="N81" s="28">
        <f t="shared" si="4"/>
        <v>319.31708485751705</v>
      </c>
    </row>
    <row r="82" spans="1:14" x14ac:dyDescent="0.4">
      <c r="A82" s="1">
        <v>23682</v>
      </c>
      <c r="B82" s="28">
        <v>319.73164769904713</v>
      </c>
      <c r="C82" s="28">
        <f t="shared" si="4"/>
        <v>320.19708485751704</v>
      </c>
      <c r="D82" s="28">
        <f t="shared" si="4"/>
        <v>319.90432529467552</v>
      </c>
      <c r="E82" s="28">
        <f t="shared" si="4"/>
        <v>320.09992638757171</v>
      </c>
      <c r="F82" s="28">
        <f t="shared" ref="C82:Q145" si="5">IF(E81=0,"",E81)</f>
        <v>319.71208485751703</v>
      </c>
      <c r="G82" s="28">
        <f t="shared" si="5"/>
        <v>319.53162037664271</v>
      </c>
      <c r="H82" s="28">
        <f t="shared" si="5"/>
        <v>319.17902474822739</v>
      </c>
      <c r="I82" s="28">
        <f t="shared" si="5"/>
        <v>319.00501061283478</v>
      </c>
      <c r="J82" s="28">
        <f t="shared" si="5"/>
        <v>319.53158853813841</v>
      </c>
      <c r="K82" s="28">
        <f t="shared" si="5"/>
        <v>319.56501512893465</v>
      </c>
      <c r="L82" s="28">
        <f t="shared" si="5"/>
        <v>319.51110125095965</v>
      </c>
      <c r="M82" s="28">
        <f t="shared" si="5"/>
        <v>319.23768595041327</v>
      </c>
      <c r="N82" s="28">
        <f t="shared" si="5"/>
        <v>319.12164769904712</v>
      </c>
    </row>
    <row r="83" spans="1:14" x14ac:dyDescent="0.4">
      <c r="A83" s="1">
        <v>23712</v>
      </c>
      <c r="B83" s="28">
        <v>319.59768595041322</v>
      </c>
      <c r="C83" s="28">
        <f t="shared" si="5"/>
        <v>319.73164769904713</v>
      </c>
      <c r="D83" s="28">
        <f t="shared" si="5"/>
        <v>320.19708485751704</v>
      </c>
      <c r="E83" s="28">
        <f t="shared" si="5"/>
        <v>319.90432529467552</v>
      </c>
      <c r="F83" s="28">
        <f t="shared" si="5"/>
        <v>320.09992638757171</v>
      </c>
      <c r="G83" s="28">
        <f t="shared" si="5"/>
        <v>319.71208485751703</v>
      </c>
      <c r="H83" s="28">
        <f t="shared" si="5"/>
        <v>319.53162037664271</v>
      </c>
      <c r="I83" s="28">
        <f t="shared" si="5"/>
        <v>319.17902474822739</v>
      </c>
      <c r="J83" s="28">
        <f t="shared" si="5"/>
        <v>319.00501061283478</v>
      </c>
      <c r="K83" s="28">
        <f t="shared" si="5"/>
        <v>319.53158853813841</v>
      </c>
      <c r="L83" s="28">
        <f t="shared" si="5"/>
        <v>319.56501512893465</v>
      </c>
      <c r="M83" s="28">
        <f t="shared" si="5"/>
        <v>319.51110125095965</v>
      </c>
      <c r="N83" s="28">
        <f t="shared" si="5"/>
        <v>319.23768595041327</v>
      </c>
    </row>
    <row r="84" spans="1:14" x14ac:dyDescent="0.4">
      <c r="A84" s="1">
        <v>23743</v>
      </c>
      <c r="B84" s="28">
        <v>319.38110125095966</v>
      </c>
      <c r="C84" s="28">
        <f t="shared" si="5"/>
        <v>319.59768595041322</v>
      </c>
      <c r="D84" s="28">
        <f t="shared" si="5"/>
        <v>319.73164769904713</v>
      </c>
      <c r="E84" s="28">
        <f t="shared" si="5"/>
        <v>320.19708485751704</v>
      </c>
      <c r="F84" s="28">
        <f t="shared" si="5"/>
        <v>319.90432529467552</v>
      </c>
      <c r="G84" s="28">
        <f t="shared" si="5"/>
        <v>320.09992638757171</v>
      </c>
      <c r="H84" s="28">
        <f t="shared" si="5"/>
        <v>319.71208485751703</v>
      </c>
      <c r="I84" s="28">
        <f t="shared" si="5"/>
        <v>319.53162037664271</v>
      </c>
      <c r="J84" s="28">
        <f t="shared" si="5"/>
        <v>319.17902474822739</v>
      </c>
      <c r="K84" s="28">
        <f t="shared" si="5"/>
        <v>319.00501061283478</v>
      </c>
      <c r="L84" s="28">
        <f t="shared" si="5"/>
        <v>319.53158853813841</v>
      </c>
      <c r="M84" s="28">
        <f t="shared" si="5"/>
        <v>319.56501512893465</v>
      </c>
      <c r="N84" s="28">
        <f t="shared" si="5"/>
        <v>319.51110125095965</v>
      </c>
    </row>
    <row r="85" spans="1:14" x14ac:dyDescent="0.4">
      <c r="A85" s="1">
        <v>23774</v>
      </c>
      <c r="B85" s="28">
        <v>319.74584157521565</v>
      </c>
      <c r="C85" s="28">
        <f t="shared" si="5"/>
        <v>319.38110125095966</v>
      </c>
      <c r="D85" s="28">
        <f t="shared" si="5"/>
        <v>319.59768595041322</v>
      </c>
      <c r="E85" s="28">
        <f t="shared" si="5"/>
        <v>319.73164769904713</v>
      </c>
      <c r="F85" s="28">
        <f t="shared" si="5"/>
        <v>320.19708485751704</v>
      </c>
      <c r="G85" s="28">
        <f t="shared" si="5"/>
        <v>319.90432529467552</v>
      </c>
      <c r="H85" s="28">
        <f t="shared" si="5"/>
        <v>320.09992638757171</v>
      </c>
      <c r="I85" s="28">
        <f t="shared" si="5"/>
        <v>319.71208485751703</v>
      </c>
      <c r="J85" s="28">
        <f t="shared" si="5"/>
        <v>319.53162037664271</v>
      </c>
      <c r="K85" s="28">
        <f t="shared" si="5"/>
        <v>319.17902474822739</v>
      </c>
      <c r="L85" s="28">
        <f t="shared" si="5"/>
        <v>319.00501061283478</v>
      </c>
      <c r="M85" s="28">
        <f t="shared" si="5"/>
        <v>319.53158853813841</v>
      </c>
      <c r="N85" s="28">
        <f t="shared" si="5"/>
        <v>319.56501512893465</v>
      </c>
    </row>
    <row r="86" spans="1:14" x14ac:dyDescent="0.4">
      <c r="A86" s="1">
        <v>23802</v>
      </c>
      <c r="B86" s="28">
        <v>319.51770424061777</v>
      </c>
      <c r="C86" s="28">
        <f t="shared" si="5"/>
        <v>319.74584157521565</v>
      </c>
      <c r="D86" s="28">
        <f t="shared" si="5"/>
        <v>319.38110125095966</v>
      </c>
      <c r="E86" s="28">
        <f t="shared" si="5"/>
        <v>319.59768595041322</v>
      </c>
      <c r="F86" s="28">
        <f t="shared" si="5"/>
        <v>319.73164769904713</v>
      </c>
      <c r="G86" s="28">
        <f t="shared" si="5"/>
        <v>320.19708485751704</v>
      </c>
      <c r="H86" s="28">
        <f t="shared" si="5"/>
        <v>319.90432529467552</v>
      </c>
      <c r="I86" s="28">
        <f t="shared" si="5"/>
        <v>320.09992638757171</v>
      </c>
      <c r="J86" s="28">
        <f t="shared" si="5"/>
        <v>319.71208485751703</v>
      </c>
      <c r="K86" s="28">
        <f t="shared" si="5"/>
        <v>319.53162037664271</v>
      </c>
      <c r="L86" s="28">
        <f t="shared" si="5"/>
        <v>319.17902474822739</v>
      </c>
      <c r="M86" s="28">
        <f t="shared" si="5"/>
        <v>319.00501061283478</v>
      </c>
      <c r="N86" s="28">
        <f t="shared" si="5"/>
        <v>319.53158853813841</v>
      </c>
    </row>
    <row r="87" spans="1:14" x14ac:dyDescent="0.4">
      <c r="A87" s="1">
        <v>23833</v>
      </c>
      <c r="B87" s="28">
        <v>319.55195276159509</v>
      </c>
      <c r="C87" s="28">
        <f t="shared" si="5"/>
        <v>319.51770424061777</v>
      </c>
      <c r="D87" s="28">
        <f t="shared" si="5"/>
        <v>319.74584157521565</v>
      </c>
      <c r="E87" s="28">
        <f t="shared" si="5"/>
        <v>319.38110125095966</v>
      </c>
      <c r="F87" s="28">
        <f t="shared" si="5"/>
        <v>319.59768595041322</v>
      </c>
      <c r="G87" s="28">
        <f t="shared" si="5"/>
        <v>319.73164769904713</v>
      </c>
      <c r="H87" s="28">
        <f t="shared" si="5"/>
        <v>320.19708485751704</v>
      </c>
      <c r="I87" s="28">
        <f t="shared" si="5"/>
        <v>319.90432529467552</v>
      </c>
      <c r="J87" s="28">
        <f t="shared" si="5"/>
        <v>320.09992638757171</v>
      </c>
      <c r="K87" s="28">
        <f t="shared" si="5"/>
        <v>319.71208485751703</v>
      </c>
      <c r="L87" s="28">
        <f t="shared" si="5"/>
        <v>319.53162037664271</v>
      </c>
      <c r="M87" s="28">
        <f t="shared" si="5"/>
        <v>319.17902474822739</v>
      </c>
      <c r="N87" s="28">
        <f t="shared" si="5"/>
        <v>319.00501061283478</v>
      </c>
    </row>
    <row r="88" spans="1:14" x14ac:dyDescent="0.4">
      <c r="A88" s="1">
        <v>23863</v>
      </c>
      <c r="B88" s="28">
        <v>319.08902474822742</v>
      </c>
      <c r="C88" s="28">
        <f t="shared" si="5"/>
        <v>319.55195276159509</v>
      </c>
      <c r="D88" s="28">
        <f t="shared" si="5"/>
        <v>319.51770424061777</v>
      </c>
      <c r="E88" s="28">
        <f t="shared" si="5"/>
        <v>319.74584157521565</v>
      </c>
      <c r="F88" s="28">
        <f t="shared" si="5"/>
        <v>319.38110125095966</v>
      </c>
      <c r="G88" s="28">
        <f t="shared" si="5"/>
        <v>319.59768595041322</v>
      </c>
      <c r="H88" s="28">
        <f t="shared" si="5"/>
        <v>319.73164769904713</v>
      </c>
      <c r="I88" s="28">
        <f t="shared" si="5"/>
        <v>320.19708485751704</v>
      </c>
      <c r="J88" s="28">
        <f t="shared" si="5"/>
        <v>319.90432529467552</v>
      </c>
      <c r="K88" s="28">
        <f t="shared" si="5"/>
        <v>320.09992638757171</v>
      </c>
      <c r="L88" s="28">
        <f t="shared" si="5"/>
        <v>319.71208485751703</v>
      </c>
      <c r="M88" s="28">
        <f t="shared" si="5"/>
        <v>319.53162037664271</v>
      </c>
      <c r="N88" s="28">
        <f t="shared" si="5"/>
        <v>319.17902474822739</v>
      </c>
    </row>
    <row r="89" spans="1:14" x14ac:dyDescent="0.4">
      <c r="A89" s="1">
        <v>23894</v>
      </c>
      <c r="B89" s="28">
        <v>319.51162037664272</v>
      </c>
      <c r="C89" s="28">
        <f t="shared" si="5"/>
        <v>319.08902474822742</v>
      </c>
      <c r="D89" s="28">
        <f t="shared" si="5"/>
        <v>319.55195276159509</v>
      </c>
      <c r="E89" s="28">
        <f t="shared" si="5"/>
        <v>319.51770424061777</v>
      </c>
      <c r="F89" s="28">
        <f t="shared" si="5"/>
        <v>319.74584157521565</v>
      </c>
      <c r="G89" s="28">
        <f t="shared" si="5"/>
        <v>319.38110125095966</v>
      </c>
      <c r="H89" s="28">
        <f t="shared" si="5"/>
        <v>319.59768595041322</v>
      </c>
      <c r="I89" s="28">
        <f t="shared" si="5"/>
        <v>319.73164769904713</v>
      </c>
      <c r="J89" s="28">
        <f t="shared" si="5"/>
        <v>320.19708485751704</v>
      </c>
      <c r="K89" s="28">
        <f t="shared" si="5"/>
        <v>319.90432529467552</v>
      </c>
      <c r="L89" s="28">
        <f t="shared" si="5"/>
        <v>320.09992638757171</v>
      </c>
      <c r="M89" s="28">
        <f t="shared" si="5"/>
        <v>319.71208485751703</v>
      </c>
      <c r="N89" s="28">
        <f t="shared" si="5"/>
        <v>319.53162037664271</v>
      </c>
    </row>
    <row r="90" spans="1:14" x14ac:dyDescent="0.4">
      <c r="A90" s="1">
        <v>23924</v>
      </c>
      <c r="B90" s="28">
        <v>320.48208485751701</v>
      </c>
      <c r="C90" s="28">
        <f t="shared" si="5"/>
        <v>319.51162037664272</v>
      </c>
      <c r="D90" s="28">
        <f t="shared" si="5"/>
        <v>319.08902474822742</v>
      </c>
      <c r="E90" s="28">
        <f t="shared" si="5"/>
        <v>319.55195276159509</v>
      </c>
      <c r="F90" s="28">
        <f t="shared" si="5"/>
        <v>319.51770424061777</v>
      </c>
      <c r="G90" s="28">
        <f t="shared" si="5"/>
        <v>319.74584157521565</v>
      </c>
      <c r="H90" s="28">
        <f t="shared" si="5"/>
        <v>319.38110125095966</v>
      </c>
      <c r="I90" s="28">
        <f t="shared" si="5"/>
        <v>319.59768595041322</v>
      </c>
      <c r="J90" s="28">
        <f t="shared" si="5"/>
        <v>319.73164769904713</v>
      </c>
      <c r="K90" s="28">
        <f t="shared" si="5"/>
        <v>320.19708485751704</v>
      </c>
      <c r="L90" s="28">
        <f t="shared" si="5"/>
        <v>319.90432529467552</v>
      </c>
      <c r="M90" s="28">
        <f t="shared" si="5"/>
        <v>320.09992638757171</v>
      </c>
      <c r="N90" s="28">
        <f t="shared" si="5"/>
        <v>319.71208485751703</v>
      </c>
    </row>
    <row r="91" spans="1:14" x14ac:dyDescent="0.4">
      <c r="A91" s="1">
        <v>23955</v>
      </c>
      <c r="B91" s="28">
        <v>320.27992638757172</v>
      </c>
      <c r="C91" s="28">
        <f t="shared" si="5"/>
        <v>320.48208485751701</v>
      </c>
      <c r="D91" s="28">
        <f t="shared" si="5"/>
        <v>319.51162037664272</v>
      </c>
      <c r="E91" s="28">
        <f t="shared" si="5"/>
        <v>319.08902474822742</v>
      </c>
      <c r="F91" s="28">
        <f t="shared" si="5"/>
        <v>319.55195276159509</v>
      </c>
      <c r="G91" s="28">
        <f t="shared" si="5"/>
        <v>319.51770424061777</v>
      </c>
      <c r="H91" s="28">
        <f t="shared" si="5"/>
        <v>319.74584157521565</v>
      </c>
      <c r="I91" s="28">
        <f t="shared" si="5"/>
        <v>319.38110125095966</v>
      </c>
      <c r="J91" s="28">
        <f t="shared" si="5"/>
        <v>319.59768595041322</v>
      </c>
      <c r="K91" s="28">
        <f t="shared" si="5"/>
        <v>319.73164769904713</v>
      </c>
      <c r="L91" s="28">
        <f t="shared" si="5"/>
        <v>320.19708485751704</v>
      </c>
      <c r="M91" s="28">
        <f t="shared" si="5"/>
        <v>319.90432529467552</v>
      </c>
      <c r="N91" s="28">
        <f t="shared" si="5"/>
        <v>320.09992638757171</v>
      </c>
    </row>
    <row r="92" spans="1:14" x14ac:dyDescent="0.4">
      <c r="A92" s="1">
        <v>23986</v>
      </c>
      <c r="B92" s="28">
        <v>321.01432529467553</v>
      </c>
      <c r="C92" s="28">
        <f t="shared" si="5"/>
        <v>320.27992638757172</v>
      </c>
      <c r="D92" s="28">
        <f t="shared" si="5"/>
        <v>320.48208485751701</v>
      </c>
      <c r="E92" s="28">
        <f t="shared" si="5"/>
        <v>319.51162037664272</v>
      </c>
      <c r="F92" s="28">
        <f t="shared" si="5"/>
        <v>319.08902474822742</v>
      </c>
      <c r="G92" s="28">
        <f t="shared" si="5"/>
        <v>319.55195276159509</v>
      </c>
      <c r="H92" s="28">
        <f t="shared" si="5"/>
        <v>319.51770424061777</v>
      </c>
      <c r="I92" s="28">
        <f t="shared" si="5"/>
        <v>319.74584157521565</v>
      </c>
      <c r="J92" s="28">
        <f t="shared" si="5"/>
        <v>319.38110125095966</v>
      </c>
      <c r="K92" s="28">
        <f t="shared" si="5"/>
        <v>319.59768595041322</v>
      </c>
      <c r="L92" s="28">
        <f t="shared" si="5"/>
        <v>319.73164769904713</v>
      </c>
      <c r="M92" s="28">
        <f t="shared" si="5"/>
        <v>320.19708485751704</v>
      </c>
      <c r="N92" s="28">
        <f t="shared" si="5"/>
        <v>319.90432529467552</v>
      </c>
    </row>
    <row r="93" spans="1:14" x14ac:dyDescent="0.4">
      <c r="A93" s="1">
        <v>24016</v>
      </c>
      <c r="B93" s="28">
        <v>320.62708485751705</v>
      </c>
      <c r="C93" s="28">
        <f t="shared" si="5"/>
        <v>321.01432529467553</v>
      </c>
      <c r="D93" s="28">
        <f t="shared" si="5"/>
        <v>320.27992638757172</v>
      </c>
      <c r="E93" s="28">
        <f t="shared" si="5"/>
        <v>320.48208485751701</v>
      </c>
      <c r="F93" s="28">
        <f t="shared" si="5"/>
        <v>319.51162037664272</v>
      </c>
      <c r="G93" s="28">
        <f t="shared" si="5"/>
        <v>319.08902474822742</v>
      </c>
      <c r="H93" s="28">
        <f t="shared" si="5"/>
        <v>319.55195276159509</v>
      </c>
      <c r="I93" s="28">
        <f t="shared" si="5"/>
        <v>319.51770424061777</v>
      </c>
      <c r="J93" s="28">
        <f t="shared" si="5"/>
        <v>319.74584157521565</v>
      </c>
      <c r="K93" s="28">
        <f t="shared" si="5"/>
        <v>319.38110125095966</v>
      </c>
      <c r="L93" s="28">
        <f t="shared" si="5"/>
        <v>319.59768595041322</v>
      </c>
      <c r="M93" s="28">
        <f t="shared" si="5"/>
        <v>319.73164769904713</v>
      </c>
      <c r="N93" s="28">
        <f t="shared" si="5"/>
        <v>320.19708485751704</v>
      </c>
    </row>
    <row r="94" spans="1:14" x14ac:dyDescent="0.4">
      <c r="A94" s="1">
        <v>24047</v>
      </c>
      <c r="B94" s="28">
        <v>320.92164769904713</v>
      </c>
      <c r="C94" s="28">
        <f t="shared" si="5"/>
        <v>320.62708485751705</v>
      </c>
      <c r="D94" s="28">
        <f t="shared" si="5"/>
        <v>321.01432529467553</v>
      </c>
      <c r="E94" s="28">
        <f t="shared" si="5"/>
        <v>320.27992638757172</v>
      </c>
      <c r="F94" s="28">
        <f t="shared" si="5"/>
        <v>320.48208485751701</v>
      </c>
      <c r="G94" s="28">
        <f t="shared" si="5"/>
        <v>319.51162037664272</v>
      </c>
      <c r="H94" s="28">
        <f t="shared" si="5"/>
        <v>319.08902474822742</v>
      </c>
      <c r="I94" s="28">
        <f t="shared" si="5"/>
        <v>319.55195276159509</v>
      </c>
      <c r="J94" s="28">
        <f t="shared" si="5"/>
        <v>319.51770424061777</v>
      </c>
      <c r="K94" s="28">
        <f t="shared" si="5"/>
        <v>319.74584157521565</v>
      </c>
      <c r="L94" s="28">
        <f t="shared" si="5"/>
        <v>319.38110125095966</v>
      </c>
      <c r="M94" s="28">
        <f t="shared" si="5"/>
        <v>319.59768595041322</v>
      </c>
      <c r="N94" s="28">
        <f t="shared" si="5"/>
        <v>319.73164769904713</v>
      </c>
    </row>
    <row r="95" spans="1:14" x14ac:dyDescent="0.4">
      <c r="A95" s="1">
        <v>24077</v>
      </c>
      <c r="B95" s="28">
        <v>320.30768595041326</v>
      </c>
      <c r="C95" s="28">
        <f t="shared" si="5"/>
        <v>320.92164769904713</v>
      </c>
      <c r="D95" s="28">
        <f t="shared" si="5"/>
        <v>320.62708485751705</v>
      </c>
      <c r="E95" s="28">
        <f t="shared" si="5"/>
        <v>321.01432529467553</v>
      </c>
      <c r="F95" s="28">
        <f t="shared" si="5"/>
        <v>320.27992638757172</v>
      </c>
      <c r="G95" s="28">
        <f t="shared" si="5"/>
        <v>320.48208485751701</v>
      </c>
      <c r="H95" s="28">
        <f t="shared" si="5"/>
        <v>319.51162037664272</v>
      </c>
      <c r="I95" s="28">
        <f t="shared" si="5"/>
        <v>319.08902474822742</v>
      </c>
      <c r="J95" s="28">
        <f t="shared" si="5"/>
        <v>319.55195276159509</v>
      </c>
      <c r="K95" s="28">
        <f t="shared" si="5"/>
        <v>319.51770424061777</v>
      </c>
      <c r="L95" s="28">
        <f t="shared" si="5"/>
        <v>319.74584157521565</v>
      </c>
      <c r="M95" s="28">
        <f t="shared" si="5"/>
        <v>319.38110125095966</v>
      </c>
      <c r="N95" s="28">
        <f t="shared" si="5"/>
        <v>319.59768595041322</v>
      </c>
    </row>
    <row r="96" spans="1:14" x14ac:dyDescent="0.4">
      <c r="A96" s="1">
        <v>24108</v>
      </c>
      <c r="B96" s="28">
        <v>320.56110125095967</v>
      </c>
      <c r="C96" s="28">
        <f t="shared" si="5"/>
        <v>320.30768595041326</v>
      </c>
      <c r="D96" s="28">
        <f t="shared" si="5"/>
        <v>320.92164769904713</v>
      </c>
      <c r="E96" s="28">
        <f t="shared" si="5"/>
        <v>320.62708485751705</v>
      </c>
      <c r="F96" s="28">
        <f t="shared" si="5"/>
        <v>321.01432529467553</v>
      </c>
      <c r="G96" s="28">
        <f t="shared" si="5"/>
        <v>320.27992638757172</v>
      </c>
      <c r="H96" s="28">
        <f t="shared" si="5"/>
        <v>320.48208485751701</v>
      </c>
      <c r="I96" s="28">
        <f t="shared" si="5"/>
        <v>319.51162037664272</v>
      </c>
      <c r="J96" s="28">
        <f t="shared" si="5"/>
        <v>319.08902474822742</v>
      </c>
      <c r="K96" s="28">
        <f t="shared" si="5"/>
        <v>319.55195276159509</v>
      </c>
      <c r="L96" s="28">
        <f t="shared" si="5"/>
        <v>319.51770424061777</v>
      </c>
      <c r="M96" s="28">
        <f t="shared" si="5"/>
        <v>319.74584157521565</v>
      </c>
      <c r="N96" s="28">
        <f t="shared" si="5"/>
        <v>319.38110125095966</v>
      </c>
    </row>
    <row r="97" spans="1:14" x14ac:dyDescent="0.4">
      <c r="A97" s="1">
        <v>24139</v>
      </c>
      <c r="B97" s="28">
        <v>320.90584157521567</v>
      </c>
      <c r="C97" s="28">
        <f t="shared" si="5"/>
        <v>320.56110125095967</v>
      </c>
      <c r="D97" s="28">
        <f t="shared" si="5"/>
        <v>320.30768595041326</v>
      </c>
      <c r="E97" s="28">
        <f t="shared" si="5"/>
        <v>320.92164769904713</v>
      </c>
      <c r="F97" s="28">
        <f t="shared" si="5"/>
        <v>320.62708485751705</v>
      </c>
      <c r="G97" s="28">
        <f t="shared" si="5"/>
        <v>321.01432529467553</v>
      </c>
      <c r="H97" s="28">
        <f t="shared" si="5"/>
        <v>320.27992638757172</v>
      </c>
      <c r="I97" s="28">
        <f t="shared" si="5"/>
        <v>320.48208485751701</v>
      </c>
      <c r="J97" s="28">
        <f t="shared" si="5"/>
        <v>319.51162037664272</v>
      </c>
      <c r="K97" s="28">
        <f t="shared" si="5"/>
        <v>319.08902474822742</v>
      </c>
      <c r="L97" s="28">
        <f t="shared" si="5"/>
        <v>319.55195276159509</v>
      </c>
      <c r="M97" s="28">
        <f t="shared" si="5"/>
        <v>319.51770424061777</v>
      </c>
      <c r="N97" s="28">
        <f t="shared" si="5"/>
        <v>319.74584157521565</v>
      </c>
    </row>
    <row r="98" spans="1:14" x14ac:dyDescent="0.4">
      <c r="A98" s="1">
        <v>24167</v>
      </c>
      <c r="B98" s="28">
        <v>321.01770424061777</v>
      </c>
      <c r="C98" s="28">
        <f t="shared" si="5"/>
        <v>320.90584157521567</v>
      </c>
      <c r="D98" s="28">
        <f t="shared" si="5"/>
        <v>320.56110125095967</v>
      </c>
      <c r="E98" s="28">
        <f t="shared" si="5"/>
        <v>320.30768595041326</v>
      </c>
      <c r="F98" s="28">
        <f t="shared" si="5"/>
        <v>320.92164769904713</v>
      </c>
      <c r="G98" s="28">
        <f t="shared" si="5"/>
        <v>320.62708485751705</v>
      </c>
      <c r="H98" s="28">
        <f t="shared" si="5"/>
        <v>321.01432529467553</v>
      </c>
      <c r="I98" s="28">
        <f t="shared" si="5"/>
        <v>320.27992638757172</v>
      </c>
      <c r="J98" s="28">
        <f t="shared" si="5"/>
        <v>320.48208485751701</v>
      </c>
      <c r="K98" s="28">
        <f t="shared" si="5"/>
        <v>319.51162037664272</v>
      </c>
      <c r="L98" s="28">
        <f t="shared" si="5"/>
        <v>319.08902474822742</v>
      </c>
      <c r="M98" s="28">
        <f t="shared" si="5"/>
        <v>319.55195276159509</v>
      </c>
      <c r="N98" s="28">
        <f t="shared" si="5"/>
        <v>319.51770424061777</v>
      </c>
    </row>
    <row r="99" spans="1:14" x14ac:dyDescent="0.4">
      <c r="A99" s="1">
        <v>24198</v>
      </c>
      <c r="B99" s="28">
        <v>321.11195276159509</v>
      </c>
      <c r="C99" s="28">
        <f t="shared" si="5"/>
        <v>321.01770424061777</v>
      </c>
      <c r="D99" s="28">
        <f t="shared" si="5"/>
        <v>320.90584157521567</v>
      </c>
      <c r="E99" s="28">
        <f t="shared" si="5"/>
        <v>320.56110125095967</v>
      </c>
      <c r="F99" s="28">
        <f t="shared" si="5"/>
        <v>320.30768595041326</v>
      </c>
      <c r="G99" s="28">
        <f t="shared" si="5"/>
        <v>320.92164769904713</v>
      </c>
      <c r="H99" s="28">
        <f t="shared" si="5"/>
        <v>320.62708485751705</v>
      </c>
      <c r="I99" s="28">
        <f t="shared" si="5"/>
        <v>321.01432529467553</v>
      </c>
      <c r="J99" s="28">
        <f t="shared" si="5"/>
        <v>320.27992638757172</v>
      </c>
      <c r="K99" s="28">
        <f t="shared" si="5"/>
        <v>320.48208485751701</v>
      </c>
      <c r="L99" s="28">
        <f t="shared" si="5"/>
        <v>319.51162037664272</v>
      </c>
      <c r="M99" s="28">
        <f t="shared" si="5"/>
        <v>319.08902474822742</v>
      </c>
      <c r="N99" s="28">
        <f t="shared" si="5"/>
        <v>319.55195276159509</v>
      </c>
    </row>
    <row r="100" spans="1:14" x14ac:dyDescent="0.4">
      <c r="A100" s="1">
        <v>24228</v>
      </c>
      <c r="B100" s="28">
        <v>320.99902474822738</v>
      </c>
      <c r="C100" s="28">
        <f t="shared" si="5"/>
        <v>321.11195276159509</v>
      </c>
      <c r="D100" s="28">
        <f t="shared" si="5"/>
        <v>321.01770424061777</v>
      </c>
      <c r="E100" s="28">
        <f t="shared" si="5"/>
        <v>320.90584157521567</v>
      </c>
      <c r="F100" s="28">
        <f t="shared" si="5"/>
        <v>320.56110125095967</v>
      </c>
      <c r="G100" s="28">
        <f t="shared" si="5"/>
        <v>320.30768595041326</v>
      </c>
      <c r="H100" s="28">
        <f t="shared" si="5"/>
        <v>320.92164769904713</v>
      </c>
      <c r="I100" s="28">
        <f t="shared" si="5"/>
        <v>320.62708485751705</v>
      </c>
      <c r="J100" s="28">
        <f t="shared" si="5"/>
        <v>321.01432529467553</v>
      </c>
      <c r="K100" s="28">
        <f t="shared" si="5"/>
        <v>320.27992638757172</v>
      </c>
      <c r="L100" s="28">
        <f t="shared" si="5"/>
        <v>320.48208485751701</v>
      </c>
      <c r="M100" s="28">
        <f t="shared" si="5"/>
        <v>319.51162037664272</v>
      </c>
      <c r="N100" s="28">
        <f t="shared" si="5"/>
        <v>319.08902474822742</v>
      </c>
    </row>
    <row r="101" spans="1:14" x14ac:dyDescent="0.4">
      <c r="A101" s="1">
        <v>24259</v>
      </c>
      <c r="B101" s="28">
        <v>321.39162037664272</v>
      </c>
      <c r="C101" s="28">
        <f t="shared" si="5"/>
        <v>320.99902474822738</v>
      </c>
      <c r="D101" s="28">
        <f t="shared" si="5"/>
        <v>321.11195276159509</v>
      </c>
      <c r="E101" s="28">
        <f t="shared" si="5"/>
        <v>321.01770424061777</v>
      </c>
      <c r="F101" s="28">
        <f t="shared" si="5"/>
        <v>320.90584157521567</v>
      </c>
      <c r="G101" s="28">
        <f t="shared" si="5"/>
        <v>320.56110125095967</v>
      </c>
      <c r="H101" s="28">
        <f t="shared" si="5"/>
        <v>320.30768595041326</v>
      </c>
      <c r="I101" s="28">
        <f t="shared" si="5"/>
        <v>320.92164769904713</v>
      </c>
      <c r="J101" s="28">
        <f t="shared" si="5"/>
        <v>320.62708485751705</v>
      </c>
      <c r="K101" s="28">
        <f t="shared" si="5"/>
        <v>321.01432529467553</v>
      </c>
      <c r="L101" s="28">
        <f t="shared" si="5"/>
        <v>320.27992638757172</v>
      </c>
      <c r="M101" s="28">
        <f t="shared" si="5"/>
        <v>320.48208485751701</v>
      </c>
      <c r="N101" s="28">
        <f t="shared" si="5"/>
        <v>319.51162037664272</v>
      </c>
    </row>
    <row r="102" spans="1:14" x14ac:dyDescent="0.4">
      <c r="A102" s="1">
        <v>24289</v>
      </c>
      <c r="B102" s="28">
        <v>321.65208485751702</v>
      </c>
      <c r="C102" s="28">
        <f t="shared" si="5"/>
        <v>321.39162037664272</v>
      </c>
      <c r="D102" s="28">
        <f t="shared" si="5"/>
        <v>320.99902474822738</v>
      </c>
      <c r="E102" s="28">
        <f t="shared" si="5"/>
        <v>321.11195276159509</v>
      </c>
      <c r="F102" s="28">
        <f t="shared" si="5"/>
        <v>321.01770424061777</v>
      </c>
      <c r="G102" s="28">
        <f t="shared" si="5"/>
        <v>320.90584157521567</v>
      </c>
      <c r="H102" s="28">
        <f t="shared" si="5"/>
        <v>320.56110125095967</v>
      </c>
      <c r="I102" s="28">
        <f t="shared" si="5"/>
        <v>320.30768595041326</v>
      </c>
      <c r="J102" s="28">
        <f t="shared" si="5"/>
        <v>320.92164769904713</v>
      </c>
      <c r="K102" s="28">
        <f t="shared" si="5"/>
        <v>320.62708485751705</v>
      </c>
      <c r="L102" s="28">
        <f t="shared" si="5"/>
        <v>321.01432529467553</v>
      </c>
      <c r="M102" s="28">
        <f t="shared" si="5"/>
        <v>320.27992638757172</v>
      </c>
      <c r="N102" s="28">
        <f t="shared" si="5"/>
        <v>320.48208485751701</v>
      </c>
    </row>
    <row r="103" spans="1:14" x14ac:dyDescent="0.4">
      <c r="A103" s="1">
        <v>24320</v>
      </c>
      <c r="B103" s="28">
        <v>321.76992638757173</v>
      </c>
      <c r="C103" s="28">
        <f t="shared" si="5"/>
        <v>321.65208485751702</v>
      </c>
      <c r="D103" s="28">
        <f t="shared" si="5"/>
        <v>321.39162037664272</v>
      </c>
      <c r="E103" s="28">
        <f t="shared" si="5"/>
        <v>320.99902474822738</v>
      </c>
      <c r="F103" s="28">
        <f t="shared" si="5"/>
        <v>321.11195276159509</v>
      </c>
      <c r="G103" s="28">
        <f t="shared" si="5"/>
        <v>321.01770424061777</v>
      </c>
      <c r="H103" s="28">
        <f t="shared" si="5"/>
        <v>320.90584157521567</v>
      </c>
      <c r="I103" s="28">
        <f t="shared" ref="D103:S118" si="6">IF(H102=0,"",H102)</f>
        <v>320.56110125095967</v>
      </c>
      <c r="J103" s="28">
        <f t="shared" si="6"/>
        <v>320.30768595041326</v>
      </c>
      <c r="K103" s="28">
        <f t="shared" si="6"/>
        <v>320.92164769904713</v>
      </c>
      <c r="L103" s="28">
        <f t="shared" si="6"/>
        <v>320.62708485751705</v>
      </c>
      <c r="M103" s="28">
        <f t="shared" si="6"/>
        <v>321.01432529467553</v>
      </c>
      <c r="N103" s="28">
        <f t="shared" si="6"/>
        <v>320.27992638757172</v>
      </c>
    </row>
    <row r="104" spans="1:14" x14ac:dyDescent="0.4">
      <c r="A104" s="1">
        <v>24351</v>
      </c>
      <c r="B104" s="28">
        <v>321.84432529467551</v>
      </c>
      <c r="C104" s="28">
        <f t="shared" ref="C104:N167" si="7">IF(B103=0,"",B103)</f>
        <v>321.76992638757173</v>
      </c>
      <c r="D104" s="28">
        <f t="shared" si="6"/>
        <v>321.65208485751702</v>
      </c>
      <c r="E104" s="28">
        <f t="shared" si="6"/>
        <v>321.39162037664272</v>
      </c>
      <c r="F104" s="28">
        <f t="shared" si="6"/>
        <v>320.99902474822738</v>
      </c>
      <c r="G104" s="28">
        <f t="shared" si="6"/>
        <v>321.11195276159509</v>
      </c>
      <c r="H104" s="28">
        <f t="shared" si="6"/>
        <v>321.01770424061777</v>
      </c>
      <c r="I104" s="28">
        <f t="shared" si="6"/>
        <v>320.90584157521567</v>
      </c>
      <c r="J104" s="28">
        <f t="shared" si="6"/>
        <v>320.56110125095967</v>
      </c>
      <c r="K104" s="28">
        <f t="shared" si="6"/>
        <v>320.30768595041326</v>
      </c>
      <c r="L104" s="28">
        <f t="shared" si="6"/>
        <v>320.92164769904713</v>
      </c>
      <c r="M104" s="28">
        <f t="shared" si="6"/>
        <v>320.62708485751705</v>
      </c>
      <c r="N104" s="28">
        <f t="shared" si="6"/>
        <v>321.01432529467553</v>
      </c>
    </row>
    <row r="105" spans="1:14" x14ac:dyDescent="0.4">
      <c r="A105" s="1">
        <v>24381</v>
      </c>
      <c r="B105" s="28">
        <v>321.42708485751706</v>
      </c>
      <c r="C105" s="28">
        <f t="shared" si="7"/>
        <v>321.84432529467551</v>
      </c>
      <c r="D105" s="28">
        <f t="shared" si="6"/>
        <v>321.76992638757173</v>
      </c>
      <c r="E105" s="28">
        <f t="shared" si="6"/>
        <v>321.65208485751702</v>
      </c>
      <c r="F105" s="28">
        <f t="shared" si="6"/>
        <v>321.39162037664272</v>
      </c>
      <c r="G105" s="28">
        <f t="shared" si="6"/>
        <v>320.99902474822738</v>
      </c>
      <c r="H105" s="28">
        <f t="shared" si="6"/>
        <v>321.11195276159509</v>
      </c>
      <c r="I105" s="28">
        <f t="shared" si="6"/>
        <v>321.01770424061777</v>
      </c>
      <c r="J105" s="28">
        <f t="shared" si="6"/>
        <v>320.90584157521567</v>
      </c>
      <c r="K105" s="28">
        <f t="shared" si="6"/>
        <v>320.56110125095967</v>
      </c>
      <c r="L105" s="28">
        <f t="shared" si="6"/>
        <v>320.30768595041326</v>
      </c>
      <c r="M105" s="28">
        <f t="shared" si="6"/>
        <v>320.92164769904713</v>
      </c>
      <c r="N105" s="28">
        <f t="shared" si="6"/>
        <v>320.62708485751705</v>
      </c>
    </row>
    <row r="106" spans="1:14" x14ac:dyDescent="0.4">
      <c r="A106" s="1">
        <v>24412</v>
      </c>
      <c r="B106" s="28">
        <v>321.8316476990471</v>
      </c>
      <c r="C106" s="28">
        <f t="shared" si="7"/>
        <v>321.42708485751706</v>
      </c>
      <c r="D106" s="28">
        <f t="shared" si="6"/>
        <v>321.84432529467551</v>
      </c>
      <c r="E106" s="28">
        <f t="shared" si="6"/>
        <v>321.76992638757173</v>
      </c>
      <c r="F106" s="28">
        <f t="shared" si="6"/>
        <v>321.65208485751702</v>
      </c>
      <c r="G106" s="28">
        <f t="shared" si="6"/>
        <v>321.39162037664272</v>
      </c>
      <c r="H106" s="28">
        <f t="shared" si="6"/>
        <v>320.99902474822738</v>
      </c>
      <c r="I106" s="28">
        <f t="shared" si="6"/>
        <v>321.11195276159509</v>
      </c>
      <c r="J106" s="28">
        <f t="shared" si="6"/>
        <v>321.01770424061777</v>
      </c>
      <c r="K106" s="28">
        <f t="shared" si="6"/>
        <v>320.90584157521567</v>
      </c>
      <c r="L106" s="28">
        <f t="shared" si="6"/>
        <v>320.56110125095967</v>
      </c>
      <c r="M106" s="28">
        <f t="shared" si="6"/>
        <v>320.30768595041326</v>
      </c>
      <c r="N106" s="28">
        <f t="shared" si="6"/>
        <v>320.92164769904713</v>
      </c>
    </row>
    <row r="107" spans="1:14" x14ac:dyDescent="0.4">
      <c r="A107" s="1">
        <v>24442</v>
      </c>
      <c r="B107" s="28">
        <v>321.91768595041322</v>
      </c>
      <c r="C107" s="28">
        <f t="shared" si="7"/>
        <v>321.8316476990471</v>
      </c>
      <c r="D107" s="28">
        <f t="shared" si="6"/>
        <v>321.42708485751706</v>
      </c>
      <c r="E107" s="28">
        <f t="shared" si="6"/>
        <v>321.84432529467551</v>
      </c>
      <c r="F107" s="28">
        <f t="shared" si="6"/>
        <v>321.76992638757173</v>
      </c>
      <c r="G107" s="28">
        <f t="shared" si="6"/>
        <v>321.65208485751702</v>
      </c>
      <c r="H107" s="28">
        <f t="shared" si="6"/>
        <v>321.39162037664272</v>
      </c>
      <c r="I107" s="28">
        <f t="shared" si="6"/>
        <v>320.99902474822738</v>
      </c>
      <c r="J107" s="28">
        <f t="shared" si="6"/>
        <v>321.11195276159509</v>
      </c>
      <c r="K107" s="28">
        <f t="shared" si="6"/>
        <v>321.01770424061777</v>
      </c>
      <c r="L107" s="28">
        <f t="shared" si="6"/>
        <v>320.90584157521567</v>
      </c>
      <c r="M107" s="28">
        <f t="shared" si="6"/>
        <v>320.56110125095967</v>
      </c>
      <c r="N107" s="28">
        <f t="shared" si="6"/>
        <v>320.30768595041326</v>
      </c>
    </row>
    <row r="108" spans="1:14" x14ac:dyDescent="0.4">
      <c r="A108" s="1">
        <v>24473</v>
      </c>
      <c r="B108" s="28">
        <v>322.27110125095965</v>
      </c>
      <c r="C108" s="28">
        <f t="shared" si="7"/>
        <v>321.91768595041322</v>
      </c>
      <c r="D108" s="28">
        <f t="shared" si="6"/>
        <v>321.8316476990471</v>
      </c>
      <c r="E108" s="28">
        <f t="shared" si="6"/>
        <v>321.42708485751706</v>
      </c>
      <c r="F108" s="28">
        <f t="shared" si="6"/>
        <v>321.84432529467551</v>
      </c>
      <c r="G108" s="28">
        <f t="shared" si="6"/>
        <v>321.76992638757173</v>
      </c>
      <c r="H108" s="28">
        <f t="shared" si="6"/>
        <v>321.65208485751702</v>
      </c>
      <c r="I108" s="28">
        <f t="shared" si="6"/>
        <v>321.39162037664272</v>
      </c>
      <c r="J108" s="28">
        <f t="shared" si="6"/>
        <v>320.99902474822738</v>
      </c>
      <c r="K108" s="28">
        <f t="shared" si="6"/>
        <v>321.11195276159509</v>
      </c>
      <c r="L108" s="28">
        <f t="shared" si="6"/>
        <v>321.01770424061777</v>
      </c>
      <c r="M108" s="28">
        <f t="shared" si="6"/>
        <v>320.90584157521567</v>
      </c>
      <c r="N108" s="28">
        <f t="shared" si="6"/>
        <v>320.56110125095967</v>
      </c>
    </row>
    <row r="109" spans="1:14" x14ac:dyDescent="0.4">
      <c r="A109" s="1">
        <v>24504</v>
      </c>
      <c r="B109" s="28">
        <v>321.80584157521565</v>
      </c>
      <c r="C109" s="28">
        <f t="shared" si="7"/>
        <v>322.27110125095965</v>
      </c>
      <c r="D109" s="28">
        <f t="shared" si="6"/>
        <v>321.91768595041322</v>
      </c>
      <c r="E109" s="28">
        <f t="shared" si="6"/>
        <v>321.8316476990471</v>
      </c>
      <c r="F109" s="28">
        <f t="shared" si="6"/>
        <v>321.42708485751706</v>
      </c>
      <c r="G109" s="28">
        <f t="shared" si="6"/>
        <v>321.84432529467551</v>
      </c>
      <c r="H109" s="28">
        <f t="shared" si="6"/>
        <v>321.76992638757173</v>
      </c>
      <c r="I109" s="28">
        <f t="shared" si="6"/>
        <v>321.65208485751702</v>
      </c>
      <c r="J109" s="28">
        <f t="shared" si="6"/>
        <v>321.39162037664272</v>
      </c>
      <c r="K109" s="28">
        <f t="shared" si="6"/>
        <v>320.99902474822738</v>
      </c>
      <c r="L109" s="28">
        <f t="shared" si="6"/>
        <v>321.11195276159509</v>
      </c>
      <c r="M109" s="28">
        <f t="shared" si="6"/>
        <v>321.01770424061777</v>
      </c>
      <c r="N109" s="28">
        <f t="shared" si="6"/>
        <v>320.90584157521567</v>
      </c>
    </row>
    <row r="110" spans="1:14" x14ac:dyDescent="0.4">
      <c r="A110" s="1">
        <v>24532</v>
      </c>
      <c r="B110" s="28">
        <v>321.66770424061781</v>
      </c>
      <c r="C110" s="28">
        <f t="shared" si="7"/>
        <v>321.80584157521565</v>
      </c>
      <c r="D110" s="28">
        <f t="shared" si="6"/>
        <v>322.27110125095965</v>
      </c>
      <c r="E110" s="28">
        <f t="shared" si="6"/>
        <v>321.91768595041322</v>
      </c>
      <c r="F110" s="28">
        <f t="shared" si="6"/>
        <v>321.8316476990471</v>
      </c>
      <c r="G110" s="28">
        <f t="shared" si="6"/>
        <v>321.42708485751706</v>
      </c>
      <c r="H110" s="28">
        <f t="shared" si="6"/>
        <v>321.84432529467551</v>
      </c>
      <c r="I110" s="28">
        <f t="shared" si="6"/>
        <v>321.76992638757173</v>
      </c>
      <c r="J110" s="28">
        <f t="shared" si="6"/>
        <v>321.65208485751702</v>
      </c>
      <c r="K110" s="28">
        <f t="shared" si="6"/>
        <v>321.39162037664272</v>
      </c>
      <c r="L110" s="28">
        <f t="shared" si="6"/>
        <v>320.99902474822738</v>
      </c>
      <c r="M110" s="28">
        <f t="shared" si="6"/>
        <v>321.11195276159509</v>
      </c>
      <c r="N110" s="28">
        <f t="shared" si="6"/>
        <v>321.01770424061777</v>
      </c>
    </row>
    <row r="111" spans="1:14" x14ac:dyDescent="0.4">
      <c r="A111" s="1">
        <v>24563</v>
      </c>
      <c r="B111" s="28">
        <v>321.83195276159512</v>
      </c>
      <c r="C111" s="28">
        <f t="shared" si="7"/>
        <v>321.66770424061781</v>
      </c>
      <c r="D111" s="28">
        <f t="shared" si="6"/>
        <v>321.80584157521565</v>
      </c>
      <c r="E111" s="28">
        <f t="shared" si="6"/>
        <v>322.27110125095965</v>
      </c>
      <c r="F111" s="28">
        <f t="shared" si="6"/>
        <v>321.91768595041322</v>
      </c>
      <c r="G111" s="28">
        <f t="shared" si="6"/>
        <v>321.8316476990471</v>
      </c>
      <c r="H111" s="28">
        <f t="shared" si="6"/>
        <v>321.42708485751706</v>
      </c>
      <c r="I111" s="28">
        <f t="shared" si="6"/>
        <v>321.84432529467551</v>
      </c>
      <c r="J111" s="28">
        <f t="shared" si="6"/>
        <v>321.76992638757173</v>
      </c>
      <c r="K111" s="28">
        <f t="shared" si="6"/>
        <v>321.65208485751702</v>
      </c>
      <c r="L111" s="28">
        <f t="shared" si="6"/>
        <v>321.39162037664272</v>
      </c>
      <c r="M111" s="28">
        <f t="shared" si="6"/>
        <v>320.99902474822738</v>
      </c>
      <c r="N111" s="28">
        <f t="shared" si="6"/>
        <v>321.11195276159509</v>
      </c>
    </row>
    <row r="112" spans="1:14" x14ac:dyDescent="0.4">
      <c r="A112" s="1">
        <v>24593</v>
      </c>
      <c r="B112" s="28">
        <v>321.9190247482274</v>
      </c>
      <c r="C112" s="28">
        <f t="shared" si="7"/>
        <v>321.83195276159512</v>
      </c>
      <c r="D112" s="28">
        <f t="shared" si="6"/>
        <v>321.66770424061781</v>
      </c>
      <c r="E112" s="28">
        <f t="shared" si="6"/>
        <v>321.80584157521565</v>
      </c>
      <c r="F112" s="28">
        <f t="shared" si="6"/>
        <v>322.27110125095965</v>
      </c>
      <c r="G112" s="28">
        <f t="shared" si="6"/>
        <v>321.91768595041322</v>
      </c>
      <c r="H112" s="28">
        <f t="shared" si="6"/>
        <v>321.8316476990471</v>
      </c>
      <c r="I112" s="28">
        <f t="shared" si="6"/>
        <v>321.42708485751706</v>
      </c>
      <c r="J112" s="28">
        <f t="shared" si="6"/>
        <v>321.84432529467551</v>
      </c>
      <c r="K112" s="28">
        <f t="shared" si="6"/>
        <v>321.76992638757173</v>
      </c>
      <c r="L112" s="28">
        <f t="shared" si="6"/>
        <v>321.65208485751702</v>
      </c>
      <c r="M112" s="28">
        <f t="shared" si="6"/>
        <v>321.39162037664272</v>
      </c>
      <c r="N112" s="28">
        <f t="shared" si="6"/>
        <v>320.99902474822738</v>
      </c>
    </row>
    <row r="113" spans="1:14" x14ac:dyDescent="0.4">
      <c r="A113" s="1">
        <v>24624</v>
      </c>
      <c r="B113" s="28">
        <v>321.7316203766427</v>
      </c>
      <c r="C113" s="28">
        <f t="shared" si="7"/>
        <v>321.9190247482274</v>
      </c>
      <c r="D113" s="28">
        <f t="shared" si="6"/>
        <v>321.83195276159512</v>
      </c>
      <c r="E113" s="28">
        <f t="shared" si="6"/>
        <v>321.66770424061781</v>
      </c>
      <c r="F113" s="28">
        <f t="shared" si="6"/>
        <v>321.80584157521565</v>
      </c>
      <c r="G113" s="28">
        <f t="shared" si="6"/>
        <v>322.27110125095965</v>
      </c>
      <c r="H113" s="28">
        <f t="shared" si="6"/>
        <v>321.91768595041322</v>
      </c>
      <c r="I113" s="28">
        <f t="shared" si="6"/>
        <v>321.8316476990471</v>
      </c>
      <c r="J113" s="28">
        <f t="shared" si="6"/>
        <v>321.42708485751706</v>
      </c>
      <c r="K113" s="28">
        <f t="shared" si="6"/>
        <v>321.84432529467551</v>
      </c>
      <c r="L113" s="28">
        <f t="shared" si="6"/>
        <v>321.76992638757173</v>
      </c>
      <c r="M113" s="28">
        <f t="shared" si="6"/>
        <v>321.65208485751702</v>
      </c>
      <c r="N113" s="28">
        <f t="shared" si="6"/>
        <v>321.39162037664272</v>
      </c>
    </row>
    <row r="114" spans="1:14" x14ac:dyDescent="0.4">
      <c r="A114" s="1">
        <v>24654</v>
      </c>
      <c r="B114" s="28">
        <v>321.81208485751705</v>
      </c>
      <c r="C114" s="28">
        <f t="shared" si="7"/>
        <v>321.7316203766427</v>
      </c>
      <c r="D114" s="28">
        <f t="shared" si="6"/>
        <v>321.9190247482274</v>
      </c>
      <c r="E114" s="28">
        <f t="shared" si="6"/>
        <v>321.83195276159512</v>
      </c>
      <c r="F114" s="28">
        <f t="shared" si="6"/>
        <v>321.66770424061781</v>
      </c>
      <c r="G114" s="28">
        <f t="shared" si="6"/>
        <v>321.80584157521565</v>
      </c>
      <c r="H114" s="28">
        <f t="shared" si="6"/>
        <v>322.27110125095965</v>
      </c>
      <c r="I114" s="28">
        <f t="shared" si="6"/>
        <v>321.91768595041322</v>
      </c>
      <c r="J114" s="28">
        <f t="shared" si="6"/>
        <v>321.8316476990471</v>
      </c>
      <c r="K114" s="28">
        <f t="shared" si="6"/>
        <v>321.42708485751706</v>
      </c>
      <c r="L114" s="28">
        <f t="shared" si="6"/>
        <v>321.84432529467551</v>
      </c>
      <c r="M114" s="28">
        <f t="shared" si="6"/>
        <v>321.76992638757173</v>
      </c>
      <c r="N114" s="28">
        <f t="shared" si="6"/>
        <v>321.65208485751702</v>
      </c>
    </row>
    <row r="115" spans="1:14" x14ac:dyDescent="0.4">
      <c r="A115" s="1">
        <v>24685</v>
      </c>
      <c r="B115" s="28">
        <v>322.32992638757173</v>
      </c>
      <c r="C115" s="28">
        <f t="shared" si="7"/>
        <v>321.81208485751705</v>
      </c>
      <c r="D115" s="28">
        <f t="shared" si="6"/>
        <v>321.7316203766427</v>
      </c>
      <c r="E115" s="28">
        <f t="shared" si="6"/>
        <v>321.9190247482274</v>
      </c>
      <c r="F115" s="28">
        <f t="shared" si="6"/>
        <v>321.83195276159512</v>
      </c>
      <c r="G115" s="28">
        <f t="shared" si="6"/>
        <v>321.66770424061781</v>
      </c>
      <c r="H115" s="28">
        <f t="shared" si="6"/>
        <v>321.80584157521565</v>
      </c>
      <c r="I115" s="28">
        <f t="shared" si="6"/>
        <v>322.27110125095965</v>
      </c>
      <c r="J115" s="28">
        <f t="shared" si="6"/>
        <v>321.91768595041322</v>
      </c>
      <c r="K115" s="28">
        <f t="shared" si="6"/>
        <v>321.8316476990471</v>
      </c>
      <c r="L115" s="28">
        <f t="shared" si="6"/>
        <v>321.42708485751706</v>
      </c>
      <c r="M115" s="28">
        <f t="shared" si="6"/>
        <v>321.84432529467551</v>
      </c>
      <c r="N115" s="28">
        <f t="shared" si="6"/>
        <v>321.76992638757173</v>
      </c>
    </row>
    <row r="116" spans="1:14" x14ac:dyDescent="0.4">
      <c r="A116" s="1">
        <v>24716</v>
      </c>
      <c r="B116" s="28">
        <v>322.45432529467553</v>
      </c>
      <c r="C116" s="28">
        <f t="shared" si="7"/>
        <v>322.32992638757173</v>
      </c>
      <c r="D116" s="28">
        <f t="shared" si="6"/>
        <v>321.81208485751705</v>
      </c>
      <c r="E116" s="28">
        <f t="shared" si="6"/>
        <v>321.7316203766427</v>
      </c>
      <c r="F116" s="28">
        <f t="shared" si="6"/>
        <v>321.9190247482274</v>
      </c>
      <c r="G116" s="28">
        <f t="shared" si="6"/>
        <v>321.83195276159512</v>
      </c>
      <c r="H116" s="28">
        <f t="shared" si="6"/>
        <v>321.66770424061781</v>
      </c>
      <c r="I116" s="28">
        <f t="shared" si="6"/>
        <v>321.80584157521565</v>
      </c>
      <c r="J116" s="28">
        <f t="shared" si="6"/>
        <v>322.27110125095965</v>
      </c>
      <c r="K116" s="28">
        <f t="shared" si="6"/>
        <v>321.91768595041322</v>
      </c>
      <c r="L116" s="28">
        <f t="shared" si="6"/>
        <v>321.8316476990471</v>
      </c>
      <c r="M116" s="28">
        <f t="shared" si="6"/>
        <v>321.42708485751706</v>
      </c>
      <c r="N116" s="28">
        <f t="shared" si="6"/>
        <v>321.84432529467551</v>
      </c>
    </row>
    <row r="117" spans="1:14" x14ac:dyDescent="0.4">
      <c r="A117" s="1">
        <v>24746</v>
      </c>
      <c r="B117" s="28">
        <v>322.71708485751702</v>
      </c>
      <c r="C117" s="28">
        <f t="shared" si="7"/>
        <v>322.45432529467553</v>
      </c>
      <c r="D117" s="28">
        <f t="shared" si="6"/>
        <v>322.32992638757173</v>
      </c>
      <c r="E117" s="28">
        <f t="shared" si="6"/>
        <v>321.81208485751705</v>
      </c>
      <c r="F117" s="28">
        <f t="shared" si="6"/>
        <v>321.7316203766427</v>
      </c>
      <c r="G117" s="28">
        <f t="shared" si="6"/>
        <v>321.9190247482274</v>
      </c>
      <c r="H117" s="28">
        <f t="shared" si="6"/>
        <v>321.83195276159512</v>
      </c>
      <c r="I117" s="28">
        <f t="shared" si="6"/>
        <v>321.66770424061781</v>
      </c>
      <c r="J117" s="28">
        <f t="shared" si="6"/>
        <v>321.80584157521565</v>
      </c>
      <c r="K117" s="28">
        <f t="shared" si="6"/>
        <v>322.27110125095965</v>
      </c>
      <c r="L117" s="28">
        <f t="shared" si="6"/>
        <v>321.91768595041322</v>
      </c>
      <c r="M117" s="28">
        <f t="shared" si="6"/>
        <v>321.8316476990471</v>
      </c>
      <c r="N117" s="28">
        <f t="shared" si="6"/>
        <v>321.42708485751706</v>
      </c>
    </row>
    <row r="118" spans="1:14" x14ac:dyDescent="0.4">
      <c r="A118" s="1">
        <v>24777</v>
      </c>
      <c r="B118" s="28">
        <v>322.78164769904714</v>
      </c>
      <c r="C118" s="28">
        <f t="shared" si="7"/>
        <v>322.71708485751702</v>
      </c>
      <c r="D118" s="28">
        <f t="shared" si="6"/>
        <v>322.45432529467553</v>
      </c>
      <c r="E118" s="28">
        <f t="shared" si="6"/>
        <v>322.32992638757173</v>
      </c>
      <c r="F118" s="28">
        <f t="shared" si="6"/>
        <v>321.81208485751705</v>
      </c>
      <c r="G118" s="28">
        <f t="shared" si="6"/>
        <v>321.7316203766427</v>
      </c>
      <c r="H118" s="28">
        <f t="shared" si="6"/>
        <v>321.9190247482274</v>
      </c>
      <c r="I118" s="28">
        <f t="shared" si="6"/>
        <v>321.83195276159512</v>
      </c>
      <c r="J118" s="28">
        <f t="shared" si="6"/>
        <v>321.66770424061781</v>
      </c>
      <c r="K118" s="28">
        <f t="shared" si="6"/>
        <v>321.80584157521565</v>
      </c>
      <c r="L118" s="28">
        <f t="shared" si="6"/>
        <v>322.27110125095965</v>
      </c>
      <c r="M118" s="28">
        <f t="shared" si="6"/>
        <v>321.91768595041322</v>
      </c>
      <c r="N118" s="28">
        <f t="shared" si="6"/>
        <v>321.8316476990471</v>
      </c>
    </row>
    <row r="119" spans="1:14" x14ac:dyDescent="0.4">
      <c r="A119" s="1">
        <v>24807</v>
      </c>
      <c r="B119" s="28">
        <v>322.84768595041322</v>
      </c>
      <c r="C119" s="28">
        <f t="shared" si="7"/>
        <v>322.78164769904714</v>
      </c>
      <c r="D119" s="28">
        <f t="shared" si="7"/>
        <v>322.71708485751702</v>
      </c>
      <c r="E119" s="28">
        <f t="shared" si="7"/>
        <v>322.45432529467553</v>
      </c>
      <c r="F119" s="28">
        <f t="shared" si="7"/>
        <v>322.32992638757173</v>
      </c>
      <c r="G119" s="28">
        <f t="shared" si="7"/>
        <v>321.81208485751705</v>
      </c>
      <c r="H119" s="28">
        <f t="shared" si="7"/>
        <v>321.7316203766427</v>
      </c>
      <c r="I119" s="28">
        <f t="shared" si="7"/>
        <v>321.9190247482274</v>
      </c>
      <c r="J119" s="28">
        <f t="shared" si="7"/>
        <v>321.83195276159512</v>
      </c>
      <c r="K119" s="28">
        <f t="shared" si="7"/>
        <v>321.66770424061781</v>
      </c>
      <c r="L119" s="28">
        <f t="shared" si="7"/>
        <v>321.80584157521565</v>
      </c>
      <c r="M119" s="28">
        <f t="shared" si="7"/>
        <v>322.27110125095965</v>
      </c>
      <c r="N119" s="28">
        <f t="shared" si="7"/>
        <v>321.91768595041322</v>
      </c>
    </row>
    <row r="120" spans="1:14" x14ac:dyDescent="0.4">
      <c r="A120" s="1">
        <v>24838</v>
      </c>
      <c r="B120" s="28">
        <v>322.51110125095965</v>
      </c>
      <c r="C120" s="28">
        <f t="shared" si="7"/>
        <v>322.84768595041322</v>
      </c>
      <c r="D120" s="28">
        <f t="shared" si="7"/>
        <v>322.78164769904714</v>
      </c>
      <c r="E120" s="28">
        <f t="shared" si="7"/>
        <v>322.71708485751702</v>
      </c>
      <c r="F120" s="28">
        <f t="shared" si="7"/>
        <v>322.45432529467553</v>
      </c>
      <c r="G120" s="28">
        <f t="shared" si="7"/>
        <v>322.32992638757173</v>
      </c>
      <c r="H120" s="28">
        <f t="shared" si="7"/>
        <v>321.81208485751705</v>
      </c>
      <c r="I120" s="28">
        <f t="shared" si="7"/>
        <v>321.7316203766427</v>
      </c>
      <c r="J120" s="28">
        <f t="shared" si="7"/>
        <v>321.9190247482274</v>
      </c>
      <c r="K120" s="28">
        <f t="shared" si="7"/>
        <v>321.83195276159512</v>
      </c>
      <c r="L120" s="28">
        <f t="shared" si="7"/>
        <v>321.66770424061781</v>
      </c>
      <c r="M120" s="28">
        <f t="shared" si="7"/>
        <v>321.80584157521565</v>
      </c>
      <c r="N120" s="28">
        <f t="shared" si="7"/>
        <v>322.27110125095965</v>
      </c>
    </row>
    <row r="121" spans="1:14" x14ac:dyDescent="0.4">
      <c r="A121" s="1">
        <v>24869</v>
      </c>
      <c r="B121" s="28">
        <v>322.45584157521563</v>
      </c>
      <c r="C121" s="28">
        <f t="shared" si="7"/>
        <v>322.51110125095965</v>
      </c>
      <c r="D121" s="28">
        <f t="shared" si="7"/>
        <v>322.84768595041322</v>
      </c>
      <c r="E121" s="28">
        <f t="shared" si="7"/>
        <v>322.78164769904714</v>
      </c>
      <c r="F121" s="28">
        <f t="shared" si="7"/>
        <v>322.71708485751702</v>
      </c>
      <c r="G121" s="28">
        <f t="shared" si="7"/>
        <v>322.45432529467553</v>
      </c>
      <c r="H121" s="28">
        <f t="shared" si="7"/>
        <v>322.32992638757173</v>
      </c>
      <c r="I121" s="28">
        <f t="shared" si="7"/>
        <v>321.81208485751705</v>
      </c>
      <c r="J121" s="28">
        <f t="shared" si="7"/>
        <v>321.7316203766427</v>
      </c>
      <c r="K121" s="28">
        <f t="shared" si="7"/>
        <v>321.9190247482274</v>
      </c>
      <c r="L121" s="28">
        <f t="shared" si="7"/>
        <v>321.83195276159512</v>
      </c>
      <c r="M121" s="28">
        <f t="shared" si="7"/>
        <v>321.66770424061781</v>
      </c>
      <c r="N121" s="28">
        <f t="shared" si="7"/>
        <v>321.80584157521565</v>
      </c>
    </row>
    <row r="122" spans="1:14" x14ac:dyDescent="0.4">
      <c r="A122" s="1">
        <v>24898</v>
      </c>
      <c r="B122" s="28">
        <v>322.51770424061777</v>
      </c>
      <c r="C122" s="28">
        <f t="shared" si="7"/>
        <v>322.45584157521563</v>
      </c>
      <c r="D122" s="28">
        <f t="shared" si="7"/>
        <v>322.51110125095965</v>
      </c>
      <c r="E122" s="28">
        <f t="shared" si="7"/>
        <v>322.84768595041322</v>
      </c>
      <c r="F122" s="28">
        <f t="shared" si="7"/>
        <v>322.78164769904714</v>
      </c>
      <c r="G122" s="28">
        <f t="shared" si="7"/>
        <v>322.71708485751702</v>
      </c>
      <c r="H122" s="28">
        <f t="shared" si="7"/>
        <v>322.45432529467553</v>
      </c>
      <c r="I122" s="28">
        <f t="shared" si="7"/>
        <v>322.32992638757173</v>
      </c>
      <c r="J122" s="28">
        <f t="shared" si="7"/>
        <v>321.81208485751705</v>
      </c>
      <c r="K122" s="28">
        <f t="shared" si="7"/>
        <v>321.7316203766427</v>
      </c>
      <c r="L122" s="28">
        <f t="shared" si="7"/>
        <v>321.9190247482274</v>
      </c>
      <c r="M122" s="28">
        <f t="shared" si="7"/>
        <v>321.83195276159512</v>
      </c>
      <c r="N122" s="28">
        <f t="shared" si="7"/>
        <v>321.66770424061781</v>
      </c>
    </row>
    <row r="123" spans="1:14" x14ac:dyDescent="0.4">
      <c r="A123" s="1">
        <v>24929</v>
      </c>
      <c r="B123" s="28">
        <v>322.43195276159508</v>
      </c>
      <c r="C123" s="28">
        <f t="shared" si="7"/>
        <v>322.51770424061777</v>
      </c>
      <c r="D123" s="28">
        <f t="shared" si="7"/>
        <v>322.45584157521563</v>
      </c>
      <c r="E123" s="28">
        <f t="shared" si="7"/>
        <v>322.51110125095965</v>
      </c>
      <c r="F123" s="28">
        <f t="shared" si="7"/>
        <v>322.84768595041322</v>
      </c>
      <c r="G123" s="28">
        <f t="shared" si="7"/>
        <v>322.78164769904714</v>
      </c>
      <c r="H123" s="28">
        <f t="shared" si="7"/>
        <v>322.71708485751702</v>
      </c>
      <c r="I123" s="28">
        <f t="shared" si="7"/>
        <v>322.45432529467553</v>
      </c>
      <c r="J123" s="28">
        <f t="shared" si="7"/>
        <v>322.32992638757173</v>
      </c>
      <c r="K123" s="28">
        <f t="shared" si="7"/>
        <v>321.81208485751705</v>
      </c>
      <c r="L123" s="28">
        <f t="shared" si="7"/>
        <v>321.7316203766427</v>
      </c>
      <c r="M123" s="28">
        <f t="shared" si="7"/>
        <v>321.9190247482274</v>
      </c>
      <c r="N123" s="28">
        <f t="shared" si="7"/>
        <v>321.83195276159512</v>
      </c>
    </row>
    <row r="124" spans="1:14" x14ac:dyDescent="0.4">
      <c r="A124" s="1">
        <v>24959</v>
      </c>
      <c r="B124" s="28">
        <v>322.48902474822739</v>
      </c>
      <c r="C124" s="28">
        <f t="shared" si="7"/>
        <v>322.43195276159508</v>
      </c>
      <c r="D124" s="28">
        <f t="shared" si="7"/>
        <v>322.51770424061777</v>
      </c>
      <c r="E124" s="28">
        <f t="shared" si="7"/>
        <v>322.45584157521563</v>
      </c>
      <c r="F124" s="28">
        <f t="shared" si="7"/>
        <v>322.51110125095965</v>
      </c>
      <c r="G124" s="28">
        <f t="shared" si="7"/>
        <v>322.84768595041322</v>
      </c>
      <c r="H124" s="28">
        <f t="shared" si="7"/>
        <v>322.78164769904714</v>
      </c>
      <c r="I124" s="28">
        <f t="shared" si="7"/>
        <v>322.71708485751702</v>
      </c>
      <c r="J124" s="28">
        <f t="shared" si="7"/>
        <v>322.45432529467553</v>
      </c>
      <c r="K124" s="28">
        <f t="shared" si="7"/>
        <v>322.32992638757173</v>
      </c>
      <c r="L124" s="28">
        <f t="shared" si="7"/>
        <v>321.81208485751705</v>
      </c>
      <c r="M124" s="28">
        <f t="shared" si="7"/>
        <v>321.7316203766427</v>
      </c>
      <c r="N124" s="28">
        <f t="shared" si="7"/>
        <v>321.9190247482274</v>
      </c>
    </row>
    <row r="125" spans="1:14" x14ac:dyDescent="0.4">
      <c r="A125" s="1">
        <v>24990</v>
      </c>
      <c r="B125" s="28">
        <v>323.00162037664273</v>
      </c>
      <c r="C125" s="28">
        <f t="shared" si="7"/>
        <v>322.48902474822739</v>
      </c>
      <c r="D125" s="28">
        <f t="shared" si="7"/>
        <v>322.43195276159508</v>
      </c>
      <c r="E125" s="28">
        <f t="shared" si="7"/>
        <v>322.51770424061777</v>
      </c>
      <c r="F125" s="28">
        <f t="shared" si="7"/>
        <v>322.45584157521563</v>
      </c>
      <c r="G125" s="28">
        <f t="shared" si="7"/>
        <v>322.51110125095965</v>
      </c>
      <c r="H125" s="28">
        <f t="shared" si="7"/>
        <v>322.84768595041322</v>
      </c>
      <c r="I125" s="28">
        <f t="shared" si="7"/>
        <v>322.78164769904714</v>
      </c>
      <c r="J125" s="28">
        <f t="shared" si="7"/>
        <v>322.71708485751702</v>
      </c>
      <c r="K125" s="28">
        <f t="shared" si="7"/>
        <v>322.45432529467553</v>
      </c>
      <c r="L125" s="28">
        <f t="shared" si="7"/>
        <v>322.32992638757173</v>
      </c>
      <c r="M125" s="28">
        <f t="shared" si="7"/>
        <v>321.81208485751705</v>
      </c>
      <c r="N125" s="28">
        <f t="shared" si="7"/>
        <v>321.7316203766427</v>
      </c>
    </row>
    <row r="126" spans="1:14" x14ac:dyDescent="0.4">
      <c r="A126" s="1">
        <v>25020</v>
      </c>
      <c r="B126" s="28">
        <v>323.41208485751702</v>
      </c>
      <c r="C126" s="28">
        <f t="shared" si="7"/>
        <v>323.00162037664273</v>
      </c>
      <c r="D126" s="28">
        <f t="shared" si="7"/>
        <v>322.48902474822739</v>
      </c>
      <c r="E126" s="28">
        <f t="shared" si="7"/>
        <v>322.43195276159508</v>
      </c>
      <c r="F126" s="28">
        <f t="shared" si="7"/>
        <v>322.51770424061777</v>
      </c>
      <c r="G126" s="28">
        <f t="shared" si="7"/>
        <v>322.45584157521563</v>
      </c>
      <c r="H126" s="28">
        <f t="shared" si="7"/>
        <v>322.51110125095965</v>
      </c>
      <c r="I126" s="28">
        <f t="shared" si="7"/>
        <v>322.84768595041322</v>
      </c>
      <c r="J126" s="28">
        <f t="shared" si="7"/>
        <v>322.78164769904714</v>
      </c>
      <c r="K126" s="28">
        <f t="shared" si="7"/>
        <v>322.71708485751702</v>
      </c>
      <c r="L126" s="28">
        <f t="shared" si="7"/>
        <v>322.45432529467553</v>
      </c>
      <c r="M126" s="28">
        <f t="shared" si="7"/>
        <v>322.32992638757173</v>
      </c>
      <c r="N126" s="28">
        <f t="shared" si="7"/>
        <v>321.81208485751705</v>
      </c>
    </row>
    <row r="127" spans="1:14" x14ac:dyDescent="0.4">
      <c r="A127" s="1">
        <v>25051</v>
      </c>
      <c r="B127" s="28">
        <v>323.51992638757173</v>
      </c>
      <c r="C127" s="28">
        <f t="shared" si="7"/>
        <v>323.41208485751702</v>
      </c>
      <c r="D127" s="28">
        <f t="shared" si="7"/>
        <v>323.00162037664273</v>
      </c>
      <c r="E127" s="28">
        <f t="shared" si="7"/>
        <v>322.48902474822739</v>
      </c>
      <c r="F127" s="28">
        <f t="shared" si="7"/>
        <v>322.43195276159508</v>
      </c>
      <c r="G127" s="28">
        <f t="shared" si="7"/>
        <v>322.51770424061777</v>
      </c>
      <c r="H127" s="28">
        <f t="shared" si="7"/>
        <v>322.45584157521563</v>
      </c>
      <c r="I127" s="28">
        <f t="shared" si="7"/>
        <v>322.51110125095965</v>
      </c>
      <c r="J127" s="28">
        <f t="shared" si="7"/>
        <v>322.84768595041322</v>
      </c>
      <c r="K127" s="28">
        <f t="shared" si="7"/>
        <v>322.78164769904714</v>
      </c>
      <c r="L127" s="28">
        <f t="shared" si="7"/>
        <v>322.71708485751702</v>
      </c>
      <c r="M127" s="28">
        <f t="shared" si="7"/>
        <v>322.45432529467553</v>
      </c>
      <c r="N127" s="28">
        <f t="shared" si="7"/>
        <v>322.32992638757173</v>
      </c>
    </row>
    <row r="128" spans="1:14" x14ac:dyDescent="0.4">
      <c r="A128" s="1">
        <v>25082</v>
      </c>
      <c r="B128" s="28">
        <v>323.53432529467551</v>
      </c>
      <c r="C128" s="28">
        <f t="shared" si="7"/>
        <v>323.51992638757173</v>
      </c>
      <c r="D128" s="28">
        <f t="shared" si="7"/>
        <v>323.41208485751702</v>
      </c>
      <c r="E128" s="28">
        <f t="shared" si="7"/>
        <v>323.00162037664273</v>
      </c>
      <c r="F128" s="28">
        <f t="shared" si="7"/>
        <v>322.48902474822739</v>
      </c>
      <c r="G128" s="28">
        <f t="shared" si="7"/>
        <v>322.43195276159508</v>
      </c>
      <c r="H128" s="28">
        <f t="shared" si="7"/>
        <v>322.51770424061777</v>
      </c>
      <c r="I128" s="28">
        <f t="shared" si="7"/>
        <v>322.45584157521563</v>
      </c>
      <c r="J128" s="28">
        <f t="shared" si="7"/>
        <v>322.51110125095965</v>
      </c>
      <c r="K128" s="28">
        <f t="shared" si="7"/>
        <v>322.84768595041322</v>
      </c>
      <c r="L128" s="28">
        <f t="shared" si="7"/>
        <v>322.78164769904714</v>
      </c>
      <c r="M128" s="28">
        <f t="shared" si="7"/>
        <v>322.71708485751702</v>
      </c>
      <c r="N128" s="28">
        <f t="shared" si="7"/>
        <v>322.45432529467553</v>
      </c>
    </row>
    <row r="129" spans="1:14" x14ac:dyDescent="0.4">
      <c r="A129" s="1">
        <v>25112</v>
      </c>
      <c r="B129" s="28">
        <v>323.57708485751704</v>
      </c>
      <c r="C129" s="28">
        <f t="shared" si="7"/>
        <v>323.53432529467551</v>
      </c>
      <c r="D129" s="28">
        <f t="shared" si="7"/>
        <v>323.51992638757173</v>
      </c>
      <c r="E129" s="28">
        <f t="shared" si="7"/>
        <v>323.41208485751702</v>
      </c>
      <c r="F129" s="28">
        <f t="shared" si="7"/>
        <v>323.00162037664273</v>
      </c>
      <c r="G129" s="28">
        <f t="shared" si="7"/>
        <v>322.48902474822739</v>
      </c>
      <c r="H129" s="28">
        <f t="shared" si="7"/>
        <v>322.43195276159508</v>
      </c>
      <c r="I129" s="28">
        <f t="shared" si="7"/>
        <v>322.51770424061777</v>
      </c>
      <c r="J129" s="28">
        <f t="shared" si="7"/>
        <v>322.45584157521563</v>
      </c>
      <c r="K129" s="28">
        <f t="shared" si="7"/>
        <v>322.51110125095965</v>
      </c>
      <c r="L129" s="28">
        <f t="shared" si="7"/>
        <v>322.84768595041322</v>
      </c>
      <c r="M129" s="28">
        <f t="shared" si="7"/>
        <v>322.78164769904714</v>
      </c>
      <c r="N129" s="28">
        <f t="shared" si="7"/>
        <v>322.71708485751702</v>
      </c>
    </row>
    <row r="130" spans="1:14" x14ac:dyDescent="0.4">
      <c r="A130" s="1">
        <v>25143</v>
      </c>
      <c r="B130" s="28">
        <v>323.37164769904712</v>
      </c>
      <c r="C130" s="28">
        <f t="shared" si="7"/>
        <v>323.57708485751704</v>
      </c>
      <c r="D130" s="28">
        <f t="shared" si="7"/>
        <v>323.53432529467551</v>
      </c>
      <c r="E130" s="28">
        <f t="shared" si="7"/>
        <v>323.51992638757173</v>
      </c>
      <c r="F130" s="28">
        <f t="shared" si="7"/>
        <v>323.41208485751702</v>
      </c>
      <c r="G130" s="28">
        <f t="shared" si="7"/>
        <v>323.00162037664273</v>
      </c>
      <c r="H130" s="28">
        <f t="shared" si="7"/>
        <v>322.48902474822739</v>
      </c>
      <c r="I130" s="28">
        <f t="shared" si="7"/>
        <v>322.43195276159508</v>
      </c>
      <c r="J130" s="28">
        <f t="shared" si="7"/>
        <v>322.51770424061777</v>
      </c>
      <c r="K130" s="28">
        <f t="shared" si="7"/>
        <v>322.45584157521563</v>
      </c>
      <c r="L130" s="28">
        <f t="shared" si="7"/>
        <v>322.51110125095965</v>
      </c>
      <c r="M130" s="28">
        <f t="shared" si="7"/>
        <v>322.84768595041322</v>
      </c>
      <c r="N130" s="28">
        <f t="shared" si="7"/>
        <v>322.78164769904714</v>
      </c>
    </row>
    <row r="131" spans="1:14" x14ac:dyDescent="0.4">
      <c r="A131" s="1">
        <v>25173</v>
      </c>
      <c r="B131" s="28">
        <v>323.77768595041323</v>
      </c>
      <c r="C131" s="28">
        <f t="shared" si="7"/>
        <v>323.37164769904712</v>
      </c>
      <c r="D131" s="28">
        <f t="shared" si="7"/>
        <v>323.57708485751704</v>
      </c>
      <c r="E131" s="28">
        <f t="shared" si="7"/>
        <v>323.53432529467551</v>
      </c>
      <c r="F131" s="28">
        <f t="shared" si="7"/>
        <v>323.51992638757173</v>
      </c>
      <c r="G131" s="28">
        <f t="shared" si="7"/>
        <v>323.41208485751702</v>
      </c>
      <c r="H131" s="28">
        <f t="shared" si="7"/>
        <v>323.00162037664273</v>
      </c>
      <c r="I131" s="28">
        <f t="shared" si="7"/>
        <v>322.48902474822739</v>
      </c>
      <c r="J131" s="28">
        <f t="shared" si="7"/>
        <v>322.43195276159508</v>
      </c>
      <c r="K131" s="28">
        <f t="shared" si="7"/>
        <v>322.51770424061777</v>
      </c>
      <c r="L131" s="28">
        <f t="shared" si="7"/>
        <v>322.45584157521563</v>
      </c>
      <c r="M131" s="28">
        <f t="shared" si="7"/>
        <v>322.51110125095965</v>
      </c>
      <c r="N131" s="28">
        <f t="shared" si="7"/>
        <v>322.84768595041322</v>
      </c>
    </row>
    <row r="132" spans="1:14" x14ac:dyDescent="0.4">
      <c r="A132" s="1">
        <v>25204</v>
      </c>
      <c r="B132" s="28">
        <v>323.94110125095966</v>
      </c>
      <c r="C132" s="28">
        <f t="shared" si="7"/>
        <v>323.77768595041323</v>
      </c>
      <c r="D132" s="28">
        <f t="shared" si="7"/>
        <v>323.37164769904712</v>
      </c>
      <c r="E132" s="28">
        <f t="shared" si="7"/>
        <v>323.57708485751704</v>
      </c>
      <c r="F132" s="28">
        <f t="shared" si="7"/>
        <v>323.53432529467551</v>
      </c>
      <c r="G132" s="28">
        <f t="shared" si="7"/>
        <v>323.51992638757173</v>
      </c>
      <c r="H132" s="28">
        <f t="shared" si="7"/>
        <v>323.41208485751702</v>
      </c>
      <c r="I132" s="28">
        <f t="shared" si="7"/>
        <v>323.00162037664273</v>
      </c>
      <c r="J132" s="28">
        <f t="shared" si="7"/>
        <v>322.48902474822739</v>
      </c>
      <c r="K132" s="28">
        <f t="shared" si="7"/>
        <v>322.43195276159508</v>
      </c>
      <c r="L132" s="28">
        <f t="shared" si="7"/>
        <v>322.51770424061777</v>
      </c>
      <c r="M132" s="28">
        <f t="shared" si="7"/>
        <v>322.45584157521563</v>
      </c>
      <c r="N132" s="28">
        <f t="shared" si="7"/>
        <v>322.51110125095965</v>
      </c>
    </row>
    <row r="133" spans="1:14" x14ac:dyDescent="0.4">
      <c r="A133" s="1">
        <v>25235</v>
      </c>
      <c r="B133" s="28">
        <v>323.71584157521568</v>
      </c>
      <c r="C133" s="28">
        <f t="shared" si="7"/>
        <v>323.94110125095966</v>
      </c>
      <c r="D133" s="28">
        <f t="shared" si="7"/>
        <v>323.77768595041323</v>
      </c>
      <c r="E133" s="28">
        <f t="shared" si="7"/>
        <v>323.37164769904712</v>
      </c>
      <c r="F133" s="28">
        <f t="shared" si="7"/>
        <v>323.57708485751704</v>
      </c>
      <c r="G133" s="28">
        <f t="shared" si="7"/>
        <v>323.53432529467551</v>
      </c>
      <c r="H133" s="28">
        <f t="shared" si="7"/>
        <v>323.51992638757173</v>
      </c>
      <c r="I133" s="28">
        <f t="shared" si="7"/>
        <v>323.41208485751702</v>
      </c>
      <c r="J133" s="28">
        <f t="shared" si="7"/>
        <v>323.00162037664273</v>
      </c>
      <c r="K133" s="28">
        <f t="shared" si="7"/>
        <v>322.48902474822739</v>
      </c>
      <c r="L133" s="28">
        <f t="shared" si="7"/>
        <v>322.43195276159508</v>
      </c>
      <c r="M133" s="28">
        <f t="shared" si="7"/>
        <v>322.51770424061777</v>
      </c>
      <c r="N133" s="28">
        <f t="shared" si="7"/>
        <v>322.45584157521563</v>
      </c>
    </row>
    <row r="134" spans="1:14" x14ac:dyDescent="0.4">
      <c r="A134" s="1">
        <v>25263</v>
      </c>
      <c r="B134" s="28">
        <v>324.25770424061778</v>
      </c>
      <c r="C134" s="28">
        <f t="shared" si="7"/>
        <v>323.71584157521568</v>
      </c>
      <c r="D134" s="28">
        <f t="shared" si="7"/>
        <v>323.94110125095966</v>
      </c>
      <c r="E134" s="28">
        <f t="shared" si="7"/>
        <v>323.77768595041323</v>
      </c>
      <c r="F134" s="28">
        <f t="shared" si="7"/>
        <v>323.37164769904712</v>
      </c>
      <c r="G134" s="28">
        <f t="shared" si="7"/>
        <v>323.57708485751704</v>
      </c>
      <c r="H134" s="28">
        <f t="shared" si="7"/>
        <v>323.53432529467551</v>
      </c>
      <c r="I134" s="28">
        <f t="shared" si="7"/>
        <v>323.51992638757173</v>
      </c>
      <c r="J134" s="28">
        <f t="shared" si="7"/>
        <v>323.41208485751702</v>
      </c>
      <c r="K134" s="28">
        <f t="shared" si="7"/>
        <v>323.00162037664273</v>
      </c>
      <c r="L134" s="28">
        <f t="shared" si="7"/>
        <v>322.48902474822739</v>
      </c>
      <c r="M134" s="28">
        <f t="shared" si="7"/>
        <v>322.43195276159508</v>
      </c>
      <c r="N134" s="28">
        <f t="shared" si="7"/>
        <v>322.51770424061777</v>
      </c>
    </row>
    <row r="135" spans="1:14" x14ac:dyDescent="0.4">
      <c r="A135" s="1">
        <v>25294</v>
      </c>
      <c r="B135" s="28">
        <v>324.07195276159513</v>
      </c>
      <c r="C135" s="28">
        <f t="shared" si="7"/>
        <v>324.25770424061778</v>
      </c>
      <c r="D135" s="28">
        <f t="shared" si="7"/>
        <v>323.71584157521568</v>
      </c>
      <c r="E135" s="28">
        <f t="shared" si="7"/>
        <v>323.94110125095966</v>
      </c>
      <c r="F135" s="28">
        <f t="shared" si="7"/>
        <v>323.77768595041323</v>
      </c>
      <c r="G135" s="28">
        <f t="shared" si="7"/>
        <v>323.37164769904712</v>
      </c>
      <c r="H135" s="28">
        <f t="shared" si="7"/>
        <v>323.57708485751704</v>
      </c>
      <c r="I135" s="28">
        <f t="shared" si="7"/>
        <v>323.53432529467551</v>
      </c>
      <c r="J135" s="28">
        <f t="shared" si="7"/>
        <v>323.51992638757173</v>
      </c>
      <c r="K135" s="28">
        <f t="shared" si="7"/>
        <v>323.41208485751702</v>
      </c>
      <c r="L135" s="28">
        <f t="shared" si="7"/>
        <v>323.00162037664273</v>
      </c>
      <c r="M135" s="28">
        <f t="shared" si="7"/>
        <v>322.48902474822739</v>
      </c>
      <c r="N135" s="28">
        <f t="shared" si="7"/>
        <v>322.43195276159508</v>
      </c>
    </row>
    <row r="136" spans="1:14" x14ac:dyDescent="0.4">
      <c r="A136" s="1">
        <v>25324</v>
      </c>
      <c r="B136" s="28">
        <v>324.2990247482274</v>
      </c>
      <c r="C136" s="28">
        <f t="shared" si="7"/>
        <v>324.07195276159513</v>
      </c>
      <c r="D136" s="28">
        <f t="shared" si="7"/>
        <v>324.25770424061778</v>
      </c>
      <c r="E136" s="28">
        <f t="shared" si="7"/>
        <v>323.71584157521568</v>
      </c>
      <c r="F136" s="28">
        <f t="shared" si="7"/>
        <v>323.94110125095966</v>
      </c>
      <c r="G136" s="28">
        <f t="shared" si="7"/>
        <v>323.77768595041323</v>
      </c>
      <c r="H136" s="28">
        <f t="shared" si="7"/>
        <v>323.37164769904712</v>
      </c>
      <c r="I136" s="28">
        <f t="shared" si="7"/>
        <v>323.57708485751704</v>
      </c>
      <c r="J136" s="28">
        <f t="shared" si="7"/>
        <v>323.53432529467551</v>
      </c>
      <c r="K136" s="28">
        <f t="shared" si="7"/>
        <v>323.51992638757173</v>
      </c>
      <c r="L136" s="28">
        <f t="shared" si="7"/>
        <v>323.41208485751702</v>
      </c>
      <c r="M136" s="28">
        <f t="shared" si="7"/>
        <v>323.00162037664273</v>
      </c>
      <c r="N136" s="28">
        <f t="shared" si="7"/>
        <v>322.48902474822739</v>
      </c>
    </row>
    <row r="137" spans="1:14" x14ac:dyDescent="0.4">
      <c r="A137" s="1">
        <v>25355</v>
      </c>
      <c r="B137" s="28">
        <v>324.3516203766427</v>
      </c>
      <c r="C137" s="28">
        <f t="shared" si="7"/>
        <v>324.2990247482274</v>
      </c>
      <c r="D137" s="28">
        <f t="shared" si="7"/>
        <v>324.07195276159513</v>
      </c>
      <c r="E137" s="28">
        <f t="shared" si="7"/>
        <v>324.25770424061778</v>
      </c>
      <c r="F137" s="28">
        <f t="shared" si="7"/>
        <v>323.71584157521568</v>
      </c>
      <c r="G137" s="28">
        <f t="shared" si="7"/>
        <v>323.94110125095966</v>
      </c>
      <c r="H137" s="28">
        <f t="shared" si="7"/>
        <v>323.77768595041323</v>
      </c>
      <c r="I137" s="28">
        <f t="shared" si="7"/>
        <v>323.37164769904712</v>
      </c>
      <c r="J137" s="28">
        <f t="shared" si="7"/>
        <v>323.57708485751704</v>
      </c>
      <c r="K137" s="28">
        <f t="shared" si="7"/>
        <v>323.53432529467551</v>
      </c>
      <c r="L137" s="28">
        <f t="shared" si="7"/>
        <v>323.51992638757173</v>
      </c>
      <c r="M137" s="28">
        <f t="shared" si="7"/>
        <v>323.41208485751702</v>
      </c>
      <c r="N137" s="28">
        <f t="shared" si="7"/>
        <v>323.00162037664273</v>
      </c>
    </row>
    <row r="138" spans="1:14" x14ac:dyDescent="0.4">
      <c r="A138" s="1">
        <v>25385</v>
      </c>
      <c r="B138" s="28">
        <v>325.15208485751702</v>
      </c>
      <c r="C138" s="28">
        <f t="shared" si="7"/>
        <v>324.3516203766427</v>
      </c>
      <c r="D138" s="28">
        <f t="shared" si="7"/>
        <v>324.2990247482274</v>
      </c>
      <c r="E138" s="28">
        <f t="shared" si="7"/>
        <v>324.07195276159513</v>
      </c>
      <c r="F138" s="28">
        <f t="shared" si="7"/>
        <v>324.25770424061778</v>
      </c>
      <c r="G138" s="28">
        <f t="shared" si="7"/>
        <v>323.71584157521568</v>
      </c>
      <c r="H138" s="28">
        <f t="shared" si="7"/>
        <v>323.94110125095966</v>
      </c>
      <c r="I138" s="28">
        <f t="shared" si="7"/>
        <v>323.77768595041323</v>
      </c>
      <c r="J138" s="28">
        <f t="shared" si="7"/>
        <v>323.37164769904712</v>
      </c>
      <c r="K138" s="28">
        <f t="shared" si="7"/>
        <v>323.57708485751704</v>
      </c>
      <c r="L138" s="28">
        <f t="shared" si="7"/>
        <v>323.53432529467551</v>
      </c>
      <c r="M138" s="28">
        <f t="shared" si="7"/>
        <v>323.51992638757173</v>
      </c>
      <c r="N138" s="28">
        <f t="shared" si="7"/>
        <v>323.41208485751702</v>
      </c>
    </row>
    <row r="139" spans="1:14" x14ac:dyDescent="0.4">
      <c r="A139" s="1">
        <v>25416</v>
      </c>
      <c r="B139" s="28">
        <v>325.06992638757174</v>
      </c>
      <c r="C139" s="28">
        <f t="shared" ref="C139:N202" si="8">IF(B138=0,"",B138)</f>
        <v>325.15208485751702</v>
      </c>
      <c r="D139" s="28">
        <f t="shared" si="8"/>
        <v>324.3516203766427</v>
      </c>
      <c r="E139" s="28">
        <f t="shared" si="8"/>
        <v>324.2990247482274</v>
      </c>
      <c r="F139" s="28">
        <f t="shared" si="8"/>
        <v>324.07195276159513</v>
      </c>
      <c r="G139" s="28">
        <f t="shared" si="8"/>
        <v>324.25770424061778</v>
      </c>
      <c r="H139" s="28">
        <f t="shared" si="8"/>
        <v>323.71584157521568</v>
      </c>
      <c r="I139" s="28">
        <f t="shared" si="8"/>
        <v>323.94110125095966</v>
      </c>
      <c r="J139" s="28">
        <f t="shared" si="8"/>
        <v>323.77768595041323</v>
      </c>
      <c r="K139" s="28">
        <f t="shared" si="8"/>
        <v>323.37164769904712</v>
      </c>
      <c r="L139" s="28">
        <f t="shared" si="8"/>
        <v>323.57708485751704</v>
      </c>
      <c r="M139" s="28">
        <f t="shared" si="8"/>
        <v>323.53432529467551</v>
      </c>
      <c r="N139" s="28">
        <f t="shared" si="8"/>
        <v>323.51992638757173</v>
      </c>
    </row>
    <row r="140" spans="1:14" x14ac:dyDescent="0.4">
      <c r="A140" s="1">
        <v>25447</v>
      </c>
      <c r="B140" s="28">
        <v>325.58432529467552</v>
      </c>
      <c r="C140" s="28">
        <f t="shared" si="8"/>
        <v>325.06992638757174</v>
      </c>
      <c r="D140" s="28">
        <f t="shared" si="8"/>
        <v>325.15208485751702</v>
      </c>
      <c r="E140" s="28">
        <f t="shared" si="8"/>
        <v>324.3516203766427</v>
      </c>
      <c r="F140" s="28">
        <f t="shared" si="8"/>
        <v>324.2990247482274</v>
      </c>
      <c r="G140" s="28">
        <f t="shared" si="8"/>
        <v>324.07195276159513</v>
      </c>
      <c r="H140" s="28">
        <f t="shared" si="8"/>
        <v>324.25770424061778</v>
      </c>
      <c r="I140" s="28">
        <f t="shared" si="8"/>
        <v>323.71584157521568</v>
      </c>
      <c r="J140" s="28">
        <f t="shared" si="8"/>
        <v>323.94110125095966</v>
      </c>
      <c r="K140" s="28">
        <f t="shared" si="8"/>
        <v>323.77768595041323</v>
      </c>
      <c r="L140" s="28">
        <f t="shared" si="8"/>
        <v>323.37164769904712</v>
      </c>
      <c r="M140" s="28">
        <f t="shared" si="8"/>
        <v>323.57708485751704</v>
      </c>
      <c r="N140" s="28">
        <f t="shared" si="8"/>
        <v>323.53432529467551</v>
      </c>
    </row>
    <row r="141" spans="1:14" x14ac:dyDescent="0.4">
      <c r="A141" s="1">
        <v>25477</v>
      </c>
      <c r="B141" s="28">
        <v>325.10708485751701</v>
      </c>
      <c r="C141" s="28">
        <f t="shared" si="8"/>
        <v>325.58432529467552</v>
      </c>
      <c r="D141" s="28">
        <f t="shared" si="8"/>
        <v>325.06992638757174</v>
      </c>
      <c r="E141" s="28">
        <f t="shared" si="8"/>
        <v>325.15208485751702</v>
      </c>
      <c r="F141" s="28">
        <f t="shared" si="8"/>
        <v>324.3516203766427</v>
      </c>
      <c r="G141" s="28">
        <f t="shared" si="8"/>
        <v>324.2990247482274</v>
      </c>
      <c r="H141" s="28">
        <f t="shared" si="8"/>
        <v>324.07195276159513</v>
      </c>
      <c r="I141" s="28">
        <f t="shared" si="8"/>
        <v>324.25770424061778</v>
      </c>
      <c r="J141" s="28">
        <f t="shared" si="8"/>
        <v>323.71584157521568</v>
      </c>
      <c r="K141" s="28">
        <f t="shared" si="8"/>
        <v>323.94110125095966</v>
      </c>
      <c r="L141" s="28">
        <f t="shared" si="8"/>
        <v>323.77768595041323</v>
      </c>
      <c r="M141" s="28">
        <f t="shared" si="8"/>
        <v>323.37164769904712</v>
      </c>
      <c r="N141" s="28">
        <f t="shared" si="8"/>
        <v>323.57708485751704</v>
      </c>
    </row>
    <row r="142" spans="1:14" x14ac:dyDescent="0.4">
      <c r="A142" s="1">
        <v>25508</v>
      </c>
      <c r="B142" s="28">
        <v>324.90164769904715</v>
      </c>
      <c r="C142" s="28">
        <f t="shared" si="8"/>
        <v>325.10708485751701</v>
      </c>
      <c r="D142" s="28">
        <f t="shared" si="8"/>
        <v>325.58432529467552</v>
      </c>
      <c r="E142" s="28">
        <f t="shared" si="8"/>
        <v>325.06992638757174</v>
      </c>
      <c r="F142" s="28">
        <f t="shared" si="8"/>
        <v>325.15208485751702</v>
      </c>
      <c r="G142" s="28">
        <f t="shared" si="8"/>
        <v>324.3516203766427</v>
      </c>
      <c r="H142" s="28">
        <f t="shared" si="8"/>
        <v>324.2990247482274</v>
      </c>
      <c r="I142" s="28">
        <f t="shared" si="8"/>
        <v>324.07195276159513</v>
      </c>
      <c r="J142" s="28">
        <f t="shared" si="8"/>
        <v>324.25770424061778</v>
      </c>
      <c r="K142" s="28">
        <f t="shared" si="8"/>
        <v>323.71584157521568</v>
      </c>
      <c r="L142" s="28">
        <f t="shared" si="8"/>
        <v>323.94110125095966</v>
      </c>
      <c r="M142" s="28">
        <f t="shared" si="8"/>
        <v>323.77768595041323</v>
      </c>
      <c r="N142" s="28">
        <f t="shared" si="8"/>
        <v>323.37164769904712</v>
      </c>
    </row>
    <row r="143" spans="1:14" x14ac:dyDescent="0.4">
      <c r="A143" s="1">
        <v>25538</v>
      </c>
      <c r="B143" s="28">
        <v>325.00768595041325</v>
      </c>
      <c r="C143" s="28">
        <f t="shared" si="8"/>
        <v>324.90164769904715</v>
      </c>
      <c r="D143" s="28">
        <f t="shared" si="8"/>
        <v>325.10708485751701</v>
      </c>
      <c r="E143" s="28">
        <f t="shared" si="8"/>
        <v>325.58432529467552</v>
      </c>
      <c r="F143" s="28">
        <f t="shared" si="8"/>
        <v>325.06992638757174</v>
      </c>
      <c r="G143" s="28">
        <f t="shared" si="8"/>
        <v>325.15208485751702</v>
      </c>
      <c r="H143" s="28">
        <f t="shared" si="8"/>
        <v>324.3516203766427</v>
      </c>
      <c r="I143" s="28">
        <f t="shared" si="8"/>
        <v>324.2990247482274</v>
      </c>
      <c r="J143" s="28">
        <f t="shared" si="8"/>
        <v>324.07195276159513</v>
      </c>
      <c r="K143" s="28">
        <f t="shared" si="8"/>
        <v>324.25770424061778</v>
      </c>
      <c r="L143" s="28">
        <f t="shared" si="8"/>
        <v>323.71584157521568</v>
      </c>
      <c r="M143" s="28">
        <f t="shared" si="8"/>
        <v>323.94110125095966</v>
      </c>
      <c r="N143" s="28">
        <f t="shared" si="8"/>
        <v>323.77768595041323</v>
      </c>
    </row>
    <row r="144" spans="1:14" x14ac:dyDescent="0.4">
      <c r="A144" s="1">
        <v>25569</v>
      </c>
      <c r="B144" s="28">
        <v>325.00110125095966</v>
      </c>
      <c r="C144" s="28">
        <f t="shared" si="8"/>
        <v>325.00768595041325</v>
      </c>
      <c r="D144" s="28">
        <f t="shared" si="8"/>
        <v>324.90164769904715</v>
      </c>
      <c r="E144" s="28">
        <f t="shared" si="8"/>
        <v>325.10708485751701</v>
      </c>
      <c r="F144" s="28">
        <f t="shared" si="8"/>
        <v>325.58432529467552</v>
      </c>
      <c r="G144" s="28">
        <f t="shared" si="8"/>
        <v>325.06992638757174</v>
      </c>
      <c r="H144" s="28">
        <f t="shared" si="8"/>
        <v>325.15208485751702</v>
      </c>
      <c r="I144" s="28">
        <f t="shared" si="8"/>
        <v>324.3516203766427</v>
      </c>
      <c r="J144" s="28">
        <f t="shared" si="8"/>
        <v>324.2990247482274</v>
      </c>
      <c r="K144" s="28">
        <f t="shared" si="8"/>
        <v>324.07195276159513</v>
      </c>
      <c r="L144" s="28">
        <f t="shared" si="8"/>
        <v>324.25770424061778</v>
      </c>
      <c r="M144" s="28">
        <f t="shared" si="8"/>
        <v>323.71584157521568</v>
      </c>
      <c r="N144" s="28">
        <f t="shared" si="8"/>
        <v>323.94110125095966</v>
      </c>
    </row>
    <row r="145" spans="1:14" x14ac:dyDescent="0.4">
      <c r="A145" s="1">
        <v>25600</v>
      </c>
      <c r="B145" s="28">
        <v>325.28584157521567</v>
      </c>
      <c r="C145" s="28">
        <f t="shared" si="8"/>
        <v>325.00110125095966</v>
      </c>
      <c r="D145" s="28">
        <f t="shared" si="8"/>
        <v>325.00768595041325</v>
      </c>
      <c r="E145" s="28">
        <f t="shared" si="8"/>
        <v>324.90164769904715</v>
      </c>
      <c r="F145" s="28">
        <f t="shared" si="8"/>
        <v>325.10708485751701</v>
      </c>
      <c r="G145" s="28">
        <f t="shared" si="8"/>
        <v>325.58432529467552</v>
      </c>
      <c r="H145" s="28">
        <f t="shared" si="8"/>
        <v>325.06992638757174</v>
      </c>
      <c r="I145" s="28">
        <f t="shared" si="8"/>
        <v>325.15208485751702</v>
      </c>
      <c r="J145" s="28">
        <f t="shared" si="8"/>
        <v>324.3516203766427</v>
      </c>
      <c r="K145" s="28">
        <f t="shared" si="8"/>
        <v>324.2990247482274</v>
      </c>
      <c r="L145" s="28">
        <f t="shared" si="8"/>
        <v>324.07195276159513</v>
      </c>
      <c r="M145" s="28">
        <f t="shared" si="8"/>
        <v>324.25770424061778</v>
      </c>
      <c r="N145" s="28">
        <f t="shared" si="8"/>
        <v>323.71584157521568</v>
      </c>
    </row>
    <row r="146" spans="1:14" x14ac:dyDescent="0.4">
      <c r="A146" s="1">
        <v>25628</v>
      </c>
      <c r="B146" s="28">
        <v>325.5577042406178</v>
      </c>
      <c r="C146" s="28">
        <f t="shared" si="8"/>
        <v>325.28584157521567</v>
      </c>
      <c r="D146" s="28">
        <f t="shared" si="8"/>
        <v>325.00110125095966</v>
      </c>
      <c r="E146" s="28">
        <f t="shared" si="8"/>
        <v>325.00768595041325</v>
      </c>
      <c r="F146" s="28">
        <f t="shared" si="8"/>
        <v>324.90164769904715</v>
      </c>
      <c r="G146" s="28">
        <f t="shared" si="8"/>
        <v>325.10708485751701</v>
      </c>
      <c r="H146" s="28">
        <f t="shared" si="8"/>
        <v>325.58432529467552</v>
      </c>
      <c r="I146" s="28">
        <f t="shared" si="8"/>
        <v>325.06992638757174</v>
      </c>
      <c r="J146" s="28">
        <f t="shared" si="8"/>
        <v>325.15208485751702</v>
      </c>
      <c r="K146" s="28">
        <f t="shared" si="8"/>
        <v>324.3516203766427</v>
      </c>
      <c r="L146" s="28">
        <f t="shared" si="8"/>
        <v>324.2990247482274</v>
      </c>
      <c r="M146" s="28">
        <f t="shared" si="8"/>
        <v>324.07195276159513</v>
      </c>
      <c r="N146" s="28">
        <f t="shared" si="8"/>
        <v>324.25770424061778</v>
      </c>
    </row>
    <row r="147" spans="1:14" x14ac:dyDescent="0.4">
      <c r="A147" s="1">
        <v>25659</v>
      </c>
      <c r="B147" s="28">
        <v>325.5419527615951</v>
      </c>
      <c r="C147" s="28">
        <f t="shared" si="8"/>
        <v>325.5577042406178</v>
      </c>
      <c r="D147" s="28">
        <f t="shared" si="8"/>
        <v>325.28584157521567</v>
      </c>
      <c r="E147" s="28">
        <f t="shared" si="8"/>
        <v>325.00110125095966</v>
      </c>
      <c r="F147" s="28">
        <f t="shared" si="8"/>
        <v>325.00768595041325</v>
      </c>
      <c r="G147" s="28">
        <f t="shared" si="8"/>
        <v>324.90164769904715</v>
      </c>
      <c r="H147" s="28">
        <f t="shared" si="8"/>
        <v>325.10708485751701</v>
      </c>
      <c r="I147" s="28">
        <f t="shared" si="8"/>
        <v>325.58432529467552</v>
      </c>
      <c r="J147" s="28">
        <f t="shared" si="8"/>
        <v>325.06992638757174</v>
      </c>
      <c r="K147" s="28">
        <f t="shared" si="8"/>
        <v>325.15208485751702</v>
      </c>
      <c r="L147" s="28">
        <f t="shared" si="8"/>
        <v>324.3516203766427</v>
      </c>
      <c r="M147" s="28">
        <f t="shared" si="8"/>
        <v>324.2990247482274</v>
      </c>
      <c r="N147" s="28">
        <f t="shared" si="8"/>
        <v>324.07195276159513</v>
      </c>
    </row>
    <row r="148" spans="1:14" x14ac:dyDescent="0.4">
      <c r="A148" s="1">
        <v>25689</v>
      </c>
      <c r="B148" s="28">
        <v>324.99902474822738</v>
      </c>
      <c r="C148" s="28">
        <f t="shared" si="8"/>
        <v>325.5419527615951</v>
      </c>
      <c r="D148" s="28">
        <f t="shared" si="8"/>
        <v>325.5577042406178</v>
      </c>
      <c r="E148" s="28">
        <f t="shared" si="8"/>
        <v>325.28584157521567</v>
      </c>
      <c r="F148" s="28">
        <f t="shared" si="8"/>
        <v>325.00110125095966</v>
      </c>
      <c r="G148" s="28">
        <f t="shared" si="8"/>
        <v>325.00768595041325</v>
      </c>
      <c r="H148" s="28">
        <f t="shared" si="8"/>
        <v>324.90164769904715</v>
      </c>
      <c r="I148" s="28">
        <f t="shared" si="8"/>
        <v>325.10708485751701</v>
      </c>
      <c r="J148" s="28">
        <f t="shared" si="8"/>
        <v>325.58432529467552</v>
      </c>
      <c r="K148" s="28">
        <f t="shared" si="8"/>
        <v>325.06992638757174</v>
      </c>
      <c r="L148" s="28">
        <f t="shared" si="8"/>
        <v>325.15208485751702</v>
      </c>
      <c r="M148" s="28">
        <f t="shared" si="8"/>
        <v>324.3516203766427</v>
      </c>
      <c r="N148" s="28">
        <f t="shared" si="8"/>
        <v>324.2990247482274</v>
      </c>
    </row>
    <row r="149" spans="1:14" x14ac:dyDescent="0.4">
      <c r="A149" s="1">
        <v>25720</v>
      </c>
      <c r="B149" s="28">
        <v>325.31162037664274</v>
      </c>
      <c r="C149" s="28">
        <f t="shared" si="8"/>
        <v>324.99902474822738</v>
      </c>
      <c r="D149" s="28">
        <f t="shared" si="8"/>
        <v>325.5419527615951</v>
      </c>
      <c r="E149" s="28">
        <f t="shared" si="8"/>
        <v>325.5577042406178</v>
      </c>
      <c r="F149" s="28">
        <f t="shared" si="8"/>
        <v>325.28584157521567</v>
      </c>
      <c r="G149" s="28">
        <f t="shared" si="8"/>
        <v>325.00110125095966</v>
      </c>
      <c r="H149" s="28">
        <f t="shared" si="8"/>
        <v>325.00768595041325</v>
      </c>
      <c r="I149" s="28">
        <f t="shared" si="8"/>
        <v>324.90164769904715</v>
      </c>
      <c r="J149" s="28">
        <f t="shared" si="8"/>
        <v>325.10708485751701</v>
      </c>
      <c r="K149" s="28">
        <f t="shared" si="8"/>
        <v>325.58432529467552</v>
      </c>
      <c r="L149" s="28">
        <f t="shared" si="8"/>
        <v>325.06992638757174</v>
      </c>
      <c r="M149" s="28">
        <f t="shared" si="8"/>
        <v>325.15208485751702</v>
      </c>
      <c r="N149" s="28">
        <f t="shared" si="8"/>
        <v>324.3516203766427</v>
      </c>
    </row>
    <row r="150" spans="1:14" x14ac:dyDescent="0.4">
      <c r="A150" s="1">
        <v>25750</v>
      </c>
      <c r="B150" s="28">
        <v>325.612084857517</v>
      </c>
      <c r="C150" s="28">
        <f t="shared" si="8"/>
        <v>325.31162037664274</v>
      </c>
      <c r="D150" s="28">
        <f t="shared" si="8"/>
        <v>324.99902474822738</v>
      </c>
      <c r="E150" s="28">
        <f t="shared" si="8"/>
        <v>325.5419527615951</v>
      </c>
      <c r="F150" s="28">
        <f t="shared" si="8"/>
        <v>325.5577042406178</v>
      </c>
      <c r="G150" s="28">
        <f t="shared" si="8"/>
        <v>325.28584157521567</v>
      </c>
      <c r="H150" s="28">
        <f t="shared" si="8"/>
        <v>325.00110125095966</v>
      </c>
      <c r="I150" s="28">
        <f t="shared" si="8"/>
        <v>325.00768595041325</v>
      </c>
      <c r="J150" s="28">
        <f t="shared" si="8"/>
        <v>324.90164769904715</v>
      </c>
      <c r="K150" s="28">
        <f t="shared" si="8"/>
        <v>325.10708485751701</v>
      </c>
      <c r="L150" s="28">
        <f t="shared" si="8"/>
        <v>325.58432529467552</v>
      </c>
      <c r="M150" s="28">
        <f t="shared" si="8"/>
        <v>325.06992638757174</v>
      </c>
      <c r="N150" s="28">
        <f t="shared" si="8"/>
        <v>325.15208485751702</v>
      </c>
    </row>
    <row r="151" spans="1:14" x14ac:dyDescent="0.4">
      <c r="A151" s="1">
        <v>25781</v>
      </c>
      <c r="B151" s="28">
        <v>326.09992638757171</v>
      </c>
      <c r="C151" s="28">
        <f t="shared" si="8"/>
        <v>325.612084857517</v>
      </c>
      <c r="D151" s="28">
        <f t="shared" si="8"/>
        <v>325.31162037664274</v>
      </c>
      <c r="E151" s="28">
        <f t="shared" si="8"/>
        <v>324.99902474822738</v>
      </c>
      <c r="F151" s="28">
        <f t="shared" si="8"/>
        <v>325.5419527615951</v>
      </c>
      <c r="G151" s="28">
        <f t="shared" si="8"/>
        <v>325.5577042406178</v>
      </c>
      <c r="H151" s="28">
        <f t="shared" si="8"/>
        <v>325.28584157521567</v>
      </c>
      <c r="I151" s="28">
        <f t="shared" si="8"/>
        <v>325.00110125095966</v>
      </c>
      <c r="J151" s="28">
        <f t="shared" si="8"/>
        <v>325.00768595041325</v>
      </c>
      <c r="K151" s="28">
        <f t="shared" si="8"/>
        <v>324.90164769904715</v>
      </c>
      <c r="L151" s="28">
        <f t="shared" si="8"/>
        <v>325.10708485751701</v>
      </c>
      <c r="M151" s="28">
        <f t="shared" si="8"/>
        <v>325.58432529467552</v>
      </c>
      <c r="N151" s="28">
        <f t="shared" si="8"/>
        <v>325.06992638757174</v>
      </c>
    </row>
    <row r="152" spans="1:14" x14ac:dyDescent="0.4">
      <c r="A152" s="1">
        <v>25812</v>
      </c>
      <c r="B152" s="28">
        <v>326.30432529467555</v>
      </c>
      <c r="C152" s="28">
        <f t="shared" si="8"/>
        <v>326.09992638757171</v>
      </c>
      <c r="D152" s="28">
        <f t="shared" si="8"/>
        <v>325.612084857517</v>
      </c>
      <c r="E152" s="28">
        <f t="shared" si="8"/>
        <v>325.31162037664274</v>
      </c>
      <c r="F152" s="28">
        <f t="shared" si="8"/>
        <v>324.99902474822738</v>
      </c>
      <c r="G152" s="28">
        <f t="shared" si="8"/>
        <v>325.5419527615951</v>
      </c>
      <c r="H152" s="28">
        <f t="shared" si="8"/>
        <v>325.5577042406178</v>
      </c>
      <c r="I152" s="28">
        <f t="shared" si="8"/>
        <v>325.28584157521567</v>
      </c>
      <c r="J152" s="28">
        <f t="shared" si="8"/>
        <v>325.00110125095966</v>
      </c>
      <c r="K152" s="28">
        <f t="shared" si="8"/>
        <v>325.00768595041325</v>
      </c>
      <c r="L152" s="28">
        <f t="shared" si="8"/>
        <v>324.90164769904715</v>
      </c>
      <c r="M152" s="28">
        <f t="shared" si="8"/>
        <v>325.10708485751701</v>
      </c>
      <c r="N152" s="28">
        <f t="shared" si="8"/>
        <v>325.58432529467552</v>
      </c>
    </row>
    <row r="153" spans="1:14" x14ac:dyDescent="0.4">
      <c r="A153" s="1">
        <v>25842</v>
      </c>
      <c r="B153" s="28">
        <v>326.38708485751704</v>
      </c>
      <c r="C153" s="28">
        <f t="shared" si="8"/>
        <v>326.30432529467555</v>
      </c>
      <c r="D153" s="28">
        <f t="shared" si="8"/>
        <v>326.09992638757171</v>
      </c>
      <c r="E153" s="28">
        <f t="shared" si="8"/>
        <v>325.612084857517</v>
      </c>
      <c r="F153" s="28">
        <f t="shared" si="8"/>
        <v>325.31162037664274</v>
      </c>
      <c r="G153" s="28">
        <f t="shared" si="8"/>
        <v>324.99902474822738</v>
      </c>
      <c r="H153" s="28">
        <f t="shared" si="8"/>
        <v>325.5419527615951</v>
      </c>
      <c r="I153" s="28">
        <f t="shared" si="8"/>
        <v>325.5577042406178</v>
      </c>
      <c r="J153" s="28">
        <f t="shared" si="8"/>
        <v>325.28584157521567</v>
      </c>
      <c r="K153" s="28">
        <f t="shared" si="8"/>
        <v>325.00110125095966</v>
      </c>
      <c r="L153" s="28">
        <f t="shared" si="8"/>
        <v>325.00768595041325</v>
      </c>
      <c r="M153" s="28">
        <f t="shared" si="8"/>
        <v>324.90164769904715</v>
      </c>
      <c r="N153" s="28">
        <f t="shared" si="8"/>
        <v>325.10708485751701</v>
      </c>
    </row>
    <row r="154" spans="1:14" x14ac:dyDescent="0.4">
      <c r="A154" s="1">
        <v>25873</v>
      </c>
      <c r="B154" s="28">
        <v>326.06164769904711</v>
      </c>
      <c r="C154" s="28">
        <f t="shared" si="8"/>
        <v>326.38708485751704</v>
      </c>
      <c r="D154" s="28">
        <f t="shared" si="8"/>
        <v>326.30432529467555</v>
      </c>
      <c r="E154" s="28">
        <f t="shared" si="8"/>
        <v>326.09992638757171</v>
      </c>
      <c r="F154" s="28">
        <f t="shared" si="8"/>
        <v>325.612084857517</v>
      </c>
      <c r="G154" s="28">
        <f t="shared" si="8"/>
        <v>325.31162037664274</v>
      </c>
      <c r="H154" s="28">
        <f t="shared" si="8"/>
        <v>324.99902474822738</v>
      </c>
      <c r="I154" s="28">
        <f t="shared" si="8"/>
        <v>325.5419527615951</v>
      </c>
      <c r="J154" s="28">
        <f t="shared" si="8"/>
        <v>325.5577042406178</v>
      </c>
      <c r="K154" s="28">
        <f t="shared" si="8"/>
        <v>325.28584157521567</v>
      </c>
      <c r="L154" s="28">
        <f t="shared" si="8"/>
        <v>325.00110125095966</v>
      </c>
      <c r="M154" s="28">
        <f t="shared" si="8"/>
        <v>325.00768595041325</v>
      </c>
      <c r="N154" s="28">
        <f t="shared" si="8"/>
        <v>324.90164769904715</v>
      </c>
    </row>
    <row r="155" spans="1:14" x14ac:dyDescent="0.4">
      <c r="A155" s="1">
        <v>25903</v>
      </c>
      <c r="B155" s="28">
        <v>326.01768595041324</v>
      </c>
      <c r="C155" s="28">
        <f t="shared" si="8"/>
        <v>326.06164769904711</v>
      </c>
      <c r="D155" s="28">
        <f t="shared" si="8"/>
        <v>326.38708485751704</v>
      </c>
      <c r="E155" s="28">
        <f t="shared" si="8"/>
        <v>326.30432529467555</v>
      </c>
      <c r="F155" s="28">
        <f t="shared" si="8"/>
        <v>326.09992638757171</v>
      </c>
      <c r="G155" s="28">
        <f t="shared" si="8"/>
        <v>325.612084857517</v>
      </c>
      <c r="H155" s="28">
        <f t="shared" si="8"/>
        <v>325.31162037664274</v>
      </c>
      <c r="I155" s="28">
        <f t="shared" si="8"/>
        <v>324.99902474822738</v>
      </c>
      <c r="J155" s="28">
        <f t="shared" si="8"/>
        <v>325.5419527615951</v>
      </c>
      <c r="K155" s="28">
        <f t="shared" si="8"/>
        <v>325.5577042406178</v>
      </c>
      <c r="L155" s="28">
        <f t="shared" si="8"/>
        <v>325.28584157521567</v>
      </c>
      <c r="M155" s="28">
        <f t="shared" si="8"/>
        <v>325.00110125095966</v>
      </c>
      <c r="N155" s="28">
        <f t="shared" si="8"/>
        <v>325.00768595041325</v>
      </c>
    </row>
    <row r="156" spans="1:14" x14ac:dyDescent="0.4">
      <c r="A156" s="1">
        <v>25934</v>
      </c>
      <c r="B156" s="28">
        <v>326.11110125095968</v>
      </c>
      <c r="C156" s="28">
        <f t="shared" si="8"/>
        <v>326.01768595041324</v>
      </c>
      <c r="D156" s="28">
        <f t="shared" si="8"/>
        <v>326.06164769904711</v>
      </c>
      <c r="E156" s="28">
        <f t="shared" si="8"/>
        <v>326.38708485751704</v>
      </c>
      <c r="F156" s="28">
        <f t="shared" si="8"/>
        <v>326.30432529467555</v>
      </c>
      <c r="G156" s="28">
        <f t="shared" si="8"/>
        <v>326.09992638757171</v>
      </c>
      <c r="H156" s="28">
        <f t="shared" si="8"/>
        <v>325.612084857517</v>
      </c>
      <c r="I156" s="28">
        <f t="shared" si="8"/>
        <v>325.31162037664274</v>
      </c>
      <c r="J156" s="28">
        <f t="shared" si="8"/>
        <v>324.99902474822738</v>
      </c>
      <c r="K156" s="28">
        <f t="shared" si="8"/>
        <v>325.5419527615951</v>
      </c>
      <c r="L156" s="28">
        <f t="shared" si="8"/>
        <v>325.5577042406178</v>
      </c>
      <c r="M156" s="28">
        <f t="shared" si="8"/>
        <v>325.28584157521567</v>
      </c>
      <c r="N156" s="28">
        <f t="shared" si="8"/>
        <v>325.00110125095966</v>
      </c>
    </row>
    <row r="157" spans="1:14" x14ac:dyDescent="0.4">
      <c r="A157" s="1">
        <v>25965</v>
      </c>
      <c r="B157" s="28">
        <v>325.98584157521566</v>
      </c>
      <c r="C157" s="28">
        <f t="shared" si="8"/>
        <v>326.11110125095968</v>
      </c>
      <c r="D157" s="28">
        <f t="shared" si="8"/>
        <v>326.01768595041324</v>
      </c>
      <c r="E157" s="28">
        <f t="shared" si="8"/>
        <v>326.06164769904711</v>
      </c>
      <c r="F157" s="28">
        <f t="shared" si="8"/>
        <v>326.38708485751704</v>
      </c>
      <c r="G157" s="28">
        <f t="shared" si="8"/>
        <v>326.30432529467555</v>
      </c>
      <c r="H157" s="28">
        <f t="shared" si="8"/>
        <v>326.09992638757171</v>
      </c>
      <c r="I157" s="28">
        <f t="shared" si="8"/>
        <v>325.612084857517</v>
      </c>
      <c r="J157" s="28">
        <f t="shared" si="8"/>
        <v>325.31162037664274</v>
      </c>
      <c r="K157" s="28">
        <f t="shared" si="8"/>
        <v>324.99902474822738</v>
      </c>
      <c r="L157" s="28">
        <f t="shared" si="8"/>
        <v>325.5419527615951</v>
      </c>
      <c r="M157" s="28">
        <f t="shared" si="8"/>
        <v>325.5577042406178</v>
      </c>
      <c r="N157" s="28">
        <f t="shared" si="8"/>
        <v>325.28584157521567</v>
      </c>
    </row>
    <row r="158" spans="1:14" x14ac:dyDescent="0.4">
      <c r="A158" s="1">
        <v>25993</v>
      </c>
      <c r="B158" s="28">
        <v>325.7977042406178</v>
      </c>
      <c r="C158" s="28">
        <f t="shared" si="8"/>
        <v>325.98584157521566</v>
      </c>
      <c r="D158" s="28">
        <f t="shared" si="8"/>
        <v>326.11110125095968</v>
      </c>
      <c r="E158" s="28">
        <f t="shared" si="8"/>
        <v>326.01768595041324</v>
      </c>
      <c r="F158" s="28">
        <f t="shared" si="8"/>
        <v>326.06164769904711</v>
      </c>
      <c r="G158" s="28">
        <f t="shared" si="8"/>
        <v>326.38708485751704</v>
      </c>
      <c r="H158" s="28">
        <f t="shared" si="8"/>
        <v>326.30432529467555</v>
      </c>
      <c r="I158" s="28">
        <f t="shared" si="8"/>
        <v>326.09992638757171</v>
      </c>
      <c r="J158" s="28">
        <f t="shared" si="8"/>
        <v>325.612084857517</v>
      </c>
      <c r="K158" s="28">
        <f t="shared" si="8"/>
        <v>325.31162037664274</v>
      </c>
      <c r="L158" s="28">
        <f t="shared" si="8"/>
        <v>324.99902474822738</v>
      </c>
      <c r="M158" s="28">
        <f t="shared" si="8"/>
        <v>325.5419527615951</v>
      </c>
      <c r="N158" s="28">
        <f t="shared" si="8"/>
        <v>325.5577042406178</v>
      </c>
    </row>
    <row r="159" spans="1:14" x14ac:dyDescent="0.4">
      <c r="A159" s="1">
        <v>26024</v>
      </c>
      <c r="B159" s="28">
        <v>325.20195276159512</v>
      </c>
      <c r="C159" s="28">
        <f t="shared" si="8"/>
        <v>325.7977042406178</v>
      </c>
      <c r="D159" s="28">
        <f t="shared" si="8"/>
        <v>325.98584157521566</v>
      </c>
      <c r="E159" s="28">
        <f t="shared" si="8"/>
        <v>326.11110125095968</v>
      </c>
      <c r="F159" s="28">
        <f t="shared" si="8"/>
        <v>326.01768595041324</v>
      </c>
      <c r="G159" s="28">
        <f t="shared" si="8"/>
        <v>326.06164769904711</v>
      </c>
      <c r="H159" s="28">
        <f t="shared" si="8"/>
        <v>326.38708485751704</v>
      </c>
      <c r="I159" s="28">
        <f t="shared" si="8"/>
        <v>326.30432529467555</v>
      </c>
      <c r="J159" s="28">
        <f t="shared" si="8"/>
        <v>326.09992638757171</v>
      </c>
      <c r="K159" s="28">
        <f t="shared" si="8"/>
        <v>325.612084857517</v>
      </c>
      <c r="L159" s="28">
        <f t="shared" si="8"/>
        <v>325.31162037664274</v>
      </c>
      <c r="M159" s="28">
        <f t="shared" si="8"/>
        <v>324.99902474822738</v>
      </c>
      <c r="N159" s="28">
        <f t="shared" si="8"/>
        <v>325.5419527615951</v>
      </c>
    </row>
    <row r="160" spans="1:14" x14ac:dyDescent="0.4">
      <c r="A160" s="1">
        <v>26054</v>
      </c>
      <c r="B160" s="28">
        <v>325.84902474822741</v>
      </c>
      <c r="C160" s="28">
        <f t="shared" si="8"/>
        <v>325.20195276159512</v>
      </c>
      <c r="D160" s="28">
        <f t="shared" si="8"/>
        <v>325.7977042406178</v>
      </c>
      <c r="E160" s="28">
        <f t="shared" si="8"/>
        <v>325.98584157521566</v>
      </c>
      <c r="F160" s="28">
        <f t="shared" ref="D160:P175" si="9">IF(E159=0,"",E159)</f>
        <v>326.11110125095968</v>
      </c>
      <c r="G160" s="28">
        <f t="shared" si="9"/>
        <v>326.01768595041324</v>
      </c>
      <c r="H160" s="28">
        <f t="shared" si="9"/>
        <v>326.06164769904711</v>
      </c>
      <c r="I160" s="28">
        <f t="shared" si="9"/>
        <v>326.38708485751704</v>
      </c>
      <c r="J160" s="28">
        <f t="shared" si="9"/>
        <v>326.30432529467555</v>
      </c>
      <c r="K160" s="28">
        <f t="shared" si="9"/>
        <v>326.09992638757171</v>
      </c>
      <c r="L160" s="28">
        <f t="shared" si="9"/>
        <v>325.612084857517</v>
      </c>
      <c r="M160" s="28">
        <f t="shared" si="9"/>
        <v>325.31162037664274</v>
      </c>
      <c r="N160" s="28">
        <f t="shared" si="9"/>
        <v>324.99902474822738</v>
      </c>
    </row>
    <row r="161" spans="1:14" x14ac:dyDescent="0.4">
      <c r="A161" s="1">
        <v>26085</v>
      </c>
      <c r="B161" s="28">
        <v>326.21162037664271</v>
      </c>
      <c r="C161" s="28">
        <f t="shared" ref="C161:N224" si="10">IF(B160=0,"",B160)</f>
        <v>325.84902474822741</v>
      </c>
      <c r="D161" s="28">
        <f t="shared" si="9"/>
        <v>325.20195276159512</v>
      </c>
      <c r="E161" s="28">
        <f t="shared" si="9"/>
        <v>325.7977042406178</v>
      </c>
      <c r="F161" s="28">
        <f t="shared" si="9"/>
        <v>325.98584157521566</v>
      </c>
      <c r="G161" s="28">
        <f t="shared" si="9"/>
        <v>326.11110125095968</v>
      </c>
      <c r="H161" s="28">
        <f t="shared" si="9"/>
        <v>326.01768595041324</v>
      </c>
      <c r="I161" s="28">
        <f t="shared" si="9"/>
        <v>326.06164769904711</v>
      </c>
      <c r="J161" s="28">
        <f t="shared" si="9"/>
        <v>326.38708485751704</v>
      </c>
      <c r="K161" s="28">
        <f t="shared" si="9"/>
        <v>326.30432529467555</v>
      </c>
      <c r="L161" s="28">
        <f t="shared" si="9"/>
        <v>326.09992638757171</v>
      </c>
      <c r="M161" s="28">
        <f t="shared" si="9"/>
        <v>325.612084857517</v>
      </c>
      <c r="N161" s="28">
        <f t="shared" si="9"/>
        <v>325.31162037664274</v>
      </c>
    </row>
    <row r="162" spans="1:14" x14ac:dyDescent="0.4">
      <c r="A162" s="1">
        <v>26115</v>
      </c>
      <c r="B162" s="28">
        <v>326.63208485751704</v>
      </c>
      <c r="C162" s="28">
        <f t="shared" si="10"/>
        <v>326.21162037664271</v>
      </c>
      <c r="D162" s="28">
        <f t="shared" si="9"/>
        <v>325.84902474822741</v>
      </c>
      <c r="E162" s="28">
        <f t="shared" si="9"/>
        <v>325.20195276159512</v>
      </c>
      <c r="F162" s="28">
        <f t="shared" si="9"/>
        <v>325.7977042406178</v>
      </c>
      <c r="G162" s="28">
        <f t="shared" si="9"/>
        <v>325.98584157521566</v>
      </c>
      <c r="H162" s="28">
        <f t="shared" si="9"/>
        <v>326.11110125095968</v>
      </c>
      <c r="I162" s="28">
        <f t="shared" si="9"/>
        <v>326.01768595041324</v>
      </c>
      <c r="J162" s="28">
        <f t="shared" si="9"/>
        <v>326.06164769904711</v>
      </c>
      <c r="K162" s="28">
        <f t="shared" si="9"/>
        <v>326.38708485751704</v>
      </c>
      <c r="L162" s="28">
        <f t="shared" si="9"/>
        <v>326.30432529467555</v>
      </c>
      <c r="M162" s="28">
        <f t="shared" si="9"/>
        <v>326.09992638757171</v>
      </c>
      <c r="N162" s="28">
        <f t="shared" si="9"/>
        <v>325.612084857517</v>
      </c>
    </row>
    <row r="163" spans="1:14" x14ac:dyDescent="0.4">
      <c r="A163" s="1">
        <v>26146</v>
      </c>
      <c r="B163" s="28">
        <v>326.83992638757172</v>
      </c>
      <c r="C163" s="28">
        <f t="shared" si="10"/>
        <v>326.63208485751704</v>
      </c>
      <c r="D163" s="28">
        <f t="shared" si="9"/>
        <v>326.21162037664271</v>
      </c>
      <c r="E163" s="28">
        <f t="shared" si="9"/>
        <v>325.84902474822741</v>
      </c>
      <c r="F163" s="28">
        <f t="shared" si="9"/>
        <v>325.20195276159512</v>
      </c>
      <c r="G163" s="28">
        <f t="shared" si="9"/>
        <v>325.7977042406178</v>
      </c>
      <c r="H163" s="28">
        <f t="shared" si="9"/>
        <v>325.98584157521566</v>
      </c>
      <c r="I163" s="28">
        <f t="shared" si="9"/>
        <v>326.11110125095968</v>
      </c>
      <c r="J163" s="28">
        <f t="shared" si="9"/>
        <v>326.01768595041324</v>
      </c>
      <c r="K163" s="28">
        <f t="shared" si="9"/>
        <v>326.06164769904711</v>
      </c>
      <c r="L163" s="28">
        <f t="shared" si="9"/>
        <v>326.38708485751704</v>
      </c>
      <c r="M163" s="28">
        <f t="shared" si="9"/>
        <v>326.30432529467555</v>
      </c>
      <c r="N163" s="28">
        <f t="shared" si="9"/>
        <v>326.09992638757171</v>
      </c>
    </row>
    <row r="164" spans="1:14" x14ac:dyDescent="0.4">
      <c r="A164" s="1">
        <v>26177</v>
      </c>
      <c r="B164" s="28">
        <v>326.56432529467554</v>
      </c>
      <c r="C164" s="28">
        <f t="shared" si="10"/>
        <v>326.83992638757172</v>
      </c>
      <c r="D164" s="28">
        <f t="shared" si="9"/>
        <v>326.63208485751704</v>
      </c>
      <c r="E164" s="28">
        <f t="shared" si="9"/>
        <v>326.21162037664271</v>
      </c>
      <c r="F164" s="28">
        <f t="shared" si="9"/>
        <v>325.84902474822741</v>
      </c>
      <c r="G164" s="28">
        <f t="shared" si="9"/>
        <v>325.20195276159512</v>
      </c>
      <c r="H164" s="28">
        <f t="shared" si="9"/>
        <v>325.7977042406178</v>
      </c>
      <c r="I164" s="28">
        <f t="shared" si="9"/>
        <v>325.98584157521566</v>
      </c>
      <c r="J164" s="28">
        <f t="shared" si="9"/>
        <v>326.11110125095968</v>
      </c>
      <c r="K164" s="28">
        <f t="shared" si="9"/>
        <v>326.01768595041324</v>
      </c>
      <c r="L164" s="28">
        <f t="shared" si="9"/>
        <v>326.06164769904711</v>
      </c>
      <c r="M164" s="28">
        <f t="shared" si="9"/>
        <v>326.38708485751704</v>
      </c>
      <c r="N164" s="28">
        <f t="shared" si="9"/>
        <v>326.30432529467555</v>
      </c>
    </row>
    <row r="165" spans="1:14" x14ac:dyDescent="0.4">
      <c r="A165" s="1">
        <v>26207</v>
      </c>
      <c r="B165" s="28">
        <v>326.88708485751704</v>
      </c>
      <c r="C165" s="28">
        <f t="shared" si="10"/>
        <v>326.56432529467554</v>
      </c>
      <c r="D165" s="28">
        <f t="shared" si="9"/>
        <v>326.83992638757172</v>
      </c>
      <c r="E165" s="28">
        <f t="shared" si="9"/>
        <v>326.63208485751704</v>
      </c>
      <c r="F165" s="28">
        <f t="shared" si="9"/>
        <v>326.21162037664271</v>
      </c>
      <c r="G165" s="28">
        <f t="shared" si="9"/>
        <v>325.84902474822741</v>
      </c>
      <c r="H165" s="28">
        <f t="shared" si="9"/>
        <v>325.20195276159512</v>
      </c>
      <c r="I165" s="28">
        <f t="shared" si="9"/>
        <v>325.7977042406178</v>
      </c>
      <c r="J165" s="28">
        <f t="shared" si="9"/>
        <v>325.98584157521566</v>
      </c>
      <c r="K165" s="28">
        <f t="shared" si="9"/>
        <v>326.11110125095968</v>
      </c>
      <c r="L165" s="28">
        <f t="shared" si="9"/>
        <v>326.01768595041324</v>
      </c>
      <c r="M165" s="28">
        <f t="shared" si="9"/>
        <v>326.06164769904711</v>
      </c>
      <c r="N165" s="28">
        <f t="shared" si="9"/>
        <v>326.38708485751704</v>
      </c>
    </row>
    <row r="166" spans="1:14" x14ac:dyDescent="0.4">
      <c r="A166" s="1">
        <v>26238</v>
      </c>
      <c r="B166" s="28">
        <v>326.85164769904713</v>
      </c>
      <c r="C166" s="28">
        <f t="shared" si="10"/>
        <v>326.88708485751704</v>
      </c>
      <c r="D166" s="28">
        <f t="shared" si="9"/>
        <v>326.56432529467554</v>
      </c>
      <c r="E166" s="28">
        <f t="shared" si="9"/>
        <v>326.83992638757172</v>
      </c>
      <c r="F166" s="28">
        <f t="shared" si="9"/>
        <v>326.63208485751704</v>
      </c>
      <c r="G166" s="28">
        <f t="shared" si="9"/>
        <v>326.21162037664271</v>
      </c>
      <c r="H166" s="28">
        <f t="shared" si="9"/>
        <v>325.84902474822741</v>
      </c>
      <c r="I166" s="28">
        <f t="shared" si="9"/>
        <v>325.20195276159512</v>
      </c>
      <c r="J166" s="28">
        <f t="shared" si="9"/>
        <v>325.7977042406178</v>
      </c>
      <c r="K166" s="28">
        <f t="shared" si="9"/>
        <v>325.98584157521566</v>
      </c>
      <c r="L166" s="28">
        <f t="shared" si="9"/>
        <v>326.11110125095968</v>
      </c>
      <c r="M166" s="28">
        <f t="shared" si="9"/>
        <v>326.01768595041324</v>
      </c>
      <c r="N166" s="28">
        <f t="shared" si="9"/>
        <v>326.06164769904711</v>
      </c>
    </row>
    <row r="167" spans="1:14" x14ac:dyDescent="0.4">
      <c r="A167" s="1">
        <v>26268</v>
      </c>
      <c r="B167" s="28">
        <v>326.89768595041323</v>
      </c>
      <c r="C167" s="28">
        <f t="shared" si="10"/>
        <v>326.85164769904713</v>
      </c>
      <c r="D167" s="28">
        <f t="shared" si="9"/>
        <v>326.88708485751704</v>
      </c>
      <c r="E167" s="28">
        <f t="shared" si="9"/>
        <v>326.56432529467554</v>
      </c>
      <c r="F167" s="28">
        <f t="shared" si="9"/>
        <v>326.83992638757172</v>
      </c>
      <c r="G167" s="28">
        <f t="shared" si="9"/>
        <v>326.63208485751704</v>
      </c>
      <c r="H167" s="28">
        <f t="shared" si="9"/>
        <v>326.21162037664271</v>
      </c>
      <c r="I167" s="28">
        <f t="shared" si="9"/>
        <v>325.84902474822741</v>
      </c>
      <c r="J167" s="28">
        <f t="shared" si="9"/>
        <v>325.20195276159512</v>
      </c>
      <c r="K167" s="28">
        <f t="shared" si="9"/>
        <v>325.7977042406178</v>
      </c>
      <c r="L167" s="28">
        <f t="shared" si="9"/>
        <v>325.98584157521566</v>
      </c>
      <c r="M167" s="28">
        <f t="shared" si="9"/>
        <v>326.11110125095968</v>
      </c>
      <c r="N167" s="28">
        <f t="shared" si="9"/>
        <v>326.01768595041324</v>
      </c>
    </row>
    <row r="168" spans="1:14" x14ac:dyDescent="0.4">
      <c r="A168" s="1">
        <v>26299</v>
      </c>
      <c r="B168" s="28">
        <v>326.71110125095964</v>
      </c>
      <c r="C168" s="28">
        <f t="shared" si="10"/>
        <v>326.89768595041323</v>
      </c>
      <c r="D168" s="28">
        <f t="shared" si="9"/>
        <v>326.85164769904713</v>
      </c>
      <c r="E168" s="28">
        <f t="shared" si="9"/>
        <v>326.88708485751704</v>
      </c>
      <c r="F168" s="28">
        <f t="shared" si="9"/>
        <v>326.56432529467554</v>
      </c>
      <c r="G168" s="28">
        <f t="shared" si="9"/>
        <v>326.83992638757172</v>
      </c>
      <c r="H168" s="28">
        <f t="shared" si="9"/>
        <v>326.63208485751704</v>
      </c>
      <c r="I168" s="28">
        <f t="shared" si="9"/>
        <v>326.21162037664271</v>
      </c>
      <c r="J168" s="28">
        <f t="shared" si="9"/>
        <v>325.84902474822741</v>
      </c>
      <c r="K168" s="28">
        <f t="shared" si="9"/>
        <v>325.20195276159512</v>
      </c>
      <c r="L168" s="28">
        <f t="shared" si="9"/>
        <v>325.7977042406178</v>
      </c>
      <c r="M168" s="28">
        <f t="shared" si="9"/>
        <v>325.98584157521566</v>
      </c>
      <c r="N168" s="28">
        <f t="shared" si="9"/>
        <v>326.11110125095968</v>
      </c>
    </row>
    <row r="169" spans="1:14" x14ac:dyDescent="0.4">
      <c r="A169" s="1">
        <v>26330</v>
      </c>
      <c r="B169" s="28">
        <v>326.93584157521565</v>
      </c>
      <c r="C169" s="28">
        <f t="shared" si="10"/>
        <v>326.71110125095964</v>
      </c>
      <c r="D169" s="28">
        <f t="shared" si="9"/>
        <v>326.89768595041323</v>
      </c>
      <c r="E169" s="28">
        <f t="shared" si="9"/>
        <v>326.85164769904713</v>
      </c>
      <c r="F169" s="28">
        <f t="shared" si="9"/>
        <v>326.88708485751704</v>
      </c>
      <c r="G169" s="28">
        <f t="shared" si="9"/>
        <v>326.56432529467554</v>
      </c>
      <c r="H169" s="28">
        <f t="shared" si="9"/>
        <v>326.83992638757172</v>
      </c>
      <c r="I169" s="28">
        <f t="shared" si="9"/>
        <v>326.63208485751704</v>
      </c>
      <c r="J169" s="28">
        <f t="shared" si="9"/>
        <v>326.21162037664271</v>
      </c>
      <c r="K169" s="28">
        <f t="shared" si="9"/>
        <v>325.84902474822741</v>
      </c>
      <c r="L169" s="28">
        <f t="shared" si="9"/>
        <v>325.20195276159512</v>
      </c>
      <c r="M169" s="28">
        <f t="shared" si="9"/>
        <v>325.7977042406178</v>
      </c>
      <c r="N169" s="28">
        <f t="shared" si="9"/>
        <v>325.98584157521566</v>
      </c>
    </row>
    <row r="170" spans="1:14" x14ac:dyDescent="0.4">
      <c r="A170" s="1">
        <v>26359</v>
      </c>
      <c r="B170" s="28">
        <v>326.37770424061779</v>
      </c>
      <c r="C170" s="28">
        <f t="shared" si="10"/>
        <v>326.93584157521565</v>
      </c>
      <c r="D170" s="28">
        <f t="shared" si="9"/>
        <v>326.71110125095964</v>
      </c>
      <c r="E170" s="28">
        <f t="shared" si="9"/>
        <v>326.89768595041323</v>
      </c>
      <c r="F170" s="28">
        <f t="shared" si="9"/>
        <v>326.85164769904713</v>
      </c>
      <c r="G170" s="28">
        <f t="shared" si="9"/>
        <v>326.88708485751704</v>
      </c>
      <c r="H170" s="28">
        <f t="shared" si="9"/>
        <v>326.56432529467554</v>
      </c>
      <c r="I170" s="28">
        <f t="shared" si="9"/>
        <v>326.83992638757172</v>
      </c>
      <c r="J170" s="28">
        <f t="shared" si="9"/>
        <v>326.63208485751704</v>
      </c>
      <c r="K170" s="28">
        <f t="shared" si="9"/>
        <v>326.21162037664271</v>
      </c>
      <c r="L170" s="28">
        <f t="shared" si="9"/>
        <v>325.84902474822741</v>
      </c>
      <c r="M170" s="28">
        <f t="shared" si="9"/>
        <v>325.20195276159512</v>
      </c>
      <c r="N170" s="28">
        <f t="shared" si="9"/>
        <v>325.7977042406178</v>
      </c>
    </row>
    <row r="171" spans="1:14" x14ac:dyDescent="0.4">
      <c r="A171" s="1">
        <v>26390</v>
      </c>
      <c r="B171" s="28">
        <v>327.13195276159513</v>
      </c>
      <c r="C171" s="28">
        <f t="shared" si="10"/>
        <v>326.37770424061779</v>
      </c>
      <c r="D171" s="28">
        <f t="shared" si="9"/>
        <v>326.93584157521565</v>
      </c>
      <c r="E171" s="28">
        <f t="shared" si="9"/>
        <v>326.71110125095964</v>
      </c>
      <c r="F171" s="28">
        <f t="shared" si="9"/>
        <v>326.89768595041323</v>
      </c>
      <c r="G171" s="28">
        <f t="shared" si="9"/>
        <v>326.85164769904713</v>
      </c>
      <c r="H171" s="28">
        <f t="shared" si="9"/>
        <v>326.88708485751704</v>
      </c>
      <c r="I171" s="28">
        <f t="shared" si="9"/>
        <v>326.56432529467554</v>
      </c>
      <c r="J171" s="28">
        <f t="shared" si="9"/>
        <v>326.83992638757172</v>
      </c>
      <c r="K171" s="28">
        <f t="shared" si="9"/>
        <v>326.63208485751704</v>
      </c>
      <c r="L171" s="28">
        <f t="shared" si="9"/>
        <v>326.21162037664271</v>
      </c>
      <c r="M171" s="28">
        <f t="shared" si="9"/>
        <v>325.84902474822741</v>
      </c>
      <c r="N171" s="28">
        <f t="shared" si="9"/>
        <v>325.20195276159512</v>
      </c>
    </row>
    <row r="172" spans="1:14" x14ac:dyDescent="0.4">
      <c r="A172" s="1">
        <v>26420</v>
      </c>
      <c r="B172" s="28">
        <v>326.98902474822739</v>
      </c>
      <c r="C172" s="28">
        <f t="shared" si="10"/>
        <v>327.13195276159513</v>
      </c>
      <c r="D172" s="28">
        <f t="shared" si="9"/>
        <v>326.37770424061779</v>
      </c>
      <c r="E172" s="28">
        <f t="shared" si="9"/>
        <v>326.93584157521565</v>
      </c>
      <c r="F172" s="28">
        <f t="shared" si="9"/>
        <v>326.71110125095964</v>
      </c>
      <c r="G172" s="28">
        <f t="shared" si="9"/>
        <v>326.89768595041323</v>
      </c>
      <c r="H172" s="28">
        <f t="shared" si="9"/>
        <v>326.85164769904713</v>
      </c>
      <c r="I172" s="28">
        <f t="shared" si="9"/>
        <v>326.88708485751704</v>
      </c>
      <c r="J172" s="28">
        <f t="shared" si="9"/>
        <v>326.56432529467554</v>
      </c>
      <c r="K172" s="28">
        <f t="shared" si="9"/>
        <v>326.83992638757172</v>
      </c>
      <c r="L172" s="28">
        <f t="shared" si="9"/>
        <v>326.63208485751704</v>
      </c>
      <c r="M172" s="28">
        <f t="shared" si="9"/>
        <v>326.21162037664271</v>
      </c>
      <c r="N172" s="28">
        <f t="shared" si="9"/>
        <v>325.84902474822741</v>
      </c>
    </row>
    <row r="173" spans="1:14" x14ac:dyDescent="0.4">
      <c r="A173" s="1">
        <v>26451</v>
      </c>
      <c r="B173" s="28">
        <v>326.7316203766427</v>
      </c>
      <c r="C173" s="28">
        <f t="shared" si="10"/>
        <v>326.98902474822739</v>
      </c>
      <c r="D173" s="28">
        <f t="shared" si="9"/>
        <v>327.13195276159513</v>
      </c>
      <c r="E173" s="28">
        <f t="shared" si="9"/>
        <v>326.37770424061779</v>
      </c>
      <c r="F173" s="28">
        <f t="shared" si="9"/>
        <v>326.93584157521565</v>
      </c>
      <c r="G173" s="28">
        <f t="shared" si="9"/>
        <v>326.71110125095964</v>
      </c>
      <c r="H173" s="28">
        <f t="shared" si="9"/>
        <v>326.89768595041323</v>
      </c>
      <c r="I173" s="28">
        <f t="shared" si="9"/>
        <v>326.85164769904713</v>
      </c>
      <c r="J173" s="28">
        <f t="shared" si="9"/>
        <v>326.88708485751704</v>
      </c>
      <c r="K173" s="28">
        <f t="shared" si="9"/>
        <v>326.56432529467554</v>
      </c>
      <c r="L173" s="28">
        <f t="shared" si="9"/>
        <v>326.83992638757172</v>
      </c>
      <c r="M173" s="28">
        <f t="shared" si="9"/>
        <v>326.63208485751704</v>
      </c>
      <c r="N173" s="28">
        <f t="shared" si="9"/>
        <v>326.21162037664271</v>
      </c>
    </row>
    <row r="174" spans="1:14" x14ac:dyDescent="0.4">
      <c r="A174" s="1">
        <v>26481</v>
      </c>
      <c r="B174" s="28">
        <v>327.31208485751705</v>
      </c>
      <c r="C174" s="28">
        <f t="shared" si="10"/>
        <v>326.7316203766427</v>
      </c>
      <c r="D174" s="28">
        <f t="shared" si="9"/>
        <v>326.98902474822739</v>
      </c>
      <c r="E174" s="28">
        <f t="shared" si="9"/>
        <v>327.13195276159513</v>
      </c>
      <c r="F174" s="28">
        <f t="shared" si="9"/>
        <v>326.37770424061779</v>
      </c>
      <c r="G174" s="28">
        <f t="shared" si="9"/>
        <v>326.93584157521565</v>
      </c>
      <c r="H174" s="28">
        <f t="shared" si="9"/>
        <v>326.71110125095964</v>
      </c>
      <c r="I174" s="28">
        <f t="shared" si="9"/>
        <v>326.89768595041323</v>
      </c>
      <c r="J174" s="28">
        <f t="shared" si="9"/>
        <v>326.85164769904713</v>
      </c>
      <c r="K174" s="28">
        <f t="shared" si="9"/>
        <v>326.88708485751704</v>
      </c>
      <c r="L174" s="28">
        <f t="shared" si="9"/>
        <v>326.56432529467554</v>
      </c>
      <c r="M174" s="28">
        <f t="shared" si="9"/>
        <v>326.83992638757172</v>
      </c>
      <c r="N174" s="28">
        <f t="shared" si="9"/>
        <v>326.63208485751704</v>
      </c>
    </row>
    <row r="175" spans="1:14" x14ac:dyDescent="0.4">
      <c r="A175" s="1">
        <v>26512</v>
      </c>
      <c r="B175" s="28">
        <v>327.72992638757171</v>
      </c>
      <c r="C175" s="28">
        <f t="shared" si="10"/>
        <v>327.31208485751705</v>
      </c>
      <c r="D175" s="28">
        <f t="shared" si="9"/>
        <v>326.7316203766427</v>
      </c>
      <c r="E175" s="28">
        <f t="shared" si="9"/>
        <v>326.98902474822739</v>
      </c>
      <c r="F175" s="28">
        <f t="shared" si="9"/>
        <v>327.13195276159513</v>
      </c>
      <c r="G175" s="28">
        <f t="shared" si="9"/>
        <v>326.37770424061779</v>
      </c>
      <c r="H175" s="28">
        <f t="shared" si="9"/>
        <v>326.93584157521565</v>
      </c>
      <c r="I175" s="28">
        <f t="shared" si="9"/>
        <v>326.71110125095964</v>
      </c>
      <c r="J175" s="28">
        <f t="shared" si="9"/>
        <v>326.89768595041323</v>
      </c>
      <c r="K175" s="28">
        <f t="shared" si="9"/>
        <v>326.85164769904713</v>
      </c>
      <c r="L175" s="28">
        <f t="shared" si="9"/>
        <v>326.88708485751704</v>
      </c>
      <c r="M175" s="28">
        <f t="shared" si="9"/>
        <v>326.56432529467554</v>
      </c>
      <c r="N175" s="28">
        <f t="shared" si="9"/>
        <v>326.83992638757172</v>
      </c>
    </row>
    <row r="176" spans="1:14" x14ac:dyDescent="0.4">
      <c r="A176" s="1">
        <v>26543</v>
      </c>
      <c r="B176" s="28">
        <v>328.0443252946755</v>
      </c>
      <c r="C176" s="28">
        <f t="shared" si="10"/>
        <v>327.72992638757171</v>
      </c>
      <c r="D176" s="28">
        <f t="shared" si="10"/>
        <v>327.31208485751705</v>
      </c>
      <c r="E176" s="28">
        <f t="shared" si="10"/>
        <v>326.7316203766427</v>
      </c>
      <c r="F176" s="28">
        <f t="shared" si="10"/>
        <v>326.98902474822739</v>
      </c>
      <c r="G176" s="28">
        <f t="shared" si="10"/>
        <v>327.13195276159513</v>
      </c>
      <c r="H176" s="28">
        <f t="shared" si="10"/>
        <v>326.37770424061779</v>
      </c>
      <c r="I176" s="28">
        <f t="shared" si="10"/>
        <v>326.93584157521565</v>
      </c>
      <c r="J176" s="28">
        <f t="shared" si="10"/>
        <v>326.71110125095964</v>
      </c>
      <c r="K176" s="28">
        <f t="shared" si="10"/>
        <v>326.89768595041323</v>
      </c>
      <c r="L176" s="28">
        <f t="shared" si="10"/>
        <v>326.85164769904713</v>
      </c>
      <c r="M176" s="28">
        <f t="shared" si="10"/>
        <v>326.88708485751704</v>
      </c>
      <c r="N176" s="28">
        <f t="shared" si="10"/>
        <v>326.56432529467554</v>
      </c>
    </row>
    <row r="177" spans="1:14" x14ac:dyDescent="0.4">
      <c r="A177" s="1">
        <v>26573</v>
      </c>
      <c r="B177" s="28">
        <v>328.52708485751702</v>
      </c>
      <c r="C177" s="28">
        <f t="shared" si="10"/>
        <v>328.0443252946755</v>
      </c>
      <c r="D177" s="28">
        <f t="shared" si="10"/>
        <v>327.72992638757171</v>
      </c>
      <c r="E177" s="28">
        <f t="shared" si="10"/>
        <v>327.31208485751705</v>
      </c>
      <c r="F177" s="28">
        <f t="shared" si="10"/>
        <v>326.7316203766427</v>
      </c>
      <c r="G177" s="28">
        <f t="shared" si="10"/>
        <v>326.98902474822739</v>
      </c>
      <c r="H177" s="28">
        <f t="shared" si="10"/>
        <v>327.13195276159513</v>
      </c>
      <c r="I177" s="28">
        <f t="shared" si="10"/>
        <v>326.37770424061779</v>
      </c>
      <c r="J177" s="28">
        <f t="shared" si="10"/>
        <v>326.93584157521565</v>
      </c>
      <c r="K177" s="28">
        <f t="shared" si="10"/>
        <v>326.71110125095964</v>
      </c>
      <c r="L177" s="28">
        <f t="shared" si="10"/>
        <v>326.89768595041323</v>
      </c>
      <c r="M177" s="28">
        <f t="shared" si="10"/>
        <v>326.85164769904713</v>
      </c>
      <c r="N177" s="28">
        <f t="shared" si="10"/>
        <v>326.88708485751704</v>
      </c>
    </row>
    <row r="178" spans="1:14" x14ac:dyDescent="0.4">
      <c r="A178" s="1">
        <v>26604</v>
      </c>
      <c r="B178" s="28">
        <v>328.55164769904712</v>
      </c>
      <c r="C178" s="28">
        <f t="shared" si="10"/>
        <v>328.52708485751702</v>
      </c>
      <c r="D178" s="28">
        <f t="shared" si="10"/>
        <v>328.0443252946755</v>
      </c>
      <c r="E178" s="28">
        <f t="shared" si="10"/>
        <v>327.72992638757171</v>
      </c>
      <c r="F178" s="28">
        <f t="shared" si="10"/>
        <v>327.31208485751705</v>
      </c>
      <c r="G178" s="28">
        <f t="shared" si="10"/>
        <v>326.7316203766427</v>
      </c>
      <c r="H178" s="28">
        <f t="shared" si="10"/>
        <v>326.98902474822739</v>
      </c>
      <c r="I178" s="28">
        <f t="shared" si="10"/>
        <v>327.13195276159513</v>
      </c>
      <c r="J178" s="28">
        <f t="shared" si="10"/>
        <v>326.37770424061779</v>
      </c>
      <c r="K178" s="28">
        <f t="shared" si="10"/>
        <v>326.93584157521565</v>
      </c>
      <c r="L178" s="28">
        <f t="shared" si="10"/>
        <v>326.71110125095964</v>
      </c>
      <c r="M178" s="28">
        <f t="shared" si="10"/>
        <v>326.89768595041323</v>
      </c>
      <c r="N178" s="28">
        <f t="shared" si="10"/>
        <v>326.85164769904713</v>
      </c>
    </row>
    <row r="179" spans="1:14" x14ac:dyDescent="0.4">
      <c r="A179" s="1">
        <v>26634</v>
      </c>
      <c r="B179" s="28">
        <v>328.43768595041325</v>
      </c>
      <c r="C179" s="28">
        <f t="shared" si="10"/>
        <v>328.55164769904712</v>
      </c>
      <c r="D179" s="28">
        <f t="shared" si="10"/>
        <v>328.52708485751702</v>
      </c>
      <c r="E179" s="28">
        <f t="shared" si="10"/>
        <v>328.0443252946755</v>
      </c>
      <c r="F179" s="28">
        <f t="shared" si="10"/>
        <v>327.72992638757171</v>
      </c>
      <c r="G179" s="28">
        <f t="shared" si="10"/>
        <v>327.31208485751705</v>
      </c>
      <c r="H179" s="28">
        <f t="shared" si="10"/>
        <v>326.7316203766427</v>
      </c>
      <c r="I179" s="28">
        <f t="shared" si="10"/>
        <v>326.98902474822739</v>
      </c>
      <c r="J179" s="28">
        <f t="shared" si="10"/>
        <v>327.13195276159513</v>
      </c>
      <c r="K179" s="28">
        <f t="shared" si="10"/>
        <v>326.37770424061779</v>
      </c>
      <c r="L179" s="28">
        <f t="shared" si="10"/>
        <v>326.93584157521565</v>
      </c>
      <c r="M179" s="28">
        <f t="shared" si="10"/>
        <v>326.71110125095964</v>
      </c>
      <c r="N179" s="28">
        <f t="shared" si="10"/>
        <v>326.89768595041323</v>
      </c>
    </row>
    <row r="180" spans="1:14" x14ac:dyDescent="0.4">
      <c r="A180" s="1">
        <v>26665</v>
      </c>
      <c r="B180" s="28">
        <v>328.49110125095967</v>
      </c>
      <c r="C180" s="28">
        <f t="shared" si="10"/>
        <v>328.43768595041325</v>
      </c>
      <c r="D180" s="28">
        <f t="shared" si="10"/>
        <v>328.55164769904712</v>
      </c>
      <c r="E180" s="28">
        <f t="shared" si="10"/>
        <v>328.52708485751702</v>
      </c>
      <c r="F180" s="28">
        <f t="shared" si="10"/>
        <v>328.0443252946755</v>
      </c>
      <c r="G180" s="28">
        <f t="shared" si="10"/>
        <v>327.72992638757171</v>
      </c>
      <c r="H180" s="28">
        <f t="shared" si="10"/>
        <v>327.31208485751705</v>
      </c>
      <c r="I180" s="28">
        <f t="shared" si="10"/>
        <v>326.7316203766427</v>
      </c>
      <c r="J180" s="28">
        <f t="shared" si="10"/>
        <v>326.98902474822739</v>
      </c>
      <c r="K180" s="28">
        <f t="shared" si="10"/>
        <v>327.13195276159513</v>
      </c>
      <c r="L180" s="28">
        <f t="shared" si="10"/>
        <v>326.37770424061779</v>
      </c>
      <c r="M180" s="28">
        <f t="shared" si="10"/>
        <v>326.93584157521565</v>
      </c>
      <c r="N180" s="28">
        <f t="shared" si="10"/>
        <v>326.71110125095964</v>
      </c>
    </row>
    <row r="181" spans="1:14" x14ac:dyDescent="0.4">
      <c r="A181" s="1">
        <v>26696</v>
      </c>
      <c r="B181" s="28">
        <v>328.86584157521565</v>
      </c>
      <c r="C181" s="28">
        <f t="shared" si="10"/>
        <v>328.49110125095967</v>
      </c>
      <c r="D181" s="28">
        <f t="shared" si="10"/>
        <v>328.43768595041325</v>
      </c>
      <c r="E181" s="28">
        <f t="shared" si="10"/>
        <v>328.55164769904712</v>
      </c>
      <c r="F181" s="28">
        <f t="shared" si="10"/>
        <v>328.52708485751702</v>
      </c>
      <c r="G181" s="28">
        <f t="shared" si="10"/>
        <v>328.0443252946755</v>
      </c>
      <c r="H181" s="28">
        <f t="shared" si="10"/>
        <v>327.72992638757171</v>
      </c>
      <c r="I181" s="28">
        <f t="shared" si="10"/>
        <v>327.31208485751705</v>
      </c>
      <c r="J181" s="28">
        <f t="shared" si="10"/>
        <v>326.7316203766427</v>
      </c>
      <c r="K181" s="28">
        <f t="shared" si="10"/>
        <v>326.98902474822739</v>
      </c>
      <c r="L181" s="28">
        <f t="shared" si="10"/>
        <v>327.13195276159513</v>
      </c>
      <c r="M181" s="28">
        <f t="shared" si="10"/>
        <v>326.37770424061779</v>
      </c>
      <c r="N181" s="28">
        <f t="shared" si="10"/>
        <v>326.93584157521565</v>
      </c>
    </row>
    <row r="182" spans="1:14" x14ac:dyDescent="0.4">
      <c r="A182" s="1">
        <v>26724</v>
      </c>
      <c r="B182" s="28">
        <v>328.9277042406178</v>
      </c>
      <c r="C182" s="28">
        <f t="shared" si="10"/>
        <v>328.86584157521565</v>
      </c>
      <c r="D182" s="28">
        <f t="shared" si="10"/>
        <v>328.49110125095967</v>
      </c>
      <c r="E182" s="28">
        <f t="shared" si="10"/>
        <v>328.43768595041325</v>
      </c>
      <c r="F182" s="28">
        <f t="shared" si="10"/>
        <v>328.55164769904712</v>
      </c>
      <c r="G182" s="28">
        <f t="shared" si="10"/>
        <v>328.52708485751702</v>
      </c>
      <c r="H182" s="28">
        <f t="shared" si="10"/>
        <v>328.0443252946755</v>
      </c>
      <c r="I182" s="28">
        <f t="shared" si="10"/>
        <v>327.72992638757171</v>
      </c>
      <c r="J182" s="28">
        <f t="shared" si="10"/>
        <v>327.31208485751705</v>
      </c>
      <c r="K182" s="28">
        <f t="shared" si="10"/>
        <v>326.7316203766427</v>
      </c>
      <c r="L182" s="28">
        <f t="shared" si="10"/>
        <v>326.98902474822739</v>
      </c>
      <c r="M182" s="28">
        <f t="shared" si="10"/>
        <v>327.13195276159513</v>
      </c>
      <c r="N182" s="28">
        <f t="shared" si="10"/>
        <v>326.37770424061779</v>
      </c>
    </row>
    <row r="183" spans="1:14" x14ac:dyDescent="0.4">
      <c r="A183" s="1">
        <v>26755</v>
      </c>
      <c r="B183" s="28">
        <v>328.9119527615951</v>
      </c>
      <c r="C183" s="28">
        <f t="shared" si="10"/>
        <v>328.9277042406178</v>
      </c>
      <c r="D183" s="28">
        <f t="shared" si="10"/>
        <v>328.86584157521565</v>
      </c>
      <c r="E183" s="28">
        <f t="shared" si="10"/>
        <v>328.49110125095967</v>
      </c>
      <c r="F183" s="28">
        <f t="shared" si="10"/>
        <v>328.43768595041325</v>
      </c>
      <c r="G183" s="28">
        <f t="shared" si="10"/>
        <v>328.55164769904712</v>
      </c>
      <c r="H183" s="28">
        <f t="shared" si="10"/>
        <v>328.52708485751702</v>
      </c>
      <c r="I183" s="28">
        <f t="shared" si="10"/>
        <v>328.0443252946755</v>
      </c>
      <c r="J183" s="28">
        <f t="shared" si="10"/>
        <v>327.72992638757171</v>
      </c>
      <c r="K183" s="28">
        <f t="shared" si="10"/>
        <v>327.31208485751705</v>
      </c>
      <c r="L183" s="28">
        <f t="shared" si="10"/>
        <v>326.7316203766427</v>
      </c>
      <c r="M183" s="28">
        <f t="shared" si="10"/>
        <v>326.98902474822739</v>
      </c>
      <c r="N183" s="28">
        <f t="shared" si="10"/>
        <v>327.13195276159513</v>
      </c>
    </row>
    <row r="184" spans="1:14" x14ac:dyDescent="0.4">
      <c r="A184" s="1">
        <v>26785</v>
      </c>
      <c r="B184" s="28">
        <v>329.39902474822742</v>
      </c>
      <c r="C184" s="28">
        <f t="shared" si="10"/>
        <v>328.9119527615951</v>
      </c>
      <c r="D184" s="28">
        <f t="shared" si="10"/>
        <v>328.9277042406178</v>
      </c>
      <c r="E184" s="28">
        <f t="shared" si="10"/>
        <v>328.86584157521565</v>
      </c>
      <c r="F184" s="28">
        <f t="shared" si="10"/>
        <v>328.49110125095967</v>
      </c>
      <c r="G184" s="28">
        <f t="shared" si="10"/>
        <v>328.43768595041325</v>
      </c>
      <c r="H184" s="28">
        <f t="shared" si="10"/>
        <v>328.55164769904712</v>
      </c>
      <c r="I184" s="28">
        <f t="shared" si="10"/>
        <v>328.52708485751702</v>
      </c>
      <c r="J184" s="28">
        <f t="shared" si="10"/>
        <v>328.0443252946755</v>
      </c>
      <c r="K184" s="28">
        <f t="shared" si="10"/>
        <v>327.72992638757171</v>
      </c>
      <c r="L184" s="28">
        <f t="shared" si="10"/>
        <v>327.31208485751705</v>
      </c>
      <c r="M184" s="28">
        <f t="shared" si="10"/>
        <v>326.7316203766427</v>
      </c>
      <c r="N184" s="28">
        <f t="shared" si="10"/>
        <v>326.98902474822739</v>
      </c>
    </row>
    <row r="185" spans="1:14" x14ac:dyDescent="0.4">
      <c r="A185" s="1">
        <v>26816</v>
      </c>
      <c r="B185" s="28">
        <v>329.71162037664271</v>
      </c>
      <c r="C185" s="28">
        <f t="shared" si="10"/>
        <v>329.39902474822742</v>
      </c>
      <c r="D185" s="28">
        <f t="shared" si="10"/>
        <v>328.9119527615951</v>
      </c>
      <c r="E185" s="28">
        <f t="shared" si="10"/>
        <v>328.9277042406178</v>
      </c>
      <c r="F185" s="28">
        <f t="shared" si="10"/>
        <v>328.86584157521565</v>
      </c>
      <c r="G185" s="28">
        <f t="shared" si="10"/>
        <v>328.49110125095967</v>
      </c>
      <c r="H185" s="28">
        <f t="shared" si="10"/>
        <v>328.43768595041325</v>
      </c>
      <c r="I185" s="28">
        <f t="shared" si="10"/>
        <v>328.55164769904712</v>
      </c>
      <c r="J185" s="28">
        <f t="shared" si="10"/>
        <v>328.52708485751702</v>
      </c>
      <c r="K185" s="28">
        <f t="shared" si="10"/>
        <v>328.0443252946755</v>
      </c>
      <c r="L185" s="28">
        <f t="shared" si="10"/>
        <v>327.72992638757171</v>
      </c>
      <c r="M185" s="28">
        <f t="shared" si="10"/>
        <v>327.31208485751705</v>
      </c>
      <c r="N185" s="28">
        <f t="shared" si="10"/>
        <v>326.7316203766427</v>
      </c>
    </row>
    <row r="186" spans="1:14" x14ac:dyDescent="0.4">
      <c r="A186" s="1">
        <v>26846</v>
      </c>
      <c r="B186" s="28">
        <v>330.14208485751703</v>
      </c>
      <c r="C186" s="28">
        <f t="shared" si="10"/>
        <v>329.71162037664271</v>
      </c>
      <c r="D186" s="28">
        <f t="shared" si="10"/>
        <v>329.39902474822742</v>
      </c>
      <c r="E186" s="28">
        <f t="shared" si="10"/>
        <v>328.9119527615951</v>
      </c>
      <c r="F186" s="28">
        <f t="shared" si="10"/>
        <v>328.9277042406178</v>
      </c>
      <c r="G186" s="28">
        <f t="shared" si="10"/>
        <v>328.86584157521565</v>
      </c>
      <c r="H186" s="28">
        <f t="shared" si="10"/>
        <v>328.49110125095967</v>
      </c>
      <c r="I186" s="28">
        <f t="shared" si="10"/>
        <v>328.43768595041325</v>
      </c>
      <c r="J186" s="28">
        <f t="shared" si="10"/>
        <v>328.55164769904712</v>
      </c>
      <c r="K186" s="28">
        <f t="shared" si="10"/>
        <v>328.52708485751702</v>
      </c>
      <c r="L186" s="28">
        <f t="shared" si="10"/>
        <v>328.0443252946755</v>
      </c>
      <c r="M186" s="28">
        <f t="shared" si="10"/>
        <v>327.72992638757171</v>
      </c>
      <c r="N186" s="28">
        <f t="shared" si="10"/>
        <v>327.31208485751705</v>
      </c>
    </row>
    <row r="187" spans="1:14" x14ac:dyDescent="0.4">
      <c r="A187" s="1">
        <v>26877</v>
      </c>
      <c r="B187" s="28">
        <v>330.71992638757172</v>
      </c>
      <c r="C187" s="28">
        <f t="shared" si="10"/>
        <v>330.14208485751703</v>
      </c>
      <c r="D187" s="28">
        <f t="shared" si="10"/>
        <v>329.71162037664271</v>
      </c>
      <c r="E187" s="28">
        <f t="shared" si="10"/>
        <v>329.39902474822742</v>
      </c>
      <c r="F187" s="28">
        <f t="shared" si="10"/>
        <v>328.9119527615951</v>
      </c>
      <c r="G187" s="28">
        <f t="shared" si="10"/>
        <v>328.9277042406178</v>
      </c>
      <c r="H187" s="28">
        <f t="shared" si="10"/>
        <v>328.86584157521565</v>
      </c>
      <c r="I187" s="28">
        <f t="shared" si="10"/>
        <v>328.49110125095967</v>
      </c>
      <c r="J187" s="28">
        <f t="shared" si="10"/>
        <v>328.43768595041325</v>
      </c>
      <c r="K187" s="28">
        <f t="shared" si="10"/>
        <v>328.55164769904712</v>
      </c>
      <c r="L187" s="28">
        <f t="shared" si="10"/>
        <v>328.52708485751702</v>
      </c>
      <c r="M187" s="28">
        <f t="shared" si="10"/>
        <v>328.0443252946755</v>
      </c>
      <c r="N187" s="28">
        <f t="shared" si="10"/>
        <v>327.72992638757171</v>
      </c>
    </row>
    <row r="188" spans="1:14" x14ac:dyDescent="0.4">
      <c r="A188" s="1">
        <v>26908</v>
      </c>
      <c r="B188" s="28">
        <v>330.71432529467552</v>
      </c>
      <c r="C188" s="28">
        <f t="shared" si="10"/>
        <v>330.71992638757172</v>
      </c>
      <c r="D188" s="28">
        <f t="shared" si="10"/>
        <v>330.14208485751703</v>
      </c>
      <c r="E188" s="28">
        <f t="shared" si="10"/>
        <v>329.71162037664271</v>
      </c>
      <c r="F188" s="28">
        <f t="shared" si="10"/>
        <v>329.39902474822742</v>
      </c>
      <c r="G188" s="28">
        <f t="shared" si="10"/>
        <v>328.9119527615951</v>
      </c>
      <c r="H188" s="28">
        <f t="shared" si="10"/>
        <v>328.9277042406178</v>
      </c>
      <c r="I188" s="28">
        <f t="shared" si="10"/>
        <v>328.86584157521565</v>
      </c>
      <c r="J188" s="28">
        <f t="shared" si="10"/>
        <v>328.49110125095967</v>
      </c>
      <c r="K188" s="28">
        <f t="shared" si="10"/>
        <v>328.43768595041325</v>
      </c>
      <c r="L188" s="28">
        <f t="shared" si="10"/>
        <v>328.55164769904712</v>
      </c>
      <c r="M188" s="28">
        <f t="shared" si="10"/>
        <v>328.52708485751702</v>
      </c>
      <c r="N188" s="28">
        <f t="shared" si="10"/>
        <v>328.0443252946755</v>
      </c>
    </row>
    <row r="189" spans="1:14" x14ac:dyDescent="0.4">
      <c r="A189" s="1">
        <v>26938</v>
      </c>
      <c r="B189" s="28">
        <v>330.50708485751704</v>
      </c>
      <c r="C189" s="28">
        <f t="shared" si="10"/>
        <v>330.71432529467552</v>
      </c>
      <c r="D189" s="28">
        <f t="shared" si="10"/>
        <v>330.71992638757172</v>
      </c>
      <c r="E189" s="28">
        <f t="shared" si="10"/>
        <v>330.14208485751703</v>
      </c>
      <c r="F189" s="28">
        <f t="shared" si="10"/>
        <v>329.71162037664271</v>
      </c>
      <c r="G189" s="28">
        <f t="shared" si="10"/>
        <v>329.39902474822742</v>
      </c>
      <c r="H189" s="28">
        <f t="shared" si="10"/>
        <v>328.9119527615951</v>
      </c>
      <c r="I189" s="28">
        <f t="shared" si="10"/>
        <v>328.9277042406178</v>
      </c>
      <c r="J189" s="28">
        <f t="shared" si="10"/>
        <v>328.86584157521565</v>
      </c>
      <c r="K189" s="28">
        <f t="shared" si="10"/>
        <v>328.49110125095967</v>
      </c>
      <c r="L189" s="28">
        <f t="shared" si="10"/>
        <v>328.43768595041325</v>
      </c>
      <c r="M189" s="28">
        <f t="shared" si="10"/>
        <v>328.55164769904712</v>
      </c>
      <c r="N189" s="28">
        <f t="shared" si="10"/>
        <v>328.52708485751702</v>
      </c>
    </row>
    <row r="190" spans="1:14" x14ac:dyDescent="0.4">
      <c r="A190" s="1">
        <v>26969</v>
      </c>
      <c r="B190" s="28">
        <v>330.21164769904715</v>
      </c>
      <c r="C190" s="28">
        <f t="shared" si="10"/>
        <v>330.50708485751704</v>
      </c>
      <c r="D190" s="28">
        <f t="shared" si="10"/>
        <v>330.71432529467552</v>
      </c>
      <c r="E190" s="28">
        <f t="shared" si="10"/>
        <v>330.71992638757172</v>
      </c>
      <c r="F190" s="28">
        <f t="shared" si="10"/>
        <v>330.14208485751703</v>
      </c>
      <c r="G190" s="28">
        <f t="shared" si="10"/>
        <v>329.71162037664271</v>
      </c>
      <c r="H190" s="28">
        <f t="shared" si="10"/>
        <v>329.39902474822742</v>
      </c>
      <c r="I190" s="28">
        <f t="shared" si="10"/>
        <v>328.9119527615951</v>
      </c>
      <c r="J190" s="28">
        <f t="shared" si="10"/>
        <v>328.9277042406178</v>
      </c>
      <c r="K190" s="28">
        <f t="shared" si="10"/>
        <v>328.86584157521565</v>
      </c>
      <c r="L190" s="28">
        <f t="shared" si="10"/>
        <v>328.49110125095967</v>
      </c>
      <c r="M190" s="28">
        <f t="shared" si="10"/>
        <v>328.43768595041325</v>
      </c>
      <c r="N190" s="28">
        <f t="shared" si="10"/>
        <v>328.55164769904712</v>
      </c>
    </row>
    <row r="191" spans="1:14" x14ac:dyDescent="0.4">
      <c r="A191" s="1">
        <v>26999</v>
      </c>
      <c r="B191" s="28">
        <v>329.52768595041323</v>
      </c>
      <c r="C191" s="28">
        <f t="shared" si="10"/>
        <v>330.21164769904715</v>
      </c>
      <c r="D191" s="28">
        <f t="shared" si="10"/>
        <v>330.50708485751704</v>
      </c>
      <c r="E191" s="28">
        <f t="shared" si="10"/>
        <v>330.71432529467552</v>
      </c>
      <c r="F191" s="28">
        <f t="shared" si="10"/>
        <v>330.71992638757172</v>
      </c>
      <c r="G191" s="28">
        <f t="shared" si="10"/>
        <v>330.14208485751703</v>
      </c>
      <c r="H191" s="28">
        <f t="shared" si="10"/>
        <v>329.71162037664271</v>
      </c>
      <c r="I191" s="28">
        <f t="shared" si="10"/>
        <v>329.39902474822742</v>
      </c>
      <c r="J191" s="28">
        <f t="shared" si="10"/>
        <v>328.9119527615951</v>
      </c>
      <c r="K191" s="28">
        <f t="shared" si="10"/>
        <v>328.9277042406178</v>
      </c>
      <c r="L191" s="28">
        <f t="shared" si="10"/>
        <v>328.86584157521565</v>
      </c>
      <c r="M191" s="28">
        <f t="shared" si="10"/>
        <v>328.49110125095967</v>
      </c>
      <c r="N191" s="28">
        <f t="shared" si="10"/>
        <v>328.43768595041325</v>
      </c>
    </row>
    <row r="192" spans="1:14" x14ac:dyDescent="0.4">
      <c r="A192" s="1">
        <v>27030</v>
      </c>
      <c r="B192" s="28">
        <v>329.29110125095968</v>
      </c>
      <c r="C192" s="28">
        <f t="shared" si="10"/>
        <v>329.52768595041323</v>
      </c>
      <c r="D192" s="28">
        <f t="shared" si="10"/>
        <v>330.21164769904715</v>
      </c>
      <c r="E192" s="28">
        <f t="shared" si="10"/>
        <v>330.50708485751704</v>
      </c>
      <c r="F192" s="28">
        <f t="shared" si="10"/>
        <v>330.71432529467552</v>
      </c>
      <c r="G192" s="28">
        <f t="shared" si="10"/>
        <v>330.71992638757172</v>
      </c>
      <c r="H192" s="28">
        <f t="shared" si="10"/>
        <v>330.14208485751703</v>
      </c>
      <c r="I192" s="28">
        <f t="shared" si="10"/>
        <v>329.71162037664271</v>
      </c>
      <c r="J192" s="28">
        <f t="shared" si="10"/>
        <v>329.39902474822742</v>
      </c>
      <c r="K192" s="28">
        <f t="shared" si="10"/>
        <v>328.9119527615951</v>
      </c>
      <c r="L192" s="28">
        <f t="shared" si="10"/>
        <v>328.9277042406178</v>
      </c>
      <c r="M192" s="28">
        <f t="shared" si="10"/>
        <v>328.86584157521565</v>
      </c>
      <c r="N192" s="28">
        <f t="shared" si="10"/>
        <v>328.49110125095967</v>
      </c>
    </row>
    <row r="193" spans="1:14" x14ac:dyDescent="0.4">
      <c r="A193" s="1">
        <v>27061</v>
      </c>
      <c r="B193" s="28">
        <v>330.01584157521563</v>
      </c>
      <c r="C193" s="28">
        <f t="shared" si="10"/>
        <v>329.29110125095968</v>
      </c>
      <c r="D193" s="28">
        <f t="shared" si="10"/>
        <v>329.52768595041323</v>
      </c>
      <c r="E193" s="28">
        <f t="shared" si="10"/>
        <v>330.21164769904715</v>
      </c>
      <c r="F193" s="28">
        <f t="shared" si="10"/>
        <v>330.50708485751704</v>
      </c>
      <c r="G193" s="28">
        <f t="shared" si="10"/>
        <v>330.71432529467552</v>
      </c>
      <c r="H193" s="28">
        <f t="shared" si="10"/>
        <v>330.71992638757172</v>
      </c>
      <c r="I193" s="28">
        <f t="shared" si="10"/>
        <v>330.14208485751703</v>
      </c>
      <c r="J193" s="28">
        <f t="shared" si="10"/>
        <v>329.71162037664271</v>
      </c>
      <c r="K193" s="28">
        <f t="shared" si="10"/>
        <v>329.39902474822742</v>
      </c>
      <c r="L193" s="28">
        <f t="shared" si="10"/>
        <v>328.9119527615951</v>
      </c>
      <c r="M193" s="28">
        <f t="shared" si="10"/>
        <v>328.9277042406178</v>
      </c>
      <c r="N193" s="28">
        <f t="shared" si="10"/>
        <v>328.86584157521565</v>
      </c>
    </row>
    <row r="194" spans="1:14" x14ac:dyDescent="0.4">
      <c r="A194" s="1">
        <v>27089</v>
      </c>
      <c r="B194" s="28">
        <v>330.10770424061781</v>
      </c>
      <c r="C194" s="28">
        <f t="shared" si="10"/>
        <v>330.01584157521563</v>
      </c>
      <c r="D194" s="28">
        <f t="shared" si="10"/>
        <v>329.29110125095968</v>
      </c>
      <c r="E194" s="28">
        <f t="shared" si="10"/>
        <v>329.52768595041323</v>
      </c>
      <c r="F194" s="28">
        <f t="shared" si="10"/>
        <v>330.21164769904715</v>
      </c>
      <c r="G194" s="28">
        <f t="shared" si="10"/>
        <v>330.50708485751704</v>
      </c>
      <c r="H194" s="28">
        <f t="shared" si="10"/>
        <v>330.71432529467552</v>
      </c>
      <c r="I194" s="28">
        <f t="shared" si="10"/>
        <v>330.71992638757172</v>
      </c>
      <c r="J194" s="28">
        <f t="shared" si="10"/>
        <v>330.14208485751703</v>
      </c>
      <c r="K194" s="28">
        <f t="shared" si="10"/>
        <v>329.71162037664271</v>
      </c>
      <c r="L194" s="28">
        <f t="shared" si="10"/>
        <v>329.39902474822742</v>
      </c>
      <c r="M194" s="28">
        <f t="shared" si="10"/>
        <v>328.9119527615951</v>
      </c>
      <c r="N194" s="28">
        <f t="shared" si="10"/>
        <v>328.9277042406178</v>
      </c>
    </row>
    <row r="195" spans="1:14" x14ac:dyDescent="0.4">
      <c r="A195" s="1">
        <v>27120</v>
      </c>
      <c r="B195" s="28">
        <v>330.06195276159508</v>
      </c>
      <c r="C195" s="28">
        <f t="shared" si="10"/>
        <v>330.10770424061781</v>
      </c>
      <c r="D195" s="28">
        <f t="shared" si="10"/>
        <v>330.01584157521563</v>
      </c>
      <c r="E195" s="28">
        <f t="shared" si="10"/>
        <v>329.29110125095968</v>
      </c>
      <c r="F195" s="28">
        <f t="shared" si="10"/>
        <v>329.52768595041323</v>
      </c>
      <c r="G195" s="28">
        <f t="shared" si="10"/>
        <v>330.21164769904715</v>
      </c>
      <c r="H195" s="28">
        <f t="shared" si="10"/>
        <v>330.50708485751704</v>
      </c>
      <c r="I195" s="28">
        <f t="shared" si="10"/>
        <v>330.71432529467552</v>
      </c>
      <c r="J195" s="28">
        <f t="shared" si="10"/>
        <v>330.71992638757172</v>
      </c>
      <c r="K195" s="28">
        <f t="shared" si="10"/>
        <v>330.14208485751703</v>
      </c>
      <c r="L195" s="28">
        <f t="shared" si="10"/>
        <v>329.71162037664271</v>
      </c>
      <c r="M195" s="28">
        <f t="shared" si="10"/>
        <v>329.39902474822742</v>
      </c>
      <c r="N195" s="28">
        <f t="shared" si="10"/>
        <v>328.9119527615951</v>
      </c>
    </row>
    <row r="196" spans="1:14" x14ac:dyDescent="0.4">
      <c r="A196" s="1">
        <v>27150</v>
      </c>
      <c r="B196" s="28">
        <v>330.00902474822738</v>
      </c>
      <c r="C196" s="28">
        <f t="shared" ref="C196:N259" si="11">IF(B195=0,"",B195)</f>
        <v>330.06195276159508</v>
      </c>
      <c r="D196" s="28">
        <f t="shared" si="11"/>
        <v>330.10770424061781</v>
      </c>
      <c r="E196" s="28">
        <f t="shared" si="11"/>
        <v>330.01584157521563</v>
      </c>
      <c r="F196" s="28">
        <f t="shared" si="11"/>
        <v>329.29110125095968</v>
      </c>
      <c r="G196" s="28">
        <f t="shared" si="11"/>
        <v>329.52768595041323</v>
      </c>
      <c r="H196" s="28">
        <f t="shared" si="11"/>
        <v>330.21164769904715</v>
      </c>
      <c r="I196" s="28">
        <f t="shared" si="11"/>
        <v>330.50708485751704</v>
      </c>
      <c r="J196" s="28">
        <f t="shared" si="11"/>
        <v>330.71432529467552</v>
      </c>
      <c r="K196" s="28">
        <f t="shared" si="11"/>
        <v>330.71992638757172</v>
      </c>
      <c r="L196" s="28">
        <f t="shared" si="11"/>
        <v>330.14208485751703</v>
      </c>
      <c r="M196" s="28">
        <f t="shared" si="11"/>
        <v>329.71162037664271</v>
      </c>
      <c r="N196" s="28">
        <f t="shared" si="11"/>
        <v>329.39902474822742</v>
      </c>
    </row>
    <row r="197" spans="1:14" x14ac:dyDescent="0.4">
      <c r="A197" s="1">
        <v>27181</v>
      </c>
      <c r="B197" s="28">
        <v>329.89162037664272</v>
      </c>
      <c r="C197" s="28">
        <f t="shared" si="11"/>
        <v>330.00902474822738</v>
      </c>
      <c r="D197" s="28">
        <f t="shared" si="11"/>
        <v>330.06195276159508</v>
      </c>
      <c r="E197" s="28">
        <f t="shared" si="11"/>
        <v>330.10770424061781</v>
      </c>
      <c r="F197" s="28">
        <f t="shared" si="11"/>
        <v>330.01584157521563</v>
      </c>
      <c r="G197" s="28">
        <f t="shared" si="11"/>
        <v>329.29110125095968</v>
      </c>
      <c r="H197" s="28">
        <f t="shared" si="11"/>
        <v>329.52768595041323</v>
      </c>
      <c r="I197" s="28">
        <f t="shared" si="11"/>
        <v>330.21164769904715</v>
      </c>
      <c r="J197" s="28">
        <f t="shared" si="11"/>
        <v>330.50708485751704</v>
      </c>
      <c r="K197" s="28">
        <f t="shared" si="11"/>
        <v>330.71432529467552</v>
      </c>
      <c r="L197" s="28">
        <f t="shared" si="11"/>
        <v>330.71992638757172</v>
      </c>
      <c r="M197" s="28">
        <f t="shared" si="11"/>
        <v>330.14208485751703</v>
      </c>
      <c r="N197" s="28">
        <f t="shared" si="11"/>
        <v>329.71162037664271</v>
      </c>
    </row>
    <row r="198" spans="1:14" x14ac:dyDescent="0.4">
      <c r="A198" s="1">
        <v>27211</v>
      </c>
      <c r="B198" s="28">
        <v>330.45208485751704</v>
      </c>
      <c r="C198" s="28">
        <f t="shared" si="11"/>
        <v>329.89162037664272</v>
      </c>
      <c r="D198" s="28">
        <f t="shared" si="11"/>
        <v>330.00902474822738</v>
      </c>
      <c r="E198" s="28">
        <f t="shared" si="11"/>
        <v>330.06195276159508</v>
      </c>
      <c r="F198" s="28">
        <f t="shared" si="11"/>
        <v>330.10770424061781</v>
      </c>
      <c r="G198" s="28">
        <f t="shared" si="11"/>
        <v>330.01584157521563</v>
      </c>
      <c r="H198" s="28">
        <f t="shared" si="11"/>
        <v>329.29110125095968</v>
      </c>
      <c r="I198" s="28">
        <f t="shared" si="11"/>
        <v>329.52768595041323</v>
      </c>
      <c r="J198" s="28">
        <f t="shared" si="11"/>
        <v>330.21164769904715</v>
      </c>
      <c r="K198" s="28">
        <f t="shared" si="11"/>
        <v>330.50708485751704</v>
      </c>
      <c r="L198" s="28">
        <f t="shared" si="11"/>
        <v>330.71432529467552</v>
      </c>
      <c r="M198" s="28">
        <f t="shared" si="11"/>
        <v>330.71992638757172</v>
      </c>
      <c r="N198" s="28">
        <f t="shared" si="11"/>
        <v>330.14208485751703</v>
      </c>
    </row>
    <row r="199" spans="1:14" x14ac:dyDescent="0.4">
      <c r="A199" s="1">
        <v>27242</v>
      </c>
      <c r="B199" s="28">
        <v>330.7999263875717</v>
      </c>
      <c r="C199" s="28">
        <f t="shared" si="11"/>
        <v>330.45208485751704</v>
      </c>
      <c r="D199" s="28">
        <f t="shared" si="11"/>
        <v>329.89162037664272</v>
      </c>
      <c r="E199" s="28">
        <f t="shared" si="11"/>
        <v>330.00902474822738</v>
      </c>
      <c r="F199" s="28">
        <f t="shared" si="11"/>
        <v>330.06195276159508</v>
      </c>
      <c r="G199" s="28">
        <f t="shared" si="11"/>
        <v>330.10770424061781</v>
      </c>
      <c r="H199" s="28">
        <f t="shared" si="11"/>
        <v>330.01584157521563</v>
      </c>
      <c r="I199" s="28">
        <f t="shared" si="11"/>
        <v>329.29110125095968</v>
      </c>
      <c r="J199" s="28">
        <f t="shared" si="11"/>
        <v>329.52768595041323</v>
      </c>
      <c r="K199" s="28">
        <f t="shared" si="11"/>
        <v>330.21164769904715</v>
      </c>
      <c r="L199" s="28">
        <f t="shared" si="11"/>
        <v>330.50708485751704</v>
      </c>
      <c r="M199" s="28">
        <f t="shared" si="11"/>
        <v>330.71432529467552</v>
      </c>
      <c r="N199" s="28">
        <f t="shared" si="11"/>
        <v>330.71992638757172</v>
      </c>
    </row>
    <row r="200" spans="1:14" x14ac:dyDescent="0.4">
      <c r="A200" s="1">
        <v>27273</v>
      </c>
      <c r="B200" s="28">
        <v>330.63432529467553</v>
      </c>
      <c r="C200" s="28">
        <f t="shared" si="11"/>
        <v>330.7999263875717</v>
      </c>
      <c r="D200" s="28">
        <f t="shared" si="11"/>
        <v>330.45208485751704</v>
      </c>
      <c r="E200" s="28">
        <f t="shared" si="11"/>
        <v>329.89162037664272</v>
      </c>
      <c r="F200" s="28">
        <f t="shared" si="11"/>
        <v>330.00902474822738</v>
      </c>
      <c r="G200" s="28">
        <f t="shared" si="11"/>
        <v>330.06195276159508</v>
      </c>
      <c r="H200" s="28">
        <f t="shared" si="11"/>
        <v>330.10770424061781</v>
      </c>
      <c r="I200" s="28">
        <f t="shared" si="11"/>
        <v>330.01584157521563</v>
      </c>
      <c r="J200" s="28">
        <f t="shared" si="11"/>
        <v>329.29110125095968</v>
      </c>
      <c r="K200" s="28">
        <f t="shared" si="11"/>
        <v>329.52768595041323</v>
      </c>
      <c r="L200" s="28">
        <f t="shared" si="11"/>
        <v>330.21164769904715</v>
      </c>
      <c r="M200" s="28">
        <f t="shared" si="11"/>
        <v>330.50708485751704</v>
      </c>
      <c r="N200" s="28">
        <f t="shared" si="11"/>
        <v>330.71432529467552</v>
      </c>
    </row>
    <row r="201" spans="1:14" x14ac:dyDescent="0.4">
      <c r="A201" s="1">
        <v>27303</v>
      </c>
      <c r="B201" s="28">
        <v>330.69708485751704</v>
      </c>
      <c r="C201" s="28">
        <f t="shared" si="11"/>
        <v>330.63432529467553</v>
      </c>
      <c r="D201" s="28">
        <f t="shared" si="11"/>
        <v>330.7999263875717</v>
      </c>
      <c r="E201" s="28">
        <f t="shared" si="11"/>
        <v>330.45208485751704</v>
      </c>
      <c r="F201" s="28">
        <f t="shared" si="11"/>
        <v>329.89162037664272</v>
      </c>
      <c r="G201" s="28">
        <f t="shared" si="11"/>
        <v>330.00902474822738</v>
      </c>
      <c r="H201" s="28">
        <f t="shared" si="11"/>
        <v>330.06195276159508</v>
      </c>
      <c r="I201" s="28">
        <f t="shared" si="11"/>
        <v>330.10770424061781</v>
      </c>
      <c r="J201" s="28">
        <f t="shared" si="11"/>
        <v>330.01584157521563</v>
      </c>
      <c r="K201" s="28">
        <f t="shared" si="11"/>
        <v>329.29110125095968</v>
      </c>
      <c r="L201" s="28">
        <f t="shared" si="11"/>
        <v>329.52768595041323</v>
      </c>
      <c r="M201" s="28">
        <f t="shared" si="11"/>
        <v>330.21164769904715</v>
      </c>
      <c r="N201" s="28">
        <f t="shared" si="11"/>
        <v>330.50708485751704</v>
      </c>
    </row>
    <row r="202" spans="1:14" x14ac:dyDescent="0.4">
      <c r="A202" s="1">
        <v>27334</v>
      </c>
      <c r="B202" s="28">
        <v>330.5116476990471</v>
      </c>
      <c r="C202" s="28">
        <f t="shared" si="11"/>
        <v>330.69708485751704</v>
      </c>
      <c r="D202" s="28">
        <f t="shared" si="11"/>
        <v>330.63432529467553</v>
      </c>
      <c r="E202" s="28">
        <f t="shared" si="11"/>
        <v>330.7999263875717</v>
      </c>
      <c r="F202" s="28">
        <f t="shared" si="11"/>
        <v>330.45208485751704</v>
      </c>
      <c r="G202" s="28">
        <f t="shared" si="11"/>
        <v>329.89162037664272</v>
      </c>
      <c r="H202" s="28">
        <f t="shared" si="11"/>
        <v>330.00902474822738</v>
      </c>
      <c r="I202" s="28">
        <f t="shared" si="11"/>
        <v>330.06195276159508</v>
      </c>
      <c r="J202" s="28">
        <f t="shared" si="11"/>
        <v>330.10770424061781</v>
      </c>
      <c r="K202" s="28">
        <f t="shared" si="11"/>
        <v>330.01584157521563</v>
      </c>
      <c r="L202" s="28">
        <f t="shared" si="11"/>
        <v>329.29110125095968</v>
      </c>
      <c r="M202" s="28">
        <f t="shared" si="11"/>
        <v>329.52768595041323</v>
      </c>
      <c r="N202" s="28">
        <f t="shared" si="11"/>
        <v>330.21164769904715</v>
      </c>
    </row>
    <row r="203" spans="1:14" x14ac:dyDescent="0.4">
      <c r="A203" s="1">
        <v>27364</v>
      </c>
      <c r="B203" s="28">
        <v>330.45768595041324</v>
      </c>
      <c r="C203" s="28">
        <f t="shared" si="11"/>
        <v>330.5116476990471</v>
      </c>
      <c r="D203" s="28">
        <f t="shared" si="11"/>
        <v>330.69708485751704</v>
      </c>
      <c r="E203" s="28">
        <f t="shared" si="11"/>
        <v>330.63432529467553</v>
      </c>
      <c r="F203" s="28">
        <f t="shared" si="11"/>
        <v>330.7999263875717</v>
      </c>
      <c r="G203" s="28">
        <f t="shared" si="11"/>
        <v>330.45208485751704</v>
      </c>
      <c r="H203" s="28">
        <f t="shared" si="11"/>
        <v>329.89162037664272</v>
      </c>
      <c r="I203" s="28">
        <f t="shared" si="11"/>
        <v>330.00902474822738</v>
      </c>
      <c r="J203" s="28">
        <f t="shared" si="11"/>
        <v>330.06195276159508</v>
      </c>
      <c r="K203" s="28">
        <f t="shared" si="11"/>
        <v>330.10770424061781</v>
      </c>
      <c r="L203" s="28">
        <f t="shared" si="11"/>
        <v>330.01584157521563</v>
      </c>
      <c r="M203" s="28">
        <f t="shared" si="11"/>
        <v>329.29110125095968</v>
      </c>
      <c r="N203" s="28">
        <f t="shared" si="11"/>
        <v>329.52768595041323</v>
      </c>
    </row>
    <row r="204" spans="1:14" x14ac:dyDescent="0.4">
      <c r="A204" s="1">
        <v>27395</v>
      </c>
      <c r="B204" s="28">
        <v>330.34110125095964</v>
      </c>
      <c r="C204" s="28">
        <f t="shared" si="11"/>
        <v>330.45768595041324</v>
      </c>
      <c r="D204" s="28">
        <f t="shared" si="11"/>
        <v>330.5116476990471</v>
      </c>
      <c r="E204" s="28">
        <f t="shared" si="11"/>
        <v>330.69708485751704</v>
      </c>
      <c r="F204" s="28">
        <f t="shared" si="11"/>
        <v>330.63432529467553</v>
      </c>
      <c r="G204" s="28">
        <f t="shared" si="11"/>
        <v>330.7999263875717</v>
      </c>
      <c r="H204" s="28">
        <f t="shared" si="11"/>
        <v>330.45208485751704</v>
      </c>
      <c r="I204" s="28">
        <f t="shared" si="11"/>
        <v>329.89162037664272</v>
      </c>
      <c r="J204" s="28">
        <f t="shared" si="11"/>
        <v>330.00902474822738</v>
      </c>
      <c r="K204" s="28">
        <f t="shared" si="11"/>
        <v>330.06195276159508</v>
      </c>
      <c r="L204" s="28">
        <f t="shared" si="11"/>
        <v>330.10770424061781</v>
      </c>
      <c r="M204" s="28">
        <f t="shared" si="11"/>
        <v>330.01584157521563</v>
      </c>
      <c r="N204" s="28">
        <f t="shared" si="11"/>
        <v>329.29110125095968</v>
      </c>
    </row>
    <row r="205" spans="1:14" x14ac:dyDescent="0.4">
      <c r="A205" s="1">
        <v>27426</v>
      </c>
      <c r="B205" s="28">
        <v>330.70584157521563</v>
      </c>
      <c r="C205" s="28">
        <f t="shared" si="11"/>
        <v>330.34110125095964</v>
      </c>
      <c r="D205" s="28">
        <f t="shared" si="11"/>
        <v>330.45768595041324</v>
      </c>
      <c r="E205" s="28">
        <f t="shared" si="11"/>
        <v>330.5116476990471</v>
      </c>
      <c r="F205" s="28">
        <f t="shared" si="11"/>
        <v>330.69708485751704</v>
      </c>
      <c r="G205" s="28">
        <f t="shared" si="11"/>
        <v>330.63432529467553</v>
      </c>
      <c r="H205" s="28">
        <f t="shared" si="11"/>
        <v>330.7999263875717</v>
      </c>
      <c r="I205" s="28">
        <f t="shared" si="11"/>
        <v>330.45208485751704</v>
      </c>
      <c r="J205" s="28">
        <f t="shared" si="11"/>
        <v>329.89162037664272</v>
      </c>
      <c r="K205" s="28">
        <f t="shared" si="11"/>
        <v>330.00902474822738</v>
      </c>
      <c r="L205" s="28">
        <f t="shared" si="11"/>
        <v>330.06195276159508</v>
      </c>
      <c r="M205" s="28">
        <f t="shared" si="11"/>
        <v>330.10770424061781</v>
      </c>
      <c r="N205" s="28">
        <f t="shared" si="11"/>
        <v>330.01584157521563</v>
      </c>
    </row>
    <row r="206" spans="1:14" x14ac:dyDescent="0.4">
      <c r="A206" s="1">
        <v>27454</v>
      </c>
      <c r="B206" s="28">
        <v>330.66770424061781</v>
      </c>
      <c r="C206" s="28">
        <f t="shared" si="11"/>
        <v>330.70584157521563</v>
      </c>
      <c r="D206" s="28">
        <f t="shared" si="11"/>
        <v>330.34110125095964</v>
      </c>
      <c r="E206" s="28">
        <f t="shared" si="11"/>
        <v>330.45768595041324</v>
      </c>
      <c r="F206" s="28">
        <f t="shared" si="11"/>
        <v>330.5116476990471</v>
      </c>
      <c r="G206" s="28">
        <f t="shared" si="11"/>
        <v>330.69708485751704</v>
      </c>
      <c r="H206" s="28">
        <f t="shared" si="11"/>
        <v>330.63432529467553</v>
      </c>
      <c r="I206" s="28">
        <f t="shared" si="11"/>
        <v>330.7999263875717</v>
      </c>
      <c r="J206" s="28">
        <f t="shared" si="11"/>
        <v>330.45208485751704</v>
      </c>
      <c r="K206" s="28">
        <f t="shared" si="11"/>
        <v>329.89162037664272</v>
      </c>
      <c r="L206" s="28">
        <f t="shared" si="11"/>
        <v>330.00902474822738</v>
      </c>
      <c r="M206" s="28">
        <f t="shared" si="11"/>
        <v>330.06195276159508</v>
      </c>
      <c r="N206" s="28">
        <f t="shared" si="11"/>
        <v>330.10770424061781</v>
      </c>
    </row>
    <row r="207" spans="1:14" x14ac:dyDescent="0.4">
      <c r="A207" s="1">
        <v>27485</v>
      </c>
      <c r="B207" s="28">
        <v>330.72195276159511</v>
      </c>
      <c r="C207" s="28">
        <f t="shared" si="11"/>
        <v>330.66770424061781</v>
      </c>
      <c r="D207" s="28">
        <f t="shared" si="11"/>
        <v>330.70584157521563</v>
      </c>
      <c r="E207" s="28">
        <f t="shared" si="11"/>
        <v>330.34110125095964</v>
      </c>
      <c r="F207" s="28">
        <f t="shared" si="11"/>
        <v>330.45768595041324</v>
      </c>
      <c r="G207" s="28">
        <f t="shared" si="11"/>
        <v>330.5116476990471</v>
      </c>
      <c r="H207" s="28">
        <f t="shared" si="11"/>
        <v>330.69708485751704</v>
      </c>
      <c r="I207" s="28">
        <f t="shared" si="11"/>
        <v>330.63432529467553</v>
      </c>
      <c r="J207" s="28">
        <f t="shared" si="11"/>
        <v>330.7999263875717</v>
      </c>
      <c r="K207" s="28">
        <f t="shared" si="11"/>
        <v>330.45208485751704</v>
      </c>
      <c r="L207" s="28">
        <f t="shared" si="11"/>
        <v>329.89162037664272</v>
      </c>
      <c r="M207" s="28">
        <f t="shared" si="11"/>
        <v>330.00902474822738</v>
      </c>
      <c r="N207" s="28">
        <f t="shared" si="11"/>
        <v>330.06195276159508</v>
      </c>
    </row>
    <row r="208" spans="1:14" x14ac:dyDescent="0.4">
      <c r="A208" s="1">
        <v>27515</v>
      </c>
      <c r="B208" s="28">
        <v>330.88902474822743</v>
      </c>
      <c r="C208" s="28">
        <f t="shared" si="11"/>
        <v>330.72195276159511</v>
      </c>
      <c r="D208" s="28">
        <f t="shared" si="11"/>
        <v>330.66770424061781</v>
      </c>
      <c r="E208" s="28">
        <f t="shared" si="11"/>
        <v>330.70584157521563</v>
      </c>
      <c r="F208" s="28">
        <f t="shared" si="11"/>
        <v>330.34110125095964</v>
      </c>
      <c r="G208" s="28">
        <f t="shared" si="11"/>
        <v>330.45768595041324</v>
      </c>
      <c r="H208" s="28">
        <f t="shared" si="11"/>
        <v>330.5116476990471</v>
      </c>
      <c r="I208" s="28">
        <f t="shared" si="11"/>
        <v>330.69708485751704</v>
      </c>
      <c r="J208" s="28">
        <f t="shared" si="11"/>
        <v>330.63432529467553</v>
      </c>
      <c r="K208" s="28">
        <f t="shared" si="11"/>
        <v>330.7999263875717</v>
      </c>
      <c r="L208" s="28">
        <f t="shared" si="11"/>
        <v>330.45208485751704</v>
      </c>
      <c r="M208" s="28">
        <f t="shared" si="11"/>
        <v>329.89162037664272</v>
      </c>
      <c r="N208" s="28">
        <f t="shared" si="11"/>
        <v>330.00902474822738</v>
      </c>
    </row>
    <row r="209" spans="1:14" x14ac:dyDescent="0.4">
      <c r="A209" s="1">
        <v>27546</v>
      </c>
      <c r="B209" s="28">
        <v>331.24162037664274</v>
      </c>
      <c r="C209" s="28">
        <f t="shared" si="11"/>
        <v>330.88902474822743</v>
      </c>
      <c r="D209" s="28">
        <f t="shared" si="11"/>
        <v>330.72195276159511</v>
      </c>
      <c r="E209" s="28">
        <f t="shared" si="11"/>
        <v>330.66770424061781</v>
      </c>
      <c r="F209" s="28">
        <f t="shared" si="11"/>
        <v>330.70584157521563</v>
      </c>
      <c r="G209" s="28">
        <f t="shared" si="11"/>
        <v>330.34110125095964</v>
      </c>
      <c r="H209" s="28">
        <f t="shared" si="11"/>
        <v>330.45768595041324</v>
      </c>
      <c r="I209" s="28">
        <f t="shared" si="11"/>
        <v>330.5116476990471</v>
      </c>
      <c r="J209" s="28">
        <f t="shared" si="11"/>
        <v>330.69708485751704</v>
      </c>
      <c r="K209" s="28">
        <f t="shared" si="11"/>
        <v>330.63432529467553</v>
      </c>
      <c r="L209" s="28">
        <f t="shared" si="11"/>
        <v>330.7999263875717</v>
      </c>
      <c r="M209" s="28">
        <f t="shared" si="11"/>
        <v>330.45208485751704</v>
      </c>
      <c r="N209" s="28">
        <f t="shared" si="11"/>
        <v>329.89162037664272</v>
      </c>
    </row>
    <row r="210" spans="1:14" x14ac:dyDescent="0.4">
      <c r="A210" s="1">
        <v>27576</v>
      </c>
      <c r="B210" s="28">
        <v>331.17208485751701</v>
      </c>
      <c r="C210" s="28">
        <f t="shared" si="11"/>
        <v>331.24162037664274</v>
      </c>
      <c r="D210" s="28">
        <f t="shared" si="11"/>
        <v>330.88902474822743</v>
      </c>
      <c r="E210" s="28">
        <f t="shared" si="11"/>
        <v>330.72195276159511</v>
      </c>
      <c r="F210" s="28">
        <f t="shared" si="11"/>
        <v>330.66770424061781</v>
      </c>
      <c r="G210" s="28">
        <f t="shared" si="11"/>
        <v>330.70584157521563</v>
      </c>
      <c r="H210" s="28">
        <f t="shared" si="11"/>
        <v>330.34110125095964</v>
      </c>
      <c r="I210" s="28">
        <f t="shared" si="11"/>
        <v>330.45768595041324</v>
      </c>
      <c r="J210" s="28">
        <f t="shared" si="11"/>
        <v>330.5116476990471</v>
      </c>
      <c r="K210" s="28">
        <f t="shared" si="11"/>
        <v>330.69708485751704</v>
      </c>
      <c r="L210" s="28">
        <f t="shared" si="11"/>
        <v>330.63432529467553</v>
      </c>
      <c r="M210" s="28">
        <f t="shared" si="11"/>
        <v>330.7999263875717</v>
      </c>
      <c r="N210" s="28">
        <f t="shared" si="11"/>
        <v>330.45208485751704</v>
      </c>
    </row>
    <row r="211" spans="1:14" x14ac:dyDescent="0.4">
      <c r="A211" s="1">
        <v>27607</v>
      </c>
      <c r="B211" s="28">
        <v>331.46992638757172</v>
      </c>
      <c r="C211" s="28">
        <f t="shared" si="11"/>
        <v>331.17208485751701</v>
      </c>
      <c r="D211" s="28">
        <f t="shared" si="11"/>
        <v>331.24162037664274</v>
      </c>
      <c r="E211" s="28">
        <f t="shared" si="11"/>
        <v>330.88902474822743</v>
      </c>
      <c r="F211" s="28">
        <f t="shared" si="11"/>
        <v>330.72195276159511</v>
      </c>
      <c r="G211" s="28">
        <f t="shared" si="11"/>
        <v>330.66770424061781</v>
      </c>
      <c r="H211" s="28">
        <f t="shared" si="11"/>
        <v>330.70584157521563</v>
      </c>
      <c r="I211" s="28">
        <f t="shared" si="11"/>
        <v>330.34110125095964</v>
      </c>
      <c r="J211" s="28">
        <f t="shared" si="11"/>
        <v>330.45768595041324</v>
      </c>
      <c r="K211" s="28">
        <f t="shared" si="11"/>
        <v>330.5116476990471</v>
      </c>
      <c r="L211" s="28">
        <f t="shared" si="11"/>
        <v>330.69708485751704</v>
      </c>
      <c r="M211" s="28">
        <f t="shared" si="11"/>
        <v>330.63432529467553</v>
      </c>
      <c r="N211" s="28">
        <f t="shared" si="11"/>
        <v>330.7999263875717</v>
      </c>
    </row>
    <row r="212" spans="1:14" x14ac:dyDescent="0.4">
      <c r="A212" s="1">
        <v>27638</v>
      </c>
      <c r="B212" s="28">
        <v>331.76432529467553</v>
      </c>
      <c r="C212" s="28">
        <f t="shared" si="11"/>
        <v>331.46992638757172</v>
      </c>
      <c r="D212" s="28">
        <f t="shared" si="11"/>
        <v>331.17208485751701</v>
      </c>
      <c r="E212" s="28">
        <f t="shared" si="11"/>
        <v>331.24162037664274</v>
      </c>
      <c r="F212" s="28">
        <f t="shared" si="11"/>
        <v>330.88902474822743</v>
      </c>
      <c r="G212" s="28">
        <f t="shared" si="11"/>
        <v>330.72195276159511</v>
      </c>
      <c r="H212" s="28">
        <f t="shared" si="11"/>
        <v>330.66770424061781</v>
      </c>
      <c r="I212" s="28">
        <f t="shared" si="11"/>
        <v>330.70584157521563</v>
      </c>
      <c r="J212" s="28">
        <f t="shared" si="11"/>
        <v>330.34110125095964</v>
      </c>
      <c r="K212" s="28">
        <f t="shared" si="11"/>
        <v>330.45768595041324</v>
      </c>
      <c r="L212" s="28">
        <f t="shared" si="11"/>
        <v>330.5116476990471</v>
      </c>
      <c r="M212" s="28">
        <f t="shared" si="11"/>
        <v>330.69708485751704</v>
      </c>
      <c r="N212" s="28">
        <f t="shared" si="11"/>
        <v>330.63432529467553</v>
      </c>
    </row>
    <row r="213" spans="1:14" x14ac:dyDescent="0.4">
      <c r="A213" s="1">
        <v>27668</v>
      </c>
      <c r="B213" s="28">
        <v>331.66708485751701</v>
      </c>
      <c r="C213" s="28">
        <f t="shared" si="11"/>
        <v>331.76432529467553</v>
      </c>
      <c r="D213" s="28">
        <f t="shared" si="11"/>
        <v>331.46992638757172</v>
      </c>
      <c r="E213" s="28">
        <f t="shared" si="11"/>
        <v>331.17208485751701</v>
      </c>
      <c r="F213" s="28">
        <f t="shared" si="11"/>
        <v>331.24162037664274</v>
      </c>
      <c r="G213" s="28">
        <f t="shared" si="11"/>
        <v>330.88902474822743</v>
      </c>
      <c r="H213" s="28">
        <f t="shared" si="11"/>
        <v>330.72195276159511</v>
      </c>
      <c r="I213" s="28">
        <f t="shared" si="11"/>
        <v>330.66770424061781</v>
      </c>
      <c r="J213" s="28">
        <f t="shared" si="11"/>
        <v>330.70584157521563</v>
      </c>
      <c r="K213" s="28">
        <f t="shared" si="11"/>
        <v>330.34110125095964</v>
      </c>
      <c r="L213" s="28">
        <f t="shared" si="11"/>
        <v>330.45768595041324</v>
      </c>
      <c r="M213" s="28">
        <f t="shared" si="11"/>
        <v>330.5116476990471</v>
      </c>
      <c r="N213" s="28">
        <f t="shared" si="11"/>
        <v>330.69708485751704</v>
      </c>
    </row>
    <row r="214" spans="1:14" x14ac:dyDescent="0.4">
      <c r="A214" s="1">
        <v>27699</v>
      </c>
      <c r="B214" s="28">
        <v>331.54164769904713</v>
      </c>
      <c r="C214" s="28">
        <f t="shared" si="11"/>
        <v>331.66708485751701</v>
      </c>
      <c r="D214" s="28">
        <f t="shared" si="11"/>
        <v>331.76432529467553</v>
      </c>
      <c r="E214" s="28">
        <f t="shared" si="11"/>
        <v>331.46992638757172</v>
      </c>
      <c r="F214" s="28">
        <f t="shared" si="11"/>
        <v>331.17208485751701</v>
      </c>
      <c r="G214" s="28">
        <f t="shared" si="11"/>
        <v>331.24162037664274</v>
      </c>
      <c r="H214" s="28">
        <f t="shared" si="11"/>
        <v>330.88902474822743</v>
      </c>
      <c r="I214" s="28">
        <f t="shared" si="11"/>
        <v>330.72195276159511</v>
      </c>
      <c r="J214" s="28">
        <f t="shared" si="11"/>
        <v>330.66770424061781</v>
      </c>
      <c r="K214" s="28">
        <f t="shared" si="11"/>
        <v>330.70584157521563</v>
      </c>
      <c r="L214" s="28">
        <f t="shared" si="11"/>
        <v>330.34110125095964</v>
      </c>
      <c r="M214" s="28">
        <f t="shared" si="11"/>
        <v>330.45768595041324</v>
      </c>
      <c r="N214" s="28">
        <f t="shared" si="11"/>
        <v>330.5116476990471</v>
      </c>
    </row>
    <row r="215" spans="1:14" x14ac:dyDescent="0.4">
      <c r="A215" s="1">
        <v>27729</v>
      </c>
      <c r="B215" s="28">
        <v>331.64768595041323</v>
      </c>
      <c r="C215" s="28">
        <f t="shared" si="11"/>
        <v>331.54164769904713</v>
      </c>
      <c r="D215" s="28">
        <f t="shared" si="11"/>
        <v>331.66708485751701</v>
      </c>
      <c r="E215" s="28">
        <f t="shared" si="11"/>
        <v>331.76432529467553</v>
      </c>
      <c r="F215" s="28">
        <f t="shared" si="11"/>
        <v>331.46992638757172</v>
      </c>
      <c r="G215" s="28">
        <f t="shared" si="11"/>
        <v>331.17208485751701</v>
      </c>
      <c r="H215" s="28">
        <f t="shared" si="11"/>
        <v>331.24162037664274</v>
      </c>
      <c r="I215" s="28">
        <f t="shared" si="11"/>
        <v>330.88902474822743</v>
      </c>
      <c r="J215" s="28">
        <f t="shared" si="11"/>
        <v>330.72195276159511</v>
      </c>
      <c r="K215" s="28">
        <f t="shared" si="11"/>
        <v>330.66770424061781</v>
      </c>
      <c r="L215" s="28">
        <f t="shared" si="11"/>
        <v>330.70584157521563</v>
      </c>
      <c r="M215" s="28">
        <f t="shared" si="11"/>
        <v>330.34110125095964</v>
      </c>
      <c r="N215" s="28">
        <f t="shared" si="11"/>
        <v>330.45768595041324</v>
      </c>
    </row>
    <row r="216" spans="1:14" x14ac:dyDescent="0.4">
      <c r="A216" s="1">
        <v>27760</v>
      </c>
      <c r="B216" s="28">
        <v>331.69110125095966</v>
      </c>
      <c r="C216" s="28">
        <f t="shared" si="11"/>
        <v>331.64768595041323</v>
      </c>
      <c r="D216" s="28">
        <f t="shared" si="11"/>
        <v>331.54164769904713</v>
      </c>
      <c r="E216" s="28">
        <f t="shared" si="11"/>
        <v>331.66708485751701</v>
      </c>
      <c r="F216" s="28">
        <f t="shared" si="11"/>
        <v>331.76432529467553</v>
      </c>
      <c r="G216" s="28">
        <f t="shared" si="11"/>
        <v>331.46992638757172</v>
      </c>
      <c r="H216" s="28">
        <f t="shared" si="11"/>
        <v>331.17208485751701</v>
      </c>
      <c r="I216" s="28">
        <f t="shared" si="11"/>
        <v>331.24162037664274</v>
      </c>
      <c r="J216" s="28">
        <f t="shared" si="11"/>
        <v>330.88902474822743</v>
      </c>
      <c r="K216" s="28">
        <f t="shared" si="11"/>
        <v>330.72195276159511</v>
      </c>
      <c r="L216" s="28">
        <f t="shared" si="11"/>
        <v>330.66770424061781</v>
      </c>
      <c r="M216" s="28">
        <f t="shared" si="11"/>
        <v>330.70584157521563</v>
      </c>
      <c r="N216" s="28">
        <f t="shared" si="11"/>
        <v>330.34110125095964</v>
      </c>
    </row>
    <row r="217" spans="1:14" x14ac:dyDescent="0.4">
      <c r="A217" s="1">
        <v>27791</v>
      </c>
      <c r="B217" s="28">
        <v>331.87584157521565</v>
      </c>
      <c r="C217" s="28">
        <f t="shared" si="11"/>
        <v>331.69110125095966</v>
      </c>
      <c r="D217" s="28">
        <f t="shared" si="11"/>
        <v>331.64768595041323</v>
      </c>
      <c r="E217" s="28">
        <f t="shared" si="11"/>
        <v>331.54164769904713</v>
      </c>
      <c r="F217" s="28">
        <f t="shared" ref="D217:P232" si="12">IF(E216=0,"",E216)</f>
        <v>331.66708485751701</v>
      </c>
      <c r="G217" s="28">
        <f t="shared" si="12"/>
        <v>331.76432529467553</v>
      </c>
      <c r="H217" s="28">
        <f t="shared" si="12"/>
        <v>331.46992638757172</v>
      </c>
      <c r="I217" s="28">
        <f t="shared" si="12"/>
        <v>331.17208485751701</v>
      </c>
      <c r="J217" s="28">
        <f t="shared" si="12"/>
        <v>331.24162037664274</v>
      </c>
      <c r="K217" s="28">
        <f t="shared" si="12"/>
        <v>330.88902474822743</v>
      </c>
      <c r="L217" s="28">
        <f t="shared" si="12"/>
        <v>330.72195276159511</v>
      </c>
      <c r="M217" s="28">
        <f t="shared" si="12"/>
        <v>330.66770424061781</v>
      </c>
      <c r="N217" s="28">
        <f t="shared" si="12"/>
        <v>330.70584157521563</v>
      </c>
    </row>
    <row r="218" spans="1:14" x14ac:dyDescent="0.4">
      <c r="A218" s="1">
        <v>27820</v>
      </c>
      <c r="B218" s="28">
        <v>332.12770424061779</v>
      </c>
      <c r="C218" s="28">
        <f t="shared" ref="C218:N281" si="13">IF(B217=0,"",B217)</f>
        <v>331.87584157521565</v>
      </c>
      <c r="D218" s="28">
        <f t="shared" si="12"/>
        <v>331.69110125095966</v>
      </c>
      <c r="E218" s="28">
        <f t="shared" si="12"/>
        <v>331.64768595041323</v>
      </c>
      <c r="F218" s="28">
        <f t="shared" si="12"/>
        <v>331.54164769904713</v>
      </c>
      <c r="G218" s="28">
        <f t="shared" si="12"/>
        <v>331.66708485751701</v>
      </c>
      <c r="H218" s="28">
        <f t="shared" si="12"/>
        <v>331.76432529467553</v>
      </c>
      <c r="I218" s="28">
        <f t="shared" si="12"/>
        <v>331.46992638757172</v>
      </c>
      <c r="J218" s="28">
        <f t="shared" si="12"/>
        <v>331.17208485751701</v>
      </c>
      <c r="K218" s="28">
        <f t="shared" si="12"/>
        <v>331.24162037664274</v>
      </c>
      <c r="L218" s="28">
        <f t="shared" si="12"/>
        <v>330.88902474822743</v>
      </c>
      <c r="M218" s="28">
        <f t="shared" si="12"/>
        <v>330.72195276159511</v>
      </c>
      <c r="N218" s="28">
        <f t="shared" si="12"/>
        <v>330.66770424061781</v>
      </c>
    </row>
    <row r="219" spans="1:14" x14ac:dyDescent="0.4">
      <c r="A219" s="1">
        <v>27851</v>
      </c>
      <c r="B219" s="28">
        <v>331.99195276159509</v>
      </c>
      <c r="C219" s="28">
        <f t="shared" si="13"/>
        <v>332.12770424061779</v>
      </c>
      <c r="D219" s="28">
        <f t="shared" si="12"/>
        <v>331.87584157521565</v>
      </c>
      <c r="E219" s="28">
        <f t="shared" si="12"/>
        <v>331.69110125095966</v>
      </c>
      <c r="F219" s="28">
        <f t="shared" si="12"/>
        <v>331.64768595041323</v>
      </c>
      <c r="G219" s="28">
        <f t="shared" si="12"/>
        <v>331.54164769904713</v>
      </c>
      <c r="H219" s="28">
        <f t="shared" si="12"/>
        <v>331.66708485751701</v>
      </c>
      <c r="I219" s="28">
        <f t="shared" si="12"/>
        <v>331.76432529467553</v>
      </c>
      <c r="J219" s="28">
        <f t="shared" si="12"/>
        <v>331.46992638757172</v>
      </c>
      <c r="K219" s="28">
        <f t="shared" si="12"/>
        <v>331.17208485751701</v>
      </c>
      <c r="L219" s="28">
        <f t="shared" si="12"/>
        <v>331.24162037664274</v>
      </c>
      <c r="M219" s="28">
        <f t="shared" si="12"/>
        <v>330.88902474822743</v>
      </c>
      <c r="N219" s="28">
        <f t="shared" si="12"/>
        <v>330.72195276159511</v>
      </c>
    </row>
    <row r="220" spans="1:14" x14ac:dyDescent="0.4">
      <c r="A220" s="1">
        <v>27881</v>
      </c>
      <c r="B220" s="28">
        <v>331.7990247482274</v>
      </c>
      <c r="C220" s="28">
        <f t="shared" si="13"/>
        <v>331.99195276159509</v>
      </c>
      <c r="D220" s="28">
        <f t="shared" si="12"/>
        <v>332.12770424061779</v>
      </c>
      <c r="E220" s="28">
        <f t="shared" si="12"/>
        <v>331.87584157521565</v>
      </c>
      <c r="F220" s="28">
        <f t="shared" si="12"/>
        <v>331.69110125095966</v>
      </c>
      <c r="G220" s="28">
        <f t="shared" si="12"/>
        <v>331.64768595041323</v>
      </c>
      <c r="H220" s="28">
        <f t="shared" si="12"/>
        <v>331.54164769904713</v>
      </c>
      <c r="I220" s="28">
        <f t="shared" si="12"/>
        <v>331.66708485751701</v>
      </c>
      <c r="J220" s="28">
        <f t="shared" si="12"/>
        <v>331.76432529467553</v>
      </c>
      <c r="K220" s="28">
        <f t="shared" si="12"/>
        <v>331.46992638757172</v>
      </c>
      <c r="L220" s="28">
        <f t="shared" si="12"/>
        <v>331.17208485751701</v>
      </c>
      <c r="M220" s="28">
        <f t="shared" si="12"/>
        <v>331.24162037664274</v>
      </c>
      <c r="N220" s="28">
        <f t="shared" si="12"/>
        <v>330.88902474822743</v>
      </c>
    </row>
    <row r="221" spans="1:14" x14ac:dyDescent="0.4">
      <c r="A221" s="1">
        <v>27912</v>
      </c>
      <c r="B221" s="28">
        <v>331.9716203766427</v>
      </c>
      <c r="C221" s="28">
        <f t="shared" si="13"/>
        <v>331.7990247482274</v>
      </c>
      <c r="D221" s="28">
        <f t="shared" si="12"/>
        <v>331.99195276159509</v>
      </c>
      <c r="E221" s="28">
        <f t="shared" si="12"/>
        <v>332.12770424061779</v>
      </c>
      <c r="F221" s="28">
        <f t="shared" si="12"/>
        <v>331.87584157521565</v>
      </c>
      <c r="G221" s="28">
        <f t="shared" si="12"/>
        <v>331.69110125095966</v>
      </c>
      <c r="H221" s="28">
        <f t="shared" si="12"/>
        <v>331.64768595041323</v>
      </c>
      <c r="I221" s="28">
        <f t="shared" si="12"/>
        <v>331.54164769904713</v>
      </c>
      <c r="J221" s="28">
        <f t="shared" si="12"/>
        <v>331.66708485751701</v>
      </c>
      <c r="K221" s="28">
        <f t="shared" si="12"/>
        <v>331.76432529467553</v>
      </c>
      <c r="L221" s="28">
        <f t="shared" si="12"/>
        <v>331.46992638757172</v>
      </c>
      <c r="M221" s="28">
        <f t="shared" si="12"/>
        <v>331.17208485751701</v>
      </c>
      <c r="N221" s="28">
        <f t="shared" si="12"/>
        <v>331.24162037664274</v>
      </c>
    </row>
    <row r="222" spans="1:14" x14ac:dyDescent="0.4">
      <c r="A222" s="1">
        <v>27942</v>
      </c>
      <c r="B222" s="28">
        <v>332.32208485751704</v>
      </c>
      <c r="C222" s="28">
        <f t="shared" si="13"/>
        <v>331.9716203766427</v>
      </c>
      <c r="D222" s="28">
        <f t="shared" si="12"/>
        <v>331.7990247482274</v>
      </c>
      <c r="E222" s="28">
        <f t="shared" si="12"/>
        <v>331.99195276159509</v>
      </c>
      <c r="F222" s="28">
        <f t="shared" si="12"/>
        <v>332.12770424061779</v>
      </c>
      <c r="G222" s="28">
        <f t="shared" si="12"/>
        <v>331.87584157521565</v>
      </c>
      <c r="H222" s="28">
        <f t="shared" si="12"/>
        <v>331.69110125095966</v>
      </c>
      <c r="I222" s="28">
        <f t="shared" si="12"/>
        <v>331.64768595041323</v>
      </c>
      <c r="J222" s="28">
        <f t="shared" si="12"/>
        <v>331.54164769904713</v>
      </c>
      <c r="K222" s="28">
        <f t="shared" si="12"/>
        <v>331.66708485751701</v>
      </c>
      <c r="L222" s="28">
        <f t="shared" si="12"/>
        <v>331.76432529467553</v>
      </c>
      <c r="M222" s="28">
        <f t="shared" si="12"/>
        <v>331.46992638757172</v>
      </c>
      <c r="N222" s="28">
        <f t="shared" si="12"/>
        <v>331.17208485751701</v>
      </c>
    </row>
    <row r="223" spans="1:14" x14ac:dyDescent="0.4">
      <c r="A223" s="1">
        <v>27973</v>
      </c>
      <c r="B223" s="28">
        <v>332.34992638757171</v>
      </c>
      <c r="C223" s="28">
        <f t="shared" si="13"/>
        <v>332.32208485751704</v>
      </c>
      <c r="D223" s="28">
        <f t="shared" si="12"/>
        <v>331.9716203766427</v>
      </c>
      <c r="E223" s="28">
        <f t="shared" si="12"/>
        <v>331.7990247482274</v>
      </c>
      <c r="F223" s="28">
        <f t="shared" si="12"/>
        <v>331.99195276159509</v>
      </c>
      <c r="G223" s="28">
        <f t="shared" si="12"/>
        <v>332.12770424061779</v>
      </c>
      <c r="H223" s="28">
        <f t="shared" si="12"/>
        <v>331.87584157521565</v>
      </c>
      <c r="I223" s="28">
        <f t="shared" si="12"/>
        <v>331.69110125095966</v>
      </c>
      <c r="J223" s="28">
        <f t="shared" si="12"/>
        <v>331.64768595041323</v>
      </c>
      <c r="K223" s="28">
        <f t="shared" si="12"/>
        <v>331.54164769904713</v>
      </c>
      <c r="L223" s="28">
        <f t="shared" si="12"/>
        <v>331.66708485751701</v>
      </c>
      <c r="M223" s="28">
        <f t="shared" si="12"/>
        <v>331.76432529467553</v>
      </c>
      <c r="N223" s="28">
        <f t="shared" si="12"/>
        <v>331.46992638757172</v>
      </c>
    </row>
    <row r="224" spans="1:14" x14ac:dyDescent="0.4">
      <c r="A224" s="1">
        <v>28004</v>
      </c>
      <c r="B224" s="28">
        <v>332.50432529467554</v>
      </c>
      <c r="C224" s="28">
        <f t="shared" si="13"/>
        <v>332.34992638757171</v>
      </c>
      <c r="D224" s="28">
        <f t="shared" si="12"/>
        <v>332.32208485751704</v>
      </c>
      <c r="E224" s="28">
        <f t="shared" si="12"/>
        <v>331.9716203766427</v>
      </c>
      <c r="F224" s="28">
        <f t="shared" si="12"/>
        <v>331.7990247482274</v>
      </c>
      <c r="G224" s="28">
        <f t="shared" si="12"/>
        <v>331.99195276159509</v>
      </c>
      <c r="H224" s="28">
        <f t="shared" si="12"/>
        <v>332.12770424061779</v>
      </c>
      <c r="I224" s="28">
        <f t="shared" si="12"/>
        <v>331.87584157521565</v>
      </c>
      <c r="J224" s="28">
        <f t="shared" si="12"/>
        <v>331.69110125095966</v>
      </c>
      <c r="K224" s="28">
        <f t="shared" si="12"/>
        <v>331.64768595041323</v>
      </c>
      <c r="L224" s="28">
        <f t="shared" si="12"/>
        <v>331.54164769904713</v>
      </c>
      <c r="M224" s="28">
        <f t="shared" si="12"/>
        <v>331.66708485751701</v>
      </c>
      <c r="N224" s="28">
        <f t="shared" si="12"/>
        <v>331.76432529467553</v>
      </c>
    </row>
    <row r="225" spans="1:14" x14ac:dyDescent="0.4">
      <c r="A225" s="1">
        <v>28034</v>
      </c>
      <c r="B225" s="28">
        <v>332.26708485751703</v>
      </c>
      <c r="C225" s="28">
        <f t="shared" si="13"/>
        <v>332.50432529467554</v>
      </c>
      <c r="D225" s="28">
        <f t="shared" si="12"/>
        <v>332.34992638757171</v>
      </c>
      <c r="E225" s="28">
        <f t="shared" si="12"/>
        <v>332.32208485751704</v>
      </c>
      <c r="F225" s="28">
        <f t="shared" si="12"/>
        <v>331.9716203766427</v>
      </c>
      <c r="G225" s="28">
        <f t="shared" si="12"/>
        <v>331.7990247482274</v>
      </c>
      <c r="H225" s="28">
        <f t="shared" si="12"/>
        <v>331.99195276159509</v>
      </c>
      <c r="I225" s="28">
        <f t="shared" si="12"/>
        <v>332.12770424061779</v>
      </c>
      <c r="J225" s="28">
        <f t="shared" si="12"/>
        <v>331.87584157521565</v>
      </c>
      <c r="K225" s="28">
        <f t="shared" si="12"/>
        <v>331.69110125095966</v>
      </c>
      <c r="L225" s="28">
        <f t="shared" si="12"/>
        <v>331.64768595041323</v>
      </c>
      <c r="M225" s="28">
        <f t="shared" si="12"/>
        <v>331.54164769904713</v>
      </c>
      <c r="N225" s="28">
        <f t="shared" si="12"/>
        <v>331.66708485751701</v>
      </c>
    </row>
    <row r="226" spans="1:14" x14ac:dyDescent="0.4">
      <c r="A226" s="1">
        <v>28065</v>
      </c>
      <c r="B226" s="28">
        <v>332.36164769904713</v>
      </c>
      <c r="C226" s="28">
        <f t="shared" si="13"/>
        <v>332.26708485751703</v>
      </c>
      <c r="D226" s="28">
        <f t="shared" si="12"/>
        <v>332.50432529467554</v>
      </c>
      <c r="E226" s="28">
        <f t="shared" si="12"/>
        <v>332.34992638757171</v>
      </c>
      <c r="F226" s="28">
        <f t="shared" si="12"/>
        <v>332.32208485751704</v>
      </c>
      <c r="G226" s="28">
        <f t="shared" si="12"/>
        <v>331.9716203766427</v>
      </c>
      <c r="H226" s="28">
        <f t="shared" si="12"/>
        <v>331.7990247482274</v>
      </c>
      <c r="I226" s="28">
        <f t="shared" si="12"/>
        <v>331.99195276159509</v>
      </c>
      <c r="J226" s="28">
        <f t="shared" si="12"/>
        <v>332.12770424061779</v>
      </c>
      <c r="K226" s="28">
        <f t="shared" si="12"/>
        <v>331.87584157521565</v>
      </c>
      <c r="L226" s="28">
        <f t="shared" si="12"/>
        <v>331.69110125095966</v>
      </c>
      <c r="M226" s="28">
        <f t="shared" si="12"/>
        <v>331.64768595041323</v>
      </c>
      <c r="N226" s="28">
        <f t="shared" si="12"/>
        <v>331.54164769904713</v>
      </c>
    </row>
    <row r="227" spans="1:14" x14ac:dyDescent="0.4">
      <c r="A227" s="1">
        <v>28095</v>
      </c>
      <c r="B227" s="28">
        <v>332.56768595041325</v>
      </c>
      <c r="C227" s="28">
        <f t="shared" si="13"/>
        <v>332.36164769904713</v>
      </c>
      <c r="D227" s="28">
        <f t="shared" si="12"/>
        <v>332.26708485751703</v>
      </c>
      <c r="E227" s="28">
        <f t="shared" si="12"/>
        <v>332.50432529467554</v>
      </c>
      <c r="F227" s="28">
        <f t="shared" si="12"/>
        <v>332.34992638757171</v>
      </c>
      <c r="G227" s="28">
        <f t="shared" si="12"/>
        <v>332.32208485751704</v>
      </c>
      <c r="H227" s="28">
        <f t="shared" si="12"/>
        <v>331.9716203766427</v>
      </c>
      <c r="I227" s="28">
        <f t="shared" si="12"/>
        <v>331.7990247482274</v>
      </c>
      <c r="J227" s="28">
        <f t="shared" si="12"/>
        <v>331.99195276159509</v>
      </c>
      <c r="K227" s="28">
        <f t="shared" si="12"/>
        <v>332.12770424061779</v>
      </c>
      <c r="L227" s="28">
        <f t="shared" si="12"/>
        <v>331.87584157521565</v>
      </c>
      <c r="M227" s="28">
        <f t="shared" si="12"/>
        <v>331.69110125095966</v>
      </c>
      <c r="N227" s="28">
        <f t="shared" si="12"/>
        <v>331.64768595041323</v>
      </c>
    </row>
    <row r="228" spans="1:14" x14ac:dyDescent="0.4">
      <c r="A228" s="1">
        <v>28126</v>
      </c>
      <c r="B228" s="28">
        <v>332.87110125095967</v>
      </c>
      <c r="C228" s="28">
        <f t="shared" si="13"/>
        <v>332.56768595041325</v>
      </c>
      <c r="D228" s="28">
        <f t="shared" si="12"/>
        <v>332.36164769904713</v>
      </c>
      <c r="E228" s="28">
        <f t="shared" si="12"/>
        <v>332.26708485751703</v>
      </c>
      <c r="F228" s="28">
        <f t="shared" si="12"/>
        <v>332.50432529467554</v>
      </c>
      <c r="G228" s="28">
        <f t="shared" si="12"/>
        <v>332.34992638757171</v>
      </c>
      <c r="H228" s="28">
        <f t="shared" si="12"/>
        <v>332.32208485751704</v>
      </c>
      <c r="I228" s="28">
        <f t="shared" si="12"/>
        <v>331.9716203766427</v>
      </c>
      <c r="J228" s="28">
        <f t="shared" si="12"/>
        <v>331.7990247482274</v>
      </c>
      <c r="K228" s="28">
        <f t="shared" si="12"/>
        <v>331.99195276159509</v>
      </c>
      <c r="L228" s="28">
        <f t="shared" si="12"/>
        <v>332.12770424061779</v>
      </c>
      <c r="M228" s="28">
        <f t="shared" si="12"/>
        <v>331.87584157521565</v>
      </c>
      <c r="N228" s="28">
        <f t="shared" si="12"/>
        <v>331.69110125095966</v>
      </c>
    </row>
    <row r="229" spans="1:14" x14ac:dyDescent="0.4">
      <c r="A229" s="1">
        <v>28157</v>
      </c>
      <c r="B229" s="28">
        <v>332.72584157521567</v>
      </c>
      <c r="C229" s="28">
        <f t="shared" si="13"/>
        <v>332.87110125095967</v>
      </c>
      <c r="D229" s="28">
        <f t="shared" si="12"/>
        <v>332.56768595041325</v>
      </c>
      <c r="E229" s="28">
        <f t="shared" si="12"/>
        <v>332.36164769904713</v>
      </c>
      <c r="F229" s="28">
        <f t="shared" si="12"/>
        <v>332.26708485751703</v>
      </c>
      <c r="G229" s="28">
        <f t="shared" si="12"/>
        <v>332.50432529467554</v>
      </c>
      <c r="H229" s="28">
        <f t="shared" si="12"/>
        <v>332.34992638757171</v>
      </c>
      <c r="I229" s="28">
        <f t="shared" si="12"/>
        <v>332.32208485751704</v>
      </c>
      <c r="J229" s="28">
        <f t="shared" si="12"/>
        <v>331.9716203766427</v>
      </c>
      <c r="K229" s="28">
        <f t="shared" si="12"/>
        <v>331.7990247482274</v>
      </c>
      <c r="L229" s="28">
        <f t="shared" si="12"/>
        <v>331.99195276159509</v>
      </c>
      <c r="M229" s="28">
        <f t="shared" si="12"/>
        <v>332.12770424061779</v>
      </c>
      <c r="N229" s="28">
        <f t="shared" si="12"/>
        <v>331.87584157521565</v>
      </c>
    </row>
    <row r="230" spans="1:14" x14ac:dyDescent="0.4">
      <c r="A230" s="1">
        <v>28185</v>
      </c>
      <c r="B230" s="28">
        <v>333.32770424061778</v>
      </c>
      <c r="C230" s="28">
        <f t="shared" si="13"/>
        <v>332.72584157521567</v>
      </c>
      <c r="D230" s="28">
        <f t="shared" si="12"/>
        <v>332.87110125095967</v>
      </c>
      <c r="E230" s="28">
        <f t="shared" si="12"/>
        <v>332.56768595041325</v>
      </c>
      <c r="F230" s="28">
        <f t="shared" si="12"/>
        <v>332.36164769904713</v>
      </c>
      <c r="G230" s="28">
        <f t="shared" si="12"/>
        <v>332.26708485751703</v>
      </c>
      <c r="H230" s="28">
        <f t="shared" si="12"/>
        <v>332.50432529467554</v>
      </c>
      <c r="I230" s="28">
        <f t="shared" si="12"/>
        <v>332.34992638757171</v>
      </c>
      <c r="J230" s="28">
        <f t="shared" si="12"/>
        <v>332.32208485751704</v>
      </c>
      <c r="K230" s="28">
        <f t="shared" si="12"/>
        <v>331.9716203766427</v>
      </c>
      <c r="L230" s="28">
        <f t="shared" si="12"/>
        <v>331.7990247482274</v>
      </c>
      <c r="M230" s="28">
        <f t="shared" si="12"/>
        <v>331.99195276159509</v>
      </c>
      <c r="N230" s="28">
        <f t="shared" si="12"/>
        <v>332.12770424061779</v>
      </c>
    </row>
    <row r="231" spans="1:14" x14ac:dyDescent="0.4">
      <c r="A231" s="1">
        <v>28216</v>
      </c>
      <c r="B231" s="28">
        <v>333.4819527615951</v>
      </c>
      <c r="C231" s="28">
        <f t="shared" si="13"/>
        <v>333.32770424061778</v>
      </c>
      <c r="D231" s="28">
        <f t="shared" si="12"/>
        <v>332.72584157521567</v>
      </c>
      <c r="E231" s="28">
        <f t="shared" si="12"/>
        <v>332.87110125095967</v>
      </c>
      <c r="F231" s="28">
        <f t="shared" si="12"/>
        <v>332.56768595041325</v>
      </c>
      <c r="G231" s="28">
        <f t="shared" si="12"/>
        <v>332.36164769904713</v>
      </c>
      <c r="H231" s="28">
        <f t="shared" si="12"/>
        <v>332.26708485751703</v>
      </c>
      <c r="I231" s="28">
        <f t="shared" si="12"/>
        <v>332.50432529467554</v>
      </c>
      <c r="J231" s="28">
        <f t="shared" si="12"/>
        <v>332.34992638757171</v>
      </c>
      <c r="K231" s="28">
        <f t="shared" si="12"/>
        <v>332.32208485751704</v>
      </c>
      <c r="L231" s="28">
        <f t="shared" si="12"/>
        <v>331.9716203766427</v>
      </c>
      <c r="M231" s="28">
        <f t="shared" si="12"/>
        <v>331.7990247482274</v>
      </c>
      <c r="N231" s="28">
        <f t="shared" si="12"/>
        <v>331.99195276159509</v>
      </c>
    </row>
    <row r="232" spans="1:14" x14ac:dyDescent="0.4">
      <c r="A232" s="1">
        <v>28246</v>
      </c>
      <c r="B232" s="28">
        <v>333.6690247482274</v>
      </c>
      <c r="C232" s="28">
        <f t="shared" si="13"/>
        <v>333.4819527615951</v>
      </c>
      <c r="D232" s="28">
        <f t="shared" si="12"/>
        <v>333.32770424061778</v>
      </c>
      <c r="E232" s="28">
        <f t="shared" si="12"/>
        <v>332.72584157521567</v>
      </c>
      <c r="F232" s="28">
        <f t="shared" si="12"/>
        <v>332.87110125095967</v>
      </c>
      <c r="G232" s="28">
        <f t="shared" si="12"/>
        <v>332.56768595041325</v>
      </c>
      <c r="H232" s="28">
        <f t="shared" si="12"/>
        <v>332.36164769904713</v>
      </c>
      <c r="I232" s="28">
        <f t="shared" si="12"/>
        <v>332.26708485751703</v>
      </c>
      <c r="J232" s="28">
        <f t="shared" si="12"/>
        <v>332.50432529467554</v>
      </c>
      <c r="K232" s="28">
        <f t="shared" si="12"/>
        <v>332.34992638757171</v>
      </c>
      <c r="L232" s="28">
        <f t="shared" si="12"/>
        <v>332.32208485751704</v>
      </c>
      <c r="M232" s="28">
        <f t="shared" si="12"/>
        <v>331.9716203766427</v>
      </c>
      <c r="N232" s="28">
        <f t="shared" si="12"/>
        <v>331.7990247482274</v>
      </c>
    </row>
    <row r="233" spans="1:14" x14ac:dyDescent="0.4">
      <c r="A233" s="1">
        <v>28277</v>
      </c>
      <c r="B233" s="28">
        <v>333.9116203766427</v>
      </c>
      <c r="C233" s="28">
        <f t="shared" si="13"/>
        <v>333.6690247482274</v>
      </c>
      <c r="D233" s="28">
        <f t="shared" si="13"/>
        <v>333.4819527615951</v>
      </c>
      <c r="E233" s="28">
        <f t="shared" si="13"/>
        <v>333.32770424061778</v>
      </c>
      <c r="F233" s="28">
        <f t="shared" si="13"/>
        <v>332.72584157521567</v>
      </c>
      <c r="G233" s="28">
        <f t="shared" si="13"/>
        <v>332.87110125095967</v>
      </c>
      <c r="H233" s="28">
        <f t="shared" si="13"/>
        <v>332.56768595041325</v>
      </c>
      <c r="I233" s="28">
        <f t="shared" si="13"/>
        <v>332.36164769904713</v>
      </c>
      <c r="J233" s="28">
        <f t="shared" si="13"/>
        <v>332.26708485751703</v>
      </c>
      <c r="K233" s="28">
        <f t="shared" si="13"/>
        <v>332.50432529467554</v>
      </c>
      <c r="L233" s="28">
        <f t="shared" si="13"/>
        <v>332.34992638757171</v>
      </c>
      <c r="M233" s="28">
        <f t="shared" si="13"/>
        <v>332.32208485751704</v>
      </c>
      <c r="N233" s="28">
        <f t="shared" si="13"/>
        <v>331.9716203766427</v>
      </c>
    </row>
    <row r="234" spans="1:14" x14ac:dyDescent="0.4">
      <c r="A234" s="1">
        <v>28307</v>
      </c>
      <c r="B234" s="28">
        <v>334.19208485751705</v>
      </c>
      <c r="C234" s="28">
        <f t="shared" si="13"/>
        <v>333.9116203766427</v>
      </c>
      <c r="D234" s="28">
        <f t="shared" si="13"/>
        <v>333.6690247482274</v>
      </c>
      <c r="E234" s="28">
        <f t="shared" si="13"/>
        <v>333.4819527615951</v>
      </c>
      <c r="F234" s="28">
        <f t="shared" si="13"/>
        <v>333.32770424061778</v>
      </c>
      <c r="G234" s="28">
        <f t="shared" si="13"/>
        <v>332.72584157521567</v>
      </c>
      <c r="H234" s="28">
        <f t="shared" si="13"/>
        <v>332.87110125095967</v>
      </c>
      <c r="I234" s="28">
        <f t="shared" si="13"/>
        <v>332.56768595041325</v>
      </c>
      <c r="J234" s="28">
        <f t="shared" si="13"/>
        <v>332.36164769904713</v>
      </c>
      <c r="K234" s="28">
        <f t="shared" si="13"/>
        <v>332.26708485751703</v>
      </c>
      <c r="L234" s="28">
        <f t="shared" si="13"/>
        <v>332.50432529467554</v>
      </c>
      <c r="M234" s="28">
        <f t="shared" si="13"/>
        <v>332.34992638757171</v>
      </c>
      <c r="N234" s="28">
        <f t="shared" si="13"/>
        <v>332.32208485751704</v>
      </c>
    </row>
    <row r="235" spans="1:14" x14ac:dyDescent="0.4">
      <c r="A235" s="1">
        <v>28338</v>
      </c>
      <c r="B235" s="28">
        <v>334.15992638757172</v>
      </c>
      <c r="C235" s="28">
        <f t="shared" si="13"/>
        <v>334.19208485751705</v>
      </c>
      <c r="D235" s="28">
        <f t="shared" si="13"/>
        <v>333.9116203766427</v>
      </c>
      <c r="E235" s="28">
        <f t="shared" si="13"/>
        <v>333.6690247482274</v>
      </c>
      <c r="F235" s="28">
        <f t="shared" si="13"/>
        <v>333.4819527615951</v>
      </c>
      <c r="G235" s="28">
        <f t="shared" si="13"/>
        <v>333.32770424061778</v>
      </c>
      <c r="H235" s="28">
        <f t="shared" si="13"/>
        <v>332.72584157521567</v>
      </c>
      <c r="I235" s="28">
        <f t="shared" si="13"/>
        <v>332.87110125095967</v>
      </c>
      <c r="J235" s="28">
        <f t="shared" si="13"/>
        <v>332.56768595041325</v>
      </c>
      <c r="K235" s="28">
        <f t="shared" si="13"/>
        <v>332.36164769904713</v>
      </c>
      <c r="L235" s="28">
        <f t="shared" si="13"/>
        <v>332.26708485751703</v>
      </c>
      <c r="M235" s="28">
        <f t="shared" si="13"/>
        <v>332.50432529467554</v>
      </c>
      <c r="N235" s="28">
        <f t="shared" si="13"/>
        <v>332.34992638757171</v>
      </c>
    </row>
    <row r="236" spans="1:14" x14ac:dyDescent="0.4">
      <c r="A236" s="1">
        <v>28369</v>
      </c>
      <c r="B236" s="28">
        <v>334.7943252946755</v>
      </c>
      <c r="C236" s="28">
        <f t="shared" si="13"/>
        <v>334.15992638757172</v>
      </c>
      <c r="D236" s="28">
        <f t="shared" si="13"/>
        <v>334.19208485751705</v>
      </c>
      <c r="E236" s="28">
        <f t="shared" si="13"/>
        <v>333.9116203766427</v>
      </c>
      <c r="F236" s="28">
        <f t="shared" si="13"/>
        <v>333.6690247482274</v>
      </c>
      <c r="G236" s="28">
        <f t="shared" si="13"/>
        <v>333.4819527615951</v>
      </c>
      <c r="H236" s="28">
        <f t="shared" si="13"/>
        <v>333.32770424061778</v>
      </c>
      <c r="I236" s="28">
        <f t="shared" si="13"/>
        <v>332.72584157521567</v>
      </c>
      <c r="J236" s="28">
        <f t="shared" si="13"/>
        <v>332.87110125095967</v>
      </c>
      <c r="K236" s="28">
        <f t="shared" si="13"/>
        <v>332.56768595041325</v>
      </c>
      <c r="L236" s="28">
        <f t="shared" si="13"/>
        <v>332.36164769904713</v>
      </c>
      <c r="M236" s="28">
        <f t="shared" si="13"/>
        <v>332.26708485751703</v>
      </c>
      <c r="N236" s="28">
        <f t="shared" si="13"/>
        <v>332.50432529467554</v>
      </c>
    </row>
    <row r="237" spans="1:14" x14ac:dyDescent="0.4">
      <c r="A237" s="1">
        <v>28399</v>
      </c>
      <c r="B237" s="28">
        <v>334.48708485751706</v>
      </c>
      <c r="C237" s="28">
        <f t="shared" si="13"/>
        <v>334.7943252946755</v>
      </c>
      <c r="D237" s="28">
        <f t="shared" si="13"/>
        <v>334.15992638757172</v>
      </c>
      <c r="E237" s="28">
        <f t="shared" si="13"/>
        <v>334.19208485751705</v>
      </c>
      <c r="F237" s="28">
        <f t="shared" si="13"/>
        <v>333.9116203766427</v>
      </c>
      <c r="G237" s="28">
        <f t="shared" si="13"/>
        <v>333.6690247482274</v>
      </c>
      <c r="H237" s="28">
        <f t="shared" si="13"/>
        <v>333.4819527615951</v>
      </c>
      <c r="I237" s="28">
        <f t="shared" si="13"/>
        <v>333.32770424061778</v>
      </c>
      <c r="J237" s="28">
        <f t="shared" si="13"/>
        <v>332.72584157521567</v>
      </c>
      <c r="K237" s="28">
        <f t="shared" si="13"/>
        <v>332.87110125095967</v>
      </c>
      <c r="L237" s="28">
        <f t="shared" si="13"/>
        <v>332.56768595041325</v>
      </c>
      <c r="M237" s="28">
        <f t="shared" si="13"/>
        <v>332.36164769904713</v>
      </c>
      <c r="N237" s="28">
        <f t="shared" si="13"/>
        <v>332.26708485751703</v>
      </c>
    </row>
    <row r="238" spans="1:14" x14ac:dyDescent="0.4">
      <c r="A238" s="1">
        <v>28430</v>
      </c>
      <c r="B238" s="28">
        <v>334.4516476990471</v>
      </c>
      <c r="C238" s="28">
        <f t="shared" si="13"/>
        <v>334.48708485751706</v>
      </c>
      <c r="D238" s="28">
        <f t="shared" si="13"/>
        <v>334.7943252946755</v>
      </c>
      <c r="E238" s="28">
        <f t="shared" si="13"/>
        <v>334.15992638757172</v>
      </c>
      <c r="F238" s="28">
        <f t="shared" si="13"/>
        <v>334.19208485751705</v>
      </c>
      <c r="G238" s="28">
        <f t="shared" si="13"/>
        <v>333.9116203766427</v>
      </c>
      <c r="H238" s="28">
        <f t="shared" si="13"/>
        <v>333.6690247482274</v>
      </c>
      <c r="I238" s="28">
        <f t="shared" si="13"/>
        <v>333.4819527615951</v>
      </c>
      <c r="J238" s="28">
        <f t="shared" si="13"/>
        <v>333.32770424061778</v>
      </c>
      <c r="K238" s="28">
        <f t="shared" si="13"/>
        <v>332.72584157521567</v>
      </c>
      <c r="L238" s="28">
        <f t="shared" si="13"/>
        <v>332.87110125095967</v>
      </c>
      <c r="M238" s="28">
        <f t="shared" si="13"/>
        <v>332.56768595041325</v>
      </c>
      <c r="N238" s="28">
        <f t="shared" si="13"/>
        <v>332.36164769904713</v>
      </c>
    </row>
    <row r="239" spans="1:14" x14ac:dyDescent="0.4">
      <c r="A239" s="1">
        <v>28460</v>
      </c>
      <c r="B239" s="28">
        <v>334.73768595041327</v>
      </c>
      <c r="C239" s="28">
        <f t="shared" si="13"/>
        <v>334.4516476990471</v>
      </c>
      <c r="D239" s="28">
        <f t="shared" si="13"/>
        <v>334.48708485751706</v>
      </c>
      <c r="E239" s="28">
        <f t="shared" si="13"/>
        <v>334.7943252946755</v>
      </c>
      <c r="F239" s="28">
        <f t="shared" si="13"/>
        <v>334.15992638757172</v>
      </c>
      <c r="G239" s="28">
        <f t="shared" si="13"/>
        <v>334.19208485751705</v>
      </c>
      <c r="H239" s="28">
        <f t="shared" si="13"/>
        <v>333.9116203766427</v>
      </c>
      <c r="I239" s="28">
        <f t="shared" si="13"/>
        <v>333.6690247482274</v>
      </c>
      <c r="J239" s="28">
        <f t="shared" si="13"/>
        <v>333.4819527615951</v>
      </c>
      <c r="K239" s="28">
        <f t="shared" si="13"/>
        <v>333.32770424061778</v>
      </c>
      <c r="L239" s="28">
        <f t="shared" si="13"/>
        <v>332.72584157521567</v>
      </c>
      <c r="M239" s="28">
        <f t="shared" si="13"/>
        <v>332.87110125095967</v>
      </c>
      <c r="N239" s="28">
        <f t="shared" si="13"/>
        <v>332.56768595041325</v>
      </c>
    </row>
    <row r="240" spans="1:14" x14ac:dyDescent="0.4">
      <c r="A240" s="1">
        <v>28491</v>
      </c>
      <c r="B240" s="28">
        <v>334.91110125095969</v>
      </c>
      <c r="C240" s="28">
        <f t="shared" si="13"/>
        <v>334.73768595041327</v>
      </c>
      <c r="D240" s="28">
        <f t="shared" si="13"/>
        <v>334.4516476990471</v>
      </c>
      <c r="E240" s="28">
        <f t="shared" si="13"/>
        <v>334.48708485751706</v>
      </c>
      <c r="F240" s="28">
        <f t="shared" si="13"/>
        <v>334.7943252946755</v>
      </c>
      <c r="G240" s="28">
        <f t="shared" si="13"/>
        <v>334.15992638757172</v>
      </c>
      <c r="H240" s="28">
        <f t="shared" si="13"/>
        <v>334.19208485751705</v>
      </c>
      <c r="I240" s="28">
        <f t="shared" si="13"/>
        <v>333.9116203766427</v>
      </c>
      <c r="J240" s="28">
        <f t="shared" si="13"/>
        <v>333.6690247482274</v>
      </c>
      <c r="K240" s="28">
        <f t="shared" si="13"/>
        <v>333.4819527615951</v>
      </c>
      <c r="L240" s="28">
        <f t="shared" si="13"/>
        <v>333.32770424061778</v>
      </c>
      <c r="M240" s="28">
        <f t="shared" si="13"/>
        <v>332.72584157521567</v>
      </c>
      <c r="N240" s="28">
        <f t="shared" si="13"/>
        <v>332.87110125095967</v>
      </c>
    </row>
    <row r="241" spans="1:14" x14ac:dyDescent="0.4">
      <c r="A241" s="1">
        <v>28522</v>
      </c>
      <c r="B241" s="28">
        <v>334.69584157521564</v>
      </c>
      <c r="C241" s="28">
        <f t="shared" si="13"/>
        <v>334.91110125095969</v>
      </c>
      <c r="D241" s="28">
        <f t="shared" si="13"/>
        <v>334.73768595041327</v>
      </c>
      <c r="E241" s="28">
        <f t="shared" si="13"/>
        <v>334.4516476990471</v>
      </c>
      <c r="F241" s="28">
        <f t="shared" si="13"/>
        <v>334.48708485751706</v>
      </c>
      <c r="G241" s="28">
        <f t="shared" si="13"/>
        <v>334.7943252946755</v>
      </c>
      <c r="H241" s="28">
        <f t="shared" si="13"/>
        <v>334.15992638757172</v>
      </c>
      <c r="I241" s="28">
        <f t="shared" si="13"/>
        <v>334.19208485751705</v>
      </c>
      <c r="J241" s="28">
        <f t="shared" si="13"/>
        <v>333.9116203766427</v>
      </c>
      <c r="K241" s="28">
        <f t="shared" si="13"/>
        <v>333.6690247482274</v>
      </c>
      <c r="L241" s="28">
        <f t="shared" si="13"/>
        <v>333.4819527615951</v>
      </c>
      <c r="M241" s="28">
        <f t="shared" si="13"/>
        <v>333.32770424061778</v>
      </c>
      <c r="N241" s="28">
        <f t="shared" si="13"/>
        <v>332.72584157521567</v>
      </c>
    </row>
    <row r="242" spans="1:14" x14ac:dyDescent="0.4">
      <c r="A242" s="1">
        <v>28550</v>
      </c>
      <c r="B242" s="28">
        <v>335.26770424061777</v>
      </c>
      <c r="C242" s="28">
        <f t="shared" si="13"/>
        <v>334.69584157521564</v>
      </c>
      <c r="D242" s="28">
        <f t="shared" si="13"/>
        <v>334.91110125095969</v>
      </c>
      <c r="E242" s="28">
        <f t="shared" si="13"/>
        <v>334.73768595041327</v>
      </c>
      <c r="F242" s="28">
        <f t="shared" si="13"/>
        <v>334.4516476990471</v>
      </c>
      <c r="G242" s="28">
        <f t="shared" si="13"/>
        <v>334.48708485751706</v>
      </c>
      <c r="H242" s="28">
        <f t="shared" si="13"/>
        <v>334.7943252946755</v>
      </c>
      <c r="I242" s="28">
        <f t="shared" si="13"/>
        <v>334.15992638757172</v>
      </c>
      <c r="J242" s="28">
        <f t="shared" si="13"/>
        <v>334.19208485751705</v>
      </c>
      <c r="K242" s="28">
        <f t="shared" si="13"/>
        <v>333.9116203766427</v>
      </c>
      <c r="L242" s="28">
        <f t="shared" si="13"/>
        <v>333.6690247482274</v>
      </c>
      <c r="M242" s="28">
        <f t="shared" si="13"/>
        <v>333.4819527615951</v>
      </c>
      <c r="N242" s="28">
        <f t="shared" si="13"/>
        <v>333.32770424061778</v>
      </c>
    </row>
    <row r="243" spans="1:14" x14ac:dyDescent="0.4">
      <c r="A243" s="1">
        <v>28581</v>
      </c>
      <c r="B243" s="28">
        <v>335.17195276159509</v>
      </c>
      <c r="C243" s="28">
        <f t="shared" si="13"/>
        <v>335.26770424061777</v>
      </c>
      <c r="D243" s="28">
        <f t="shared" si="13"/>
        <v>334.69584157521564</v>
      </c>
      <c r="E243" s="28">
        <f t="shared" si="13"/>
        <v>334.91110125095969</v>
      </c>
      <c r="F243" s="28">
        <f t="shared" si="13"/>
        <v>334.73768595041327</v>
      </c>
      <c r="G243" s="28">
        <f t="shared" si="13"/>
        <v>334.4516476990471</v>
      </c>
      <c r="H243" s="28">
        <f t="shared" si="13"/>
        <v>334.48708485751706</v>
      </c>
      <c r="I243" s="28">
        <f t="shared" si="13"/>
        <v>334.7943252946755</v>
      </c>
      <c r="J243" s="28">
        <f t="shared" si="13"/>
        <v>334.15992638757172</v>
      </c>
      <c r="K243" s="28">
        <f t="shared" si="13"/>
        <v>334.19208485751705</v>
      </c>
      <c r="L243" s="28">
        <f t="shared" si="13"/>
        <v>333.9116203766427</v>
      </c>
      <c r="M243" s="28">
        <f t="shared" si="13"/>
        <v>333.6690247482274</v>
      </c>
      <c r="N243" s="28">
        <f t="shared" si="13"/>
        <v>333.4819527615951</v>
      </c>
    </row>
    <row r="244" spans="1:14" x14ac:dyDescent="0.4">
      <c r="A244" s="1">
        <v>28611</v>
      </c>
      <c r="B244" s="28">
        <v>334.92902474822739</v>
      </c>
      <c r="C244" s="28">
        <f t="shared" si="13"/>
        <v>335.17195276159509</v>
      </c>
      <c r="D244" s="28">
        <f t="shared" si="13"/>
        <v>335.26770424061777</v>
      </c>
      <c r="E244" s="28">
        <f t="shared" si="13"/>
        <v>334.69584157521564</v>
      </c>
      <c r="F244" s="28">
        <f t="shared" si="13"/>
        <v>334.91110125095969</v>
      </c>
      <c r="G244" s="28">
        <f t="shared" si="13"/>
        <v>334.73768595041327</v>
      </c>
      <c r="H244" s="28">
        <f t="shared" si="13"/>
        <v>334.4516476990471</v>
      </c>
      <c r="I244" s="28">
        <f t="shared" si="13"/>
        <v>334.48708485751706</v>
      </c>
      <c r="J244" s="28">
        <f t="shared" si="13"/>
        <v>334.7943252946755</v>
      </c>
      <c r="K244" s="28">
        <f t="shared" si="13"/>
        <v>334.15992638757172</v>
      </c>
      <c r="L244" s="28">
        <f t="shared" si="13"/>
        <v>334.19208485751705</v>
      </c>
      <c r="M244" s="28">
        <f t="shared" si="13"/>
        <v>333.9116203766427</v>
      </c>
      <c r="N244" s="28">
        <f t="shared" si="13"/>
        <v>333.6690247482274</v>
      </c>
    </row>
    <row r="245" spans="1:14" x14ac:dyDescent="0.4">
      <c r="A245" s="1">
        <v>28642</v>
      </c>
      <c r="B245" s="28">
        <v>335.5416203766427</v>
      </c>
      <c r="C245" s="28">
        <f t="shared" si="13"/>
        <v>334.92902474822739</v>
      </c>
      <c r="D245" s="28">
        <f t="shared" si="13"/>
        <v>335.17195276159509</v>
      </c>
      <c r="E245" s="28">
        <f t="shared" si="13"/>
        <v>335.26770424061777</v>
      </c>
      <c r="F245" s="28">
        <f t="shared" si="13"/>
        <v>334.69584157521564</v>
      </c>
      <c r="G245" s="28">
        <f t="shared" si="13"/>
        <v>334.91110125095969</v>
      </c>
      <c r="H245" s="28">
        <f t="shared" si="13"/>
        <v>334.73768595041327</v>
      </c>
      <c r="I245" s="28">
        <f t="shared" si="13"/>
        <v>334.4516476990471</v>
      </c>
      <c r="J245" s="28">
        <f t="shared" si="13"/>
        <v>334.48708485751706</v>
      </c>
      <c r="K245" s="28">
        <f t="shared" si="13"/>
        <v>334.7943252946755</v>
      </c>
      <c r="L245" s="28">
        <f t="shared" si="13"/>
        <v>334.15992638757172</v>
      </c>
      <c r="M245" s="28">
        <f t="shared" si="13"/>
        <v>334.19208485751705</v>
      </c>
      <c r="N245" s="28">
        <f t="shared" si="13"/>
        <v>333.9116203766427</v>
      </c>
    </row>
    <row r="246" spans="1:14" x14ac:dyDescent="0.4">
      <c r="A246" s="1">
        <v>28672</v>
      </c>
      <c r="B246" s="28">
        <v>335.81208485751705</v>
      </c>
      <c r="C246" s="28">
        <f t="shared" si="13"/>
        <v>335.5416203766427</v>
      </c>
      <c r="D246" s="28">
        <f t="shared" si="13"/>
        <v>334.92902474822739</v>
      </c>
      <c r="E246" s="28">
        <f t="shared" si="13"/>
        <v>335.17195276159509</v>
      </c>
      <c r="F246" s="28">
        <f t="shared" si="13"/>
        <v>335.26770424061777</v>
      </c>
      <c r="G246" s="28">
        <f t="shared" si="13"/>
        <v>334.69584157521564</v>
      </c>
      <c r="H246" s="28">
        <f t="shared" si="13"/>
        <v>334.91110125095969</v>
      </c>
      <c r="I246" s="28">
        <f t="shared" si="13"/>
        <v>334.73768595041327</v>
      </c>
      <c r="J246" s="28">
        <f t="shared" si="13"/>
        <v>334.4516476990471</v>
      </c>
      <c r="K246" s="28">
        <f t="shared" si="13"/>
        <v>334.48708485751706</v>
      </c>
      <c r="L246" s="28">
        <f t="shared" si="13"/>
        <v>334.7943252946755</v>
      </c>
      <c r="M246" s="28">
        <f t="shared" si="13"/>
        <v>334.15992638757172</v>
      </c>
      <c r="N246" s="28">
        <f t="shared" si="13"/>
        <v>334.19208485751705</v>
      </c>
    </row>
    <row r="247" spans="1:14" x14ac:dyDescent="0.4">
      <c r="A247" s="1">
        <v>28703</v>
      </c>
      <c r="B247" s="28">
        <v>336.08992638757172</v>
      </c>
      <c r="C247" s="28">
        <f t="shared" si="13"/>
        <v>335.81208485751705</v>
      </c>
      <c r="D247" s="28">
        <f t="shared" si="13"/>
        <v>335.5416203766427</v>
      </c>
      <c r="E247" s="28">
        <f t="shared" si="13"/>
        <v>334.92902474822739</v>
      </c>
      <c r="F247" s="28">
        <f t="shared" si="13"/>
        <v>335.17195276159509</v>
      </c>
      <c r="G247" s="28">
        <f t="shared" si="13"/>
        <v>335.26770424061777</v>
      </c>
      <c r="H247" s="28">
        <f t="shared" si="13"/>
        <v>334.69584157521564</v>
      </c>
      <c r="I247" s="28">
        <f t="shared" si="13"/>
        <v>334.91110125095969</v>
      </c>
      <c r="J247" s="28">
        <f t="shared" si="13"/>
        <v>334.73768595041327</v>
      </c>
      <c r="K247" s="28">
        <f t="shared" si="13"/>
        <v>334.4516476990471</v>
      </c>
      <c r="L247" s="28">
        <f t="shared" si="13"/>
        <v>334.48708485751706</v>
      </c>
      <c r="M247" s="28">
        <f t="shared" si="13"/>
        <v>334.7943252946755</v>
      </c>
      <c r="N247" s="28">
        <f t="shared" si="13"/>
        <v>334.15992638757172</v>
      </c>
    </row>
    <row r="248" spans="1:14" x14ac:dyDescent="0.4">
      <c r="A248" s="1">
        <v>28734</v>
      </c>
      <c r="B248" s="28">
        <v>335.96432529467552</v>
      </c>
      <c r="C248" s="28">
        <f t="shared" si="13"/>
        <v>336.08992638757172</v>
      </c>
      <c r="D248" s="28">
        <f t="shared" si="13"/>
        <v>335.81208485751705</v>
      </c>
      <c r="E248" s="28">
        <f t="shared" si="13"/>
        <v>335.5416203766427</v>
      </c>
      <c r="F248" s="28">
        <f t="shared" si="13"/>
        <v>334.92902474822739</v>
      </c>
      <c r="G248" s="28">
        <f t="shared" si="13"/>
        <v>335.17195276159509</v>
      </c>
      <c r="H248" s="28">
        <f t="shared" si="13"/>
        <v>335.26770424061777</v>
      </c>
      <c r="I248" s="28">
        <f t="shared" si="13"/>
        <v>334.69584157521564</v>
      </c>
      <c r="J248" s="28">
        <f t="shared" si="13"/>
        <v>334.91110125095969</v>
      </c>
      <c r="K248" s="28">
        <f t="shared" si="13"/>
        <v>334.73768595041327</v>
      </c>
      <c r="L248" s="28">
        <f t="shared" si="13"/>
        <v>334.4516476990471</v>
      </c>
      <c r="M248" s="28">
        <f t="shared" si="13"/>
        <v>334.48708485751706</v>
      </c>
      <c r="N248" s="28">
        <f t="shared" si="13"/>
        <v>334.7943252946755</v>
      </c>
    </row>
    <row r="249" spans="1:14" x14ac:dyDescent="0.4">
      <c r="A249" s="1">
        <v>28764</v>
      </c>
      <c r="B249" s="28">
        <v>335.87708485751705</v>
      </c>
      <c r="C249" s="28">
        <f t="shared" si="13"/>
        <v>335.96432529467552</v>
      </c>
      <c r="D249" s="28">
        <f t="shared" si="13"/>
        <v>336.08992638757172</v>
      </c>
      <c r="E249" s="28">
        <f t="shared" si="13"/>
        <v>335.81208485751705</v>
      </c>
      <c r="F249" s="28">
        <f t="shared" si="13"/>
        <v>335.5416203766427</v>
      </c>
      <c r="G249" s="28">
        <f t="shared" si="13"/>
        <v>334.92902474822739</v>
      </c>
      <c r="H249" s="28">
        <f t="shared" si="13"/>
        <v>335.17195276159509</v>
      </c>
      <c r="I249" s="28">
        <f t="shared" si="13"/>
        <v>335.26770424061777</v>
      </c>
      <c r="J249" s="28">
        <f t="shared" si="13"/>
        <v>334.69584157521564</v>
      </c>
      <c r="K249" s="28">
        <f t="shared" si="13"/>
        <v>334.91110125095969</v>
      </c>
      <c r="L249" s="28">
        <f t="shared" si="13"/>
        <v>334.73768595041327</v>
      </c>
      <c r="M249" s="28">
        <f t="shared" si="13"/>
        <v>334.4516476990471</v>
      </c>
      <c r="N249" s="28">
        <f t="shared" si="13"/>
        <v>334.48708485751706</v>
      </c>
    </row>
    <row r="250" spans="1:14" x14ac:dyDescent="0.4">
      <c r="A250" s="1">
        <v>28795</v>
      </c>
      <c r="B250" s="28">
        <v>335.97164769904714</v>
      </c>
      <c r="C250" s="28">
        <f t="shared" si="13"/>
        <v>335.87708485751705</v>
      </c>
      <c r="D250" s="28">
        <f t="shared" si="13"/>
        <v>335.96432529467552</v>
      </c>
      <c r="E250" s="28">
        <f t="shared" si="13"/>
        <v>336.08992638757172</v>
      </c>
      <c r="F250" s="28">
        <f t="shared" si="13"/>
        <v>335.81208485751705</v>
      </c>
      <c r="G250" s="28">
        <f t="shared" si="13"/>
        <v>335.5416203766427</v>
      </c>
      <c r="H250" s="28">
        <f t="shared" si="13"/>
        <v>334.92902474822739</v>
      </c>
      <c r="I250" s="28">
        <f t="shared" si="13"/>
        <v>335.17195276159509</v>
      </c>
      <c r="J250" s="28">
        <f t="shared" si="13"/>
        <v>335.26770424061777</v>
      </c>
      <c r="K250" s="28">
        <f t="shared" si="13"/>
        <v>334.69584157521564</v>
      </c>
      <c r="L250" s="28">
        <f t="shared" si="13"/>
        <v>334.91110125095969</v>
      </c>
      <c r="M250" s="28">
        <f t="shared" si="13"/>
        <v>334.73768595041327</v>
      </c>
      <c r="N250" s="28">
        <f t="shared" si="13"/>
        <v>334.4516476990471</v>
      </c>
    </row>
    <row r="251" spans="1:14" x14ac:dyDescent="0.4">
      <c r="A251" s="1">
        <v>28825</v>
      </c>
      <c r="B251" s="28">
        <v>335.83768595041323</v>
      </c>
      <c r="C251" s="28">
        <f t="shared" si="13"/>
        <v>335.97164769904714</v>
      </c>
      <c r="D251" s="28">
        <f t="shared" si="13"/>
        <v>335.87708485751705</v>
      </c>
      <c r="E251" s="28">
        <f t="shared" si="13"/>
        <v>335.96432529467552</v>
      </c>
      <c r="F251" s="28">
        <f t="shared" si="13"/>
        <v>336.08992638757172</v>
      </c>
      <c r="G251" s="28">
        <f t="shared" si="13"/>
        <v>335.81208485751705</v>
      </c>
      <c r="H251" s="28">
        <f t="shared" si="13"/>
        <v>335.5416203766427</v>
      </c>
      <c r="I251" s="28">
        <f t="shared" si="13"/>
        <v>334.92902474822739</v>
      </c>
      <c r="J251" s="28">
        <f t="shared" si="13"/>
        <v>335.17195276159509</v>
      </c>
      <c r="K251" s="28">
        <f t="shared" si="13"/>
        <v>335.26770424061777</v>
      </c>
      <c r="L251" s="28">
        <f t="shared" si="13"/>
        <v>334.69584157521564</v>
      </c>
      <c r="M251" s="28">
        <f t="shared" si="13"/>
        <v>334.91110125095969</v>
      </c>
      <c r="N251" s="28">
        <f t="shared" si="13"/>
        <v>334.73768595041327</v>
      </c>
    </row>
    <row r="252" spans="1:14" x14ac:dyDescent="0.4">
      <c r="A252" s="1">
        <v>28856</v>
      </c>
      <c r="B252" s="28">
        <v>336.17110125095968</v>
      </c>
      <c r="C252" s="28">
        <f t="shared" si="13"/>
        <v>335.83768595041323</v>
      </c>
      <c r="D252" s="28">
        <f t="shared" si="13"/>
        <v>335.97164769904714</v>
      </c>
      <c r="E252" s="28">
        <f t="shared" si="13"/>
        <v>335.87708485751705</v>
      </c>
      <c r="F252" s="28">
        <f t="shared" si="13"/>
        <v>335.96432529467552</v>
      </c>
      <c r="G252" s="28">
        <f t="shared" si="13"/>
        <v>336.08992638757172</v>
      </c>
      <c r="H252" s="28">
        <f t="shared" si="13"/>
        <v>335.81208485751705</v>
      </c>
      <c r="I252" s="28">
        <f t="shared" si="13"/>
        <v>335.5416203766427</v>
      </c>
      <c r="J252" s="28">
        <f t="shared" si="13"/>
        <v>334.92902474822739</v>
      </c>
      <c r="K252" s="28">
        <f t="shared" si="13"/>
        <v>335.17195276159509</v>
      </c>
      <c r="L252" s="28">
        <f t="shared" si="13"/>
        <v>335.26770424061777</v>
      </c>
      <c r="M252" s="28">
        <f t="shared" si="13"/>
        <v>334.69584157521564</v>
      </c>
      <c r="N252" s="28">
        <f t="shared" si="13"/>
        <v>334.91110125095969</v>
      </c>
    </row>
    <row r="253" spans="1:14" x14ac:dyDescent="0.4">
      <c r="A253" s="1">
        <v>28887</v>
      </c>
      <c r="B253" s="28">
        <v>336.06584157521564</v>
      </c>
      <c r="C253" s="28">
        <f t="shared" ref="C253:N316" si="14">IF(B252=0,"",B252)</f>
        <v>336.17110125095968</v>
      </c>
      <c r="D253" s="28">
        <f t="shared" si="14"/>
        <v>335.83768595041323</v>
      </c>
      <c r="E253" s="28">
        <f t="shared" si="14"/>
        <v>335.97164769904714</v>
      </c>
      <c r="F253" s="28">
        <f t="shared" si="14"/>
        <v>335.87708485751705</v>
      </c>
      <c r="G253" s="28">
        <f t="shared" si="14"/>
        <v>335.96432529467552</v>
      </c>
      <c r="H253" s="28">
        <f t="shared" si="14"/>
        <v>336.08992638757172</v>
      </c>
      <c r="I253" s="28">
        <f t="shared" si="14"/>
        <v>335.81208485751705</v>
      </c>
      <c r="J253" s="28">
        <f t="shared" si="14"/>
        <v>335.5416203766427</v>
      </c>
      <c r="K253" s="28">
        <f t="shared" si="14"/>
        <v>334.92902474822739</v>
      </c>
      <c r="L253" s="28">
        <f t="shared" si="14"/>
        <v>335.17195276159509</v>
      </c>
      <c r="M253" s="28">
        <f t="shared" si="14"/>
        <v>335.26770424061777</v>
      </c>
      <c r="N253" s="28">
        <f t="shared" si="14"/>
        <v>334.69584157521564</v>
      </c>
    </row>
    <row r="254" spans="1:14" x14ac:dyDescent="0.4">
      <c r="A254" s="1">
        <v>28915</v>
      </c>
      <c r="B254" s="28">
        <v>336.58770424061777</v>
      </c>
      <c r="C254" s="28">
        <f t="shared" si="14"/>
        <v>336.06584157521564</v>
      </c>
      <c r="D254" s="28">
        <f t="shared" si="14"/>
        <v>336.17110125095968</v>
      </c>
      <c r="E254" s="28">
        <f t="shared" si="14"/>
        <v>335.83768595041323</v>
      </c>
      <c r="F254" s="28">
        <f t="shared" si="14"/>
        <v>335.97164769904714</v>
      </c>
      <c r="G254" s="28">
        <f t="shared" si="14"/>
        <v>335.87708485751705</v>
      </c>
      <c r="H254" s="28">
        <f t="shared" si="14"/>
        <v>335.96432529467552</v>
      </c>
      <c r="I254" s="28">
        <f t="shared" si="14"/>
        <v>336.08992638757172</v>
      </c>
      <c r="J254" s="28">
        <f t="shared" si="14"/>
        <v>335.81208485751705</v>
      </c>
      <c r="K254" s="28">
        <f t="shared" si="14"/>
        <v>335.5416203766427</v>
      </c>
      <c r="L254" s="28">
        <f t="shared" si="14"/>
        <v>334.92902474822739</v>
      </c>
      <c r="M254" s="28">
        <f t="shared" si="14"/>
        <v>335.17195276159509</v>
      </c>
      <c r="N254" s="28">
        <f t="shared" si="14"/>
        <v>335.26770424061777</v>
      </c>
    </row>
    <row r="255" spans="1:14" x14ac:dyDescent="0.4">
      <c r="A255" s="1">
        <v>28946</v>
      </c>
      <c r="B255" s="28">
        <v>336.2919527615951</v>
      </c>
      <c r="C255" s="28">
        <f t="shared" si="14"/>
        <v>336.58770424061777</v>
      </c>
      <c r="D255" s="28">
        <f t="shared" si="14"/>
        <v>336.06584157521564</v>
      </c>
      <c r="E255" s="28">
        <f t="shared" si="14"/>
        <v>336.17110125095968</v>
      </c>
      <c r="F255" s="28">
        <f t="shared" si="14"/>
        <v>335.83768595041323</v>
      </c>
      <c r="G255" s="28">
        <f t="shared" si="14"/>
        <v>335.97164769904714</v>
      </c>
      <c r="H255" s="28">
        <f t="shared" si="14"/>
        <v>335.87708485751705</v>
      </c>
      <c r="I255" s="28">
        <f t="shared" si="14"/>
        <v>335.96432529467552</v>
      </c>
      <c r="J255" s="28">
        <f t="shared" si="14"/>
        <v>336.08992638757172</v>
      </c>
      <c r="K255" s="28">
        <f t="shared" si="14"/>
        <v>335.81208485751705</v>
      </c>
      <c r="L255" s="28">
        <f t="shared" si="14"/>
        <v>335.5416203766427</v>
      </c>
      <c r="M255" s="28">
        <f t="shared" si="14"/>
        <v>334.92902474822739</v>
      </c>
      <c r="N255" s="28">
        <f t="shared" si="14"/>
        <v>335.17195276159509</v>
      </c>
    </row>
    <row r="256" spans="1:14" x14ac:dyDescent="0.4">
      <c r="A256" s="1">
        <v>28976</v>
      </c>
      <c r="B256" s="28">
        <v>336.38902474822743</v>
      </c>
      <c r="C256" s="28">
        <f t="shared" si="14"/>
        <v>336.2919527615951</v>
      </c>
      <c r="D256" s="28">
        <f t="shared" si="14"/>
        <v>336.58770424061777</v>
      </c>
      <c r="E256" s="28">
        <f t="shared" si="14"/>
        <v>336.06584157521564</v>
      </c>
      <c r="F256" s="28">
        <f t="shared" si="14"/>
        <v>336.17110125095968</v>
      </c>
      <c r="G256" s="28">
        <f t="shared" si="14"/>
        <v>335.83768595041323</v>
      </c>
      <c r="H256" s="28">
        <f t="shared" si="14"/>
        <v>335.97164769904714</v>
      </c>
      <c r="I256" s="28">
        <f t="shared" si="14"/>
        <v>335.87708485751705</v>
      </c>
      <c r="J256" s="28">
        <f t="shared" si="14"/>
        <v>335.96432529467552</v>
      </c>
      <c r="K256" s="28">
        <f t="shared" si="14"/>
        <v>336.08992638757172</v>
      </c>
      <c r="L256" s="28">
        <f t="shared" si="14"/>
        <v>335.81208485751705</v>
      </c>
      <c r="M256" s="28">
        <f t="shared" si="14"/>
        <v>335.5416203766427</v>
      </c>
      <c r="N256" s="28">
        <f t="shared" si="14"/>
        <v>334.92902474822739</v>
      </c>
    </row>
    <row r="257" spans="1:14" x14ac:dyDescent="0.4">
      <c r="A257" s="1">
        <v>29007</v>
      </c>
      <c r="B257" s="28">
        <v>336.93162037664274</v>
      </c>
      <c r="C257" s="28">
        <f t="shared" si="14"/>
        <v>336.38902474822743</v>
      </c>
      <c r="D257" s="28">
        <f t="shared" si="14"/>
        <v>336.2919527615951</v>
      </c>
      <c r="E257" s="28">
        <f t="shared" si="14"/>
        <v>336.58770424061777</v>
      </c>
      <c r="F257" s="28">
        <f t="shared" si="14"/>
        <v>336.06584157521564</v>
      </c>
      <c r="G257" s="28">
        <f t="shared" si="14"/>
        <v>336.17110125095968</v>
      </c>
      <c r="H257" s="28">
        <f t="shared" si="14"/>
        <v>335.83768595041323</v>
      </c>
      <c r="I257" s="28">
        <f t="shared" si="14"/>
        <v>335.97164769904714</v>
      </c>
      <c r="J257" s="28">
        <f t="shared" si="14"/>
        <v>335.87708485751705</v>
      </c>
      <c r="K257" s="28">
        <f t="shared" si="14"/>
        <v>335.96432529467552</v>
      </c>
      <c r="L257" s="28">
        <f t="shared" si="14"/>
        <v>336.08992638757172</v>
      </c>
      <c r="M257" s="28">
        <f t="shared" si="14"/>
        <v>335.81208485751705</v>
      </c>
      <c r="N257" s="28">
        <f t="shared" si="14"/>
        <v>335.5416203766427</v>
      </c>
    </row>
    <row r="258" spans="1:14" x14ac:dyDescent="0.4">
      <c r="A258" s="1">
        <v>29037</v>
      </c>
      <c r="B258" s="28">
        <v>337.00208485751705</v>
      </c>
      <c r="C258" s="28">
        <f t="shared" si="14"/>
        <v>336.93162037664274</v>
      </c>
      <c r="D258" s="28">
        <f t="shared" si="14"/>
        <v>336.38902474822743</v>
      </c>
      <c r="E258" s="28">
        <f t="shared" si="14"/>
        <v>336.2919527615951</v>
      </c>
      <c r="F258" s="28">
        <f t="shared" si="14"/>
        <v>336.58770424061777</v>
      </c>
      <c r="G258" s="28">
        <f t="shared" si="14"/>
        <v>336.06584157521564</v>
      </c>
      <c r="H258" s="28">
        <f t="shared" si="14"/>
        <v>336.17110125095968</v>
      </c>
      <c r="I258" s="28">
        <f t="shared" si="14"/>
        <v>335.83768595041323</v>
      </c>
      <c r="J258" s="28">
        <f t="shared" si="14"/>
        <v>335.97164769904714</v>
      </c>
      <c r="K258" s="28">
        <f t="shared" si="14"/>
        <v>335.87708485751705</v>
      </c>
      <c r="L258" s="28">
        <f t="shared" si="14"/>
        <v>335.96432529467552</v>
      </c>
      <c r="M258" s="28">
        <f t="shared" si="14"/>
        <v>336.08992638757172</v>
      </c>
      <c r="N258" s="28">
        <f t="shared" si="14"/>
        <v>335.81208485751705</v>
      </c>
    </row>
    <row r="259" spans="1:14" x14ac:dyDescent="0.4">
      <c r="A259" s="1">
        <v>29068</v>
      </c>
      <c r="B259" s="28">
        <v>337.49992638757169</v>
      </c>
      <c r="C259" s="28">
        <f t="shared" si="14"/>
        <v>337.00208485751705</v>
      </c>
      <c r="D259" s="28">
        <f t="shared" si="14"/>
        <v>336.93162037664274</v>
      </c>
      <c r="E259" s="28">
        <f t="shared" si="14"/>
        <v>336.38902474822743</v>
      </c>
      <c r="F259" s="28">
        <f t="shared" si="14"/>
        <v>336.2919527615951</v>
      </c>
      <c r="G259" s="28">
        <f t="shared" si="14"/>
        <v>336.58770424061777</v>
      </c>
      <c r="H259" s="28">
        <f t="shared" si="14"/>
        <v>336.06584157521564</v>
      </c>
      <c r="I259" s="28">
        <f t="shared" si="14"/>
        <v>336.17110125095968</v>
      </c>
      <c r="J259" s="28">
        <f t="shared" si="14"/>
        <v>335.83768595041323</v>
      </c>
      <c r="K259" s="28">
        <f t="shared" si="14"/>
        <v>335.97164769904714</v>
      </c>
      <c r="L259" s="28">
        <f t="shared" si="14"/>
        <v>335.87708485751705</v>
      </c>
      <c r="M259" s="28">
        <f t="shared" si="14"/>
        <v>335.96432529467552</v>
      </c>
      <c r="N259" s="28">
        <f t="shared" si="14"/>
        <v>336.08992638757172</v>
      </c>
    </row>
    <row r="260" spans="1:14" x14ac:dyDescent="0.4">
      <c r="A260" s="1">
        <v>29099</v>
      </c>
      <c r="B260" s="28">
        <v>337.12432529467554</v>
      </c>
      <c r="C260" s="28">
        <f t="shared" si="14"/>
        <v>337.49992638757169</v>
      </c>
      <c r="D260" s="28">
        <f t="shared" si="14"/>
        <v>337.00208485751705</v>
      </c>
      <c r="E260" s="28">
        <f t="shared" si="14"/>
        <v>336.93162037664274</v>
      </c>
      <c r="F260" s="28">
        <f t="shared" si="14"/>
        <v>336.38902474822743</v>
      </c>
      <c r="G260" s="28">
        <f t="shared" si="14"/>
        <v>336.2919527615951</v>
      </c>
      <c r="H260" s="28">
        <f t="shared" si="14"/>
        <v>336.58770424061777</v>
      </c>
      <c r="I260" s="28">
        <f t="shared" si="14"/>
        <v>336.06584157521564</v>
      </c>
      <c r="J260" s="28">
        <f t="shared" si="14"/>
        <v>336.17110125095968</v>
      </c>
      <c r="K260" s="28">
        <f t="shared" si="14"/>
        <v>335.83768595041323</v>
      </c>
      <c r="L260" s="28">
        <f t="shared" si="14"/>
        <v>335.97164769904714</v>
      </c>
      <c r="M260" s="28">
        <f t="shared" si="14"/>
        <v>335.87708485751705</v>
      </c>
      <c r="N260" s="28">
        <f t="shared" si="14"/>
        <v>335.96432529467552</v>
      </c>
    </row>
    <row r="261" spans="1:14" x14ac:dyDescent="0.4">
      <c r="A261" s="1">
        <v>29129</v>
      </c>
      <c r="B261" s="28">
        <v>337.18708485751705</v>
      </c>
      <c r="C261" s="28">
        <f t="shared" si="14"/>
        <v>337.12432529467554</v>
      </c>
      <c r="D261" s="28">
        <f t="shared" si="14"/>
        <v>337.49992638757169</v>
      </c>
      <c r="E261" s="28">
        <f t="shared" si="14"/>
        <v>337.00208485751705</v>
      </c>
      <c r="F261" s="28">
        <f t="shared" si="14"/>
        <v>336.93162037664274</v>
      </c>
      <c r="G261" s="28">
        <f t="shared" si="14"/>
        <v>336.38902474822743</v>
      </c>
      <c r="H261" s="28">
        <f t="shared" si="14"/>
        <v>336.2919527615951</v>
      </c>
      <c r="I261" s="28">
        <f t="shared" si="14"/>
        <v>336.58770424061777</v>
      </c>
      <c r="J261" s="28">
        <f t="shared" si="14"/>
        <v>336.06584157521564</v>
      </c>
      <c r="K261" s="28">
        <f t="shared" si="14"/>
        <v>336.17110125095968</v>
      </c>
      <c r="L261" s="28">
        <f t="shared" si="14"/>
        <v>335.83768595041323</v>
      </c>
      <c r="M261" s="28">
        <f t="shared" si="14"/>
        <v>335.97164769904714</v>
      </c>
      <c r="N261" s="28">
        <f t="shared" si="14"/>
        <v>335.87708485751705</v>
      </c>
    </row>
    <row r="262" spans="1:14" x14ac:dyDescent="0.4">
      <c r="A262" s="1">
        <v>29160</v>
      </c>
      <c r="B262" s="28">
        <v>337.34164769904714</v>
      </c>
      <c r="C262" s="28">
        <f t="shared" si="14"/>
        <v>337.18708485751705</v>
      </c>
      <c r="D262" s="28">
        <f t="shared" si="14"/>
        <v>337.12432529467554</v>
      </c>
      <c r="E262" s="28">
        <f t="shared" si="14"/>
        <v>337.49992638757169</v>
      </c>
      <c r="F262" s="28">
        <f t="shared" si="14"/>
        <v>337.00208485751705</v>
      </c>
      <c r="G262" s="28">
        <f t="shared" si="14"/>
        <v>336.93162037664274</v>
      </c>
      <c r="H262" s="28">
        <f t="shared" si="14"/>
        <v>336.38902474822743</v>
      </c>
      <c r="I262" s="28">
        <f t="shared" si="14"/>
        <v>336.2919527615951</v>
      </c>
      <c r="J262" s="28">
        <f t="shared" si="14"/>
        <v>336.58770424061777</v>
      </c>
      <c r="K262" s="28">
        <f t="shared" si="14"/>
        <v>336.06584157521564</v>
      </c>
      <c r="L262" s="28">
        <f t="shared" si="14"/>
        <v>336.17110125095968</v>
      </c>
      <c r="M262" s="28">
        <f t="shared" si="14"/>
        <v>335.83768595041323</v>
      </c>
      <c r="N262" s="28">
        <f t="shared" si="14"/>
        <v>335.97164769904714</v>
      </c>
    </row>
    <row r="263" spans="1:14" x14ac:dyDescent="0.4">
      <c r="A263" s="1">
        <v>29190</v>
      </c>
      <c r="B263" s="28">
        <v>337.61768595041326</v>
      </c>
      <c r="C263" s="28">
        <f t="shared" si="14"/>
        <v>337.34164769904714</v>
      </c>
      <c r="D263" s="28">
        <f t="shared" si="14"/>
        <v>337.18708485751705</v>
      </c>
      <c r="E263" s="28">
        <f t="shared" si="14"/>
        <v>337.12432529467554</v>
      </c>
      <c r="F263" s="28">
        <f t="shared" si="14"/>
        <v>337.49992638757169</v>
      </c>
      <c r="G263" s="28">
        <f t="shared" si="14"/>
        <v>337.00208485751705</v>
      </c>
      <c r="H263" s="28">
        <f t="shared" si="14"/>
        <v>336.93162037664274</v>
      </c>
      <c r="I263" s="28">
        <f t="shared" si="14"/>
        <v>336.38902474822743</v>
      </c>
      <c r="J263" s="28">
        <f t="shared" si="14"/>
        <v>336.2919527615951</v>
      </c>
      <c r="K263" s="28">
        <f t="shared" si="14"/>
        <v>336.58770424061777</v>
      </c>
      <c r="L263" s="28">
        <f t="shared" si="14"/>
        <v>336.06584157521564</v>
      </c>
      <c r="M263" s="28">
        <f t="shared" si="14"/>
        <v>336.17110125095968</v>
      </c>
      <c r="N263" s="28">
        <f t="shared" si="14"/>
        <v>335.83768595041323</v>
      </c>
    </row>
    <row r="264" spans="1:14" x14ac:dyDescent="0.4">
      <c r="A264" s="1">
        <v>29221</v>
      </c>
      <c r="B264" s="28">
        <v>337.95110125095965</v>
      </c>
      <c r="C264" s="28">
        <f t="shared" si="14"/>
        <v>337.61768595041326</v>
      </c>
      <c r="D264" s="28">
        <f t="shared" si="14"/>
        <v>337.34164769904714</v>
      </c>
      <c r="E264" s="28">
        <f t="shared" si="14"/>
        <v>337.18708485751705</v>
      </c>
      <c r="F264" s="28">
        <f t="shared" si="14"/>
        <v>337.12432529467554</v>
      </c>
      <c r="G264" s="28">
        <f t="shared" si="14"/>
        <v>337.49992638757169</v>
      </c>
      <c r="H264" s="28">
        <f t="shared" si="14"/>
        <v>337.00208485751705</v>
      </c>
      <c r="I264" s="28">
        <f t="shared" si="14"/>
        <v>336.93162037664274</v>
      </c>
      <c r="J264" s="28">
        <f t="shared" si="14"/>
        <v>336.38902474822743</v>
      </c>
      <c r="K264" s="28">
        <f t="shared" si="14"/>
        <v>336.2919527615951</v>
      </c>
      <c r="L264" s="28">
        <f t="shared" si="14"/>
        <v>336.58770424061777</v>
      </c>
      <c r="M264" s="28">
        <f t="shared" si="14"/>
        <v>336.06584157521564</v>
      </c>
      <c r="N264" s="28">
        <f t="shared" si="14"/>
        <v>336.17110125095968</v>
      </c>
    </row>
    <row r="265" spans="1:14" x14ac:dyDescent="0.4">
      <c r="A265" s="1">
        <v>29252</v>
      </c>
      <c r="B265" s="28">
        <v>337.66584157521567</v>
      </c>
      <c r="C265" s="28">
        <f t="shared" si="14"/>
        <v>337.95110125095965</v>
      </c>
      <c r="D265" s="28">
        <f t="shared" si="14"/>
        <v>337.61768595041326</v>
      </c>
      <c r="E265" s="28">
        <f t="shared" si="14"/>
        <v>337.34164769904714</v>
      </c>
      <c r="F265" s="28">
        <f t="shared" si="14"/>
        <v>337.18708485751705</v>
      </c>
      <c r="G265" s="28">
        <f t="shared" si="14"/>
        <v>337.12432529467554</v>
      </c>
      <c r="H265" s="28">
        <f t="shared" si="14"/>
        <v>337.49992638757169</v>
      </c>
      <c r="I265" s="28">
        <f t="shared" si="14"/>
        <v>337.00208485751705</v>
      </c>
      <c r="J265" s="28">
        <f t="shared" si="14"/>
        <v>336.93162037664274</v>
      </c>
      <c r="K265" s="28">
        <f t="shared" si="14"/>
        <v>336.38902474822743</v>
      </c>
      <c r="L265" s="28">
        <f t="shared" si="14"/>
        <v>336.2919527615951</v>
      </c>
      <c r="M265" s="28">
        <f t="shared" si="14"/>
        <v>336.58770424061777</v>
      </c>
      <c r="N265" s="28">
        <f t="shared" si="14"/>
        <v>336.06584157521564</v>
      </c>
    </row>
    <row r="266" spans="1:14" x14ac:dyDescent="0.4">
      <c r="A266" s="1">
        <v>29281</v>
      </c>
      <c r="B266" s="28">
        <v>338.69770424061778</v>
      </c>
      <c r="C266" s="28">
        <f t="shared" si="14"/>
        <v>337.66584157521567</v>
      </c>
      <c r="D266" s="28">
        <f t="shared" si="14"/>
        <v>337.95110125095965</v>
      </c>
      <c r="E266" s="28">
        <f t="shared" si="14"/>
        <v>337.61768595041326</v>
      </c>
      <c r="F266" s="28">
        <f t="shared" si="14"/>
        <v>337.34164769904714</v>
      </c>
      <c r="G266" s="28">
        <f t="shared" si="14"/>
        <v>337.18708485751705</v>
      </c>
      <c r="H266" s="28">
        <f t="shared" si="14"/>
        <v>337.12432529467554</v>
      </c>
      <c r="I266" s="28">
        <f t="shared" si="14"/>
        <v>337.49992638757169</v>
      </c>
      <c r="J266" s="28">
        <f t="shared" si="14"/>
        <v>337.00208485751705</v>
      </c>
      <c r="K266" s="28">
        <f t="shared" si="14"/>
        <v>336.93162037664274</v>
      </c>
      <c r="L266" s="28">
        <f t="shared" si="14"/>
        <v>336.38902474822743</v>
      </c>
      <c r="M266" s="28">
        <f t="shared" si="14"/>
        <v>336.2919527615951</v>
      </c>
      <c r="N266" s="28">
        <f t="shared" si="14"/>
        <v>336.58770424061777</v>
      </c>
    </row>
    <row r="267" spans="1:14" x14ac:dyDescent="0.4">
      <c r="A267" s="1">
        <v>29312</v>
      </c>
      <c r="B267" s="28">
        <v>338.17195276159509</v>
      </c>
      <c r="C267" s="28">
        <f t="shared" si="14"/>
        <v>338.69770424061778</v>
      </c>
      <c r="D267" s="28">
        <f t="shared" si="14"/>
        <v>337.66584157521567</v>
      </c>
      <c r="E267" s="28">
        <f t="shared" si="14"/>
        <v>337.95110125095965</v>
      </c>
      <c r="F267" s="28">
        <f t="shared" si="14"/>
        <v>337.61768595041326</v>
      </c>
      <c r="G267" s="28">
        <f t="shared" si="14"/>
        <v>337.34164769904714</v>
      </c>
      <c r="H267" s="28">
        <f t="shared" si="14"/>
        <v>337.18708485751705</v>
      </c>
      <c r="I267" s="28">
        <f t="shared" si="14"/>
        <v>337.12432529467554</v>
      </c>
      <c r="J267" s="28">
        <f t="shared" si="14"/>
        <v>337.49992638757169</v>
      </c>
      <c r="K267" s="28">
        <f t="shared" si="14"/>
        <v>337.00208485751705</v>
      </c>
      <c r="L267" s="28">
        <f t="shared" si="14"/>
        <v>336.93162037664274</v>
      </c>
      <c r="M267" s="28">
        <f t="shared" si="14"/>
        <v>336.38902474822743</v>
      </c>
      <c r="N267" s="28">
        <f t="shared" si="14"/>
        <v>336.2919527615951</v>
      </c>
    </row>
    <row r="268" spans="1:14" x14ac:dyDescent="0.4">
      <c r="A268" s="1">
        <v>29342</v>
      </c>
      <c r="B268" s="28">
        <v>338.38902474822743</v>
      </c>
      <c r="C268" s="28">
        <f t="shared" si="14"/>
        <v>338.17195276159509</v>
      </c>
      <c r="D268" s="28">
        <f t="shared" si="14"/>
        <v>338.69770424061778</v>
      </c>
      <c r="E268" s="28">
        <f t="shared" si="14"/>
        <v>337.66584157521567</v>
      </c>
      <c r="F268" s="28">
        <f t="shared" si="14"/>
        <v>337.95110125095965</v>
      </c>
      <c r="G268" s="28">
        <f t="shared" si="14"/>
        <v>337.61768595041326</v>
      </c>
      <c r="H268" s="28">
        <f t="shared" si="14"/>
        <v>337.34164769904714</v>
      </c>
      <c r="I268" s="28">
        <f t="shared" si="14"/>
        <v>337.18708485751705</v>
      </c>
      <c r="J268" s="28">
        <f t="shared" si="14"/>
        <v>337.12432529467554</v>
      </c>
      <c r="K268" s="28">
        <f t="shared" si="14"/>
        <v>337.49992638757169</v>
      </c>
      <c r="L268" s="28">
        <f t="shared" si="14"/>
        <v>337.00208485751705</v>
      </c>
      <c r="M268" s="28">
        <f t="shared" si="14"/>
        <v>336.93162037664274</v>
      </c>
      <c r="N268" s="28">
        <f t="shared" si="14"/>
        <v>336.38902474822743</v>
      </c>
    </row>
    <row r="269" spans="1:14" x14ac:dyDescent="0.4">
      <c r="A269" s="1">
        <v>29373</v>
      </c>
      <c r="B269" s="28">
        <v>338.81162037664274</v>
      </c>
      <c r="C269" s="28">
        <f t="shared" si="14"/>
        <v>338.38902474822743</v>
      </c>
      <c r="D269" s="28">
        <f t="shared" si="14"/>
        <v>338.17195276159509</v>
      </c>
      <c r="E269" s="28">
        <f t="shared" si="14"/>
        <v>338.69770424061778</v>
      </c>
      <c r="F269" s="28">
        <f t="shared" si="14"/>
        <v>337.66584157521567</v>
      </c>
      <c r="G269" s="28">
        <f t="shared" si="14"/>
        <v>337.95110125095965</v>
      </c>
      <c r="H269" s="28">
        <f t="shared" si="14"/>
        <v>337.61768595041326</v>
      </c>
      <c r="I269" s="28">
        <f t="shared" si="14"/>
        <v>337.34164769904714</v>
      </c>
      <c r="J269" s="28">
        <f t="shared" si="14"/>
        <v>337.18708485751705</v>
      </c>
      <c r="K269" s="28">
        <f t="shared" si="14"/>
        <v>337.12432529467554</v>
      </c>
      <c r="L269" s="28">
        <f t="shared" si="14"/>
        <v>337.49992638757169</v>
      </c>
      <c r="M269" s="28">
        <f t="shared" si="14"/>
        <v>337.00208485751705</v>
      </c>
      <c r="N269" s="28">
        <f t="shared" si="14"/>
        <v>336.93162037664274</v>
      </c>
    </row>
    <row r="270" spans="1:14" x14ac:dyDescent="0.4">
      <c r="A270" s="1">
        <v>29403</v>
      </c>
      <c r="B270" s="28">
        <v>338.83208485751703</v>
      </c>
      <c r="C270" s="28">
        <f t="shared" si="14"/>
        <v>338.81162037664274</v>
      </c>
      <c r="D270" s="28">
        <f t="shared" si="14"/>
        <v>338.38902474822743</v>
      </c>
      <c r="E270" s="28">
        <f t="shared" si="14"/>
        <v>338.17195276159509</v>
      </c>
      <c r="F270" s="28">
        <f t="shared" si="14"/>
        <v>338.69770424061778</v>
      </c>
      <c r="G270" s="28">
        <f t="shared" si="14"/>
        <v>337.66584157521567</v>
      </c>
      <c r="H270" s="28">
        <f t="shared" si="14"/>
        <v>337.95110125095965</v>
      </c>
      <c r="I270" s="28">
        <f t="shared" si="14"/>
        <v>337.61768595041326</v>
      </c>
      <c r="J270" s="28">
        <f t="shared" si="14"/>
        <v>337.34164769904714</v>
      </c>
      <c r="K270" s="28">
        <f t="shared" si="14"/>
        <v>337.18708485751705</v>
      </c>
      <c r="L270" s="28">
        <f t="shared" si="14"/>
        <v>337.12432529467554</v>
      </c>
      <c r="M270" s="28">
        <f t="shared" si="14"/>
        <v>337.49992638757169</v>
      </c>
      <c r="N270" s="28">
        <f t="shared" si="14"/>
        <v>337.00208485751705</v>
      </c>
    </row>
    <row r="271" spans="1:14" x14ac:dyDescent="0.4">
      <c r="A271" s="1">
        <v>29434</v>
      </c>
      <c r="B271" s="28">
        <v>339.00992638757174</v>
      </c>
      <c r="C271" s="28">
        <f t="shared" si="14"/>
        <v>338.83208485751703</v>
      </c>
      <c r="D271" s="28">
        <f t="shared" si="14"/>
        <v>338.81162037664274</v>
      </c>
      <c r="E271" s="28">
        <f t="shared" si="14"/>
        <v>338.38902474822743</v>
      </c>
      <c r="F271" s="28">
        <f t="shared" si="14"/>
        <v>338.17195276159509</v>
      </c>
      <c r="G271" s="28">
        <f t="shared" si="14"/>
        <v>338.69770424061778</v>
      </c>
      <c r="H271" s="28">
        <f t="shared" si="14"/>
        <v>337.66584157521567</v>
      </c>
      <c r="I271" s="28">
        <f t="shared" si="14"/>
        <v>337.95110125095965</v>
      </c>
      <c r="J271" s="28">
        <f t="shared" si="14"/>
        <v>337.61768595041326</v>
      </c>
      <c r="K271" s="28">
        <f t="shared" si="14"/>
        <v>337.34164769904714</v>
      </c>
      <c r="L271" s="28">
        <f t="shared" si="14"/>
        <v>337.18708485751705</v>
      </c>
      <c r="M271" s="28">
        <f t="shared" si="14"/>
        <v>337.12432529467554</v>
      </c>
      <c r="N271" s="28">
        <f t="shared" si="14"/>
        <v>337.49992638757169</v>
      </c>
    </row>
    <row r="272" spans="1:14" x14ac:dyDescent="0.4">
      <c r="A272" s="1">
        <v>29465</v>
      </c>
      <c r="B272" s="28">
        <v>339.08432529467552</v>
      </c>
      <c r="C272" s="28">
        <f t="shared" si="14"/>
        <v>339.00992638757174</v>
      </c>
      <c r="D272" s="28">
        <f t="shared" si="14"/>
        <v>338.83208485751703</v>
      </c>
      <c r="E272" s="28">
        <f t="shared" si="14"/>
        <v>338.81162037664274</v>
      </c>
      <c r="F272" s="28">
        <f t="shared" si="14"/>
        <v>338.38902474822743</v>
      </c>
      <c r="G272" s="28">
        <f t="shared" si="14"/>
        <v>338.17195276159509</v>
      </c>
      <c r="H272" s="28">
        <f t="shared" si="14"/>
        <v>338.69770424061778</v>
      </c>
      <c r="I272" s="28">
        <f t="shared" si="14"/>
        <v>337.66584157521567</v>
      </c>
      <c r="J272" s="28">
        <f t="shared" si="14"/>
        <v>337.95110125095965</v>
      </c>
      <c r="K272" s="28">
        <f t="shared" si="14"/>
        <v>337.61768595041326</v>
      </c>
      <c r="L272" s="28">
        <f t="shared" si="14"/>
        <v>337.34164769904714</v>
      </c>
      <c r="M272" s="28">
        <f t="shared" si="14"/>
        <v>337.18708485751705</v>
      </c>
      <c r="N272" s="28">
        <f t="shared" si="14"/>
        <v>337.12432529467554</v>
      </c>
    </row>
    <row r="273" spans="1:14" x14ac:dyDescent="0.4">
      <c r="A273" s="1">
        <v>29495</v>
      </c>
      <c r="B273" s="28">
        <v>339.34708485751702</v>
      </c>
      <c r="C273" s="28">
        <f t="shared" si="14"/>
        <v>339.08432529467552</v>
      </c>
      <c r="D273" s="28">
        <f t="shared" si="14"/>
        <v>339.00992638757174</v>
      </c>
      <c r="E273" s="28">
        <f t="shared" si="14"/>
        <v>338.83208485751703</v>
      </c>
      <c r="F273" s="28">
        <f t="shared" si="14"/>
        <v>338.81162037664274</v>
      </c>
      <c r="G273" s="28">
        <f t="shared" si="14"/>
        <v>338.38902474822743</v>
      </c>
      <c r="H273" s="28">
        <f t="shared" si="14"/>
        <v>338.17195276159509</v>
      </c>
      <c r="I273" s="28">
        <f t="shared" si="14"/>
        <v>338.69770424061778</v>
      </c>
      <c r="J273" s="28">
        <f t="shared" si="14"/>
        <v>337.66584157521567</v>
      </c>
      <c r="K273" s="28">
        <f t="shared" si="14"/>
        <v>337.95110125095965</v>
      </c>
      <c r="L273" s="28">
        <f t="shared" si="14"/>
        <v>337.61768595041326</v>
      </c>
      <c r="M273" s="28">
        <f t="shared" si="14"/>
        <v>337.34164769904714</v>
      </c>
      <c r="N273" s="28">
        <f t="shared" si="14"/>
        <v>337.18708485751705</v>
      </c>
    </row>
    <row r="274" spans="1:14" x14ac:dyDescent="0.4">
      <c r="A274" s="1">
        <v>29526</v>
      </c>
      <c r="B274" s="28">
        <v>339.15164769904715</v>
      </c>
      <c r="C274" s="28">
        <f t="shared" si="14"/>
        <v>339.34708485751702</v>
      </c>
      <c r="D274" s="28">
        <f t="shared" si="14"/>
        <v>339.08432529467552</v>
      </c>
      <c r="E274" s="28">
        <f t="shared" si="14"/>
        <v>339.00992638757174</v>
      </c>
      <c r="F274" s="28">
        <f t="shared" ref="C274:Q337" si="15">IF(E273=0,"",E273)</f>
        <v>338.83208485751703</v>
      </c>
      <c r="G274" s="28">
        <f t="shared" si="15"/>
        <v>338.81162037664274</v>
      </c>
      <c r="H274" s="28">
        <f t="shared" si="15"/>
        <v>338.38902474822743</v>
      </c>
      <c r="I274" s="28">
        <f t="shared" si="15"/>
        <v>338.17195276159509</v>
      </c>
      <c r="J274" s="28">
        <f t="shared" si="15"/>
        <v>338.69770424061778</v>
      </c>
      <c r="K274" s="28">
        <f t="shared" si="15"/>
        <v>337.66584157521567</v>
      </c>
      <c r="L274" s="28">
        <f t="shared" si="15"/>
        <v>337.95110125095965</v>
      </c>
      <c r="M274" s="28">
        <f t="shared" si="15"/>
        <v>337.61768595041326</v>
      </c>
      <c r="N274" s="28">
        <f t="shared" si="15"/>
        <v>337.34164769904714</v>
      </c>
    </row>
    <row r="275" spans="1:14" x14ac:dyDescent="0.4">
      <c r="A275" s="1">
        <v>29556</v>
      </c>
      <c r="B275" s="28">
        <v>339.09768595041322</v>
      </c>
      <c r="C275" s="28">
        <f t="shared" si="15"/>
        <v>339.15164769904715</v>
      </c>
      <c r="D275" s="28">
        <f t="shared" si="15"/>
        <v>339.34708485751702</v>
      </c>
      <c r="E275" s="28">
        <f t="shared" si="15"/>
        <v>339.08432529467552</v>
      </c>
      <c r="F275" s="28">
        <f t="shared" si="15"/>
        <v>339.00992638757174</v>
      </c>
      <c r="G275" s="28">
        <f t="shared" si="15"/>
        <v>338.83208485751703</v>
      </c>
      <c r="H275" s="28">
        <f t="shared" si="15"/>
        <v>338.81162037664274</v>
      </c>
      <c r="I275" s="28">
        <f t="shared" si="15"/>
        <v>338.38902474822743</v>
      </c>
      <c r="J275" s="28">
        <f t="shared" si="15"/>
        <v>338.17195276159509</v>
      </c>
      <c r="K275" s="28">
        <f t="shared" si="15"/>
        <v>338.69770424061778</v>
      </c>
      <c r="L275" s="28">
        <f t="shared" si="15"/>
        <v>337.66584157521567</v>
      </c>
      <c r="M275" s="28">
        <f t="shared" si="15"/>
        <v>337.95110125095965</v>
      </c>
      <c r="N275" s="28">
        <f t="shared" si="15"/>
        <v>337.61768595041326</v>
      </c>
    </row>
    <row r="276" spans="1:14" x14ac:dyDescent="0.4">
      <c r="A276" s="1">
        <v>29587</v>
      </c>
      <c r="B276" s="28">
        <v>339.18110125095967</v>
      </c>
      <c r="C276" s="28">
        <f t="shared" si="15"/>
        <v>339.09768595041322</v>
      </c>
      <c r="D276" s="28">
        <f t="shared" si="15"/>
        <v>339.15164769904715</v>
      </c>
      <c r="E276" s="28">
        <f t="shared" si="15"/>
        <v>339.34708485751702</v>
      </c>
      <c r="F276" s="28">
        <f t="shared" si="15"/>
        <v>339.08432529467552</v>
      </c>
      <c r="G276" s="28">
        <f t="shared" si="15"/>
        <v>339.00992638757174</v>
      </c>
      <c r="H276" s="28">
        <f t="shared" si="15"/>
        <v>338.83208485751703</v>
      </c>
      <c r="I276" s="28">
        <f t="shared" si="15"/>
        <v>338.81162037664274</v>
      </c>
      <c r="J276" s="28">
        <f t="shared" si="15"/>
        <v>338.38902474822743</v>
      </c>
      <c r="K276" s="28">
        <f t="shared" si="15"/>
        <v>338.17195276159509</v>
      </c>
      <c r="L276" s="28">
        <f t="shared" si="15"/>
        <v>338.69770424061778</v>
      </c>
      <c r="M276" s="28">
        <f t="shared" si="15"/>
        <v>337.66584157521567</v>
      </c>
      <c r="N276" s="28">
        <f t="shared" si="15"/>
        <v>337.95110125095965</v>
      </c>
    </row>
    <row r="277" spans="1:14" x14ac:dyDescent="0.4">
      <c r="A277" s="1">
        <v>29618</v>
      </c>
      <c r="B277" s="28">
        <v>339.78584157521567</v>
      </c>
      <c r="C277" s="28">
        <f t="shared" si="15"/>
        <v>339.18110125095967</v>
      </c>
      <c r="D277" s="28">
        <f t="shared" si="15"/>
        <v>339.09768595041322</v>
      </c>
      <c r="E277" s="28">
        <f t="shared" si="15"/>
        <v>339.15164769904715</v>
      </c>
      <c r="F277" s="28">
        <f t="shared" si="15"/>
        <v>339.34708485751702</v>
      </c>
      <c r="G277" s="28">
        <f t="shared" si="15"/>
        <v>339.08432529467552</v>
      </c>
      <c r="H277" s="28">
        <f t="shared" si="15"/>
        <v>339.00992638757174</v>
      </c>
      <c r="I277" s="28">
        <f t="shared" si="15"/>
        <v>338.83208485751703</v>
      </c>
      <c r="J277" s="28">
        <f t="shared" si="15"/>
        <v>338.81162037664274</v>
      </c>
      <c r="K277" s="28">
        <f t="shared" si="15"/>
        <v>338.38902474822743</v>
      </c>
      <c r="L277" s="28">
        <f t="shared" si="15"/>
        <v>338.17195276159509</v>
      </c>
      <c r="M277" s="28">
        <f t="shared" si="15"/>
        <v>338.69770424061778</v>
      </c>
      <c r="N277" s="28">
        <f t="shared" si="15"/>
        <v>337.66584157521567</v>
      </c>
    </row>
    <row r="278" spans="1:14" x14ac:dyDescent="0.4">
      <c r="A278" s="1">
        <v>29646</v>
      </c>
      <c r="B278" s="28">
        <v>340.00770424061778</v>
      </c>
      <c r="C278" s="28">
        <f t="shared" si="15"/>
        <v>339.78584157521567</v>
      </c>
      <c r="D278" s="28">
        <f t="shared" si="15"/>
        <v>339.18110125095967</v>
      </c>
      <c r="E278" s="28">
        <f t="shared" si="15"/>
        <v>339.09768595041322</v>
      </c>
      <c r="F278" s="28">
        <f t="shared" si="15"/>
        <v>339.15164769904715</v>
      </c>
      <c r="G278" s="28">
        <f t="shared" si="15"/>
        <v>339.34708485751702</v>
      </c>
      <c r="H278" s="28">
        <f t="shared" si="15"/>
        <v>339.08432529467552</v>
      </c>
      <c r="I278" s="28">
        <f t="shared" si="15"/>
        <v>339.00992638757174</v>
      </c>
      <c r="J278" s="28">
        <f t="shared" si="15"/>
        <v>338.83208485751703</v>
      </c>
      <c r="K278" s="28">
        <f t="shared" si="15"/>
        <v>338.81162037664274</v>
      </c>
      <c r="L278" s="28">
        <f t="shared" si="15"/>
        <v>338.38902474822743</v>
      </c>
      <c r="M278" s="28">
        <f t="shared" si="15"/>
        <v>338.17195276159509</v>
      </c>
      <c r="N278" s="28">
        <f t="shared" si="15"/>
        <v>338.69770424061778</v>
      </c>
    </row>
    <row r="279" spans="1:14" x14ac:dyDescent="0.4">
      <c r="A279" s="1">
        <v>29677</v>
      </c>
      <c r="B279" s="28">
        <v>339.9119527615951</v>
      </c>
      <c r="C279" s="28">
        <f t="shared" si="15"/>
        <v>340.00770424061778</v>
      </c>
      <c r="D279" s="28">
        <f t="shared" si="15"/>
        <v>339.78584157521567</v>
      </c>
      <c r="E279" s="28">
        <f t="shared" si="15"/>
        <v>339.18110125095967</v>
      </c>
      <c r="F279" s="28">
        <f t="shared" si="15"/>
        <v>339.09768595041322</v>
      </c>
      <c r="G279" s="28">
        <f t="shared" si="15"/>
        <v>339.15164769904715</v>
      </c>
      <c r="H279" s="28">
        <f t="shared" si="15"/>
        <v>339.34708485751702</v>
      </c>
      <c r="I279" s="28">
        <f t="shared" si="15"/>
        <v>339.08432529467552</v>
      </c>
      <c r="J279" s="28">
        <f t="shared" si="15"/>
        <v>339.00992638757174</v>
      </c>
      <c r="K279" s="28">
        <f t="shared" si="15"/>
        <v>338.83208485751703</v>
      </c>
      <c r="L279" s="28">
        <f t="shared" si="15"/>
        <v>338.81162037664274</v>
      </c>
      <c r="M279" s="28">
        <f t="shared" si="15"/>
        <v>338.38902474822743</v>
      </c>
      <c r="N279" s="28">
        <f t="shared" si="15"/>
        <v>338.17195276159509</v>
      </c>
    </row>
    <row r="280" spans="1:14" x14ac:dyDescent="0.4">
      <c r="A280" s="1">
        <v>29707</v>
      </c>
      <c r="B280" s="28">
        <v>339.82902474822743</v>
      </c>
      <c r="C280" s="28">
        <f t="shared" si="15"/>
        <v>339.9119527615951</v>
      </c>
      <c r="D280" s="28">
        <f t="shared" si="15"/>
        <v>340.00770424061778</v>
      </c>
      <c r="E280" s="28">
        <f t="shared" si="15"/>
        <v>339.78584157521567</v>
      </c>
      <c r="F280" s="28">
        <f t="shared" si="15"/>
        <v>339.18110125095967</v>
      </c>
      <c r="G280" s="28">
        <f t="shared" si="15"/>
        <v>339.09768595041322</v>
      </c>
      <c r="H280" s="28">
        <f t="shared" si="15"/>
        <v>339.15164769904715</v>
      </c>
      <c r="I280" s="28">
        <f t="shared" si="15"/>
        <v>339.34708485751702</v>
      </c>
      <c r="J280" s="28">
        <f t="shared" si="15"/>
        <v>339.08432529467552</v>
      </c>
      <c r="K280" s="28">
        <f t="shared" si="15"/>
        <v>339.00992638757174</v>
      </c>
      <c r="L280" s="28">
        <f t="shared" si="15"/>
        <v>338.83208485751703</v>
      </c>
      <c r="M280" s="28">
        <f t="shared" si="15"/>
        <v>338.81162037664274</v>
      </c>
      <c r="N280" s="28">
        <f t="shared" si="15"/>
        <v>338.38902474822743</v>
      </c>
    </row>
    <row r="281" spans="1:14" x14ac:dyDescent="0.4">
      <c r="A281" s="1">
        <v>29738</v>
      </c>
      <c r="B281" s="28">
        <v>339.89162037664272</v>
      </c>
      <c r="C281" s="28">
        <f t="shared" si="15"/>
        <v>339.82902474822743</v>
      </c>
      <c r="D281" s="28">
        <f t="shared" si="15"/>
        <v>339.9119527615951</v>
      </c>
      <c r="E281" s="28">
        <f t="shared" si="15"/>
        <v>340.00770424061778</v>
      </c>
      <c r="F281" s="28">
        <f t="shared" si="15"/>
        <v>339.78584157521567</v>
      </c>
      <c r="G281" s="28">
        <f t="shared" si="15"/>
        <v>339.18110125095967</v>
      </c>
      <c r="H281" s="28">
        <f t="shared" si="15"/>
        <v>339.09768595041322</v>
      </c>
      <c r="I281" s="28">
        <f t="shared" si="15"/>
        <v>339.15164769904715</v>
      </c>
      <c r="J281" s="28">
        <f t="shared" si="15"/>
        <v>339.34708485751702</v>
      </c>
      <c r="K281" s="28">
        <f t="shared" si="15"/>
        <v>339.08432529467552</v>
      </c>
      <c r="L281" s="28">
        <f t="shared" si="15"/>
        <v>339.00992638757174</v>
      </c>
      <c r="M281" s="28">
        <f t="shared" si="15"/>
        <v>338.83208485751703</v>
      </c>
      <c r="N281" s="28">
        <f t="shared" si="15"/>
        <v>338.81162037664274</v>
      </c>
    </row>
    <row r="282" spans="1:14" x14ac:dyDescent="0.4">
      <c r="A282" s="1">
        <v>29768</v>
      </c>
      <c r="B282" s="28">
        <v>339.76208485751704</v>
      </c>
      <c r="C282" s="28">
        <f t="shared" si="15"/>
        <v>339.89162037664272</v>
      </c>
      <c r="D282" s="28">
        <f t="shared" si="15"/>
        <v>339.82902474822743</v>
      </c>
      <c r="E282" s="28">
        <f t="shared" si="15"/>
        <v>339.9119527615951</v>
      </c>
      <c r="F282" s="28">
        <f t="shared" si="15"/>
        <v>340.00770424061778</v>
      </c>
      <c r="G282" s="28">
        <f t="shared" si="15"/>
        <v>339.78584157521567</v>
      </c>
      <c r="H282" s="28">
        <f t="shared" si="15"/>
        <v>339.18110125095967</v>
      </c>
      <c r="I282" s="28">
        <f t="shared" si="15"/>
        <v>339.09768595041322</v>
      </c>
      <c r="J282" s="28">
        <f t="shared" si="15"/>
        <v>339.15164769904715</v>
      </c>
      <c r="K282" s="28">
        <f t="shared" si="15"/>
        <v>339.34708485751702</v>
      </c>
      <c r="L282" s="28">
        <f t="shared" si="15"/>
        <v>339.08432529467552</v>
      </c>
      <c r="M282" s="28">
        <f t="shared" si="15"/>
        <v>339.00992638757174</v>
      </c>
      <c r="N282" s="28">
        <f t="shared" si="15"/>
        <v>338.83208485751703</v>
      </c>
    </row>
    <row r="283" spans="1:14" x14ac:dyDescent="0.4">
      <c r="A283" s="1">
        <v>29799</v>
      </c>
      <c r="B283" s="28">
        <v>339.83992638757172</v>
      </c>
      <c r="C283" s="28">
        <f t="shared" si="15"/>
        <v>339.76208485751704</v>
      </c>
      <c r="D283" s="28">
        <f t="shared" si="15"/>
        <v>339.89162037664272</v>
      </c>
      <c r="E283" s="28">
        <f t="shared" si="15"/>
        <v>339.82902474822743</v>
      </c>
      <c r="F283" s="28">
        <f t="shared" si="15"/>
        <v>339.9119527615951</v>
      </c>
      <c r="G283" s="28">
        <f t="shared" si="15"/>
        <v>340.00770424061778</v>
      </c>
      <c r="H283" s="28">
        <f t="shared" si="15"/>
        <v>339.78584157521567</v>
      </c>
      <c r="I283" s="28">
        <f t="shared" si="15"/>
        <v>339.18110125095967</v>
      </c>
      <c r="J283" s="28">
        <f t="shared" si="15"/>
        <v>339.09768595041322</v>
      </c>
      <c r="K283" s="28">
        <f t="shared" si="15"/>
        <v>339.15164769904715</v>
      </c>
      <c r="L283" s="28">
        <f t="shared" si="15"/>
        <v>339.34708485751702</v>
      </c>
      <c r="M283" s="28">
        <f t="shared" si="15"/>
        <v>339.08432529467552</v>
      </c>
      <c r="N283" s="28">
        <f t="shared" si="15"/>
        <v>339.00992638757174</v>
      </c>
    </row>
    <row r="284" spans="1:14" x14ac:dyDescent="0.4">
      <c r="A284" s="1">
        <v>29830</v>
      </c>
      <c r="B284" s="28">
        <v>339.89432529467553</v>
      </c>
      <c r="C284" s="28">
        <f t="shared" si="15"/>
        <v>339.83992638757172</v>
      </c>
      <c r="D284" s="28">
        <f t="shared" si="15"/>
        <v>339.76208485751704</v>
      </c>
      <c r="E284" s="28">
        <f t="shared" si="15"/>
        <v>339.89162037664272</v>
      </c>
      <c r="F284" s="28">
        <f t="shared" si="15"/>
        <v>339.82902474822743</v>
      </c>
      <c r="G284" s="28">
        <f t="shared" si="15"/>
        <v>339.9119527615951</v>
      </c>
      <c r="H284" s="28">
        <f t="shared" si="15"/>
        <v>340.00770424061778</v>
      </c>
      <c r="I284" s="28">
        <f t="shared" si="15"/>
        <v>339.78584157521567</v>
      </c>
      <c r="J284" s="28">
        <f t="shared" si="15"/>
        <v>339.18110125095967</v>
      </c>
      <c r="K284" s="28">
        <f t="shared" si="15"/>
        <v>339.09768595041322</v>
      </c>
      <c r="L284" s="28">
        <f t="shared" si="15"/>
        <v>339.15164769904715</v>
      </c>
      <c r="M284" s="28">
        <f t="shared" si="15"/>
        <v>339.34708485751702</v>
      </c>
      <c r="N284" s="28">
        <f t="shared" si="15"/>
        <v>339.08432529467552</v>
      </c>
    </row>
    <row r="285" spans="1:14" x14ac:dyDescent="0.4">
      <c r="A285" s="1">
        <v>29860</v>
      </c>
      <c r="B285" s="28">
        <v>340.18708485751705</v>
      </c>
      <c r="C285" s="28">
        <f t="shared" si="15"/>
        <v>339.89432529467553</v>
      </c>
      <c r="D285" s="28">
        <f t="shared" si="15"/>
        <v>339.83992638757172</v>
      </c>
      <c r="E285" s="28">
        <f t="shared" si="15"/>
        <v>339.76208485751704</v>
      </c>
      <c r="F285" s="28">
        <f t="shared" si="15"/>
        <v>339.89162037664272</v>
      </c>
      <c r="G285" s="28">
        <f t="shared" si="15"/>
        <v>339.82902474822743</v>
      </c>
      <c r="H285" s="28">
        <f t="shared" si="15"/>
        <v>339.9119527615951</v>
      </c>
      <c r="I285" s="28">
        <f t="shared" si="15"/>
        <v>340.00770424061778</v>
      </c>
      <c r="J285" s="28">
        <f t="shared" si="15"/>
        <v>339.78584157521567</v>
      </c>
      <c r="K285" s="28">
        <f t="shared" si="15"/>
        <v>339.18110125095967</v>
      </c>
      <c r="L285" s="28">
        <f t="shared" si="15"/>
        <v>339.09768595041322</v>
      </c>
      <c r="M285" s="28">
        <f t="shared" si="15"/>
        <v>339.15164769904715</v>
      </c>
      <c r="N285" s="28">
        <f t="shared" si="15"/>
        <v>339.34708485751702</v>
      </c>
    </row>
    <row r="286" spans="1:14" x14ac:dyDescent="0.4">
      <c r="A286" s="1">
        <v>29891</v>
      </c>
      <c r="B286" s="28">
        <v>340.41164769904714</v>
      </c>
      <c r="C286" s="28">
        <f t="shared" si="15"/>
        <v>340.18708485751705</v>
      </c>
      <c r="D286" s="28">
        <f t="shared" si="15"/>
        <v>339.89432529467553</v>
      </c>
      <c r="E286" s="28">
        <f t="shared" si="15"/>
        <v>339.83992638757172</v>
      </c>
      <c r="F286" s="28">
        <f t="shared" si="15"/>
        <v>339.76208485751704</v>
      </c>
      <c r="G286" s="28">
        <f t="shared" si="15"/>
        <v>339.89162037664272</v>
      </c>
      <c r="H286" s="28">
        <f t="shared" si="15"/>
        <v>339.82902474822743</v>
      </c>
      <c r="I286" s="28">
        <f t="shared" si="15"/>
        <v>339.9119527615951</v>
      </c>
      <c r="J286" s="28">
        <f t="shared" si="15"/>
        <v>340.00770424061778</v>
      </c>
      <c r="K286" s="28">
        <f t="shared" si="15"/>
        <v>339.78584157521567</v>
      </c>
      <c r="L286" s="28">
        <f t="shared" si="15"/>
        <v>339.18110125095967</v>
      </c>
      <c r="M286" s="28">
        <f t="shared" si="15"/>
        <v>339.09768595041322</v>
      </c>
      <c r="N286" s="28">
        <f t="shared" si="15"/>
        <v>339.15164769904715</v>
      </c>
    </row>
    <row r="287" spans="1:14" x14ac:dyDescent="0.4">
      <c r="A287" s="1">
        <v>29921</v>
      </c>
      <c r="B287" s="28">
        <v>340.49768595041326</v>
      </c>
      <c r="C287" s="28">
        <f t="shared" si="15"/>
        <v>340.41164769904714</v>
      </c>
      <c r="D287" s="28">
        <f t="shared" si="15"/>
        <v>340.18708485751705</v>
      </c>
      <c r="E287" s="28">
        <f t="shared" si="15"/>
        <v>339.89432529467553</v>
      </c>
      <c r="F287" s="28">
        <f t="shared" si="15"/>
        <v>339.83992638757172</v>
      </c>
      <c r="G287" s="28">
        <f t="shared" si="15"/>
        <v>339.76208485751704</v>
      </c>
      <c r="H287" s="28">
        <f t="shared" si="15"/>
        <v>339.89162037664272</v>
      </c>
      <c r="I287" s="28">
        <f t="shared" si="15"/>
        <v>339.82902474822743</v>
      </c>
      <c r="J287" s="28">
        <f t="shared" si="15"/>
        <v>339.9119527615951</v>
      </c>
      <c r="K287" s="28">
        <f t="shared" si="15"/>
        <v>340.00770424061778</v>
      </c>
      <c r="L287" s="28">
        <f t="shared" si="15"/>
        <v>339.78584157521567</v>
      </c>
      <c r="M287" s="28">
        <f t="shared" si="15"/>
        <v>339.18110125095967</v>
      </c>
      <c r="N287" s="28">
        <f t="shared" si="15"/>
        <v>339.09768595041322</v>
      </c>
    </row>
    <row r="288" spans="1:14" x14ac:dyDescent="0.4">
      <c r="A288" s="1">
        <v>29952</v>
      </c>
      <c r="B288" s="28">
        <v>340.69110125095966</v>
      </c>
      <c r="C288" s="28">
        <f t="shared" si="15"/>
        <v>340.49768595041326</v>
      </c>
      <c r="D288" s="28">
        <f t="shared" si="15"/>
        <v>340.41164769904714</v>
      </c>
      <c r="E288" s="28">
        <f t="shared" si="15"/>
        <v>340.18708485751705</v>
      </c>
      <c r="F288" s="28">
        <f t="shared" si="15"/>
        <v>339.89432529467553</v>
      </c>
      <c r="G288" s="28">
        <f t="shared" si="15"/>
        <v>339.83992638757172</v>
      </c>
      <c r="H288" s="28">
        <f t="shared" si="15"/>
        <v>339.76208485751704</v>
      </c>
      <c r="I288" s="28">
        <f t="shared" si="15"/>
        <v>339.89162037664272</v>
      </c>
      <c r="J288" s="28">
        <f t="shared" si="15"/>
        <v>339.82902474822743</v>
      </c>
      <c r="K288" s="28">
        <f t="shared" si="15"/>
        <v>339.9119527615951</v>
      </c>
      <c r="L288" s="28">
        <f t="shared" si="15"/>
        <v>340.00770424061778</v>
      </c>
      <c r="M288" s="28">
        <f t="shared" si="15"/>
        <v>339.78584157521567</v>
      </c>
      <c r="N288" s="28">
        <f t="shared" si="15"/>
        <v>339.18110125095967</v>
      </c>
    </row>
    <row r="289" spans="1:14" x14ac:dyDescent="0.4">
      <c r="A289" s="1">
        <v>29983</v>
      </c>
      <c r="B289" s="28">
        <v>340.91584157521567</v>
      </c>
      <c r="C289" s="28">
        <f t="shared" si="15"/>
        <v>340.69110125095966</v>
      </c>
      <c r="D289" s="28">
        <f t="shared" si="15"/>
        <v>340.49768595041326</v>
      </c>
      <c r="E289" s="28">
        <f t="shared" si="15"/>
        <v>340.41164769904714</v>
      </c>
      <c r="F289" s="28">
        <f t="shared" si="15"/>
        <v>340.18708485751705</v>
      </c>
      <c r="G289" s="28">
        <f t="shared" si="15"/>
        <v>339.89432529467553</v>
      </c>
      <c r="H289" s="28">
        <f t="shared" si="15"/>
        <v>339.83992638757172</v>
      </c>
      <c r="I289" s="28">
        <f t="shared" si="15"/>
        <v>339.76208485751704</v>
      </c>
      <c r="J289" s="28">
        <f t="shared" si="15"/>
        <v>339.89162037664272</v>
      </c>
      <c r="K289" s="28">
        <f t="shared" si="15"/>
        <v>339.82902474822743</v>
      </c>
      <c r="L289" s="28">
        <f t="shared" si="15"/>
        <v>339.9119527615951</v>
      </c>
      <c r="M289" s="28">
        <f t="shared" si="15"/>
        <v>340.00770424061778</v>
      </c>
      <c r="N289" s="28">
        <f t="shared" si="15"/>
        <v>339.78584157521567</v>
      </c>
    </row>
    <row r="290" spans="1:14" x14ac:dyDescent="0.4">
      <c r="A290" s="1">
        <v>30011</v>
      </c>
      <c r="B290" s="28">
        <v>341.32770424061778</v>
      </c>
      <c r="C290" s="28">
        <f t="shared" si="15"/>
        <v>340.91584157521567</v>
      </c>
      <c r="D290" s="28">
        <f t="shared" si="15"/>
        <v>340.69110125095966</v>
      </c>
      <c r="E290" s="28">
        <f t="shared" si="15"/>
        <v>340.49768595041326</v>
      </c>
      <c r="F290" s="28">
        <f t="shared" si="15"/>
        <v>340.41164769904714</v>
      </c>
      <c r="G290" s="28">
        <f t="shared" si="15"/>
        <v>340.18708485751705</v>
      </c>
      <c r="H290" s="28">
        <f t="shared" si="15"/>
        <v>339.89432529467553</v>
      </c>
      <c r="I290" s="28">
        <f t="shared" si="15"/>
        <v>339.83992638757172</v>
      </c>
      <c r="J290" s="28">
        <f t="shared" si="15"/>
        <v>339.76208485751704</v>
      </c>
      <c r="K290" s="28">
        <f t="shared" si="15"/>
        <v>339.89162037664272</v>
      </c>
      <c r="L290" s="28">
        <f t="shared" si="15"/>
        <v>339.82902474822743</v>
      </c>
      <c r="M290" s="28">
        <f t="shared" si="15"/>
        <v>339.9119527615951</v>
      </c>
      <c r="N290" s="28">
        <f t="shared" si="15"/>
        <v>340.00770424061778</v>
      </c>
    </row>
    <row r="291" spans="1:14" x14ac:dyDescent="0.4">
      <c r="A291" s="1">
        <v>30042</v>
      </c>
      <c r="B291" s="28">
        <v>340.9819527615951</v>
      </c>
      <c r="C291" s="28">
        <f t="shared" si="15"/>
        <v>341.32770424061778</v>
      </c>
      <c r="D291" s="28">
        <f t="shared" si="15"/>
        <v>340.91584157521567</v>
      </c>
      <c r="E291" s="28">
        <f t="shared" si="15"/>
        <v>340.69110125095966</v>
      </c>
      <c r="F291" s="28">
        <f t="shared" si="15"/>
        <v>340.49768595041326</v>
      </c>
      <c r="G291" s="28">
        <f t="shared" si="15"/>
        <v>340.41164769904714</v>
      </c>
      <c r="H291" s="28">
        <f t="shared" si="15"/>
        <v>340.18708485751705</v>
      </c>
      <c r="I291" s="28">
        <f t="shared" si="15"/>
        <v>339.89432529467553</v>
      </c>
      <c r="J291" s="28">
        <f t="shared" si="15"/>
        <v>339.83992638757172</v>
      </c>
      <c r="K291" s="28">
        <f t="shared" si="15"/>
        <v>339.76208485751704</v>
      </c>
      <c r="L291" s="28">
        <f t="shared" si="15"/>
        <v>339.89162037664272</v>
      </c>
      <c r="M291" s="28">
        <f t="shared" si="15"/>
        <v>339.82902474822743</v>
      </c>
      <c r="N291" s="28">
        <f t="shared" si="15"/>
        <v>339.9119527615951</v>
      </c>
    </row>
    <row r="292" spans="1:14" x14ac:dyDescent="0.4">
      <c r="A292" s="1">
        <v>30072</v>
      </c>
      <c r="B292" s="28">
        <v>341.05902474822739</v>
      </c>
      <c r="C292" s="28">
        <f t="shared" si="15"/>
        <v>340.9819527615951</v>
      </c>
      <c r="D292" s="28">
        <f t="shared" si="15"/>
        <v>341.32770424061778</v>
      </c>
      <c r="E292" s="28">
        <f t="shared" si="15"/>
        <v>340.91584157521567</v>
      </c>
      <c r="F292" s="28">
        <f t="shared" si="15"/>
        <v>340.69110125095966</v>
      </c>
      <c r="G292" s="28">
        <f t="shared" si="15"/>
        <v>340.49768595041326</v>
      </c>
      <c r="H292" s="28">
        <f t="shared" si="15"/>
        <v>340.41164769904714</v>
      </c>
      <c r="I292" s="28">
        <f t="shared" si="15"/>
        <v>340.18708485751705</v>
      </c>
      <c r="J292" s="28">
        <f t="shared" si="15"/>
        <v>339.89432529467553</v>
      </c>
      <c r="K292" s="28">
        <f t="shared" si="15"/>
        <v>339.83992638757172</v>
      </c>
      <c r="L292" s="28">
        <f t="shared" si="15"/>
        <v>339.76208485751704</v>
      </c>
      <c r="M292" s="28">
        <f t="shared" si="15"/>
        <v>339.89162037664272</v>
      </c>
      <c r="N292" s="28">
        <f t="shared" si="15"/>
        <v>339.82902474822743</v>
      </c>
    </row>
    <row r="293" spans="1:14" x14ac:dyDescent="0.4">
      <c r="A293" s="1">
        <v>30103</v>
      </c>
      <c r="B293" s="28">
        <v>340.99162037664274</v>
      </c>
      <c r="C293" s="28">
        <f t="shared" si="15"/>
        <v>341.05902474822739</v>
      </c>
      <c r="D293" s="28">
        <f t="shared" si="15"/>
        <v>340.9819527615951</v>
      </c>
      <c r="E293" s="28">
        <f t="shared" si="15"/>
        <v>341.32770424061778</v>
      </c>
      <c r="F293" s="28">
        <f t="shared" si="15"/>
        <v>340.91584157521567</v>
      </c>
      <c r="G293" s="28">
        <f t="shared" si="15"/>
        <v>340.69110125095966</v>
      </c>
      <c r="H293" s="28">
        <f t="shared" si="15"/>
        <v>340.49768595041326</v>
      </c>
      <c r="I293" s="28">
        <f t="shared" si="15"/>
        <v>340.41164769904714</v>
      </c>
      <c r="J293" s="28">
        <f t="shared" si="15"/>
        <v>340.18708485751705</v>
      </c>
      <c r="K293" s="28">
        <f t="shared" si="15"/>
        <v>339.89432529467553</v>
      </c>
      <c r="L293" s="28">
        <f t="shared" si="15"/>
        <v>339.83992638757172</v>
      </c>
      <c r="M293" s="28">
        <f t="shared" si="15"/>
        <v>339.76208485751704</v>
      </c>
      <c r="N293" s="28">
        <f t="shared" si="15"/>
        <v>339.89162037664272</v>
      </c>
    </row>
    <row r="294" spans="1:14" x14ac:dyDescent="0.4">
      <c r="A294" s="1">
        <v>30133</v>
      </c>
      <c r="B294" s="28">
        <v>341.33208485751703</v>
      </c>
      <c r="C294" s="28">
        <f t="shared" si="15"/>
        <v>340.99162037664274</v>
      </c>
      <c r="D294" s="28">
        <f t="shared" si="15"/>
        <v>341.05902474822739</v>
      </c>
      <c r="E294" s="28">
        <f t="shared" si="15"/>
        <v>340.9819527615951</v>
      </c>
      <c r="F294" s="28">
        <f t="shared" si="15"/>
        <v>341.32770424061778</v>
      </c>
      <c r="G294" s="28">
        <f t="shared" si="15"/>
        <v>340.91584157521567</v>
      </c>
      <c r="H294" s="28">
        <f t="shared" si="15"/>
        <v>340.69110125095966</v>
      </c>
      <c r="I294" s="28">
        <f t="shared" si="15"/>
        <v>340.49768595041326</v>
      </c>
      <c r="J294" s="28">
        <f t="shared" si="15"/>
        <v>340.41164769904714</v>
      </c>
      <c r="K294" s="28">
        <f t="shared" si="15"/>
        <v>340.18708485751705</v>
      </c>
      <c r="L294" s="28">
        <f t="shared" si="15"/>
        <v>339.89432529467553</v>
      </c>
      <c r="M294" s="28">
        <f t="shared" si="15"/>
        <v>339.83992638757172</v>
      </c>
      <c r="N294" s="28">
        <f t="shared" si="15"/>
        <v>339.76208485751704</v>
      </c>
    </row>
    <row r="295" spans="1:14" x14ac:dyDescent="0.4">
      <c r="A295" s="1">
        <v>30164</v>
      </c>
      <c r="B295" s="28">
        <v>341.21992638757172</v>
      </c>
      <c r="C295" s="28">
        <f t="shared" si="15"/>
        <v>341.33208485751703</v>
      </c>
      <c r="D295" s="28">
        <f t="shared" si="15"/>
        <v>340.99162037664274</v>
      </c>
      <c r="E295" s="28">
        <f t="shared" si="15"/>
        <v>341.05902474822739</v>
      </c>
      <c r="F295" s="28">
        <f t="shared" si="15"/>
        <v>340.9819527615951</v>
      </c>
      <c r="G295" s="28">
        <f t="shared" si="15"/>
        <v>341.32770424061778</v>
      </c>
      <c r="H295" s="28">
        <f t="shared" si="15"/>
        <v>340.91584157521567</v>
      </c>
      <c r="I295" s="28">
        <f t="shared" ref="D295:S310" si="16">IF(H294=0,"",H294)</f>
        <v>340.69110125095966</v>
      </c>
      <c r="J295" s="28">
        <f t="shared" si="16"/>
        <v>340.49768595041326</v>
      </c>
      <c r="K295" s="28">
        <f t="shared" si="16"/>
        <v>340.41164769904714</v>
      </c>
      <c r="L295" s="28">
        <f t="shared" si="16"/>
        <v>340.18708485751705</v>
      </c>
      <c r="M295" s="28">
        <f t="shared" si="16"/>
        <v>339.89432529467553</v>
      </c>
      <c r="N295" s="28">
        <f t="shared" si="16"/>
        <v>339.83992638757172</v>
      </c>
    </row>
    <row r="296" spans="1:14" x14ac:dyDescent="0.4">
      <c r="A296" s="1">
        <v>30195</v>
      </c>
      <c r="B296" s="28">
        <v>341.18432529467555</v>
      </c>
      <c r="C296" s="28">
        <f t="shared" ref="C296:N359" si="17">IF(B295=0,"",B295)</f>
        <v>341.21992638757172</v>
      </c>
      <c r="D296" s="28">
        <f t="shared" si="16"/>
        <v>341.33208485751703</v>
      </c>
      <c r="E296" s="28">
        <f t="shared" si="16"/>
        <v>340.99162037664274</v>
      </c>
      <c r="F296" s="28">
        <f t="shared" si="16"/>
        <v>341.05902474822739</v>
      </c>
      <c r="G296" s="28">
        <f t="shared" si="16"/>
        <v>340.9819527615951</v>
      </c>
      <c r="H296" s="28">
        <f t="shared" si="16"/>
        <v>341.32770424061778</v>
      </c>
      <c r="I296" s="28">
        <f t="shared" si="16"/>
        <v>340.91584157521567</v>
      </c>
      <c r="J296" s="28">
        <f t="shared" si="16"/>
        <v>340.69110125095966</v>
      </c>
      <c r="K296" s="28">
        <f t="shared" si="16"/>
        <v>340.49768595041326</v>
      </c>
      <c r="L296" s="28">
        <f t="shared" si="16"/>
        <v>340.41164769904714</v>
      </c>
      <c r="M296" s="28">
        <f t="shared" si="16"/>
        <v>340.18708485751705</v>
      </c>
      <c r="N296" s="28">
        <f t="shared" si="16"/>
        <v>339.89432529467553</v>
      </c>
    </row>
    <row r="297" spans="1:14" x14ac:dyDescent="0.4">
      <c r="A297" s="1">
        <v>30225</v>
      </c>
      <c r="B297" s="28">
        <v>341.18708485751705</v>
      </c>
      <c r="C297" s="28">
        <f t="shared" si="17"/>
        <v>341.18432529467555</v>
      </c>
      <c r="D297" s="28">
        <f t="shared" si="16"/>
        <v>341.21992638757172</v>
      </c>
      <c r="E297" s="28">
        <f t="shared" si="16"/>
        <v>341.33208485751703</v>
      </c>
      <c r="F297" s="28">
        <f t="shared" si="16"/>
        <v>340.99162037664274</v>
      </c>
      <c r="G297" s="28">
        <f t="shared" si="16"/>
        <v>341.05902474822739</v>
      </c>
      <c r="H297" s="28">
        <f t="shared" si="16"/>
        <v>340.9819527615951</v>
      </c>
      <c r="I297" s="28">
        <f t="shared" si="16"/>
        <v>341.32770424061778</v>
      </c>
      <c r="J297" s="28">
        <f t="shared" si="16"/>
        <v>340.91584157521567</v>
      </c>
      <c r="K297" s="28">
        <f t="shared" si="16"/>
        <v>340.69110125095966</v>
      </c>
      <c r="L297" s="28">
        <f t="shared" si="16"/>
        <v>340.49768595041326</v>
      </c>
      <c r="M297" s="28">
        <f t="shared" si="16"/>
        <v>340.41164769904714</v>
      </c>
      <c r="N297" s="28">
        <f t="shared" si="16"/>
        <v>340.18708485751705</v>
      </c>
    </row>
    <row r="298" spans="1:14" x14ac:dyDescent="0.4">
      <c r="A298" s="1">
        <v>30256</v>
      </c>
      <c r="B298" s="28">
        <v>341.31164769904711</v>
      </c>
      <c r="C298" s="28">
        <f t="shared" si="17"/>
        <v>341.18708485751705</v>
      </c>
      <c r="D298" s="28">
        <f t="shared" si="16"/>
        <v>341.18432529467555</v>
      </c>
      <c r="E298" s="28">
        <f t="shared" si="16"/>
        <v>341.21992638757172</v>
      </c>
      <c r="F298" s="28">
        <f t="shared" si="16"/>
        <v>341.33208485751703</v>
      </c>
      <c r="G298" s="28">
        <f t="shared" si="16"/>
        <v>340.99162037664274</v>
      </c>
      <c r="H298" s="28">
        <f t="shared" si="16"/>
        <v>341.05902474822739</v>
      </c>
      <c r="I298" s="28">
        <f t="shared" si="16"/>
        <v>340.9819527615951</v>
      </c>
      <c r="J298" s="28">
        <f t="shared" si="16"/>
        <v>341.32770424061778</v>
      </c>
      <c r="K298" s="28">
        <f t="shared" si="16"/>
        <v>340.91584157521567</v>
      </c>
      <c r="L298" s="28">
        <f t="shared" si="16"/>
        <v>340.69110125095966</v>
      </c>
      <c r="M298" s="28">
        <f t="shared" si="16"/>
        <v>340.49768595041326</v>
      </c>
      <c r="N298" s="28">
        <f t="shared" si="16"/>
        <v>340.41164769904714</v>
      </c>
    </row>
    <row r="299" spans="1:14" x14ac:dyDescent="0.4">
      <c r="A299" s="1">
        <v>30286</v>
      </c>
      <c r="B299" s="28">
        <v>341.37768595041325</v>
      </c>
      <c r="C299" s="28">
        <f t="shared" si="17"/>
        <v>341.31164769904711</v>
      </c>
      <c r="D299" s="28">
        <f t="shared" si="16"/>
        <v>341.18708485751705</v>
      </c>
      <c r="E299" s="28">
        <f t="shared" si="16"/>
        <v>341.18432529467555</v>
      </c>
      <c r="F299" s="28">
        <f t="shared" si="16"/>
        <v>341.21992638757172</v>
      </c>
      <c r="G299" s="28">
        <f t="shared" si="16"/>
        <v>341.33208485751703</v>
      </c>
      <c r="H299" s="28">
        <f t="shared" si="16"/>
        <v>340.99162037664274</v>
      </c>
      <c r="I299" s="28">
        <f t="shared" si="16"/>
        <v>341.05902474822739</v>
      </c>
      <c r="J299" s="28">
        <f t="shared" si="16"/>
        <v>340.9819527615951</v>
      </c>
      <c r="K299" s="28">
        <f t="shared" si="16"/>
        <v>341.32770424061778</v>
      </c>
      <c r="L299" s="28">
        <f t="shared" si="16"/>
        <v>340.91584157521567</v>
      </c>
      <c r="M299" s="28">
        <f t="shared" si="16"/>
        <v>340.69110125095966</v>
      </c>
      <c r="N299" s="28">
        <f t="shared" si="16"/>
        <v>340.49768595041326</v>
      </c>
    </row>
    <row r="300" spans="1:14" x14ac:dyDescent="0.4">
      <c r="A300" s="1">
        <v>30317</v>
      </c>
      <c r="B300" s="28">
        <v>341.32110125095966</v>
      </c>
      <c r="C300" s="28">
        <f t="shared" si="17"/>
        <v>341.37768595041325</v>
      </c>
      <c r="D300" s="28">
        <f t="shared" si="16"/>
        <v>341.31164769904711</v>
      </c>
      <c r="E300" s="28">
        <f t="shared" si="16"/>
        <v>341.18708485751705</v>
      </c>
      <c r="F300" s="28">
        <f t="shared" si="16"/>
        <v>341.18432529467555</v>
      </c>
      <c r="G300" s="28">
        <f t="shared" si="16"/>
        <v>341.21992638757172</v>
      </c>
      <c r="H300" s="28">
        <f t="shared" si="16"/>
        <v>341.33208485751703</v>
      </c>
      <c r="I300" s="28">
        <f t="shared" si="16"/>
        <v>340.99162037664274</v>
      </c>
      <c r="J300" s="28">
        <f t="shared" si="16"/>
        <v>341.05902474822739</v>
      </c>
      <c r="K300" s="28">
        <f t="shared" si="16"/>
        <v>340.9819527615951</v>
      </c>
      <c r="L300" s="28">
        <f t="shared" si="16"/>
        <v>341.32770424061778</v>
      </c>
      <c r="M300" s="28">
        <f t="shared" si="16"/>
        <v>340.91584157521567</v>
      </c>
      <c r="N300" s="28">
        <f t="shared" si="16"/>
        <v>340.69110125095966</v>
      </c>
    </row>
    <row r="301" spans="1:14" x14ac:dyDescent="0.4">
      <c r="A301" s="1">
        <v>30348</v>
      </c>
      <c r="B301" s="28">
        <v>341.82584157521563</v>
      </c>
      <c r="C301" s="28">
        <f t="shared" si="17"/>
        <v>341.32110125095966</v>
      </c>
      <c r="D301" s="28">
        <f t="shared" si="16"/>
        <v>341.37768595041325</v>
      </c>
      <c r="E301" s="28">
        <f t="shared" si="16"/>
        <v>341.31164769904711</v>
      </c>
      <c r="F301" s="28">
        <f t="shared" si="16"/>
        <v>341.18708485751705</v>
      </c>
      <c r="G301" s="28">
        <f t="shared" si="16"/>
        <v>341.18432529467555</v>
      </c>
      <c r="H301" s="28">
        <f t="shared" si="16"/>
        <v>341.21992638757172</v>
      </c>
      <c r="I301" s="28">
        <f t="shared" si="16"/>
        <v>341.33208485751703</v>
      </c>
      <c r="J301" s="28">
        <f t="shared" si="16"/>
        <v>340.99162037664274</v>
      </c>
      <c r="K301" s="28">
        <f t="shared" si="16"/>
        <v>341.05902474822739</v>
      </c>
      <c r="L301" s="28">
        <f t="shared" si="16"/>
        <v>340.9819527615951</v>
      </c>
      <c r="M301" s="28">
        <f t="shared" si="16"/>
        <v>341.32770424061778</v>
      </c>
      <c r="N301" s="28">
        <f t="shared" si="16"/>
        <v>340.91584157521567</v>
      </c>
    </row>
    <row r="302" spans="1:14" x14ac:dyDescent="0.4">
      <c r="A302" s="1">
        <v>30376</v>
      </c>
      <c r="B302" s="28">
        <v>341.72770424061781</v>
      </c>
      <c r="C302" s="28">
        <f t="shared" si="17"/>
        <v>341.82584157521563</v>
      </c>
      <c r="D302" s="28">
        <f t="shared" si="16"/>
        <v>341.32110125095966</v>
      </c>
      <c r="E302" s="28">
        <f t="shared" si="16"/>
        <v>341.37768595041325</v>
      </c>
      <c r="F302" s="28">
        <f t="shared" si="16"/>
        <v>341.31164769904711</v>
      </c>
      <c r="G302" s="28">
        <f t="shared" si="16"/>
        <v>341.18708485751705</v>
      </c>
      <c r="H302" s="28">
        <f t="shared" si="16"/>
        <v>341.18432529467555</v>
      </c>
      <c r="I302" s="28">
        <f t="shared" si="16"/>
        <v>341.21992638757172</v>
      </c>
      <c r="J302" s="28">
        <f t="shared" si="16"/>
        <v>341.33208485751703</v>
      </c>
      <c r="K302" s="28">
        <f t="shared" si="16"/>
        <v>340.99162037664274</v>
      </c>
      <c r="L302" s="28">
        <f t="shared" si="16"/>
        <v>341.05902474822739</v>
      </c>
      <c r="M302" s="28">
        <f t="shared" si="16"/>
        <v>340.9819527615951</v>
      </c>
      <c r="N302" s="28">
        <f t="shared" si="16"/>
        <v>341.32770424061778</v>
      </c>
    </row>
    <row r="303" spans="1:14" x14ac:dyDescent="0.4">
      <c r="A303" s="1">
        <v>30407</v>
      </c>
      <c r="B303" s="28">
        <v>342.3519527615951</v>
      </c>
      <c r="C303" s="28">
        <f t="shared" si="17"/>
        <v>341.72770424061781</v>
      </c>
      <c r="D303" s="28">
        <f t="shared" si="16"/>
        <v>341.82584157521563</v>
      </c>
      <c r="E303" s="28">
        <f t="shared" si="16"/>
        <v>341.32110125095966</v>
      </c>
      <c r="F303" s="28">
        <f t="shared" si="16"/>
        <v>341.37768595041325</v>
      </c>
      <c r="G303" s="28">
        <f t="shared" si="16"/>
        <v>341.31164769904711</v>
      </c>
      <c r="H303" s="28">
        <f t="shared" si="16"/>
        <v>341.18708485751705</v>
      </c>
      <c r="I303" s="28">
        <f t="shared" si="16"/>
        <v>341.18432529467555</v>
      </c>
      <c r="J303" s="28">
        <f t="shared" si="16"/>
        <v>341.21992638757172</v>
      </c>
      <c r="K303" s="28">
        <f t="shared" si="16"/>
        <v>341.33208485751703</v>
      </c>
      <c r="L303" s="28">
        <f t="shared" si="16"/>
        <v>340.99162037664274</v>
      </c>
      <c r="M303" s="28">
        <f t="shared" si="16"/>
        <v>341.05902474822739</v>
      </c>
      <c r="N303" s="28">
        <f t="shared" si="16"/>
        <v>340.9819527615951</v>
      </c>
    </row>
    <row r="304" spans="1:14" x14ac:dyDescent="0.4">
      <c r="A304" s="1">
        <v>30437</v>
      </c>
      <c r="B304" s="28">
        <v>342.67902474822739</v>
      </c>
      <c r="C304" s="28">
        <f t="shared" si="17"/>
        <v>342.3519527615951</v>
      </c>
      <c r="D304" s="28">
        <f t="shared" si="16"/>
        <v>341.72770424061781</v>
      </c>
      <c r="E304" s="28">
        <f t="shared" si="16"/>
        <v>341.82584157521563</v>
      </c>
      <c r="F304" s="28">
        <f t="shared" si="16"/>
        <v>341.32110125095966</v>
      </c>
      <c r="G304" s="28">
        <f t="shared" si="16"/>
        <v>341.37768595041325</v>
      </c>
      <c r="H304" s="28">
        <f t="shared" si="16"/>
        <v>341.31164769904711</v>
      </c>
      <c r="I304" s="28">
        <f t="shared" si="16"/>
        <v>341.18708485751705</v>
      </c>
      <c r="J304" s="28">
        <f t="shared" si="16"/>
        <v>341.18432529467555</v>
      </c>
      <c r="K304" s="28">
        <f t="shared" si="16"/>
        <v>341.21992638757172</v>
      </c>
      <c r="L304" s="28">
        <f t="shared" si="16"/>
        <v>341.33208485751703</v>
      </c>
      <c r="M304" s="28">
        <f t="shared" si="16"/>
        <v>340.99162037664274</v>
      </c>
      <c r="N304" s="28">
        <f t="shared" si="16"/>
        <v>341.05902474822739</v>
      </c>
    </row>
    <row r="305" spans="1:14" x14ac:dyDescent="0.4">
      <c r="A305" s="1">
        <v>30468</v>
      </c>
      <c r="B305" s="28">
        <v>342.96162037664271</v>
      </c>
      <c r="C305" s="28">
        <f t="shared" si="17"/>
        <v>342.67902474822739</v>
      </c>
      <c r="D305" s="28">
        <f t="shared" si="16"/>
        <v>342.3519527615951</v>
      </c>
      <c r="E305" s="28">
        <f t="shared" si="16"/>
        <v>341.72770424061781</v>
      </c>
      <c r="F305" s="28">
        <f t="shared" si="16"/>
        <v>341.82584157521563</v>
      </c>
      <c r="G305" s="28">
        <f t="shared" si="16"/>
        <v>341.32110125095966</v>
      </c>
      <c r="H305" s="28">
        <f t="shared" si="16"/>
        <v>341.37768595041325</v>
      </c>
      <c r="I305" s="28">
        <f t="shared" si="16"/>
        <v>341.31164769904711</v>
      </c>
      <c r="J305" s="28">
        <f t="shared" si="16"/>
        <v>341.18708485751705</v>
      </c>
      <c r="K305" s="28">
        <f t="shared" si="16"/>
        <v>341.18432529467555</v>
      </c>
      <c r="L305" s="28">
        <f t="shared" si="16"/>
        <v>341.21992638757172</v>
      </c>
      <c r="M305" s="28">
        <f t="shared" si="16"/>
        <v>341.33208485751703</v>
      </c>
      <c r="N305" s="28">
        <f t="shared" si="16"/>
        <v>340.99162037664274</v>
      </c>
    </row>
    <row r="306" spans="1:14" x14ac:dyDescent="0.4">
      <c r="A306" s="1">
        <v>30498</v>
      </c>
      <c r="B306" s="28">
        <v>343.25208485751705</v>
      </c>
      <c r="C306" s="28">
        <f t="shared" si="17"/>
        <v>342.96162037664271</v>
      </c>
      <c r="D306" s="28">
        <f t="shared" si="16"/>
        <v>342.67902474822739</v>
      </c>
      <c r="E306" s="28">
        <f t="shared" si="16"/>
        <v>342.3519527615951</v>
      </c>
      <c r="F306" s="28">
        <f t="shared" si="16"/>
        <v>341.72770424061781</v>
      </c>
      <c r="G306" s="28">
        <f t="shared" si="16"/>
        <v>341.82584157521563</v>
      </c>
      <c r="H306" s="28">
        <f t="shared" si="16"/>
        <v>341.32110125095966</v>
      </c>
      <c r="I306" s="28">
        <f t="shared" si="16"/>
        <v>341.37768595041325</v>
      </c>
      <c r="J306" s="28">
        <f t="shared" si="16"/>
        <v>341.31164769904711</v>
      </c>
      <c r="K306" s="28">
        <f t="shared" si="16"/>
        <v>341.18708485751705</v>
      </c>
      <c r="L306" s="28">
        <f t="shared" si="16"/>
        <v>341.18432529467555</v>
      </c>
      <c r="M306" s="28">
        <f t="shared" si="16"/>
        <v>341.21992638757172</v>
      </c>
      <c r="N306" s="28">
        <f t="shared" si="16"/>
        <v>341.33208485751703</v>
      </c>
    </row>
    <row r="307" spans="1:14" x14ac:dyDescent="0.4">
      <c r="A307" s="1">
        <v>30529</v>
      </c>
      <c r="B307" s="28">
        <v>343.78992638757171</v>
      </c>
      <c r="C307" s="28">
        <f t="shared" si="17"/>
        <v>343.25208485751705</v>
      </c>
      <c r="D307" s="28">
        <f t="shared" si="16"/>
        <v>342.96162037664271</v>
      </c>
      <c r="E307" s="28">
        <f t="shared" si="16"/>
        <v>342.67902474822739</v>
      </c>
      <c r="F307" s="28">
        <f t="shared" si="16"/>
        <v>342.3519527615951</v>
      </c>
      <c r="G307" s="28">
        <f t="shared" si="16"/>
        <v>341.72770424061781</v>
      </c>
      <c r="H307" s="28">
        <f t="shared" si="16"/>
        <v>341.82584157521563</v>
      </c>
      <c r="I307" s="28">
        <f t="shared" si="16"/>
        <v>341.32110125095966</v>
      </c>
      <c r="J307" s="28">
        <f t="shared" si="16"/>
        <v>341.37768595041325</v>
      </c>
      <c r="K307" s="28">
        <f t="shared" si="16"/>
        <v>341.31164769904711</v>
      </c>
      <c r="L307" s="28">
        <f t="shared" si="16"/>
        <v>341.18708485751705</v>
      </c>
      <c r="M307" s="28">
        <f t="shared" si="16"/>
        <v>341.18432529467555</v>
      </c>
      <c r="N307" s="28">
        <f t="shared" si="16"/>
        <v>341.21992638757172</v>
      </c>
    </row>
    <row r="308" spans="1:14" x14ac:dyDescent="0.4">
      <c r="A308" s="1">
        <v>30560</v>
      </c>
      <c r="B308" s="28">
        <v>343.07432529467553</v>
      </c>
      <c r="C308" s="28">
        <f t="shared" si="17"/>
        <v>343.78992638757171</v>
      </c>
      <c r="D308" s="28">
        <f t="shared" si="16"/>
        <v>343.25208485751705</v>
      </c>
      <c r="E308" s="28">
        <f t="shared" si="16"/>
        <v>342.96162037664271</v>
      </c>
      <c r="F308" s="28">
        <f t="shared" si="16"/>
        <v>342.67902474822739</v>
      </c>
      <c r="G308" s="28">
        <f t="shared" si="16"/>
        <v>342.3519527615951</v>
      </c>
      <c r="H308" s="28">
        <f t="shared" si="16"/>
        <v>341.72770424061781</v>
      </c>
      <c r="I308" s="28">
        <f t="shared" si="16"/>
        <v>341.82584157521563</v>
      </c>
      <c r="J308" s="28">
        <f t="shared" si="16"/>
        <v>341.32110125095966</v>
      </c>
      <c r="K308" s="28">
        <f t="shared" si="16"/>
        <v>341.37768595041325</v>
      </c>
      <c r="L308" s="28">
        <f t="shared" si="16"/>
        <v>341.31164769904711</v>
      </c>
      <c r="M308" s="28">
        <f t="shared" si="16"/>
        <v>341.18708485751705</v>
      </c>
      <c r="N308" s="28">
        <f t="shared" si="16"/>
        <v>341.18432529467555</v>
      </c>
    </row>
    <row r="309" spans="1:14" x14ac:dyDescent="0.4">
      <c r="A309" s="1">
        <v>30590</v>
      </c>
      <c r="B309" s="28">
        <v>343.31708485751705</v>
      </c>
      <c r="C309" s="28">
        <f t="shared" si="17"/>
        <v>343.07432529467553</v>
      </c>
      <c r="D309" s="28">
        <f t="shared" si="16"/>
        <v>343.78992638757171</v>
      </c>
      <c r="E309" s="28">
        <f t="shared" si="16"/>
        <v>343.25208485751705</v>
      </c>
      <c r="F309" s="28">
        <f t="shared" si="16"/>
        <v>342.96162037664271</v>
      </c>
      <c r="G309" s="28">
        <f t="shared" si="16"/>
        <v>342.67902474822739</v>
      </c>
      <c r="H309" s="28">
        <f t="shared" si="16"/>
        <v>342.3519527615951</v>
      </c>
      <c r="I309" s="28">
        <f t="shared" si="16"/>
        <v>341.72770424061781</v>
      </c>
      <c r="J309" s="28">
        <f t="shared" si="16"/>
        <v>341.82584157521563</v>
      </c>
      <c r="K309" s="28">
        <f t="shared" si="16"/>
        <v>341.32110125095966</v>
      </c>
      <c r="L309" s="28">
        <f t="shared" si="16"/>
        <v>341.37768595041325</v>
      </c>
      <c r="M309" s="28">
        <f t="shared" si="16"/>
        <v>341.31164769904711</v>
      </c>
      <c r="N309" s="28">
        <f t="shared" si="16"/>
        <v>341.18708485751705</v>
      </c>
    </row>
    <row r="310" spans="1:14" x14ac:dyDescent="0.4">
      <c r="A310" s="1">
        <v>30621</v>
      </c>
      <c r="B310" s="28">
        <v>343.2016476990471</v>
      </c>
      <c r="C310" s="28">
        <f t="shared" si="17"/>
        <v>343.31708485751705</v>
      </c>
      <c r="D310" s="28">
        <f t="shared" si="16"/>
        <v>343.07432529467553</v>
      </c>
      <c r="E310" s="28">
        <f t="shared" si="16"/>
        <v>343.78992638757171</v>
      </c>
      <c r="F310" s="28">
        <f t="shared" si="16"/>
        <v>343.25208485751705</v>
      </c>
      <c r="G310" s="28">
        <f t="shared" si="16"/>
        <v>342.96162037664271</v>
      </c>
      <c r="H310" s="28">
        <f t="shared" si="16"/>
        <v>342.67902474822739</v>
      </c>
      <c r="I310" s="28">
        <f t="shared" si="16"/>
        <v>342.3519527615951</v>
      </c>
      <c r="J310" s="28">
        <f t="shared" si="16"/>
        <v>341.72770424061781</v>
      </c>
      <c r="K310" s="28">
        <f t="shared" si="16"/>
        <v>341.82584157521563</v>
      </c>
      <c r="L310" s="28">
        <f t="shared" si="16"/>
        <v>341.32110125095966</v>
      </c>
      <c r="M310" s="28">
        <f t="shared" si="16"/>
        <v>341.37768595041325</v>
      </c>
      <c r="N310" s="28">
        <f t="shared" si="16"/>
        <v>341.31164769904711</v>
      </c>
    </row>
    <row r="311" spans="1:14" x14ac:dyDescent="0.4">
      <c r="A311" s="1">
        <v>30651</v>
      </c>
      <c r="B311" s="28">
        <v>343.87768595041325</v>
      </c>
      <c r="C311" s="28">
        <f t="shared" si="17"/>
        <v>343.2016476990471</v>
      </c>
      <c r="D311" s="28">
        <f t="shared" si="17"/>
        <v>343.31708485751705</v>
      </c>
      <c r="E311" s="28">
        <f t="shared" si="17"/>
        <v>343.07432529467553</v>
      </c>
      <c r="F311" s="28">
        <f t="shared" si="17"/>
        <v>343.78992638757171</v>
      </c>
      <c r="G311" s="28">
        <f t="shared" si="17"/>
        <v>343.25208485751705</v>
      </c>
      <c r="H311" s="28">
        <f t="shared" si="17"/>
        <v>342.96162037664271</v>
      </c>
      <c r="I311" s="28">
        <f t="shared" si="17"/>
        <v>342.67902474822739</v>
      </c>
      <c r="J311" s="28">
        <f t="shared" si="17"/>
        <v>342.3519527615951</v>
      </c>
      <c r="K311" s="28">
        <f t="shared" si="17"/>
        <v>341.72770424061781</v>
      </c>
      <c r="L311" s="28">
        <f t="shared" si="17"/>
        <v>341.82584157521563</v>
      </c>
      <c r="M311" s="28">
        <f t="shared" si="17"/>
        <v>341.32110125095966</v>
      </c>
      <c r="N311" s="28">
        <f t="shared" si="17"/>
        <v>341.37768595041325</v>
      </c>
    </row>
    <row r="312" spans="1:14" x14ac:dyDescent="0.4">
      <c r="A312" s="1">
        <v>30682</v>
      </c>
      <c r="B312" s="28">
        <v>343.64110125095965</v>
      </c>
      <c r="C312" s="28">
        <f t="shared" si="17"/>
        <v>343.87768595041325</v>
      </c>
      <c r="D312" s="28">
        <f t="shared" si="17"/>
        <v>343.2016476990471</v>
      </c>
      <c r="E312" s="28">
        <f t="shared" si="17"/>
        <v>343.31708485751705</v>
      </c>
      <c r="F312" s="28">
        <f t="shared" si="17"/>
        <v>343.07432529467553</v>
      </c>
      <c r="G312" s="28">
        <f t="shared" si="17"/>
        <v>343.78992638757171</v>
      </c>
      <c r="H312" s="28">
        <f t="shared" si="17"/>
        <v>343.25208485751705</v>
      </c>
      <c r="I312" s="28">
        <f t="shared" si="17"/>
        <v>342.96162037664271</v>
      </c>
      <c r="J312" s="28">
        <f t="shared" si="17"/>
        <v>342.67902474822739</v>
      </c>
      <c r="K312" s="28">
        <f t="shared" si="17"/>
        <v>342.3519527615951</v>
      </c>
      <c r="L312" s="28">
        <f t="shared" si="17"/>
        <v>341.72770424061781</v>
      </c>
      <c r="M312" s="28">
        <f t="shared" si="17"/>
        <v>341.82584157521563</v>
      </c>
      <c r="N312" s="28">
        <f t="shared" si="17"/>
        <v>341.32110125095966</v>
      </c>
    </row>
    <row r="313" spans="1:14" x14ac:dyDescent="0.4">
      <c r="A313" s="1">
        <v>30713</v>
      </c>
      <c r="B313" s="28">
        <v>343.80584157521565</v>
      </c>
      <c r="C313" s="28">
        <f t="shared" si="17"/>
        <v>343.64110125095965</v>
      </c>
      <c r="D313" s="28">
        <f t="shared" si="17"/>
        <v>343.87768595041325</v>
      </c>
      <c r="E313" s="28">
        <f t="shared" si="17"/>
        <v>343.2016476990471</v>
      </c>
      <c r="F313" s="28">
        <f t="shared" si="17"/>
        <v>343.31708485751705</v>
      </c>
      <c r="G313" s="28">
        <f t="shared" si="17"/>
        <v>343.07432529467553</v>
      </c>
      <c r="H313" s="28">
        <f t="shared" si="17"/>
        <v>343.78992638757171</v>
      </c>
      <c r="I313" s="28">
        <f t="shared" si="17"/>
        <v>343.25208485751705</v>
      </c>
      <c r="J313" s="28">
        <f t="shared" si="17"/>
        <v>342.96162037664271</v>
      </c>
      <c r="K313" s="28">
        <f t="shared" si="17"/>
        <v>342.67902474822739</v>
      </c>
      <c r="L313" s="28">
        <f t="shared" si="17"/>
        <v>342.3519527615951</v>
      </c>
      <c r="M313" s="28">
        <f t="shared" si="17"/>
        <v>341.72770424061781</v>
      </c>
      <c r="N313" s="28">
        <f t="shared" si="17"/>
        <v>341.82584157521563</v>
      </c>
    </row>
    <row r="314" spans="1:14" x14ac:dyDescent="0.4">
      <c r="A314" s="1">
        <v>30742</v>
      </c>
      <c r="B314" s="28">
        <v>343.90770424061776</v>
      </c>
      <c r="C314" s="28">
        <f t="shared" si="17"/>
        <v>343.80584157521565</v>
      </c>
      <c r="D314" s="28">
        <f t="shared" si="17"/>
        <v>343.64110125095965</v>
      </c>
      <c r="E314" s="28">
        <f t="shared" si="17"/>
        <v>343.87768595041325</v>
      </c>
      <c r="F314" s="28">
        <f t="shared" si="17"/>
        <v>343.2016476990471</v>
      </c>
      <c r="G314" s="28">
        <f t="shared" si="17"/>
        <v>343.31708485751705</v>
      </c>
      <c r="H314" s="28">
        <f t="shared" si="17"/>
        <v>343.07432529467553</v>
      </c>
      <c r="I314" s="28">
        <f t="shared" si="17"/>
        <v>343.78992638757171</v>
      </c>
      <c r="J314" s="28">
        <f t="shared" si="17"/>
        <v>343.25208485751705</v>
      </c>
      <c r="K314" s="28">
        <f t="shared" si="17"/>
        <v>342.96162037664271</v>
      </c>
      <c r="L314" s="28">
        <f t="shared" si="17"/>
        <v>342.67902474822739</v>
      </c>
      <c r="M314" s="28">
        <f t="shared" si="17"/>
        <v>342.3519527615951</v>
      </c>
      <c r="N314" s="28">
        <f t="shared" si="17"/>
        <v>341.72770424061781</v>
      </c>
    </row>
    <row r="315" spans="1:14" x14ac:dyDescent="0.4">
      <c r="A315" s="1">
        <v>30773</v>
      </c>
      <c r="B315" s="28">
        <v>344.46195276159511</v>
      </c>
      <c r="C315" s="28">
        <f t="shared" si="17"/>
        <v>343.90770424061776</v>
      </c>
      <c r="D315" s="28">
        <f t="shared" si="17"/>
        <v>343.80584157521565</v>
      </c>
      <c r="E315" s="28">
        <f t="shared" si="17"/>
        <v>343.64110125095965</v>
      </c>
      <c r="F315" s="28">
        <f t="shared" si="17"/>
        <v>343.87768595041325</v>
      </c>
      <c r="G315" s="28">
        <f t="shared" si="17"/>
        <v>343.2016476990471</v>
      </c>
      <c r="H315" s="28">
        <f t="shared" si="17"/>
        <v>343.31708485751705</v>
      </c>
      <c r="I315" s="28">
        <f t="shared" si="17"/>
        <v>343.07432529467553</v>
      </c>
      <c r="J315" s="28">
        <f t="shared" si="17"/>
        <v>343.78992638757171</v>
      </c>
      <c r="K315" s="28">
        <f t="shared" si="17"/>
        <v>343.25208485751705</v>
      </c>
      <c r="L315" s="28">
        <f t="shared" si="17"/>
        <v>342.96162037664271</v>
      </c>
      <c r="M315" s="28">
        <f t="shared" si="17"/>
        <v>342.67902474822739</v>
      </c>
      <c r="N315" s="28">
        <f t="shared" si="17"/>
        <v>342.3519527615951</v>
      </c>
    </row>
    <row r="316" spans="1:14" x14ac:dyDescent="0.4">
      <c r="A316" s="1">
        <v>30803</v>
      </c>
      <c r="B316" s="28">
        <v>344.34902474822741</v>
      </c>
      <c r="C316" s="28">
        <f t="shared" si="17"/>
        <v>344.46195276159511</v>
      </c>
      <c r="D316" s="28">
        <f t="shared" si="17"/>
        <v>343.90770424061776</v>
      </c>
      <c r="E316" s="28">
        <f t="shared" si="17"/>
        <v>343.80584157521565</v>
      </c>
      <c r="F316" s="28">
        <f t="shared" si="17"/>
        <v>343.64110125095965</v>
      </c>
      <c r="G316" s="28">
        <f t="shared" si="17"/>
        <v>343.87768595041325</v>
      </c>
      <c r="H316" s="28">
        <f t="shared" si="17"/>
        <v>343.2016476990471</v>
      </c>
      <c r="I316" s="28">
        <f t="shared" si="17"/>
        <v>343.31708485751705</v>
      </c>
      <c r="J316" s="28">
        <f t="shared" si="17"/>
        <v>343.07432529467553</v>
      </c>
      <c r="K316" s="28">
        <f t="shared" si="17"/>
        <v>343.78992638757171</v>
      </c>
      <c r="L316" s="28">
        <f t="shared" si="17"/>
        <v>343.25208485751705</v>
      </c>
      <c r="M316" s="28">
        <f t="shared" si="17"/>
        <v>342.96162037664271</v>
      </c>
      <c r="N316" s="28">
        <f t="shared" si="17"/>
        <v>342.67902474822739</v>
      </c>
    </row>
    <row r="317" spans="1:14" x14ac:dyDescent="0.4">
      <c r="A317" s="1">
        <v>30834</v>
      </c>
      <c r="B317" s="28">
        <v>344.44162037664273</v>
      </c>
      <c r="C317" s="28">
        <f t="shared" si="17"/>
        <v>344.34902474822741</v>
      </c>
      <c r="D317" s="28">
        <f t="shared" si="17"/>
        <v>344.46195276159511</v>
      </c>
      <c r="E317" s="28">
        <f t="shared" si="17"/>
        <v>343.90770424061776</v>
      </c>
      <c r="F317" s="28">
        <f t="shared" si="17"/>
        <v>343.80584157521565</v>
      </c>
      <c r="G317" s="28">
        <f t="shared" si="17"/>
        <v>343.64110125095965</v>
      </c>
      <c r="H317" s="28">
        <f t="shared" si="17"/>
        <v>343.87768595041325</v>
      </c>
      <c r="I317" s="28">
        <f t="shared" si="17"/>
        <v>343.2016476990471</v>
      </c>
      <c r="J317" s="28">
        <f t="shared" si="17"/>
        <v>343.31708485751705</v>
      </c>
      <c r="K317" s="28">
        <f t="shared" si="17"/>
        <v>343.07432529467553</v>
      </c>
      <c r="L317" s="28">
        <f t="shared" si="17"/>
        <v>343.78992638757171</v>
      </c>
      <c r="M317" s="28">
        <f t="shared" si="17"/>
        <v>343.25208485751705</v>
      </c>
      <c r="N317" s="28">
        <f t="shared" si="17"/>
        <v>342.96162037664271</v>
      </c>
    </row>
    <row r="318" spans="1:14" x14ac:dyDescent="0.4">
      <c r="A318" s="1">
        <v>30864</v>
      </c>
      <c r="B318" s="28">
        <v>344.66208485751702</v>
      </c>
      <c r="C318" s="28">
        <f t="shared" si="17"/>
        <v>344.44162037664273</v>
      </c>
      <c r="D318" s="28">
        <f t="shared" si="17"/>
        <v>344.34902474822741</v>
      </c>
      <c r="E318" s="28">
        <f t="shared" si="17"/>
        <v>344.46195276159511</v>
      </c>
      <c r="F318" s="28">
        <f t="shared" si="17"/>
        <v>343.90770424061776</v>
      </c>
      <c r="G318" s="28">
        <f t="shared" si="17"/>
        <v>343.80584157521565</v>
      </c>
      <c r="H318" s="28">
        <f t="shared" si="17"/>
        <v>343.64110125095965</v>
      </c>
      <c r="I318" s="28">
        <f t="shared" si="17"/>
        <v>343.87768595041325</v>
      </c>
      <c r="J318" s="28">
        <f t="shared" si="17"/>
        <v>343.2016476990471</v>
      </c>
      <c r="K318" s="28">
        <f t="shared" si="17"/>
        <v>343.31708485751705</v>
      </c>
      <c r="L318" s="28">
        <f t="shared" si="17"/>
        <v>343.07432529467553</v>
      </c>
      <c r="M318" s="28">
        <f t="shared" si="17"/>
        <v>343.78992638757171</v>
      </c>
      <c r="N318" s="28">
        <f t="shared" si="17"/>
        <v>343.25208485751705</v>
      </c>
    </row>
    <row r="319" spans="1:14" x14ac:dyDescent="0.4">
      <c r="A319" s="1">
        <v>30895</v>
      </c>
      <c r="B319" s="28">
        <v>344.68992638757169</v>
      </c>
      <c r="C319" s="28">
        <f t="shared" si="17"/>
        <v>344.66208485751702</v>
      </c>
      <c r="D319" s="28">
        <f t="shared" si="17"/>
        <v>344.44162037664273</v>
      </c>
      <c r="E319" s="28">
        <f t="shared" si="17"/>
        <v>344.34902474822741</v>
      </c>
      <c r="F319" s="28">
        <f t="shared" si="17"/>
        <v>344.46195276159511</v>
      </c>
      <c r="G319" s="28">
        <f t="shared" si="17"/>
        <v>343.90770424061776</v>
      </c>
      <c r="H319" s="28">
        <f t="shared" si="17"/>
        <v>343.80584157521565</v>
      </c>
      <c r="I319" s="28">
        <f t="shared" si="17"/>
        <v>343.64110125095965</v>
      </c>
      <c r="J319" s="28">
        <f t="shared" si="17"/>
        <v>343.87768595041325</v>
      </c>
      <c r="K319" s="28">
        <f t="shared" si="17"/>
        <v>343.2016476990471</v>
      </c>
      <c r="L319" s="28">
        <f t="shared" si="17"/>
        <v>343.31708485751705</v>
      </c>
      <c r="M319" s="28">
        <f t="shared" si="17"/>
        <v>343.07432529467553</v>
      </c>
      <c r="N319" s="28">
        <f t="shared" si="17"/>
        <v>343.78992638757171</v>
      </c>
    </row>
    <row r="320" spans="1:14" x14ac:dyDescent="0.4">
      <c r="A320" s="1">
        <v>30926</v>
      </c>
      <c r="B320" s="28">
        <v>344.27432529467552</v>
      </c>
      <c r="C320" s="28">
        <f t="shared" si="17"/>
        <v>344.68992638757169</v>
      </c>
      <c r="D320" s="28">
        <f t="shared" si="17"/>
        <v>344.66208485751702</v>
      </c>
      <c r="E320" s="28">
        <f t="shared" si="17"/>
        <v>344.44162037664273</v>
      </c>
      <c r="F320" s="28">
        <f t="shared" si="17"/>
        <v>344.34902474822741</v>
      </c>
      <c r="G320" s="28">
        <f t="shared" si="17"/>
        <v>344.46195276159511</v>
      </c>
      <c r="H320" s="28">
        <f t="shared" si="17"/>
        <v>343.90770424061776</v>
      </c>
      <c r="I320" s="28">
        <f t="shared" si="17"/>
        <v>343.80584157521565</v>
      </c>
      <c r="J320" s="28">
        <f t="shared" si="17"/>
        <v>343.64110125095965</v>
      </c>
      <c r="K320" s="28">
        <f t="shared" si="17"/>
        <v>343.87768595041325</v>
      </c>
      <c r="L320" s="28">
        <f t="shared" si="17"/>
        <v>343.2016476990471</v>
      </c>
      <c r="M320" s="28">
        <f t="shared" si="17"/>
        <v>343.31708485751705</v>
      </c>
      <c r="N320" s="28">
        <f t="shared" si="17"/>
        <v>343.07432529467553</v>
      </c>
    </row>
    <row r="321" spans="1:14" x14ac:dyDescent="0.4">
      <c r="A321" s="1">
        <v>30956</v>
      </c>
      <c r="B321" s="28">
        <v>344.67708485751706</v>
      </c>
      <c r="C321" s="28">
        <f t="shared" si="17"/>
        <v>344.27432529467552</v>
      </c>
      <c r="D321" s="28">
        <f t="shared" si="17"/>
        <v>344.68992638757169</v>
      </c>
      <c r="E321" s="28">
        <f t="shared" si="17"/>
        <v>344.66208485751702</v>
      </c>
      <c r="F321" s="28">
        <f t="shared" si="17"/>
        <v>344.44162037664273</v>
      </c>
      <c r="G321" s="28">
        <f t="shared" si="17"/>
        <v>344.34902474822741</v>
      </c>
      <c r="H321" s="28">
        <f t="shared" si="17"/>
        <v>344.46195276159511</v>
      </c>
      <c r="I321" s="28">
        <f t="shared" si="17"/>
        <v>343.90770424061776</v>
      </c>
      <c r="J321" s="28">
        <f t="shared" si="17"/>
        <v>343.80584157521565</v>
      </c>
      <c r="K321" s="28">
        <f t="shared" si="17"/>
        <v>343.64110125095965</v>
      </c>
      <c r="L321" s="28">
        <f t="shared" si="17"/>
        <v>343.87768595041325</v>
      </c>
      <c r="M321" s="28">
        <f t="shared" si="17"/>
        <v>343.2016476990471</v>
      </c>
      <c r="N321" s="28">
        <f t="shared" si="17"/>
        <v>343.31708485751705</v>
      </c>
    </row>
    <row r="322" spans="1:14" x14ac:dyDescent="0.4">
      <c r="A322" s="1">
        <v>30987</v>
      </c>
      <c r="B322" s="28">
        <v>345.03164769904714</v>
      </c>
      <c r="C322" s="28">
        <f t="shared" si="17"/>
        <v>344.67708485751706</v>
      </c>
      <c r="D322" s="28">
        <f t="shared" si="17"/>
        <v>344.27432529467552</v>
      </c>
      <c r="E322" s="28">
        <f t="shared" si="17"/>
        <v>344.68992638757169</v>
      </c>
      <c r="F322" s="28">
        <f t="shared" si="17"/>
        <v>344.66208485751702</v>
      </c>
      <c r="G322" s="28">
        <f t="shared" si="17"/>
        <v>344.44162037664273</v>
      </c>
      <c r="H322" s="28">
        <f t="shared" si="17"/>
        <v>344.34902474822741</v>
      </c>
      <c r="I322" s="28">
        <f t="shared" si="17"/>
        <v>344.46195276159511</v>
      </c>
      <c r="J322" s="28">
        <f t="shared" si="17"/>
        <v>343.90770424061776</v>
      </c>
      <c r="K322" s="28">
        <f t="shared" si="17"/>
        <v>343.80584157521565</v>
      </c>
      <c r="L322" s="28">
        <f t="shared" si="17"/>
        <v>343.64110125095965</v>
      </c>
      <c r="M322" s="28">
        <f t="shared" si="17"/>
        <v>343.87768595041325</v>
      </c>
      <c r="N322" s="28">
        <f t="shared" si="17"/>
        <v>343.2016476990471</v>
      </c>
    </row>
    <row r="323" spans="1:14" x14ac:dyDescent="0.4">
      <c r="A323" s="1">
        <v>31017</v>
      </c>
      <c r="B323" s="28">
        <v>345.10768595041327</v>
      </c>
      <c r="C323" s="28">
        <f t="shared" si="17"/>
        <v>345.03164769904714</v>
      </c>
      <c r="D323" s="28">
        <f t="shared" si="17"/>
        <v>344.67708485751706</v>
      </c>
      <c r="E323" s="28">
        <f t="shared" si="17"/>
        <v>344.27432529467552</v>
      </c>
      <c r="F323" s="28">
        <f t="shared" si="17"/>
        <v>344.68992638757169</v>
      </c>
      <c r="G323" s="28">
        <f t="shared" si="17"/>
        <v>344.66208485751702</v>
      </c>
      <c r="H323" s="28">
        <f t="shared" si="17"/>
        <v>344.44162037664273</v>
      </c>
      <c r="I323" s="28">
        <f t="shared" si="17"/>
        <v>344.34902474822741</v>
      </c>
      <c r="J323" s="28">
        <f t="shared" si="17"/>
        <v>344.46195276159511</v>
      </c>
      <c r="K323" s="28">
        <f t="shared" si="17"/>
        <v>343.90770424061776</v>
      </c>
      <c r="L323" s="28">
        <f t="shared" si="17"/>
        <v>343.80584157521565</v>
      </c>
      <c r="M323" s="28">
        <f t="shared" si="17"/>
        <v>343.64110125095965</v>
      </c>
      <c r="N323" s="28">
        <f t="shared" si="17"/>
        <v>343.87768595041325</v>
      </c>
    </row>
    <row r="324" spans="1:14" x14ac:dyDescent="0.4">
      <c r="A324" s="1">
        <v>31048</v>
      </c>
      <c r="B324" s="28">
        <v>344.91110125095969</v>
      </c>
      <c r="C324" s="28">
        <f t="shared" si="17"/>
        <v>345.10768595041327</v>
      </c>
      <c r="D324" s="28">
        <f t="shared" si="17"/>
        <v>345.03164769904714</v>
      </c>
      <c r="E324" s="28">
        <f t="shared" si="17"/>
        <v>344.67708485751706</v>
      </c>
      <c r="F324" s="28">
        <f t="shared" si="17"/>
        <v>344.27432529467552</v>
      </c>
      <c r="G324" s="28">
        <f t="shared" si="17"/>
        <v>344.68992638757169</v>
      </c>
      <c r="H324" s="28">
        <f t="shared" si="17"/>
        <v>344.66208485751702</v>
      </c>
      <c r="I324" s="28">
        <f t="shared" si="17"/>
        <v>344.44162037664273</v>
      </c>
      <c r="J324" s="28">
        <f t="shared" si="17"/>
        <v>344.34902474822741</v>
      </c>
      <c r="K324" s="28">
        <f t="shared" si="17"/>
        <v>344.46195276159511</v>
      </c>
      <c r="L324" s="28">
        <f t="shared" si="17"/>
        <v>343.90770424061776</v>
      </c>
      <c r="M324" s="28">
        <f t="shared" si="17"/>
        <v>343.80584157521565</v>
      </c>
      <c r="N324" s="28">
        <f t="shared" si="17"/>
        <v>343.64110125095965</v>
      </c>
    </row>
    <row r="325" spans="1:14" x14ac:dyDescent="0.4">
      <c r="A325" s="1">
        <v>31079</v>
      </c>
      <c r="B325" s="28">
        <v>345.29584157521566</v>
      </c>
      <c r="C325" s="28">
        <f t="shared" si="17"/>
        <v>344.91110125095969</v>
      </c>
      <c r="D325" s="28">
        <f t="shared" si="17"/>
        <v>345.10768595041327</v>
      </c>
      <c r="E325" s="28">
        <f t="shared" si="17"/>
        <v>345.03164769904714</v>
      </c>
      <c r="F325" s="28">
        <f t="shared" si="17"/>
        <v>344.67708485751706</v>
      </c>
      <c r="G325" s="28">
        <f t="shared" si="17"/>
        <v>344.27432529467552</v>
      </c>
      <c r="H325" s="28">
        <f t="shared" si="17"/>
        <v>344.68992638757169</v>
      </c>
      <c r="I325" s="28">
        <f t="shared" si="17"/>
        <v>344.66208485751702</v>
      </c>
      <c r="J325" s="28">
        <f t="shared" si="17"/>
        <v>344.44162037664273</v>
      </c>
      <c r="K325" s="28">
        <f t="shared" si="17"/>
        <v>344.34902474822741</v>
      </c>
      <c r="L325" s="28">
        <f t="shared" si="17"/>
        <v>344.46195276159511</v>
      </c>
      <c r="M325" s="28">
        <f t="shared" si="17"/>
        <v>343.90770424061776</v>
      </c>
      <c r="N325" s="28">
        <f t="shared" si="17"/>
        <v>343.80584157521565</v>
      </c>
    </row>
    <row r="326" spans="1:14" x14ac:dyDescent="0.4">
      <c r="A326" s="1">
        <v>31107</v>
      </c>
      <c r="B326" s="28">
        <v>346.0477042406178</v>
      </c>
      <c r="C326" s="28">
        <f t="shared" si="17"/>
        <v>345.29584157521566</v>
      </c>
      <c r="D326" s="28">
        <f t="shared" si="17"/>
        <v>344.91110125095969</v>
      </c>
      <c r="E326" s="28">
        <f t="shared" si="17"/>
        <v>345.10768595041327</v>
      </c>
      <c r="F326" s="28">
        <f t="shared" si="17"/>
        <v>345.03164769904714</v>
      </c>
      <c r="G326" s="28">
        <f t="shared" si="17"/>
        <v>344.67708485751706</v>
      </c>
      <c r="H326" s="28">
        <f t="shared" si="17"/>
        <v>344.27432529467552</v>
      </c>
      <c r="I326" s="28">
        <f t="shared" si="17"/>
        <v>344.68992638757169</v>
      </c>
      <c r="J326" s="28">
        <f t="shared" si="17"/>
        <v>344.66208485751702</v>
      </c>
      <c r="K326" s="28">
        <f t="shared" si="17"/>
        <v>344.44162037664273</v>
      </c>
      <c r="L326" s="28">
        <f t="shared" si="17"/>
        <v>344.34902474822741</v>
      </c>
      <c r="M326" s="28">
        <f t="shared" si="17"/>
        <v>344.46195276159511</v>
      </c>
      <c r="N326" s="28">
        <f t="shared" si="17"/>
        <v>343.90770424061776</v>
      </c>
    </row>
    <row r="327" spans="1:14" x14ac:dyDescent="0.4">
      <c r="A327" s="1">
        <v>31138</v>
      </c>
      <c r="B327" s="28">
        <v>345.76195276159513</v>
      </c>
      <c r="C327" s="28">
        <f t="shared" si="17"/>
        <v>346.0477042406178</v>
      </c>
      <c r="D327" s="28">
        <f t="shared" si="17"/>
        <v>345.29584157521566</v>
      </c>
      <c r="E327" s="28">
        <f t="shared" si="17"/>
        <v>344.91110125095969</v>
      </c>
      <c r="F327" s="28">
        <f t="shared" si="17"/>
        <v>345.10768595041327</v>
      </c>
      <c r="G327" s="28">
        <f t="shared" si="17"/>
        <v>345.03164769904714</v>
      </c>
      <c r="H327" s="28">
        <f t="shared" si="17"/>
        <v>344.67708485751706</v>
      </c>
      <c r="I327" s="28">
        <f t="shared" si="17"/>
        <v>344.27432529467552</v>
      </c>
      <c r="J327" s="28">
        <f t="shared" si="17"/>
        <v>344.68992638757169</v>
      </c>
      <c r="K327" s="28">
        <f t="shared" si="17"/>
        <v>344.66208485751702</v>
      </c>
      <c r="L327" s="28">
        <f t="shared" si="17"/>
        <v>344.44162037664273</v>
      </c>
      <c r="M327" s="28">
        <f t="shared" si="17"/>
        <v>344.34902474822741</v>
      </c>
      <c r="N327" s="28">
        <f t="shared" si="17"/>
        <v>344.46195276159511</v>
      </c>
    </row>
    <row r="328" spans="1:14" x14ac:dyDescent="0.4">
      <c r="A328" s="1">
        <v>31168</v>
      </c>
      <c r="B328" s="28">
        <v>345.84902474822741</v>
      </c>
      <c r="C328" s="28">
        <f t="shared" si="17"/>
        <v>345.76195276159513</v>
      </c>
      <c r="D328" s="28">
        <f t="shared" si="17"/>
        <v>346.0477042406178</v>
      </c>
      <c r="E328" s="28">
        <f t="shared" si="17"/>
        <v>345.29584157521566</v>
      </c>
      <c r="F328" s="28">
        <f t="shared" si="17"/>
        <v>344.91110125095969</v>
      </c>
      <c r="G328" s="28">
        <f t="shared" si="17"/>
        <v>345.10768595041327</v>
      </c>
      <c r="H328" s="28">
        <f t="shared" si="17"/>
        <v>345.03164769904714</v>
      </c>
      <c r="I328" s="28">
        <f t="shared" si="17"/>
        <v>344.67708485751706</v>
      </c>
      <c r="J328" s="28">
        <f t="shared" si="17"/>
        <v>344.27432529467552</v>
      </c>
      <c r="K328" s="28">
        <f t="shared" si="17"/>
        <v>344.68992638757169</v>
      </c>
      <c r="L328" s="28">
        <f t="shared" si="17"/>
        <v>344.66208485751702</v>
      </c>
      <c r="M328" s="28">
        <f t="shared" si="17"/>
        <v>344.44162037664273</v>
      </c>
      <c r="N328" s="28">
        <f t="shared" si="17"/>
        <v>344.34902474822741</v>
      </c>
    </row>
    <row r="329" spans="1:14" x14ac:dyDescent="0.4">
      <c r="A329" s="1">
        <v>31199</v>
      </c>
      <c r="B329" s="28">
        <v>345.89162037664272</v>
      </c>
      <c r="C329" s="28">
        <f t="shared" si="17"/>
        <v>345.84902474822741</v>
      </c>
      <c r="D329" s="28">
        <f t="shared" si="17"/>
        <v>345.76195276159513</v>
      </c>
      <c r="E329" s="28">
        <f t="shared" si="17"/>
        <v>346.0477042406178</v>
      </c>
      <c r="F329" s="28">
        <f t="shared" si="17"/>
        <v>345.29584157521566</v>
      </c>
      <c r="G329" s="28">
        <f t="shared" si="17"/>
        <v>344.91110125095969</v>
      </c>
      <c r="H329" s="28">
        <f t="shared" si="17"/>
        <v>345.10768595041327</v>
      </c>
      <c r="I329" s="28">
        <f t="shared" si="17"/>
        <v>345.03164769904714</v>
      </c>
      <c r="J329" s="28">
        <f t="shared" si="17"/>
        <v>344.67708485751706</v>
      </c>
      <c r="K329" s="28">
        <f t="shared" si="17"/>
        <v>344.27432529467552</v>
      </c>
      <c r="L329" s="28">
        <f t="shared" si="17"/>
        <v>344.68992638757169</v>
      </c>
      <c r="M329" s="28">
        <f t="shared" si="17"/>
        <v>344.66208485751702</v>
      </c>
      <c r="N329" s="28">
        <f t="shared" si="17"/>
        <v>344.44162037664273</v>
      </c>
    </row>
    <row r="330" spans="1:14" x14ac:dyDescent="0.4">
      <c r="A330" s="1">
        <v>31229</v>
      </c>
      <c r="B330" s="28">
        <v>345.83208485751703</v>
      </c>
      <c r="C330" s="28">
        <f t="shared" si="17"/>
        <v>345.89162037664272</v>
      </c>
      <c r="D330" s="28">
        <f t="shared" si="17"/>
        <v>345.84902474822741</v>
      </c>
      <c r="E330" s="28">
        <f t="shared" si="17"/>
        <v>345.76195276159513</v>
      </c>
      <c r="F330" s="28">
        <f t="shared" si="17"/>
        <v>346.0477042406178</v>
      </c>
      <c r="G330" s="28">
        <f t="shared" si="17"/>
        <v>345.29584157521566</v>
      </c>
      <c r="H330" s="28">
        <f t="shared" si="17"/>
        <v>344.91110125095969</v>
      </c>
      <c r="I330" s="28">
        <f t="shared" si="17"/>
        <v>345.10768595041327</v>
      </c>
      <c r="J330" s="28">
        <f t="shared" si="17"/>
        <v>345.03164769904714</v>
      </c>
      <c r="K330" s="28">
        <f t="shared" si="17"/>
        <v>344.67708485751706</v>
      </c>
      <c r="L330" s="28">
        <f t="shared" si="17"/>
        <v>344.27432529467552</v>
      </c>
      <c r="M330" s="28">
        <f t="shared" si="17"/>
        <v>344.68992638757169</v>
      </c>
      <c r="N330" s="28">
        <f t="shared" si="17"/>
        <v>344.66208485751702</v>
      </c>
    </row>
    <row r="331" spans="1:14" x14ac:dyDescent="0.4">
      <c r="A331" s="1">
        <v>31260</v>
      </c>
      <c r="B331" s="28">
        <v>346.07992638757173</v>
      </c>
      <c r="C331" s="28">
        <f t="shared" ref="C331:N394" si="18">IF(B330=0,"",B330)</f>
        <v>345.83208485751703</v>
      </c>
      <c r="D331" s="28">
        <f t="shared" si="18"/>
        <v>345.89162037664272</v>
      </c>
      <c r="E331" s="28">
        <f t="shared" si="18"/>
        <v>345.84902474822741</v>
      </c>
      <c r="F331" s="28">
        <f t="shared" si="18"/>
        <v>345.76195276159513</v>
      </c>
      <c r="G331" s="28">
        <f t="shared" si="18"/>
        <v>346.0477042406178</v>
      </c>
      <c r="H331" s="28">
        <f t="shared" si="18"/>
        <v>345.29584157521566</v>
      </c>
      <c r="I331" s="28">
        <f t="shared" si="18"/>
        <v>344.91110125095969</v>
      </c>
      <c r="J331" s="28">
        <f t="shared" si="18"/>
        <v>345.10768595041327</v>
      </c>
      <c r="K331" s="28">
        <f t="shared" si="18"/>
        <v>345.03164769904714</v>
      </c>
      <c r="L331" s="28">
        <f t="shared" si="18"/>
        <v>344.67708485751706</v>
      </c>
      <c r="M331" s="28">
        <f t="shared" si="18"/>
        <v>344.27432529467552</v>
      </c>
      <c r="N331" s="28">
        <f t="shared" si="18"/>
        <v>344.68992638757169</v>
      </c>
    </row>
    <row r="332" spans="1:14" x14ac:dyDescent="0.4">
      <c r="A332" s="1">
        <v>31291</v>
      </c>
      <c r="B332" s="28">
        <v>346.2943252946755</v>
      </c>
      <c r="C332" s="28">
        <f t="shared" si="18"/>
        <v>346.07992638757173</v>
      </c>
      <c r="D332" s="28">
        <f t="shared" si="18"/>
        <v>345.83208485751703</v>
      </c>
      <c r="E332" s="28">
        <f t="shared" si="18"/>
        <v>345.89162037664272</v>
      </c>
      <c r="F332" s="28">
        <f t="shared" si="18"/>
        <v>345.84902474822741</v>
      </c>
      <c r="G332" s="28">
        <f t="shared" si="18"/>
        <v>345.76195276159513</v>
      </c>
      <c r="H332" s="28">
        <f t="shared" si="18"/>
        <v>346.0477042406178</v>
      </c>
      <c r="I332" s="28">
        <f t="shared" si="18"/>
        <v>345.29584157521566</v>
      </c>
      <c r="J332" s="28">
        <f t="shared" si="18"/>
        <v>344.91110125095969</v>
      </c>
      <c r="K332" s="28">
        <f t="shared" si="18"/>
        <v>345.10768595041327</v>
      </c>
      <c r="L332" s="28">
        <f t="shared" si="18"/>
        <v>345.03164769904714</v>
      </c>
      <c r="M332" s="28">
        <f t="shared" si="18"/>
        <v>344.67708485751706</v>
      </c>
      <c r="N332" s="28">
        <f t="shared" si="18"/>
        <v>344.27432529467552</v>
      </c>
    </row>
    <row r="333" spans="1:14" x14ac:dyDescent="0.4">
      <c r="A333" s="1">
        <v>31321</v>
      </c>
      <c r="B333" s="28">
        <v>346.12708485751705</v>
      </c>
      <c r="C333" s="28">
        <f t="shared" si="18"/>
        <v>346.2943252946755</v>
      </c>
      <c r="D333" s="28">
        <f t="shared" si="18"/>
        <v>346.07992638757173</v>
      </c>
      <c r="E333" s="28">
        <f t="shared" si="18"/>
        <v>345.83208485751703</v>
      </c>
      <c r="F333" s="28">
        <f t="shared" si="18"/>
        <v>345.89162037664272</v>
      </c>
      <c r="G333" s="28">
        <f t="shared" si="18"/>
        <v>345.84902474822741</v>
      </c>
      <c r="H333" s="28">
        <f t="shared" si="18"/>
        <v>345.76195276159513</v>
      </c>
      <c r="I333" s="28">
        <f t="shared" si="18"/>
        <v>346.0477042406178</v>
      </c>
      <c r="J333" s="28">
        <f t="shared" si="18"/>
        <v>345.29584157521566</v>
      </c>
      <c r="K333" s="28">
        <f t="shared" si="18"/>
        <v>344.91110125095969</v>
      </c>
      <c r="L333" s="28">
        <f t="shared" si="18"/>
        <v>345.10768595041327</v>
      </c>
      <c r="M333" s="28">
        <f t="shared" si="18"/>
        <v>345.03164769904714</v>
      </c>
      <c r="N333" s="28">
        <f t="shared" si="18"/>
        <v>344.67708485751706</v>
      </c>
    </row>
    <row r="334" spans="1:14" x14ac:dyDescent="0.4">
      <c r="A334" s="1">
        <v>31352</v>
      </c>
      <c r="B334" s="28">
        <v>346.29164769904713</v>
      </c>
      <c r="C334" s="28">
        <f t="shared" si="18"/>
        <v>346.12708485751705</v>
      </c>
      <c r="D334" s="28">
        <f t="shared" si="18"/>
        <v>346.2943252946755</v>
      </c>
      <c r="E334" s="28">
        <f t="shared" si="18"/>
        <v>346.07992638757173</v>
      </c>
      <c r="F334" s="28">
        <f t="shared" si="18"/>
        <v>345.83208485751703</v>
      </c>
      <c r="G334" s="28">
        <f t="shared" si="18"/>
        <v>345.89162037664272</v>
      </c>
      <c r="H334" s="28">
        <f t="shared" si="18"/>
        <v>345.84902474822741</v>
      </c>
      <c r="I334" s="28">
        <f t="shared" si="18"/>
        <v>345.76195276159513</v>
      </c>
      <c r="J334" s="28">
        <f t="shared" si="18"/>
        <v>346.0477042406178</v>
      </c>
      <c r="K334" s="28">
        <f t="shared" si="18"/>
        <v>345.29584157521566</v>
      </c>
      <c r="L334" s="28">
        <f t="shared" si="18"/>
        <v>344.91110125095969</v>
      </c>
      <c r="M334" s="28">
        <f t="shared" si="18"/>
        <v>345.10768595041327</v>
      </c>
      <c r="N334" s="28">
        <f t="shared" si="18"/>
        <v>345.03164769904714</v>
      </c>
    </row>
    <row r="335" spans="1:14" x14ac:dyDescent="0.4">
      <c r="A335" s="1">
        <v>31382</v>
      </c>
      <c r="B335" s="28">
        <v>346.44768595041324</v>
      </c>
      <c r="C335" s="28">
        <f t="shared" si="18"/>
        <v>346.29164769904713</v>
      </c>
      <c r="D335" s="28">
        <f t="shared" si="18"/>
        <v>346.12708485751705</v>
      </c>
      <c r="E335" s="28">
        <f t="shared" si="18"/>
        <v>346.2943252946755</v>
      </c>
      <c r="F335" s="28">
        <f t="shared" si="18"/>
        <v>346.07992638757173</v>
      </c>
      <c r="G335" s="28">
        <f t="shared" si="18"/>
        <v>345.83208485751703</v>
      </c>
      <c r="H335" s="28">
        <f t="shared" si="18"/>
        <v>345.89162037664272</v>
      </c>
      <c r="I335" s="28">
        <f t="shared" si="18"/>
        <v>345.84902474822741</v>
      </c>
      <c r="J335" s="28">
        <f t="shared" si="18"/>
        <v>345.76195276159513</v>
      </c>
      <c r="K335" s="28">
        <f t="shared" si="18"/>
        <v>346.0477042406178</v>
      </c>
      <c r="L335" s="28">
        <f t="shared" si="18"/>
        <v>345.29584157521566</v>
      </c>
      <c r="M335" s="28">
        <f t="shared" si="18"/>
        <v>344.91110125095969</v>
      </c>
      <c r="N335" s="28">
        <f t="shared" si="18"/>
        <v>345.10768595041327</v>
      </c>
    </row>
    <row r="336" spans="1:14" x14ac:dyDescent="0.4">
      <c r="A336" s="1">
        <v>31413</v>
      </c>
      <c r="B336" s="28">
        <v>346.24110125095967</v>
      </c>
      <c r="C336" s="28">
        <f t="shared" si="18"/>
        <v>346.44768595041324</v>
      </c>
      <c r="D336" s="28">
        <f t="shared" si="18"/>
        <v>346.29164769904713</v>
      </c>
      <c r="E336" s="28">
        <f t="shared" si="18"/>
        <v>346.12708485751705</v>
      </c>
      <c r="F336" s="28">
        <f t="shared" si="18"/>
        <v>346.2943252946755</v>
      </c>
      <c r="G336" s="28">
        <f t="shared" si="18"/>
        <v>346.07992638757173</v>
      </c>
      <c r="H336" s="28">
        <f t="shared" si="18"/>
        <v>345.83208485751703</v>
      </c>
      <c r="I336" s="28">
        <f t="shared" si="18"/>
        <v>345.89162037664272</v>
      </c>
      <c r="J336" s="28">
        <f t="shared" si="18"/>
        <v>345.84902474822741</v>
      </c>
      <c r="K336" s="28">
        <f t="shared" si="18"/>
        <v>345.76195276159513</v>
      </c>
      <c r="L336" s="28">
        <f t="shared" si="18"/>
        <v>346.0477042406178</v>
      </c>
      <c r="M336" s="28">
        <f t="shared" si="18"/>
        <v>345.29584157521566</v>
      </c>
      <c r="N336" s="28">
        <f t="shared" si="18"/>
        <v>344.91110125095969</v>
      </c>
    </row>
    <row r="337" spans="1:14" x14ac:dyDescent="0.4">
      <c r="A337" s="1">
        <v>31444</v>
      </c>
      <c r="B337" s="28">
        <v>346.25584157521564</v>
      </c>
      <c r="C337" s="28">
        <f t="shared" si="18"/>
        <v>346.24110125095967</v>
      </c>
      <c r="D337" s="28">
        <f t="shared" si="18"/>
        <v>346.44768595041324</v>
      </c>
      <c r="E337" s="28">
        <f t="shared" si="18"/>
        <v>346.29164769904713</v>
      </c>
      <c r="F337" s="28">
        <f t="shared" si="18"/>
        <v>346.12708485751705</v>
      </c>
      <c r="G337" s="28">
        <f t="shared" si="18"/>
        <v>346.2943252946755</v>
      </c>
      <c r="H337" s="28">
        <f t="shared" si="18"/>
        <v>346.07992638757173</v>
      </c>
      <c r="I337" s="28">
        <f t="shared" si="18"/>
        <v>345.83208485751703</v>
      </c>
      <c r="J337" s="28">
        <f t="shared" si="18"/>
        <v>345.89162037664272</v>
      </c>
      <c r="K337" s="28">
        <f t="shared" si="18"/>
        <v>345.84902474822741</v>
      </c>
      <c r="L337" s="28">
        <f t="shared" si="18"/>
        <v>345.76195276159513</v>
      </c>
      <c r="M337" s="28">
        <f t="shared" si="18"/>
        <v>346.0477042406178</v>
      </c>
      <c r="N337" s="28">
        <f t="shared" si="18"/>
        <v>345.29584157521566</v>
      </c>
    </row>
    <row r="338" spans="1:14" x14ac:dyDescent="0.4">
      <c r="A338" s="1">
        <v>31472</v>
      </c>
      <c r="B338" s="28">
        <v>346.47770424061781</v>
      </c>
      <c r="C338" s="28">
        <f t="shared" si="18"/>
        <v>346.25584157521564</v>
      </c>
      <c r="D338" s="28">
        <f t="shared" si="18"/>
        <v>346.24110125095967</v>
      </c>
      <c r="E338" s="28">
        <f t="shared" si="18"/>
        <v>346.44768595041324</v>
      </c>
      <c r="F338" s="28">
        <f t="shared" si="18"/>
        <v>346.29164769904713</v>
      </c>
      <c r="G338" s="28">
        <f t="shared" si="18"/>
        <v>346.12708485751705</v>
      </c>
      <c r="H338" s="28">
        <f t="shared" si="18"/>
        <v>346.2943252946755</v>
      </c>
      <c r="I338" s="28">
        <f t="shared" si="18"/>
        <v>346.07992638757173</v>
      </c>
      <c r="J338" s="28">
        <f t="shared" si="18"/>
        <v>345.83208485751703</v>
      </c>
      <c r="K338" s="28">
        <f t="shared" si="18"/>
        <v>345.89162037664272</v>
      </c>
      <c r="L338" s="28">
        <f t="shared" si="18"/>
        <v>345.84902474822741</v>
      </c>
      <c r="M338" s="28">
        <f t="shared" si="18"/>
        <v>345.76195276159513</v>
      </c>
      <c r="N338" s="28">
        <f t="shared" si="18"/>
        <v>346.0477042406178</v>
      </c>
    </row>
    <row r="339" spans="1:14" x14ac:dyDescent="0.4">
      <c r="A339" s="1">
        <v>31503</v>
      </c>
      <c r="B339" s="28">
        <v>346.96195276159511</v>
      </c>
      <c r="C339" s="28">
        <f t="shared" si="18"/>
        <v>346.47770424061781</v>
      </c>
      <c r="D339" s="28">
        <f t="shared" si="18"/>
        <v>346.25584157521564</v>
      </c>
      <c r="E339" s="28">
        <f t="shared" si="18"/>
        <v>346.24110125095967</v>
      </c>
      <c r="F339" s="28">
        <f t="shared" si="18"/>
        <v>346.44768595041324</v>
      </c>
      <c r="G339" s="28">
        <f t="shared" si="18"/>
        <v>346.29164769904713</v>
      </c>
      <c r="H339" s="28">
        <f t="shared" si="18"/>
        <v>346.12708485751705</v>
      </c>
      <c r="I339" s="28">
        <f t="shared" si="18"/>
        <v>346.2943252946755</v>
      </c>
      <c r="J339" s="28">
        <f t="shared" si="18"/>
        <v>346.07992638757173</v>
      </c>
      <c r="K339" s="28">
        <f t="shared" si="18"/>
        <v>345.83208485751703</v>
      </c>
      <c r="L339" s="28">
        <f t="shared" si="18"/>
        <v>345.89162037664272</v>
      </c>
      <c r="M339" s="28">
        <f t="shared" si="18"/>
        <v>345.84902474822741</v>
      </c>
      <c r="N339" s="28">
        <f t="shared" si="18"/>
        <v>345.76195276159513</v>
      </c>
    </row>
    <row r="340" spans="1:14" x14ac:dyDescent="0.4">
      <c r="A340" s="1">
        <v>31533</v>
      </c>
      <c r="B340" s="28">
        <v>347.13902474822743</v>
      </c>
      <c r="C340" s="28">
        <f t="shared" si="18"/>
        <v>346.96195276159511</v>
      </c>
      <c r="D340" s="28">
        <f t="shared" si="18"/>
        <v>346.47770424061781</v>
      </c>
      <c r="E340" s="28">
        <f t="shared" si="18"/>
        <v>346.25584157521564</v>
      </c>
      <c r="F340" s="28">
        <f t="shared" si="18"/>
        <v>346.24110125095967</v>
      </c>
      <c r="G340" s="28">
        <f t="shared" si="18"/>
        <v>346.44768595041324</v>
      </c>
      <c r="H340" s="28">
        <f t="shared" si="18"/>
        <v>346.29164769904713</v>
      </c>
      <c r="I340" s="28">
        <f t="shared" si="18"/>
        <v>346.12708485751705</v>
      </c>
      <c r="J340" s="28">
        <f t="shared" si="18"/>
        <v>346.2943252946755</v>
      </c>
      <c r="K340" s="28">
        <f t="shared" si="18"/>
        <v>346.07992638757173</v>
      </c>
      <c r="L340" s="28">
        <f t="shared" si="18"/>
        <v>345.83208485751703</v>
      </c>
      <c r="M340" s="28">
        <f t="shared" si="18"/>
        <v>345.89162037664272</v>
      </c>
      <c r="N340" s="28">
        <f t="shared" si="18"/>
        <v>345.84902474822741</v>
      </c>
    </row>
    <row r="341" spans="1:14" x14ac:dyDescent="0.4">
      <c r="A341" s="1">
        <v>31564</v>
      </c>
      <c r="B341" s="28">
        <v>347.19162037664273</v>
      </c>
      <c r="C341" s="28">
        <f t="shared" si="18"/>
        <v>347.13902474822743</v>
      </c>
      <c r="D341" s="28">
        <f t="shared" si="18"/>
        <v>346.96195276159511</v>
      </c>
      <c r="E341" s="28">
        <f t="shared" si="18"/>
        <v>346.47770424061781</v>
      </c>
      <c r="F341" s="28">
        <f t="shared" si="18"/>
        <v>346.25584157521564</v>
      </c>
      <c r="G341" s="28">
        <f t="shared" si="18"/>
        <v>346.24110125095967</v>
      </c>
      <c r="H341" s="28">
        <f t="shared" si="18"/>
        <v>346.44768595041324</v>
      </c>
      <c r="I341" s="28">
        <f t="shared" si="18"/>
        <v>346.29164769904713</v>
      </c>
      <c r="J341" s="28">
        <f t="shared" si="18"/>
        <v>346.12708485751705</v>
      </c>
      <c r="K341" s="28">
        <f t="shared" si="18"/>
        <v>346.2943252946755</v>
      </c>
      <c r="L341" s="28">
        <f t="shared" si="18"/>
        <v>346.07992638757173</v>
      </c>
      <c r="M341" s="28">
        <f t="shared" si="18"/>
        <v>345.83208485751703</v>
      </c>
      <c r="N341" s="28">
        <f t="shared" si="18"/>
        <v>345.89162037664272</v>
      </c>
    </row>
    <row r="342" spans="1:14" x14ac:dyDescent="0.4">
      <c r="A342" s="1">
        <v>31594</v>
      </c>
      <c r="B342" s="28">
        <v>347.21208485751703</v>
      </c>
      <c r="C342" s="28">
        <f t="shared" si="18"/>
        <v>347.19162037664273</v>
      </c>
      <c r="D342" s="28">
        <f t="shared" si="18"/>
        <v>347.13902474822743</v>
      </c>
      <c r="E342" s="28">
        <f t="shared" si="18"/>
        <v>346.96195276159511</v>
      </c>
      <c r="F342" s="28">
        <f t="shared" si="18"/>
        <v>346.47770424061781</v>
      </c>
      <c r="G342" s="28">
        <f t="shared" si="18"/>
        <v>346.25584157521564</v>
      </c>
      <c r="H342" s="28">
        <f t="shared" si="18"/>
        <v>346.24110125095967</v>
      </c>
      <c r="I342" s="28">
        <f t="shared" si="18"/>
        <v>346.44768595041324</v>
      </c>
      <c r="J342" s="28">
        <f t="shared" si="18"/>
        <v>346.29164769904713</v>
      </c>
      <c r="K342" s="28">
        <f t="shared" si="18"/>
        <v>346.12708485751705</v>
      </c>
      <c r="L342" s="28">
        <f t="shared" si="18"/>
        <v>346.2943252946755</v>
      </c>
      <c r="M342" s="28">
        <f t="shared" si="18"/>
        <v>346.07992638757173</v>
      </c>
      <c r="N342" s="28">
        <f t="shared" si="18"/>
        <v>345.83208485751703</v>
      </c>
    </row>
    <row r="343" spans="1:14" x14ac:dyDescent="0.4">
      <c r="A343" s="1">
        <v>31625</v>
      </c>
      <c r="B343" s="28">
        <v>347.30992638757169</v>
      </c>
      <c r="C343" s="28">
        <f t="shared" si="18"/>
        <v>347.21208485751703</v>
      </c>
      <c r="D343" s="28">
        <f t="shared" si="18"/>
        <v>347.19162037664273</v>
      </c>
      <c r="E343" s="28">
        <f t="shared" si="18"/>
        <v>347.13902474822743</v>
      </c>
      <c r="F343" s="28">
        <f t="shared" si="18"/>
        <v>346.96195276159511</v>
      </c>
      <c r="G343" s="28">
        <f t="shared" si="18"/>
        <v>346.47770424061781</v>
      </c>
      <c r="H343" s="28">
        <f t="shared" si="18"/>
        <v>346.25584157521564</v>
      </c>
      <c r="I343" s="28">
        <f t="shared" si="18"/>
        <v>346.24110125095967</v>
      </c>
      <c r="J343" s="28">
        <f t="shared" si="18"/>
        <v>346.44768595041324</v>
      </c>
      <c r="K343" s="28">
        <f t="shared" si="18"/>
        <v>346.29164769904713</v>
      </c>
      <c r="L343" s="28">
        <f t="shared" si="18"/>
        <v>346.12708485751705</v>
      </c>
      <c r="M343" s="28">
        <f t="shared" si="18"/>
        <v>346.2943252946755</v>
      </c>
      <c r="N343" s="28">
        <f t="shared" si="18"/>
        <v>346.07992638757173</v>
      </c>
    </row>
    <row r="344" spans="1:14" x14ac:dyDescent="0.4">
      <c r="A344" s="1">
        <v>31656</v>
      </c>
      <c r="B344" s="28">
        <v>348.05432529467555</v>
      </c>
      <c r="C344" s="28">
        <f t="shared" si="18"/>
        <v>347.30992638757169</v>
      </c>
      <c r="D344" s="28">
        <f t="shared" si="18"/>
        <v>347.21208485751703</v>
      </c>
      <c r="E344" s="28">
        <f t="shared" si="18"/>
        <v>347.19162037664273</v>
      </c>
      <c r="F344" s="28">
        <f t="shared" si="18"/>
        <v>347.13902474822743</v>
      </c>
      <c r="G344" s="28">
        <f t="shared" si="18"/>
        <v>346.96195276159511</v>
      </c>
      <c r="H344" s="28">
        <f t="shared" si="18"/>
        <v>346.47770424061781</v>
      </c>
      <c r="I344" s="28">
        <f t="shared" si="18"/>
        <v>346.25584157521564</v>
      </c>
      <c r="J344" s="28">
        <f t="shared" si="18"/>
        <v>346.24110125095967</v>
      </c>
      <c r="K344" s="28">
        <f t="shared" si="18"/>
        <v>346.44768595041324</v>
      </c>
      <c r="L344" s="28">
        <f t="shared" si="18"/>
        <v>346.29164769904713</v>
      </c>
      <c r="M344" s="28">
        <f t="shared" si="18"/>
        <v>346.12708485751705</v>
      </c>
      <c r="N344" s="28">
        <f t="shared" si="18"/>
        <v>346.2943252946755</v>
      </c>
    </row>
    <row r="345" spans="1:14" x14ac:dyDescent="0.4">
      <c r="A345" s="1">
        <v>31686</v>
      </c>
      <c r="B345" s="28">
        <v>347.49708485751705</v>
      </c>
      <c r="C345" s="28">
        <f t="shared" si="18"/>
        <v>348.05432529467555</v>
      </c>
      <c r="D345" s="28">
        <f t="shared" si="18"/>
        <v>347.30992638757169</v>
      </c>
      <c r="E345" s="28">
        <f t="shared" si="18"/>
        <v>347.21208485751703</v>
      </c>
      <c r="F345" s="28">
        <f t="shared" si="18"/>
        <v>347.19162037664273</v>
      </c>
      <c r="G345" s="28">
        <f t="shared" si="18"/>
        <v>347.13902474822743</v>
      </c>
      <c r="H345" s="28">
        <f t="shared" si="18"/>
        <v>346.96195276159511</v>
      </c>
      <c r="I345" s="28">
        <f t="shared" si="18"/>
        <v>346.47770424061781</v>
      </c>
      <c r="J345" s="28">
        <f t="shared" si="18"/>
        <v>346.25584157521564</v>
      </c>
      <c r="K345" s="28">
        <f t="shared" si="18"/>
        <v>346.24110125095967</v>
      </c>
      <c r="L345" s="28">
        <f t="shared" si="18"/>
        <v>346.44768595041324</v>
      </c>
      <c r="M345" s="28">
        <f t="shared" si="18"/>
        <v>346.29164769904713</v>
      </c>
      <c r="N345" s="28">
        <f t="shared" si="18"/>
        <v>346.12708485751705</v>
      </c>
    </row>
    <row r="346" spans="1:14" x14ac:dyDescent="0.4">
      <c r="A346" s="1">
        <v>31717</v>
      </c>
      <c r="B346" s="28">
        <v>347.71164769904715</v>
      </c>
      <c r="C346" s="28">
        <f t="shared" si="18"/>
        <v>347.49708485751705</v>
      </c>
      <c r="D346" s="28">
        <f t="shared" si="18"/>
        <v>348.05432529467555</v>
      </c>
      <c r="E346" s="28">
        <f t="shared" si="18"/>
        <v>347.30992638757169</v>
      </c>
      <c r="F346" s="28">
        <f t="shared" si="18"/>
        <v>347.21208485751703</v>
      </c>
      <c r="G346" s="28">
        <f t="shared" si="18"/>
        <v>347.19162037664273</v>
      </c>
      <c r="H346" s="28">
        <f t="shared" si="18"/>
        <v>347.13902474822743</v>
      </c>
      <c r="I346" s="28">
        <f t="shared" si="18"/>
        <v>346.96195276159511</v>
      </c>
      <c r="J346" s="28">
        <f t="shared" si="18"/>
        <v>346.47770424061781</v>
      </c>
      <c r="K346" s="28">
        <f t="shared" si="18"/>
        <v>346.25584157521564</v>
      </c>
      <c r="L346" s="28">
        <f t="shared" si="18"/>
        <v>346.24110125095967</v>
      </c>
      <c r="M346" s="28">
        <f t="shared" si="18"/>
        <v>346.44768595041324</v>
      </c>
      <c r="N346" s="28">
        <f t="shared" si="18"/>
        <v>346.29164769904713</v>
      </c>
    </row>
    <row r="347" spans="1:14" x14ac:dyDescent="0.4">
      <c r="A347" s="1">
        <v>31747</v>
      </c>
      <c r="B347" s="28">
        <v>347.78768595041322</v>
      </c>
      <c r="C347" s="28">
        <f t="shared" si="18"/>
        <v>347.71164769904715</v>
      </c>
      <c r="D347" s="28">
        <f t="shared" si="18"/>
        <v>347.49708485751705</v>
      </c>
      <c r="E347" s="28">
        <f t="shared" si="18"/>
        <v>348.05432529467555</v>
      </c>
      <c r="F347" s="28">
        <f t="shared" si="18"/>
        <v>347.30992638757169</v>
      </c>
      <c r="G347" s="28">
        <f t="shared" si="18"/>
        <v>347.21208485751703</v>
      </c>
      <c r="H347" s="28">
        <f t="shared" si="18"/>
        <v>347.19162037664273</v>
      </c>
      <c r="I347" s="28">
        <f t="shared" si="18"/>
        <v>347.13902474822743</v>
      </c>
      <c r="J347" s="28">
        <f t="shared" si="18"/>
        <v>346.96195276159511</v>
      </c>
      <c r="K347" s="28">
        <f t="shared" si="18"/>
        <v>346.47770424061781</v>
      </c>
      <c r="L347" s="28">
        <f t="shared" si="18"/>
        <v>346.25584157521564</v>
      </c>
      <c r="M347" s="28">
        <f t="shared" si="18"/>
        <v>346.24110125095967</v>
      </c>
      <c r="N347" s="28">
        <f t="shared" si="18"/>
        <v>346.44768595041324</v>
      </c>
    </row>
    <row r="348" spans="1:14" x14ac:dyDescent="0.4">
      <c r="A348" s="1">
        <v>31778</v>
      </c>
      <c r="B348" s="28">
        <v>347.96110125095964</v>
      </c>
      <c r="C348" s="28">
        <f t="shared" si="18"/>
        <v>347.78768595041322</v>
      </c>
      <c r="D348" s="28">
        <f t="shared" si="18"/>
        <v>347.71164769904715</v>
      </c>
      <c r="E348" s="28">
        <f t="shared" si="18"/>
        <v>347.49708485751705</v>
      </c>
      <c r="F348" s="28">
        <f t="shared" si="18"/>
        <v>348.05432529467555</v>
      </c>
      <c r="G348" s="28">
        <f t="shared" si="18"/>
        <v>347.30992638757169</v>
      </c>
      <c r="H348" s="28">
        <f t="shared" si="18"/>
        <v>347.21208485751703</v>
      </c>
      <c r="I348" s="28">
        <f t="shared" si="18"/>
        <v>347.19162037664273</v>
      </c>
      <c r="J348" s="28">
        <f t="shared" si="18"/>
        <v>347.13902474822743</v>
      </c>
      <c r="K348" s="28">
        <f t="shared" si="18"/>
        <v>346.96195276159511</v>
      </c>
      <c r="L348" s="28">
        <f t="shared" si="18"/>
        <v>346.47770424061781</v>
      </c>
      <c r="M348" s="28">
        <f t="shared" si="18"/>
        <v>346.25584157521564</v>
      </c>
      <c r="N348" s="28">
        <f t="shared" si="18"/>
        <v>346.24110125095967</v>
      </c>
    </row>
    <row r="349" spans="1:14" x14ac:dyDescent="0.4">
      <c r="A349" s="1">
        <v>31809</v>
      </c>
      <c r="B349" s="28">
        <v>347.78584157521567</v>
      </c>
      <c r="C349" s="28">
        <f t="shared" si="18"/>
        <v>347.96110125095964</v>
      </c>
      <c r="D349" s="28">
        <f t="shared" si="18"/>
        <v>347.78768595041322</v>
      </c>
      <c r="E349" s="28">
        <f t="shared" si="18"/>
        <v>347.71164769904715</v>
      </c>
      <c r="F349" s="28">
        <f t="shared" si="18"/>
        <v>347.49708485751705</v>
      </c>
      <c r="G349" s="28">
        <f t="shared" si="18"/>
        <v>348.05432529467555</v>
      </c>
      <c r="H349" s="28">
        <f t="shared" si="18"/>
        <v>347.30992638757169</v>
      </c>
      <c r="I349" s="28">
        <f t="shared" si="18"/>
        <v>347.21208485751703</v>
      </c>
      <c r="J349" s="28">
        <f t="shared" si="18"/>
        <v>347.19162037664273</v>
      </c>
      <c r="K349" s="28">
        <f t="shared" si="18"/>
        <v>347.13902474822743</v>
      </c>
      <c r="L349" s="28">
        <f t="shared" si="18"/>
        <v>346.96195276159511</v>
      </c>
      <c r="M349" s="28">
        <f t="shared" si="18"/>
        <v>346.47770424061781</v>
      </c>
      <c r="N349" s="28">
        <f t="shared" si="18"/>
        <v>346.25584157521564</v>
      </c>
    </row>
    <row r="350" spans="1:14" x14ac:dyDescent="0.4">
      <c r="A350" s="1">
        <v>31837</v>
      </c>
      <c r="B350" s="28">
        <v>348.0477042406178</v>
      </c>
      <c r="C350" s="28">
        <f t="shared" si="18"/>
        <v>347.78584157521567</v>
      </c>
      <c r="D350" s="28">
        <f t="shared" si="18"/>
        <v>347.96110125095964</v>
      </c>
      <c r="E350" s="28">
        <f t="shared" si="18"/>
        <v>347.78768595041322</v>
      </c>
      <c r="F350" s="28">
        <f t="shared" si="18"/>
        <v>347.71164769904715</v>
      </c>
      <c r="G350" s="28">
        <f t="shared" si="18"/>
        <v>347.49708485751705</v>
      </c>
      <c r="H350" s="28">
        <f t="shared" si="18"/>
        <v>348.05432529467555</v>
      </c>
      <c r="I350" s="28">
        <f t="shared" si="18"/>
        <v>347.30992638757169</v>
      </c>
      <c r="J350" s="28">
        <f t="shared" si="18"/>
        <v>347.21208485751703</v>
      </c>
      <c r="K350" s="28">
        <f t="shared" si="18"/>
        <v>347.19162037664273</v>
      </c>
      <c r="L350" s="28">
        <f t="shared" si="18"/>
        <v>347.13902474822743</v>
      </c>
      <c r="M350" s="28">
        <f t="shared" si="18"/>
        <v>346.96195276159511</v>
      </c>
      <c r="N350" s="28">
        <f t="shared" si="18"/>
        <v>346.47770424061781</v>
      </c>
    </row>
    <row r="351" spans="1:14" x14ac:dyDescent="0.4">
      <c r="A351" s="1">
        <v>31868</v>
      </c>
      <c r="B351" s="28">
        <v>348.39195276159512</v>
      </c>
      <c r="C351" s="28">
        <f t="shared" si="18"/>
        <v>348.0477042406178</v>
      </c>
      <c r="D351" s="28">
        <f t="shared" si="18"/>
        <v>347.78584157521567</v>
      </c>
      <c r="E351" s="28">
        <f t="shared" si="18"/>
        <v>347.96110125095964</v>
      </c>
      <c r="F351" s="28">
        <f t="shared" si="18"/>
        <v>347.78768595041322</v>
      </c>
      <c r="G351" s="28">
        <f t="shared" si="18"/>
        <v>347.71164769904715</v>
      </c>
      <c r="H351" s="28">
        <f t="shared" si="18"/>
        <v>347.49708485751705</v>
      </c>
      <c r="I351" s="28">
        <f t="shared" si="18"/>
        <v>348.05432529467555</v>
      </c>
      <c r="J351" s="28">
        <f t="shared" si="18"/>
        <v>347.30992638757169</v>
      </c>
      <c r="K351" s="28">
        <f t="shared" si="18"/>
        <v>347.21208485751703</v>
      </c>
      <c r="L351" s="28">
        <f t="shared" si="18"/>
        <v>347.19162037664273</v>
      </c>
      <c r="M351" s="28">
        <f t="shared" si="18"/>
        <v>347.13902474822743</v>
      </c>
      <c r="N351" s="28">
        <f t="shared" si="18"/>
        <v>346.96195276159511</v>
      </c>
    </row>
    <row r="352" spans="1:14" x14ac:dyDescent="0.4">
      <c r="A352" s="1">
        <v>31898</v>
      </c>
      <c r="B352" s="28">
        <v>348.76902474822742</v>
      </c>
      <c r="C352" s="28">
        <f t="shared" si="18"/>
        <v>348.39195276159512</v>
      </c>
      <c r="D352" s="28">
        <f t="shared" si="18"/>
        <v>348.0477042406178</v>
      </c>
      <c r="E352" s="28">
        <f t="shared" si="18"/>
        <v>347.78584157521567</v>
      </c>
      <c r="F352" s="28">
        <f t="shared" ref="D352:P367" si="19">IF(E351=0,"",E351)</f>
        <v>347.96110125095964</v>
      </c>
      <c r="G352" s="28">
        <f t="shared" si="19"/>
        <v>347.78768595041322</v>
      </c>
      <c r="H352" s="28">
        <f t="shared" si="19"/>
        <v>347.71164769904715</v>
      </c>
      <c r="I352" s="28">
        <f t="shared" si="19"/>
        <v>347.49708485751705</v>
      </c>
      <c r="J352" s="28">
        <f t="shared" si="19"/>
        <v>348.05432529467555</v>
      </c>
      <c r="K352" s="28">
        <f t="shared" si="19"/>
        <v>347.30992638757169</v>
      </c>
      <c r="L352" s="28">
        <f t="shared" si="19"/>
        <v>347.21208485751703</v>
      </c>
      <c r="M352" s="28">
        <f t="shared" si="19"/>
        <v>347.19162037664273</v>
      </c>
      <c r="N352" s="28">
        <f t="shared" si="19"/>
        <v>347.13902474822743</v>
      </c>
    </row>
    <row r="353" spans="1:14" x14ac:dyDescent="0.4">
      <c r="A353" s="1">
        <v>31929</v>
      </c>
      <c r="B353" s="28">
        <v>348.90162037664271</v>
      </c>
      <c r="C353" s="28">
        <f t="shared" ref="C353:N416" si="20">IF(B352=0,"",B352)</f>
        <v>348.76902474822742</v>
      </c>
      <c r="D353" s="28">
        <f t="shared" si="19"/>
        <v>348.39195276159512</v>
      </c>
      <c r="E353" s="28">
        <f t="shared" si="19"/>
        <v>348.0477042406178</v>
      </c>
      <c r="F353" s="28">
        <f t="shared" si="19"/>
        <v>347.78584157521567</v>
      </c>
      <c r="G353" s="28">
        <f t="shared" si="19"/>
        <v>347.96110125095964</v>
      </c>
      <c r="H353" s="28">
        <f t="shared" si="19"/>
        <v>347.78768595041322</v>
      </c>
      <c r="I353" s="28">
        <f t="shared" si="19"/>
        <v>347.71164769904715</v>
      </c>
      <c r="J353" s="28">
        <f t="shared" si="19"/>
        <v>347.49708485751705</v>
      </c>
      <c r="K353" s="28">
        <f t="shared" si="19"/>
        <v>348.05432529467555</v>
      </c>
      <c r="L353" s="28">
        <f t="shared" si="19"/>
        <v>347.30992638757169</v>
      </c>
      <c r="M353" s="28">
        <f t="shared" si="19"/>
        <v>347.21208485751703</v>
      </c>
      <c r="N353" s="28">
        <f t="shared" si="19"/>
        <v>347.19162037664273</v>
      </c>
    </row>
    <row r="354" spans="1:14" x14ac:dyDescent="0.4">
      <c r="A354" s="1">
        <v>31959</v>
      </c>
      <c r="B354" s="28">
        <v>348.78208485751702</v>
      </c>
      <c r="C354" s="28">
        <f t="shared" si="20"/>
        <v>348.90162037664271</v>
      </c>
      <c r="D354" s="28">
        <f t="shared" si="19"/>
        <v>348.76902474822742</v>
      </c>
      <c r="E354" s="28">
        <f t="shared" si="19"/>
        <v>348.39195276159512</v>
      </c>
      <c r="F354" s="28">
        <f t="shared" si="19"/>
        <v>348.0477042406178</v>
      </c>
      <c r="G354" s="28">
        <f t="shared" si="19"/>
        <v>347.78584157521567</v>
      </c>
      <c r="H354" s="28">
        <f t="shared" si="19"/>
        <v>347.96110125095964</v>
      </c>
      <c r="I354" s="28">
        <f t="shared" si="19"/>
        <v>347.78768595041322</v>
      </c>
      <c r="J354" s="28">
        <f t="shared" si="19"/>
        <v>347.71164769904715</v>
      </c>
      <c r="K354" s="28">
        <f t="shared" si="19"/>
        <v>347.49708485751705</v>
      </c>
      <c r="L354" s="28">
        <f t="shared" si="19"/>
        <v>348.05432529467555</v>
      </c>
      <c r="M354" s="28">
        <f t="shared" si="19"/>
        <v>347.30992638757169</v>
      </c>
      <c r="N354" s="28">
        <f t="shared" si="19"/>
        <v>347.21208485751703</v>
      </c>
    </row>
    <row r="355" spans="1:14" x14ac:dyDescent="0.4">
      <c r="A355" s="1">
        <v>31990</v>
      </c>
      <c r="B355" s="28">
        <v>349.50992638757174</v>
      </c>
      <c r="C355" s="28">
        <f t="shared" si="20"/>
        <v>348.78208485751702</v>
      </c>
      <c r="D355" s="28">
        <f t="shared" si="19"/>
        <v>348.90162037664271</v>
      </c>
      <c r="E355" s="28">
        <f t="shared" si="19"/>
        <v>348.76902474822742</v>
      </c>
      <c r="F355" s="28">
        <f t="shared" si="19"/>
        <v>348.39195276159512</v>
      </c>
      <c r="G355" s="28">
        <f t="shared" si="19"/>
        <v>348.0477042406178</v>
      </c>
      <c r="H355" s="28">
        <f t="shared" si="19"/>
        <v>347.78584157521567</v>
      </c>
      <c r="I355" s="28">
        <f t="shared" si="19"/>
        <v>347.96110125095964</v>
      </c>
      <c r="J355" s="28">
        <f t="shared" si="19"/>
        <v>347.78768595041322</v>
      </c>
      <c r="K355" s="28">
        <f t="shared" si="19"/>
        <v>347.71164769904715</v>
      </c>
      <c r="L355" s="28">
        <f t="shared" si="19"/>
        <v>347.49708485751705</v>
      </c>
      <c r="M355" s="28">
        <f t="shared" si="19"/>
        <v>348.05432529467555</v>
      </c>
      <c r="N355" s="28">
        <f t="shared" si="19"/>
        <v>347.30992638757169</v>
      </c>
    </row>
    <row r="356" spans="1:14" x14ac:dyDescent="0.4">
      <c r="A356" s="1">
        <v>32021</v>
      </c>
      <c r="B356" s="28">
        <v>349.65432529467552</v>
      </c>
      <c r="C356" s="28">
        <f t="shared" si="20"/>
        <v>349.50992638757174</v>
      </c>
      <c r="D356" s="28">
        <f t="shared" si="19"/>
        <v>348.78208485751702</v>
      </c>
      <c r="E356" s="28">
        <f t="shared" si="19"/>
        <v>348.90162037664271</v>
      </c>
      <c r="F356" s="28">
        <f t="shared" si="19"/>
        <v>348.76902474822742</v>
      </c>
      <c r="G356" s="28">
        <f t="shared" si="19"/>
        <v>348.39195276159512</v>
      </c>
      <c r="H356" s="28">
        <f t="shared" si="19"/>
        <v>348.0477042406178</v>
      </c>
      <c r="I356" s="28">
        <f t="shared" si="19"/>
        <v>347.78584157521567</v>
      </c>
      <c r="J356" s="28">
        <f t="shared" si="19"/>
        <v>347.96110125095964</v>
      </c>
      <c r="K356" s="28">
        <f t="shared" si="19"/>
        <v>347.78768595041322</v>
      </c>
      <c r="L356" s="28">
        <f t="shared" si="19"/>
        <v>347.71164769904715</v>
      </c>
      <c r="M356" s="28">
        <f t="shared" si="19"/>
        <v>347.49708485751705</v>
      </c>
      <c r="N356" s="28">
        <f t="shared" si="19"/>
        <v>348.05432529467555</v>
      </c>
    </row>
    <row r="357" spans="1:14" x14ac:dyDescent="0.4">
      <c r="A357" s="1">
        <v>32051</v>
      </c>
      <c r="B357" s="28">
        <v>349.68708485751705</v>
      </c>
      <c r="C357" s="28">
        <f t="shared" si="20"/>
        <v>349.65432529467552</v>
      </c>
      <c r="D357" s="28">
        <f t="shared" si="19"/>
        <v>349.50992638757174</v>
      </c>
      <c r="E357" s="28">
        <f t="shared" si="19"/>
        <v>348.78208485751702</v>
      </c>
      <c r="F357" s="28">
        <f t="shared" si="19"/>
        <v>348.90162037664271</v>
      </c>
      <c r="G357" s="28">
        <f t="shared" si="19"/>
        <v>348.76902474822742</v>
      </c>
      <c r="H357" s="28">
        <f t="shared" si="19"/>
        <v>348.39195276159512</v>
      </c>
      <c r="I357" s="28">
        <f t="shared" si="19"/>
        <v>348.0477042406178</v>
      </c>
      <c r="J357" s="28">
        <f t="shared" si="19"/>
        <v>347.78584157521567</v>
      </c>
      <c r="K357" s="28">
        <f t="shared" si="19"/>
        <v>347.96110125095964</v>
      </c>
      <c r="L357" s="28">
        <f t="shared" si="19"/>
        <v>347.78768595041322</v>
      </c>
      <c r="M357" s="28">
        <f t="shared" si="19"/>
        <v>347.71164769904715</v>
      </c>
      <c r="N357" s="28">
        <f t="shared" si="19"/>
        <v>347.49708485751705</v>
      </c>
    </row>
    <row r="358" spans="1:14" x14ac:dyDescent="0.4">
      <c r="A358" s="1">
        <v>32082</v>
      </c>
      <c r="B358" s="28">
        <v>349.86164769904713</v>
      </c>
      <c r="C358" s="28">
        <f t="shared" si="20"/>
        <v>349.68708485751705</v>
      </c>
      <c r="D358" s="28">
        <f t="shared" si="19"/>
        <v>349.65432529467552</v>
      </c>
      <c r="E358" s="28">
        <f t="shared" si="19"/>
        <v>349.50992638757174</v>
      </c>
      <c r="F358" s="28">
        <f t="shared" si="19"/>
        <v>348.78208485751702</v>
      </c>
      <c r="G358" s="28">
        <f t="shared" si="19"/>
        <v>348.90162037664271</v>
      </c>
      <c r="H358" s="28">
        <f t="shared" si="19"/>
        <v>348.76902474822742</v>
      </c>
      <c r="I358" s="28">
        <f t="shared" si="19"/>
        <v>348.39195276159512</v>
      </c>
      <c r="J358" s="28">
        <f t="shared" si="19"/>
        <v>348.0477042406178</v>
      </c>
      <c r="K358" s="28">
        <f t="shared" si="19"/>
        <v>347.78584157521567</v>
      </c>
      <c r="L358" s="28">
        <f t="shared" si="19"/>
        <v>347.96110125095964</v>
      </c>
      <c r="M358" s="28">
        <f t="shared" si="19"/>
        <v>347.78768595041322</v>
      </c>
      <c r="N358" s="28">
        <f t="shared" si="19"/>
        <v>347.71164769904715</v>
      </c>
    </row>
    <row r="359" spans="1:14" x14ac:dyDescent="0.4">
      <c r="A359" s="1">
        <v>32112</v>
      </c>
      <c r="B359" s="28">
        <v>349.84768595041322</v>
      </c>
      <c r="C359" s="28">
        <f t="shared" si="20"/>
        <v>349.86164769904713</v>
      </c>
      <c r="D359" s="28">
        <f t="shared" si="19"/>
        <v>349.68708485751705</v>
      </c>
      <c r="E359" s="28">
        <f t="shared" si="19"/>
        <v>349.65432529467552</v>
      </c>
      <c r="F359" s="28">
        <f t="shared" si="19"/>
        <v>349.50992638757174</v>
      </c>
      <c r="G359" s="28">
        <f t="shared" si="19"/>
        <v>348.78208485751702</v>
      </c>
      <c r="H359" s="28">
        <f t="shared" si="19"/>
        <v>348.90162037664271</v>
      </c>
      <c r="I359" s="28">
        <f t="shared" si="19"/>
        <v>348.76902474822742</v>
      </c>
      <c r="J359" s="28">
        <f t="shared" si="19"/>
        <v>348.39195276159512</v>
      </c>
      <c r="K359" s="28">
        <f t="shared" si="19"/>
        <v>348.0477042406178</v>
      </c>
      <c r="L359" s="28">
        <f t="shared" si="19"/>
        <v>347.78584157521567</v>
      </c>
      <c r="M359" s="28">
        <f t="shared" si="19"/>
        <v>347.96110125095964</v>
      </c>
      <c r="N359" s="28">
        <f t="shared" si="19"/>
        <v>347.78768595041322</v>
      </c>
    </row>
    <row r="360" spans="1:14" x14ac:dyDescent="0.4">
      <c r="A360" s="1">
        <v>32143</v>
      </c>
      <c r="B360" s="28">
        <v>350.37110125095967</v>
      </c>
      <c r="C360" s="28">
        <f t="shared" si="20"/>
        <v>349.84768595041322</v>
      </c>
      <c r="D360" s="28">
        <f t="shared" si="19"/>
        <v>349.86164769904713</v>
      </c>
      <c r="E360" s="28">
        <f t="shared" si="19"/>
        <v>349.68708485751705</v>
      </c>
      <c r="F360" s="28">
        <f t="shared" si="19"/>
        <v>349.65432529467552</v>
      </c>
      <c r="G360" s="28">
        <f t="shared" si="19"/>
        <v>349.50992638757174</v>
      </c>
      <c r="H360" s="28">
        <f t="shared" si="19"/>
        <v>348.78208485751702</v>
      </c>
      <c r="I360" s="28">
        <f t="shared" si="19"/>
        <v>348.90162037664271</v>
      </c>
      <c r="J360" s="28">
        <f t="shared" si="19"/>
        <v>348.76902474822742</v>
      </c>
      <c r="K360" s="28">
        <f t="shared" si="19"/>
        <v>348.39195276159512</v>
      </c>
      <c r="L360" s="28">
        <f t="shared" si="19"/>
        <v>348.0477042406178</v>
      </c>
      <c r="M360" s="28">
        <f t="shared" si="19"/>
        <v>347.78584157521567</v>
      </c>
      <c r="N360" s="28">
        <f t="shared" si="19"/>
        <v>347.96110125095964</v>
      </c>
    </row>
    <row r="361" spans="1:14" x14ac:dyDescent="0.4">
      <c r="A361" s="1">
        <v>32174</v>
      </c>
      <c r="B361" s="28">
        <v>351.03584157521567</v>
      </c>
      <c r="C361" s="28">
        <f t="shared" si="20"/>
        <v>350.37110125095967</v>
      </c>
      <c r="D361" s="28">
        <f t="shared" si="19"/>
        <v>349.84768595041322</v>
      </c>
      <c r="E361" s="28">
        <f t="shared" si="19"/>
        <v>349.86164769904713</v>
      </c>
      <c r="F361" s="28">
        <f t="shared" si="19"/>
        <v>349.68708485751705</v>
      </c>
      <c r="G361" s="28">
        <f t="shared" si="19"/>
        <v>349.65432529467552</v>
      </c>
      <c r="H361" s="28">
        <f t="shared" si="19"/>
        <v>349.50992638757174</v>
      </c>
      <c r="I361" s="28">
        <f t="shared" si="19"/>
        <v>348.78208485751702</v>
      </c>
      <c r="J361" s="28">
        <f t="shared" si="19"/>
        <v>348.90162037664271</v>
      </c>
      <c r="K361" s="28">
        <f t="shared" si="19"/>
        <v>348.76902474822742</v>
      </c>
      <c r="L361" s="28">
        <f t="shared" si="19"/>
        <v>348.39195276159512</v>
      </c>
      <c r="M361" s="28">
        <f t="shared" si="19"/>
        <v>348.0477042406178</v>
      </c>
      <c r="N361" s="28">
        <f t="shared" si="19"/>
        <v>347.78584157521567</v>
      </c>
    </row>
    <row r="362" spans="1:14" x14ac:dyDescent="0.4">
      <c r="A362" s="1">
        <v>32203</v>
      </c>
      <c r="B362" s="28">
        <v>350.84770424061782</v>
      </c>
      <c r="C362" s="28">
        <f t="shared" si="20"/>
        <v>351.03584157521567</v>
      </c>
      <c r="D362" s="28">
        <f t="shared" si="19"/>
        <v>350.37110125095967</v>
      </c>
      <c r="E362" s="28">
        <f t="shared" si="19"/>
        <v>349.84768595041322</v>
      </c>
      <c r="F362" s="28">
        <f t="shared" si="19"/>
        <v>349.86164769904713</v>
      </c>
      <c r="G362" s="28">
        <f t="shared" si="19"/>
        <v>349.68708485751705</v>
      </c>
      <c r="H362" s="28">
        <f t="shared" si="19"/>
        <v>349.65432529467552</v>
      </c>
      <c r="I362" s="28">
        <f t="shared" si="19"/>
        <v>349.50992638757174</v>
      </c>
      <c r="J362" s="28">
        <f t="shared" si="19"/>
        <v>348.78208485751702</v>
      </c>
      <c r="K362" s="28">
        <f t="shared" si="19"/>
        <v>348.90162037664271</v>
      </c>
      <c r="L362" s="28">
        <f t="shared" si="19"/>
        <v>348.76902474822742</v>
      </c>
      <c r="M362" s="28">
        <f t="shared" si="19"/>
        <v>348.39195276159512</v>
      </c>
      <c r="N362" s="28">
        <f t="shared" si="19"/>
        <v>348.0477042406178</v>
      </c>
    </row>
    <row r="363" spans="1:14" x14ac:dyDescent="0.4">
      <c r="A363" s="1">
        <v>32234</v>
      </c>
      <c r="B363" s="28">
        <v>351.00195276159508</v>
      </c>
      <c r="C363" s="28">
        <f t="shared" si="20"/>
        <v>350.84770424061782</v>
      </c>
      <c r="D363" s="28">
        <f t="shared" si="19"/>
        <v>351.03584157521567</v>
      </c>
      <c r="E363" s="28">
        <f t="shared" si="19"/>
        <v>350.37110125095967</v>
      </c>
      <c r="F363" s="28">
        <f t="shared" si="19"/>
        <v>349.84768595041322</v>
      </c>
      <c r="G363" s="28">
        <f t="shared" si="19"/>
        <v>349.86164769904713</v>
      </c>
      <c r="H363" s="28">
        <f t="shared" si="19"/>
        <v>349.68708485751705</v>
      </c>
      <c r="I363" s="28">
        <f t="shared" si="19"/>
        <v>349.65432529467552</v>
      </c>
      <c r="J363" s="28">
        <f t="shared" si="19"/>
        <v>349.50992638757174</v>
      </c>
      <c r="K363" s="28">
        <f t="shared" si="19"/>
        <v>348.78208485751702</v>
      </c>
      <c r="L363" s="28">
        <f t="shared" si="19"/>
        <v>348.90162037664271</v>
      </c>
      <c r="M363" s="28">
        <f t="shared" si="19"/>
        <v>348.76902474822742</v>
      </c>
      <c r="N363" s="28">
        <f t="shared" si="19"/>
        <v>348.39195276159512</v>
      </c>
    </row>
    <row r="364" spans="1:14" x14ac:dyDescent="0.4">
      <c r="A364" s="1">
        <v>32264</v>
      </c>
      <c r="B364" s="28">
        <v>351.13902474822743</v>
      </c>
      <c r="C364" s="28">
        <f t="shared" si="20"/>
        <v>351.00195276159508</v>
      </c>
      <c r="D364" s="28">
        <f t="shared" si="19"/>
        <v>350.84770424061782</v>
      </c>
      <c r="E364" s="28">
        <f t="shared" si="19"/>
        <v>351.03584157521567</v>
      </c>
      <c r="F364" s="28">
        <f t="shared" si="19"/>
        <v>350.37110125095967</v>
      </c>
      <c r="G364" s="28">
        <f t="shared" si="19"/>
        <v>349.84768595041322</v>
      </c>
      <c r="H364" s="28">
        <f t="shared" si="19"/>
        <v>349.86164769904713</v>
      </c>
      <c r="I364" s="28">
        <f t="shared" si="19"/>
        <v>349.68708485751705</v>
      </c>
      <c r="J364" s="28">
        <f t="shared" si="19"/>
        <v>349.65432529467552</v>
      </c>
      <c r="K364" s="28">
        <f t="shared" si="19"/>
        <v>349.50992638757174</v>
      </c>
      <c r="L364" s="28">
        <f t="shared" si="19"/>
        <v>348.78208485751702</v>
      </c>
      <c r="M364" s="28">
        <f t="shared" si="19"/>
        <v>348.90162037664271</v>
      </c>
      <c r="N364" s="28">
        <f t="shared" si="19"/>
        <v>348.76902474822742</v>
      </c>
    </row>
    <row r="365" spans="1:14" x14ac:dyDescent="0.4">
      <c r="A365" s="1">
        <v>32295</v>
      </c>
      <c r="B365" s="28">
        <v>351.44162037664273</v>
      </c>
      <c r="C365" s="28">
        <f t="shared" si="20"/>
        <v>351.13902474822743</v>
      </c>
      <c r="D365" s="28">
        <f t="shared" si="19"/>
        <v>351.00195276159508</v>
      </c>
      <c r="E365" s="28">
        <f t="shared" si="19"/>
        <v>350.84770424061782</v>
      </c>
      <c r="F365" s="28">
        <f t="shared" si="19"/>
        <v>351.03584157521567</v>
      </c>
      <c r="G365" s="28">
        <f t="shared" si="19"/>
        <v>350.37110125095967</v>
      </c>
      <c r="H365" s="28">
        <f t="shared" si="19"/>
        <v>349.84768595041322</v>
      </c>
      <c r="I365" s="28">
        <f t="shared" si="19"/>
        <v>349.86164769904713</v>
      </c>
      <c r="J365" s="28">
        <f t="shared" si="19"/>
        <v>349.68708485751705</v>
      </c>
      <c r="K365" s="28">
        <f t="shared" si="19"/>
        <v>349.65432529467552</v>
      </c>
      <c r="L365" s="28">
        <f t="shared" si="19"/>
        <v>349.50992638757174</v>
      </c>
      <c r="M365" s="28">
        <f t="shared" si="19"/>
        <v>348.78208485751702</v>
      </c>
      <c r="N365" s="28">
        <f t="shared" si="19"/>
        <v>348.90162037664271</v>
      </c>
    </row>
    <row r="366" spans="1:14" x14ac:dyDescent="0.4">
      <c r="A366" s="1">
        <v>32325</v>
      </c>
      <c r="B366" s="28">
        <v>351.65208485751702</v>
      </c>
      <c r="C366" s="28">
        <f t="shared" si="20"/>
        <v>351.44162037664273</v>
      </c>
      <c r="D366" s="28">
        <f t="shared" si="19"/>
        <v>351.13902474822743</v>
      </c>
      <c r="E366" s="28">
        <f t="shared" si="19"/>
        <v>351.00195276159508</v>
      </c>
      <c r="F366" s="28">
        <f t="shared" si="19"/>
        <v>350.84770424061782</v>
      </c>
      <c r="G366" s="28">
        <f t="shared" si="19"/>
        <v>351.03584157521567</v>
      </c>
      <c r="H366" s="28">
        <f t="shared" si="19"/>
        <v>350.37110125095967</v>
      </c>
      <c r="I366" s="28">
        <f t="shared" si="19"/>
        <v>349.84768595041322</v>
      </c>
      <c r="J366" s="28">
        <f t="shared" si="19"/>
        <v>349.86164769904713</v>
      </c>
      <c r="K366" s="28">
        <f t="shared" si="19"/>
        <v>349.68708485751705</v>
      </c>
      <c r="L366" s="28">
        <f t="shared" si="19"/>
        <v>349.65432529467552</v>
      </c>
      <c r="M366" s="28">
        <f t="shared" si="19"/>
        <v>349.50992638757174</v>
      </c>
      <c r="N366" s="28">
        <f t="shared" si="19"/>
        <v>348.78208485751702</v>
      </c>
    </row>
    <row r="367" spans="1:14" x14ac:dyDescent="0.4">
      <c r="A367" s="1">
        <v>32356</v>
      </c>
      <c r="B367" s="28">
        <v>351.83992638757172</v>
      </c>
      <c r="C367" s="28">
        <f t="shared" si="20"/>
        <v>351.65208485751702</v>
      </c>
      <c r="D367" s="28">
        <f t="shared" si="19"/>
        <v>351.44162037664273</v>
      </c>
      <c r="E367" s="28">
        <f t="shared" si="19"/>
        <v>351.13902474822743</v>
      </c>
      <c r="F367" s="28">
        <f t="shared" si="19"/>
        <v>351.00195276159508</v>
      </c>
      <c r="G367" s="28">
        <f t="shared" si="19"/>
        <v>350.84770424061782</v>
      </c>
      <c r="H367" s="28">
        <f t="shared" si="19"/>
        <v>351.03584157521567</v>
      </c>
      <c r="I367" s="28">
        <f t="shared" si="19"/>
        <v>350.37110125095967</v>
      </c>
      <c r="J367" s="28">
        <f t="shared" si="19"/>
        <v>349.84768595041322</v>
      </c>
      <c r="K367" s="28">
        <f t="shared" si="19"/>
        <v>349.86164769904713</v>
      </c>
      <c r="L367" s="28">
        <f t="shared" si="19"/>
        <v>349.68708485751705</v>
      </c>
      <c r="M367" s="28">
        <f t="shared" si="19"/>
        <v>349.65432529467552</v>
      </c>
      <c r="N367" s="28">
        <f t="shared" si="19"/>
        <v>349.50992638757174</v>
      </c>
    </row>
    <row r="368" spans="1:14" x14ac:dyDescent="0.4">
      <c r="A368" s="1">
        <v>32387</v>
      </c>
      <c r="B368" s="28">
        <v>351.93432529467555</v>
      </c>
      <c r="C368" s="28">
        <f t="shared" si="20"/>
        <v>351.83992638757172</v>
      </c>
      <c r="D368" s="28">
        <f t="shared" si="20"/>
        <v>351.65208485751702</v>
      </c>
      <c r="E368" s="28">
        <f t="shared" si="20"/>
        <v>351.44162037664273</v>
      </c>
      <c r="F368" s="28">
        <f t="shared" si="20"/>
        <v>351.13902474822743</v>
      </c>
      <c r="G368" s="28">
        <f t="shared" si="20"/>
        <v>351.00195276159508</v>
      </c>
      <c r="H368" s="28">
        <f t="shared" si="20"/>
        <v>350.84770424061782</v>
      </c>
      <c r="I368" s="28">
        <f t="shared" si="20"/>
        <v>351.03584157521567</v>
      </c>
      <c r="J368" s="28">
        <f t="shared" si="20"/>
        <v>350.37110125095967</v>
      </c>
      <c r="K368" s="28">
        <f t="shared" si="20"/>
        <v>349.84768595041322</v>
      </c>
      <c r="L368" s="28">
        <f t="shared" si="20"/>
        <v>349.86164769904713</v>
      </c>
      <c r="M368" s="28">
        <f t="shared" si="20"/>
        <v>349.68708485751705</v>
      </c>
      <c r="N368" s="28">
        <f t="shared" si="20"/>
        <v>349.65432529467552</v>
      </c>
    </row>
    <row r="369" spans="1:14" x14ac:dyDescent="0.4">
      <c r="A369" s="1">
        <v>32417</v>
      </c>
      <c r="B369" s="28">
        <v>352.20708485751703</v>
      </c>
      <c r="C369" s="28">
        <f t="shared" si="20"/>
        <v>351.93432529467555</v>
      </c>
      <c r="D369" s="28">
        <f t="shared" si="20"/>
        <v>351.83992638757172</v>
      </c>
      <c r="E369" s="28">
        <f t="shared" si="20"/>
        <v>351.65208485751702</v>
      </c>
      <c r="F369" s="28">
        <f t="shared" si="20"/>
        <v>351.44162037664273</v>
      </c>
      <c r="G369" s="28">
        <f t="shared" si="20"/>
        <v>351.13902474822743</v>
      </c>
      <c r="H369" s="28">
        <f t="shared" si="20"/>
        <v>351.00195276159508</v>
      </c>
      <c r="I369" s="28">
        <f t="shared" si="20"/>
        <v>350.84770424061782</v>
      </c>
      <c r="J369" s="28">
        <f t="shared" si="20"/>
        <v>351.03584157521567</v>
      </c>
      <c r="K369" s="28">
        <f t="shared" si="20"/>
        <v>350.37110125095967</v>
      </c>
      <c r="L369" s="28">
        <f t="shared" si="20"/>
        <v>349.84768595041322</v>
      </c>
      <c r="M369" s="28">
        <f t="shared" si="20"/>
        <v>349.86164769904713</v>
      </c>
      <c r="N369" s="28">
        <f t="shared" si="20"/>
        <v>349.68708485751705</v>
      </c>
    </row>
    <row r="370" spans="1:14" x14ac:dyDescent="0.4">
      <c r="A370" s="1">
        <v>32448</v>
      </c>
      <c r="B370" s="28">
        <v>352.12164769904712</v>
      </c>
      <c r="C370" s="28">
        <f t="shared" si="20"/>
        <v>352.20708485751703</v>
      </c>
      <c r="D370" s="28">
        <f t="shared" si="20"/>
        <v>351.93432529467555</v>
      </c>
      <c r="E370" s="28">
        <f t="shared" si="20"/>
        <v>351.83992638757172</v>
      </c>
      <c r="F370" s="28">
        <f t="shared" si="20"/>
        <v>351.65208485751702</v>
      </c>
      <c r="G370" s="28">
        <f t="shared" si="20"/>
        <v>351.44162037664273</v>
      </c>
      <c r="H370" s="28">
        <f t="shared" si="20"/>
        <v>351.13902474822743</v>
      </c>
      <c r="I370" s="28">
        <f t="shared" si="20"/>
        <v>351.00195276159508</v>
      </c>
      <c r="J370" s="28">
        <f t="shared" si="20"/>
        <v>350.84770424061782</v>
      </c>
      <c r="K370" s="28">
        <f t="shared" si="20"/>
        <v>351.03584157521567</v>
      </c>
      <c r="L370" s="28">
        <f t="shared" si="20"/>
        <v>350.37110125095967</v>
      </c>
      <c r="M370" s="28">
        <f t="shared" si="20"/>
        <v>349.84768595041322</v>
      </c>
      <c r="N370" s="28">
        <f t="shared" si="20"/>
        <v>349.86164769904713</v>
      </c>
    </row>
    <row r="371" spans="1:14" x14ac:dyDescent="0.4">
      <c r="A371" s="1">
        <v>32478</v>
      </c>
      <c r="B371" s="28">
        <v>352.22768595041322</v>
      </c>
      <c r="C371" s="28">
        <f t="shared" si="20"/>
        <v>352.12164769904712</v>
      </c>
      <c r="D371" s="28">
        <f t="shared" si="20"/>
        <v>352.20708485751703</v>
      </c>
      <c r="E371" s="28">
        <f t="shared" si="20"/>
        <v>351.93432529467555</v>
      </c>
      <c r="F371" s="28">
        <f t="shared" si="20"/>
        <v>351.83992638757172</v>
      </c>
      <c r="G371" s="28">
        <f t="shared" si="20"/>
        <v>351.65208485751702</v>
      </c>
      <c r="H371" s="28">
        <f t="shared" si="20"/>
        <v>351.44162037664273</v>
      </c>
      <c r="I371" s="28">
        <f t="shared" si="20"/>
        <v>351.13902474822743</v>
      </c>
      <c r="J371" s="28">
        <f t="shared" si="20"/>
        <v>351.00195276159508</v>
      </c>
      <c r="K371" s="28">
        <f t="shared" si="20"/>
        <v>350.84770424061782</v>
      </c>
      <c r="L371" s="28">
        <f t="shared" si="20"/>
        <v>351.03584157521567</v>
      </c>
      <c r="M371" s="28">
        <f t="shared" si="20"/>
        <v>350.37110125095967</v>
      </c>
      <c r="N371" s="28">
        <f t="shared" si="20"/>
        <v>349.84768595041322</v>
      </c>
    </row>
    <row r="372" spans="1:14" x14ac:dyDescent="0.4">
      <c r="A372" s="1">
        <v>32509</v>
      </c>
      <c r="B372" s="28">
        <v>352.70110125095965</v>
      </c>
      <c r="C372" s="28">
        <f t="shared" si="20"/>
        <v>352.22768595041322</v>
      </c>
      <c r="D372" s="28">
        <f t="shared" si="20"/>
        <v>352.12164769904712</v>
      </c>
      <c r="E372" s="28">
        <f t="shared" si="20"/>
        <v>352.20708485751703</v>
      </c>
      <c r="F372" s="28">
        <f t="shared" si="20"/>
        <v>351.93432529467555</v>
      </c>
      <c r="G372" s="28">
        <f t="shared" si="20"/>
        <v>351.83992638757172</v>
      </c>
      <c r="H372" s="28">
        <f t="shared" si="20"/>
        <v>351.65208485751702</v>
      </c>
      <c r="I372" s="28">
        <f t="shared" si="20"/>
        <v>351.44162037664273</v>
      </c>
      <c r="J372" s="28">
        <f t="shared" si="20"/>
        <v>351.13902474822743</v>
      </c>
      <c r="K372" s="28">
        <f t="shared" si="20"/>
        <v>351.00195276159508</v>
      </c>
      <c r="L372" s="28">
        <f t="shared" si="20"/>
        <v>350.84770424061782</v>
      </c>
      <c r="M372" s="28">
        <f t="shared" si="20"/>
        <v>351.03584157521567</v>
      </c>
      <c r="N372" s="28">
        <f t="shared" si="20"/>
        <v>350.37110125095967</v>
      </c>
    </row>
    <row r="373" spans="1:14" x14ac:dyDescent="0.4">
      <c r="A373" s="1">
        <v>32540</v>
      </c>
      <c r="B373" s="28">
        <v>352.37584157521565</v>
      </c>
      <c r="C373" s="28">
        <f t="shared" si="20"/>
        <v>352.70110125095965</v>
      </c>
      <c r="D373" s="28">
        <f t="shared" si="20"/>
        <v>352.22768595041322</v>
      </c>
      <c r="E373" s="28">
        <f t="shared" si="20"/>
        <v>352.12164769904712</v>
      </c>
      <c r="F373" s="28">
        <f t="shared" si="20"/>
        <v>352.20708485751703</v>
      </c>
      <c r="G373" s="28">
        <f t="shared" si="20"/>
        <v>351.93432529467555</v>
      </c>
      <c r="H373" s="28">
        <f t="shared" si="20"/>
        <v>351.83992638757172</v>
      </c>
      <c r="I373" s="28">
        <f t="shared" si="20"/>
        <v>351.65208485751702</v>
      </c>
      <c r="J373" s="28">
        <f t="shared" si="20"/>
        <v>351.44162037664273</v>
      </c>
      <c r="K373" s="28">
        <f t="shared" si="20"/>
        <v>351.13902474822743</v>
      </c>
      <c r="L373" s="28">
        <f t="shared" si="20"/>
        <v>351.00195276159508</v>
      </c>
      <c r="M373" s="28">
        <f t="shared" si="20"/>
        <v>350.84770424061782</v>
      </c>
      <c r="N373" s="28">
        <f t="shared" si="20"/>
        <v>351.03584157521567</v>
      </c>
    </row>
    <row r="374" spans="1:14" x14ac:dyDescent="0.4">
      <c r="A374" s="1">
        <v>32568</v>
      </c>
      <c r="B374" s="28">
        <v>352.3077042406178</v>
      </c>
      <c r="C374" s="28">
        <f t="shared" si="20"/>
        <v>352.37584157521565</v>
      </c>
      <c r="D374" s="28">
        <f t="shared" si="20"/>
        <v>352.70110125095965</v>
      </c>
      <c r="E374" s="28">
        <f t="shared" si="20"/>
        <v>352.22768595041322</v>
      </c>
      <c r="F374" s="28">
        <f t="shared" si="20"/>
        <v>352.12164769904712</v>
      </c>
      <c r="G374" s="28">
        <f t="shared" si="20"/>
        <v>352.20708485751703</v>
      </c>
      <c r="H374" s="28">
        <f t="shared" si="20"/>
        <v>351.93432529467555</v>
      </c>
      <c r="I374" s="28">
        <f t="shared" si="20"/>
        <v>351.83992638757172</v>
      </c>
      <c r="J374" s="28">
        <f t="shared" si="20"/>
        <v>351.65208485751702</v>
      </c>
      <c r="K374" s="28">
        <f t="shared" si="20"/>
        <v>351.44162037664273</v>
      </c>
      <c r="L374" s="28">
        <f t="shared" si="20"/>
        <v>351.13902474822743</v>
      </c>
      <c r="M374" s="28">
        <f t="shared" si="20"/>
        <v>351.00195276159508</v>
      </c>
      <c r="N374" s="28">
        <f t="shared" si="20"/>
        <v>350.84770424061782</v>
      </c>
    </row>
    <row r="375" spans="1:14" x14ac:dyDescent="0.4">
      <c r="A375" s="1">
        <v>32599</v>
      </c>
      <c r="B375" s="28">
        <v>352.83195276159512</v>
      </c>
      <c r="C375" s="28">
        <f t="shared" si="20"/>
        <v>352.3077042406178</v>
      </c>
      <c r="D375" s="28">
        <f t="shared" si="20"/>
        <v>352.37584157521565</v>
      </c>
      <c r="E375" s="28">
        <f t="shared" si="20"/>
        <v>352.70110125095965</v>
      </c>
      <c r="F375" s="28">
        <f t="shared" si="20"/>
        <v>352.22768595041322</v>
      </c>
      <c r="G375" s="28">
        <f t="shared" si="20"/>
        <v>352.12164769904712</v>
      </c>
      <c r="H375" s="28">
        <f t="shared" si="20"/>
        <v>352.20708485751703</v>
      </c>
      <c r="I375" s="28">
        <f t="shared" si="20"/>
        <v>351.93432529467555</v>
      </c>
      <c r="J375" s="28">
        <f t="shared" si="20"/>
        <v>351.83992638757172</v>
      </c>
      <c r="K375" s="28">
        <f t="shared" si="20"/>
        <v>351.65208485751702</v>
      </c>
      <c r="L375" s="28">
        <f t="shared" si="20"/>
        <v>351.44162037664273</v>
      </c>
      <c r="M375" s="28">
        <f t="shared" si="20"/>
        <v>351.13902474822743</v>
      </c>
      <c r="N375" s="28">
        <f t="shared" si="20"/>
        <v>351.00195276159508</v>
      </c>
    </row>
    <row r="376" spans="1:14" x14ac:dyDescent="0.4">
      <c r="A376" s="1">
        <v>32629</v>
      </c>
      <c r="B376" s="28">
        <v>352.58902474822742</v>
      </c>
      <c r="C376" s="28">
        <f t="shared" si="20"/>
        <v>352.83195276159512</v>
      </c>
      <c r="D376" s="28">
        <f t="shared" si="20"/>
        <v>352.3077042406178</v>
      </c>
      <c r="E376" s="28">
        <f t="shared" si="20"/>
        <v>352.37584157521565</v>
      </c>
      <c r="F376" s="28">
        <f t="shared" si="20"/>
        <v>352.70110125095965</v>
      </c>
      <c r="G376" s="28">
        <f t="shared" si="20"/>
        <v>352.22768595041322</v>
      </c>
      <c r="H376" s="28">
        <f t="shared" si="20"/>
        <v>352.12164769904712</v>
      </c>
      <c r="I376" s="28">
        <f t="shared" si="20"/>
        <v>352.20708485751703</v>
      </c>
      <c r="J376" s="28">
        <f t="shared" si="20"/>
        <v>351.93432529467555</v>
      </c>
      <c r="K376" s="28">
        <f t="shared" si="20"/>
        <v>351.83992638757172</v>
      </c>
      <c r="L376" s="28">
        <f t="shared" si="20"/>
        <v>351.65208485751702</v>
      </c>
      <c r="M376" s="28">
        <f t="shared" si="20"/>
        <v>351.44162037664273</v>
      </c>
      <c r="N376" s="28">
        <f t="shared" si="20"/>
        <v>351.13902474822743</v>
      </c>
    </row>
    <row r="377" spans="1:14" x14ac:dyDescent="0.4">
      <c r="A377" s="1">
        <v>32660</v>
      </c>
      <c r="B377" s="28">
        <v>352.76162037664272</v>
      </c>
      <c r="C377" s="28">
        <f t="shared" si="20"/>
        <v>352.58902474822742</v>
      </c>
      <c r="D377" s="28">
        <f t="shared" si="20"/>
        <v>352.83195276159512</v>
      </c>
      <c r="E377" s="28">
        <f t="shared" si="20"/>
        <v>352.3077042406178</v>
      </c>
      <c r="F377" s="28">
        <f t="shared" si="20"/>
        <v>352.37584157521565</v>
      </c>
      <c r="G377" s="28">
        <f t="shared" si="20"/>
        <v>352.70110125095965</v>
      </c>
      <c r="H377" s="28">
        <f t="shared" si="20"/>
        <v>352.22768595041322</v>
      </c>
      <c r="I377" s="28">
        <f t="shared" si="20"/>
        <v>352.12164769904712</v>
      </c>
      <c r="J377" s="28">
        <f t="shared" si="20"/>
        <v>352.20708485751703</v>
      </c>
      <c r="K377" s="28">
        <f t="shared" si="20"/>
        <v>351.93432529467555</v>
      </c>
      <c r="L377" s="28">
        <f t="shared" si="20"/>
        <v>351.83992638757172</v>
      </c>
      <c r="M377" s="28">
        <f t="shared" si="20"/>
        <v>351.65208485751702</v>
      </c>
      <c r="N377" s="28">
        <f t="shared" si="20"/>
        <v>351.44162037664273</v>
      </c>
    </row>
    <row r="378" spans="1:14" x14ac:dyDescent="0.4">
      <c r="A378" s="1">
        <v>32690</v>
      </c>
      <c r="B378" s="28">
        <v>353.17208485751701</v>
      </c>
      <c r="C378" s="28">
        <f t="shared" si="20"/>
        <v>352.76162037664272</v>
      </c>
      <c r="D378" s="28">
        <f t="shared" si="20"/>
        <v>352.58902474822742</v>
      </c>
      <c r="E378" s="28">
        <f t="shared" si="20"/>
        <v>352.83195276159512</v>
      </c>
      <c r="F378" s="28">
        <f t="shared" si="20"/>
        <v>352.3077042406178</v>
      </c>
      <c r="G378" s="28">
        <f t="shared" si="20"/>
        <v>352.37584157521565</v>
      </c>
      <c r="H378" s="28">
        <f t="shared" si="20"/>
        <v>352.70110125095965</v>
      </c>
      <c r="I378" s="28">
        <f t="shared" si="20"/>
        <v>352.22768595041322</v>
      </c>
      <c r="J378" s="28">
        <f t="shared" si="20"/>
        <v>352.12164769904712</v>
      </c>
      <c r="K378" s="28">
        <f t="shared" si="20"/>
        <v>352.20708485751703</v>
      </c>
      <c r="L378" s="28">
        <f t="shared" si="20"/>
        <v>351.93432529467555</v>
      </c>
      <c r="M378" s="28">
        <f t="shared" si="20"/>
        <v>351.83992638757172</v>
      </c>
      <c r="N378" s="28">
        <f t="shared" si="20"/>
        <v>351.65208485751702</v>
      </c>
    </row>
    <row r="379" spans="1:14" x14ac:dyDescent="0.4">
      <c r="A379" s="1">
        <v>32721</v>
      </c>
      <c r="B379" s="28">
        <v>353.07992638757173</v>
      </c>
      <c r="C379" s="28">
        <f t="shared" si="20"/>
        <v>353.17208485751701</v>
      </c>
      <c r="D379" s="28">
        <f t="shared" si="20"/>
        <v>352.76162037664272</v>
      </c>
      <c r="E379" s="28">
        <f t="shared" si="20"/>
        <v>352.58902474822742</v>
      </c>
      <c r="F379" s="28">
        <f t="shared" si="20"/>
        <v>352.83195276159512</v>
      </c>
      <c r="G379" s="28">
        <f t="shared" si="20"/>
        <v>352.3077042406178</v>
      </c>
      <c r="H379" s="28">
        <f t="shared" si="20"/>
        <v>352.37584157521565</v>
      </c>
      <c r="I379" s="28">
        <f t="shared" si="20"/>
        <v>352.70110125095965</v>
      </c>
      <c r="J379" s="28">
        <f t="shared" si="20"/>
        <v>352.22768595041322</v>
      </c>
      <c r="K379" s="28">
        <f t="shared" si="20"/>
        <v>352.12164769904712</v>
      </c>
      <c r="L379" s="28">
        <f t="shared" si="20"/>
        <v>352.20708485751703</v>
      </c>
      <c r="M379" s="28">
        <f t="shared" si="20"/>
        <v>351.93432529467555</v>
      </c>
      <c r="N379" s="28">
        <f t="shared" si="20"/>
        <v>351.83992638757172</v>
      </c>
    </row>
    <row r="380" spans="1:14" x14ac:dyDescent="0.4">
      <c r="A380" s="1">
        <v>32752</v>
      </c>
      <c r="B380" s="28">
        <v>353.01432529467553</v>
      </c>
      <c r="C380" s="28">
        <f t="shared" si="20"/>
        <v>353.07992638757173</v>
      </c>
      <c r="D380" s="28">
        <f t="shared" si="20"/>
        <v>353.17208485751701</v>
      </c>
      <c r="E380" s="28">
        <f t="shared" si="20"/>
        <v>352.76162037664272</v>
      </c>
      <c r="F380" s="28">
        <f t="shared" si="20"/>
        <v>352.58902474822742</v>
      </c>
      <c r="G380" s="28">
        <f t="shared" si="20"/>
        <v>352.83195276159512</v>
      </c>
      <c r="H380" s="28">
        <f t="shared" si="20"/>
        <v>352.3077042406178</v>
      </c>
      <c r="I380" s="28">
        <f t="shared" si="20"/>
        <v>352.37584157521565</v>
      </c>
      <c r="J380" s="28">
        <f t="shared" si="20"/>
        <v>352.70110125095965</v>
      </c>
      <c r="K380" s="28">
        <f t="shared" si="20"/>
        <v>352.22768595041322</v>
      </c>
      <c r="L380" s="28">
        <f t="shared" si="20"/>
        <v>352.12164769904712</v>
      </c>
      <c r="M380" s="28">
        <f t="shared" si="20"/>
        <v>352.20708485751703</v>
      </c>
      <c r="N380" s="28">
        <f t="shared" si="20"/>
        <v>351.93432529467555</v>
      </c>
    </row>
    <row r="381" spans="1:14" x14ac:dyDescent="0.4">
      <c r="A381" s="1">
        <v>32782</v>
      </c>
      <c r="B381" s="28">
        <v>353.31708485751705</v>
      </c>
      <c r="C381" s="28">
        <f t="shared" si="20"/>
        <v>353.01432529467553</v>
      </c>
      <c r="D381" s="28">
        <f t="shared" si="20"/>
        <v>353.07992638757173</v>
      </c>
      <c r="E381" s="28">
        <f t="shared" si="20"/>
        <v>353.17208485751701</v>
      </c>
      <c r="F381" s="28">
        <f t="shared" si="20"/>
        <v>352.76162037664272</v>
      </c>
      <c r="G381" s="28">
        <f t="shared" si="20"/>
        <v>352.58902474822742</v>
      </c>
      <c r="H381" s="28">
        <f t="shared" si="20"/>
        <v>352.83195276159512</v>
      </c>
      <c r="I381" s="28">
        <f t="shared" si="20"/>
        <v>352.3077042406178</v>
      </c>
      <c r="J381" s="28">
        <f t="shared" si="20"/>
        <v>352.37584157521565</v>
      </c>
      <c r="K381" s="28">
        <f t="shared" si="20"/>
        <v>352.70110125095965</v>
      </c>
      <c r="L381" s="28">
        <f t="shared" si="20"/>
        <v>352.22768595041322</v>
      </c>
      <c r="M381" s="28">
        <f t="shared" si="20"/>
        <v>352.12164769904712</v>
      </c>
      <c r="N381" s="28">
        <f t="shared" si="20"/>
        <v>352.20708485751703</v>
      </c>
    </row>
    <row r="382" spans="1:14" x14ac:dyDescent="0.4">
      <c r="A382" s="1">
        <v>32813</v>
      </c>
      <c r="B382" s="28">
        <v>353.35164769904713</v>
      </c>
      <c r="C382" s="28">
        <f t="shared" si="20"/>
        <v>353.31708485751705</v>
      </c>
      <c r="D382" s="28">
        <f t="shared" si="20"/>
        <v>353.01432529467553</v>
      </c>
      <c r="E382" s="28">
        <f t="shared" si="20"/>
        <v>353.07992638757173</v>
      </c>
      <c r="F382" s="28">
        <f t="shared" si="20"/>
        <v>353.17208485751701</v>
      </c>
      <c r="G382" s="28">
        <f t="shared" si="20"/>
        <v>352.76162037664272</v>
      </c>
      <c r="H382" s="28">
        <f t="shared" si="20"/>
        <v>352.58902474822742</v>
      </c>
      <c r="I382" s="28">
        <f t="shared" si="20"/>
        <v>352.83195276159512</v>
      </c>
      <c r="J382" s="28">
        <f t="shared" si="20"/>
        <v>352.3077042406178</v>
      </c>
      <c r="K382" s="28">
        <f t="shared" si="20"/>
        <v>352.37584157521565</v>
      </c>
      <c r="L382" s="28">
        <f t="shared" si="20"/>
        <v>352.70110125095965</v>
      </c>
      <c r="M382" s="28">
        <f t="shared" si="20"/>
        <v>352.22768595041322</v>
      </c>
      <c r="N382" s="28">
        <f t="shared" si="20"/>
        <v>352.12164769904712</v>
      </c>
    </row>
    <row r="383" spans="1:14" x14ac:dyDescent="0.4">
      <c r="A383" s="1">
        <v>32843</v>
      </c>
      <c r="B383" s="28">
        <v>353.40768595041322</v>
      </c>
      <c r="C383" s="28">
        <f t="shared" si="20"/>
        <v>353.35164769904713</v>
      </c>
      <c r="D383" s="28">
        <f t="shared" si="20"/>
        <v>353.31708485751705</v>
      </c>
      <c r="E383" s="28">
        <f t="shared" si="20"/>
        <v>353.01432529467553</v>
      </c>
      <c r="F383" s="28">
        <f t="shared" si="20"/>
        <v>353.07992638757173</v>
      </c>
      <c r="G383" s="28">
        <f t="shared" si="20"/>
        <v>353.17208485751701</v>
      </c>
      <c r="H383" s="28">
        <f t="shared" si="20"/>
        <v>352.76162037664272</v>
      </c>
      <c r="I383" s="28">
        <f t="shared" si="20"/>
        <v>352.58902474822742</v>
      </c>
      <c r="J383" s="28">
        <f t="shared" si="20"/>
        <v>352.83195276159512</v>
      </c>
      <c r="K383" s="28">
        <f t="shared" si="20"/>
        <v>352.3077042406178</v>
      </c>
      <c r="L383" s="28">
        <f t="shared" si="20"/>
        <v>352.37584157521565</v>
      </c>
      <c r="M383" s="28">
        <f t="shared" si="20"/>
        <v>352.70110125095965</v>
      </c>
      <c r="N383" s="28">
        <f t="shared" si="20"/>
        <v>352.22768595041322</v>
      </c>
    </row>
    <row r="384" spans="1:14" x14ac:dyDescent="0.4">
      <c r="A384" s="1">
        <v>32874</v>
      </c>
      <c r="B384" s="28">
        <v>353.60110125095969</v>
      </c>
      <c r="C384" s="28">
        <f t="shared" si="20"/>
        <v>353.40768595041322</v>
      </c>
      <c r="D384" s="28">
        <f t="shared" si="20"/>
        <v>353.35164769904713</v>
      </c>
      <c r="E384" s="28">
        <f t="shared" si="20"/>
        <v>353.31708485751705</v>
      </c>
      <c r="F384" s="28">
        <f t="shared" si="20"/>
        <v>353.01432529467553</v>
      </c>
      <c r="G384" s="28">
        <f t="shared" si="20"/>
        <v>353.07992638757173</v>
      </c>
      <c r="H384" s="28">
        <f t="shared" si="20"/>
        <v>353.17208485751701</v>
      </c>
      <c r="I384" s="28">
        <f t="shared" si="20"/>
        <v>352.76162037664272</v>
      </c>
      <c r="J384" s="28">
        <f t="shared" si="20"/>
        <v>352.58902474822742</v>
      </c>
      <c r="K384" s="28">
        <f t="shared" si="20"/>
        <v>352.83195276159512</v>
      </c>
      <c r="L384" s="28">
        <f t="shared" si="20"/>
        <v>352.3077042406178</v>
      </c>
      <c r="M384" s="28">
        <f t="shared" si="20"/>
        <v>352.37584157521565</v>
      </c>
      <c r="N384" s="28">
        <f t="shared" si="20"/>
        <v>352.70110125095965</v>
      </c>
    </row>
    <row r="385" spans="1:14" x14ac:dyDescent="0.4">
      <c r="A385" s="1">
        <v>32905</v>
      </c>
      <c r="B385" s="28">
        <v>354.00584157521564</v>
      </c>
      <c r="C385" s="28">
        <f t="shared" si="20"/>
        <v>353.60110125095969</v>
      </c>
      <c r="D385" s="28">
        <f t="shared" si="20"/>
        <v>353.40768595041322</v>
      </c>
      <c r="E385" s="28">
        <f t="shared" si="20"/>
        <v>353.35164769904713</v>
      </c>
      <c r="F385" s="28">
        <f t="shared" si="20"/>
        <v>353.31708485751705</v>
      </c>
      <c r="G385" s="28">
        <f t="shared" si="20"/>
        <v>353.01432529467553</v>
      </c>
      <c r="H385" s="28">
        <f t="shared" si="20"/>
        <v>353.07992638757173</v>
      </c>
      <c r="I385" s="28">
        <f t="shared" si="20"/>
        <v>353.17208485751701</v>
      </c>
      <c r="J385" s="28">
        <f t="shared" si="20"/>
        <v>352.76162037664272</v>
      </c>
      <c r="K385" s="28">
        <f t="shared" si="20"/>
        <v>352.58902474822742</v>
      </c>
      <c r="L385" s="28">
        <f t="shared" si="20"/>
        <v>352.83195276159512</v>
      </c>
      <c r="M385" s="28">
        <f t="shared" si="20"/>
        <v>352.3077042406178</v>
      </c>
      <c r="N385" s="28">
        <f t="shared" si="20"/>
        <v>352.37584157521565</v>
      </c>
    </row>
    <row r="386" spans="1:14" x14ac:dyDescent="0.4">
      <c r="A386" s="1">
        <v>32933</v>
      </c>
      <c r="B386" s="28">
        <v>354.00770424061778</v>
      </c>
      <c r="C386" s="28">
        <f t="shared" si="20"/>
        <v>354.00584157521564</v>
      </c>
      <c r="D386" s="28">
        <f t="shared" si="20"/>
        <v>353.60110125095969</v>
      </c>
      <c r="E386" s="28">
        <f t="shared" si="20"/>
        <v>353.40768595041322</v>
      </c>
      <c r="F386" s="28">
        <f t="shared" si="20"/>
        <v>353.35164769904713</v>
      </c>
      <c r="G386" s="28">
        <f t="shared" si="20"/>
        <v>353.31708485751705</v>
      </c>
      <c r="H386" s="28">
        <f t="shared" si="20"/>
        <v>353.01432529467553</v>
      </c>
      <c r="I386" s="28">
        <f t="shared" si="20"/>
        <v>353.07992638757173</v>
      </c>
      <c r="J386" s="28">
        <f t="shared" si="20"/>
        <v>353.17208485751701</v>
      </c>
      <c r="K386" s="28">
        <f t="shared" si="20"/>
        <v>352.76162037664272</v>
      </c>
      <c r="L386" s="28">
        <f t="shared" si="20"/>
        <v>352.58902474822742</v>
      </c>
      <c r="M386" s="28">
        <f t="shared" si="20"/>
        <v>352.83195276159512</v>
      </c>
      <c r="N386" s="28">
        <f t="shared" si="20"/>
        <v>352.3077042406178</v>
      </c>
    </row>
    <row r="387" spans="1:14" x14ac:dyDescent="0.4">
      <c r="A387" s="1">
        <v>32964</v>
      </c>
      <c r="B387" s="28">
        <v>353.61195276159509</v>
      </c>
      <c r="C387" s="28">
        <f t="shared" si="20"/>
        <v>354.00770424061778</v>
      </c>
      <c r="D387" s="28">
        <f t="shared" si="20"/>
        <v>354.00584157521564</v>
      </c>
      <c r="E387" s="28">
        <f t="shared" si="20"/>
        <v>353.60110125095969</v>
      </c>
      <c r="F387" s="28">
        <f t="shared" si="20"/>
        <v>353.40768595041322</v>
      </c>
      <c r="G387" s="28">
        <f t="shared" si="20"/>
        <v>353.35164769904713</v>
      </c>
      <c r="H387" s="28">
        <f t="shared" si="20"/>
        <v>353.31708485751705</v>
      </c>
      <c r="I387" s="28">
        <f t="shared" si="20"/>
        <v>353.01432529467553</v>
      </c>
      <c r="J387" s="28">
        <f t="shared" si="20"/>
        <v>353.07992638757173</v>
      </c>
      <c r="K387" s="28">
        <f t="shared" si="20"/>
        <v>353.17208485751701</v>
      </c>
      <c r="L387" s="28">
        <f t="shared" si="20"/>
        <v>352.76162037664272</v>
      </c>
      <c r="M387" s="28">
        <f t="shared" si="20"/>
        <v>352.58902474822742</v>
      </c>
      <c r="N387" s="28">
        <f t="shared" si="20"/>
        <v>352.83195276159512</v>
      </c>
    </row>
    <row r="388" spans="1:14" x14ac:dyDescent="0.4">
      <c r="A388" s="1">
        <v>32994</v>
      </c>
      <c r="B388" s="28">
        <v>354.07902474822743</v>
      </c>
      <c r="C388" s="28">
        <f t="shared" ref="C388:N451" si="21">IF(B387=0,"",B387)</f>
        <v>353.61195276159509</v>
      </c>
      <c r="D388" s="28">
        <f t="shared" si="21"/>
        <v>354.00770424061778</v>
      </c>
      <c r="E388" s="28">
        <f t="shared" si="21"/>
        <v>354.00584157521564</v>
      </c>
      <c r="F388" s="28">
        <f t="shared" si="21"/>
        <v>353.60110125095969</v>
      </c>
      <c r="G388" s="28">
        <f t="shared" si="21"/>
        <v>353.40768595041322</v>
      </c>
      <c r="H388" s="28">
        <f t="shared" si="21"/>
        <v>353.35164769904713</v>
      </c>
      <c r="I388" s="28">
        <f t="shared" si="21"/>
        <v>353.31708485751705</v>
      </c>
      <c r="J388" s="28">
        <f t="shared" si="21"/>
        <v>353.01432529467553</v>
      </c>
      <c r="K388" s="28">
        <f t="shared" si="21"/>
        <v>353.07992638757173</v>
      </c>
      <c r="L388" s="28">
        <f t="shared" si="21"/>
        <v>353.17208485751701</v>
      </c>
      <c r="M388" s="28">
        <f t="shared" si="21"/>
        <v>352.76162037664272</v>
      </c>
      <c r="N388" s="28">
        <f t="shared" si="21"/>
        <v>352.58902474822742</v>
      </c>
    </row>
    <row r="389" spans="1:14" x14ac:dyDescent="0.4">
      <c r="A389" s="1">
        <v>33025</v>
      </c>
      <c r="B389" s="28">
        <v>353.87162037664274</v>
      </c>
      <c r="C389" s="28">
        <f t="shared" si="21"/>
        <v>354.07902474822743</v>
      </c>
      <c r="D389" s="28">
        <f t="shared" si="21"/>
        <v>353.61195276159509</v>
      </c>
      <c r="E389" s="28">
        <f t="shared" si="21"/>
        <v>354.00770424061778</v>
      </c>
      <c r="F389" s="28">
        <f t="shared" si="21"/>
        <v>354.00584157521564</v>
      </c>
      <c r="G389" s="28">
        <f t="shared" si="21"/>
        <v>353.60110125095969</v>
      </c>
      <c r="H389" s="28">
        <f t="shared" si="21"/>
        <v>353.40768595041322</v>
      </c>
      <c r="I389" s="28">
        <f t="shared" si="21"/>
        <v>353.35164769904713</v>
      </c>
      <c r="J389" s="28">
        <f t="shared" si="21"/>
        <v>353.31708485751705</v>
      </c>
      <c r="K389" s="28">
        <f t="shared" si="21"/>
        <v>353.01432529467553</v>
      </c>
      <c r="L389" s="28">
        <f t="shared" si="21"/>
        <v>353.07992638757173</v>
      </c>
      <c r="M389" s="28">
        <f t="shared" si="21"/>
        <v>353.17208485751701</v>
      </c>
      <c r="N389" s="28">
        <f t="shared" si="21"/>
        <v>352.76162037664272</v>
      </c>
    </row>
    <row r="390" spans="1:14" x14ac:dyDescent="0.4">
      <c r="A390" s="1">
        <v>33055</v>
      </c>
      <c r="B390" s="28">
        <v>354.08208485751703</v>
      </c>
      <c r="C390" s="28">
        <f t="shared" si="21"/>
        <v>353.87162037664274</v>
      </c>
      <c r="D390" s="28">
        <f t="shared" si="21"/>
        <v>354.07902474822743</v>
      </c>
      <c r="E390" s="28">
        <f t="shared" si="21"/>
        <v>353.61195276159509</v>
      </c>
      <c r="F390" s="28">
        <f t="shared" si="21"/>
        <v>354.00770424061778</v>
      </c>
      <c r="G390" s="28">
        <f t="shared" si="21"/>
        <v>354.00584157521564</v>
      </c>
      <c r="H390" s="28">
        <f t="shared" si="21"/>
        <v>353.60110125095969</v>
      </c>
      <c r="I390" s="28">
        <f t="shared" si="21"/>
        <v>353.40768595041322</v>
      </c>
      <c r="J390" s="28">
        <f t="shared" si="21"/>
        <v>353.35164769904713</v>
      </c>
      <c r="K390" s="28">
        <f t="shared" si="21"/>
        <v>353.31708485751705</v>
      </c>
      <c r="L390" s="28">
        <f t="shared" si="21"/>
        <v>353.01432529467553</v>
      </c>
      <c r="M390" s="28">
        <f t="shared" si="21"/>
        <v>353.07992638757173</v>
      </c>
      <c r="N390" s="28">
        <f t="shared" si="21"/>
        <v>353.17208485751701</v>
      </c>
    </row>
    <row r="391" spans="1:14" x14ac:dyDescent="0.4">
      <c r="A391" s="1">
        <v>33086</v>
      </c>
      <c r="B391" s="28">
        <v>354.31992638757174</v>
      </c>
      <c r="C391" s="28">
        <f t="shared" si="21"/>
        <v>354.08208485751703</v>
      </c>
      <c r="D391" s="28">
        <f t="shared" si="21"/>
        <v>353.87162037664274</v>
      </c>
      <c r="E391" s="28">
        <f t="shared" si="21"/>
        <v>354.07902474822743</v>
      </c>
      <c r="F391" s="28">
        <f t="shared" si="21"/>
        <v>353.61195276159509</v>
      </c>
      <c r="G391" s="28">
        <f t="shared" si="21"/>
        <v>354.00770424061778</v>
      </c>
      <c r="H391" s="28">
        <f t="shared" si="21"/>
        <v>354.00584157521564</v>
      </c>
      <c r="I391" s="28">
        <f t="shared" si="21"/>
        <v>353.60110125095969</v>
      </c>
      <c r="J391" s="28">
        <f t="shared" si="21"/>
        <v>353.40768595041322</v>
      </c>
      <c r="K391" s="28">
        <f t="shared" si="21"/>
        <v>353.35164769904713</v>
      </c>
      <c r="L391" s="28">
        <f t="shared" si="21"/>
        <v>353.31708485751705</v>
      </c>
      <c r="M391" s="28">
        <f t="shared" si="21"/>
        <v>353.01432529467553</v>
      </c>
      <c r="N391" s="28">
        <f t="shared" si="21"/>
        <v>353.07992638757173</v>
      </c>
    </row>
    <row r="392" spans="1:14" x14ac:dyDescent="0.4">
      <c r="A392" s="1">
        <v>33117</v>
      </c>
      <c r="B392" s="28">
        <v>354.16432529467551</v>
      </c>
      <c r="C392" s="28">
        <f t="shared" si="21"/>
        <v>354.31992638757174</v>
      </c>
      <c r="D392" s="28">
        <f t="shared" si="21"/>
        <v>354.08208485751703</v>
      </c>
      <c r="E392" s="28">
        <f t="shared" si="21"/>
        <v>353.87162037664274</v>
      </c>
      <c r="F392" s="28">
        <f t="shared" si="21"/>
        <v>354.07902474822743</v>
      </c>
      <c r="G392" s="28">
        <f t="shared" si="21"/>
        <v>353.61195276159509</v>
      </c>
      <c r="H392" s="28">
        <f t="shared" si="21"/>
        <v>354.00770424061778</v>
      </c>
      <c r="I392" s="28">
        <f t="shared" si="21"/>
        <v>354.00584157521564</v>
      </c>
      <c r="J392" s="28">
        <f t="shared" si="21"/>
        <v>353.60110125095969</v>
      </c>
      <c r="K392" s="28">
        <f t="shared" si="21"/>
        <v>353.40768595041322</v>
      </c>
      <c r="L392" s="28">
        <f t="shared" si="21"/>
        <v>353.35164769904713</v>
      </c>
      <c r="M392" s="28">
        <f t="shared" si="21"/>
        <v>353.31708485751705</v>
      </c>
      <c r="N392" s="28">
        <f t="shared" si="21"/>
        <v>353.01432529467553</v>
      </c>
    </row>
    <row r="393" spans="1:14" x14ac:dyDescent="0.4">
      <c r="A393" s="1">
        <v>33147</v>
      </c>
      <c r="B393" s="28">
        <v>354.50708485751704</v>
      </c>
      <c r="C393" s="28">
        <f t="shared" si="21"/>
        <v>354.16432529467551</v>
      </c>
      <c r="D393" s="28">
        <f t="shared" si="21"/>
        <v>354.31992638757174</v>
      </c>
      <c r="E393" s="28">
        <f t="shared" si="21"/>
        <v>354.08208485751703</v>
      </c>
      <c r="F393" s="28">
        <f t="shared" si="21"/>
        <v>353.87162037664274</v>
      </c>
      <c r="G393" s="28">
        <f t="shared" si="21"/>
        <v>354.07902474822743</v>
      </c>
      <c r="H393" s="28">
        <f t="shared" si="21"/>
        <v>353.61195276159509</v>
      </c>
      <c r="I393" s="28">
        <f t="shared" si="21"/>
        <v>354.00770424061778</v>
      </c>
      <c r="J393" s="28">
        <f t="shared" si="21"/>
        <v>354.00584157521564</v>
      </c>
      <c r="K393" s="28">
        <f t="shared" si="21"/>
        <v>353.60110125095969</v>
      </c>
      <c r="L393" s="28">
        <f t="shared" si="21"/>
        <v>353.40768595041322</v>
      </c>
      <c r="M393" s="28">
        <f t="shared" si="21"/>
        <v>353.35164769904713</v>
      </c>
      <c r="N393" s="28">
        <f t="shared" si="21"/>
        <v>353.31708485751705</v>
      </c>
    </row>
    <row r="394" spans="1:14" x14ac:dyDescent="0.4">
      <c r="A394" s="1">
        <v>33178</v>
      </c>
      <c r="B394" s="28">
        <v>354.88164769904711</v>
      </c>
      <c r="C394" s="28">
        <f t="shared" si="21"/>
        <v>354.50708485751704</v>
      </c>
      <c r="D394" s="28">
        <f t="shared" si="21"/>
        <v>354.16432529467551</v>
      </c>
      <c r="E394" s="28">
        <f t="shared" si="21"/>
        <v>354.31992638757174</v>
      </c>
      <c r="F394" s="28">
        <f t="shared" si="21"/>
        <v>354.08208485751703</v>
      </c>
      <c r="G394" s="28">
        <f t="shared" si="21"/>
        <v>353.87162037664274</v>
      </c>
      <c r="H394" s="28">
        <f t="shared" si="21"/>
        <v>354.07902474822743</v>
      </c>
      <c r="I394" s="28">
        <f t="shared" si="21"/>
        <v>353.61195276159509</v>
      </c>
      <c r="J394" s="28">
        <f t="shared" si="21"/>
        <v>354.00770424061778</v>
      </c>
      <c r="K394" s="28">
        <f t="shared" si="21"/>
        <v>354.00584157521564</v>
      </c>
      <c r="L394" s="28">
        <f t="shared" si="21"/>
        <v>353.60110125095969</v>
      </c>
      <c r="M394" s="28">
        <f t="shared" si="21"/>
        <v>353.40768595041322</v>
      </c>
      <c r="N394" s="28">
        <f t="shared" si="21"/>
        <v>353.35164769904713</v>
      </c>
    </row>
    <row r="395" spans="1:14" x14ac:dyDescent="0.4">
      <c r="A395" s="1">
        <v>33208</v>
      </c>
      <c r="B395" s="28">
        <v>355.09768595041322</v>
      </c>
      <c r="C395" s="28">
        <f t="shared" si="21"/>
        <v>354.88164769904711</v>
      </c>
      <c r="D395" s="28">
        <f t="shared" si="21"/>
        <v>354.50708485751704</v>
      </c>
      <c r="E395" s="28">
        <f t="shared" si="21"/>
        <v>354.16432529467551</v>
      </c>
      <c r="F395" s="28">
        <f t="shared" si="21"/>
        <v>354.31992638757174</v>
      </c>
      <c r="G395" s="28">
        <f t="shared" si="21"/>
        <v>354.08208485751703</v>
      </c>
      <c r="H395" s="28">
        <f t="shared" si="21"/>
        <v>353.87162037664274</v>
      </c>
      <c r="I395" s="28">
        <f t="shared" si="21"/>
        <v>354.07902474822743</v>
      </c>
      <c r="J395" s="28">
        <f t="shared" si="21"/>
        <v>353.61195276159509</v>
      </c>
      <c r="K395" s="28">
        <f t="shared" si="21"/>
        <v>354.00770424061778</v>
      </c>
      <c r="L395" s="28">
        <f t="shared" si="21"/>
        <v>354.00584157521564</v>
      </c>
      <c r="M395" s="28">
        <f t="shared" si="21"/>
        <v>353.60110125095969</v>
      </c>
      <c r="N395" s="28">
        <f t="shared" si="21"/>
        <v>353.40768595041322</v>
      </c>
    </row>
    <row r="396" spans="1:14" x14ac:dyDescent="0.4">
      <c r="A396" s="1">
        <v>33239</v>
      </c>
      <c r="B396" s="28">
        <v>354.66110125095969</v>
      </c>
      <c r="C396" s="28">
        <f t="shared" si="21"/>
        <v>355.09768595041322</v>
      </c>
      <c r="D396" s="28">
        <f t="shared" si="21"/>
        <v>354.88164769904711</v>
      </c>
      <c r="E396" s="28">
        <f t="shared" si="21"/>
        <v>354.50708485751704</v>
      </c>
      <c r="F396" s="28">
        <f t="shared" si="21"/>
        <v>354.16432529467551</v>
      </c>
      <c r="G396" s="28">
        <f t="shared" si="21"/>
        <v>354.31992638757174</v>
      </c>
      <c r="H396" s="28">
        <f t="shared" si="21"/>
        <v>354.08208485751703</v>
      </c>
      <c r="I396" s="28">
        <f t="shared" si="21"/>
        <v>353.87162037664274</v>
      </c>
      <c r="J396" s="28">
        <f t="shared" si="21"/>
        <v>354.07902474822743</v>
      </c>
      <c r="K396" s="28">
        <f t="shared" si="21"/>
        <v>353.61195276159509</v>
      </c>
      <c r="L396" s="28">
        <f t="shared" si="21"/>
        <v>354.00770424061778</v>
      </c>
      <c r="M396" s="28">
        <f t="shared" si="21"/>
        <v>354.00584157521564</v>
      </c>
      <c r="N396" s="28">
        <f t="shared" si="21"/>
        <v>353.60110125095969</v>
      </c>
    </row>
    <row r="397" spans="1:14" x14ac:dyDescent="0.4">
      <c r="A397" s="1">
        <v>33270</v>
      </c>
      <c r="B397" s="28">
        <v>355.05584157521565</v>
      </c>
      <c r="C397" s="28">
        <f t="shared" si="21"/>
        <v>354.66110125095969</v>
      </c>
      <c r="D397" s="28">
        <f t="shared" si="21"/>
        <v>355.09768595041322</v>
      </c>
      <c r="E397" s="28">
        <f t="shared" si="21"/>
        <v>354.88164769904711</v>
      </c>
      <c r="F397" s="28">
        <f t="shared" si="21"/>
        <v>354.50708485751704</v>
      </c>
      <c r="G397" s="28">
        <f t="shared" si="21"/>
        <v>354.16432529467551</v>
      </c>
      <c r="H397" s="28">
        <f t="shared" si="21"/>
        <v>354.31992638757174</v>
      </c>
      <c r="I397" s="28">
        <f t="shared" si="21"/>
        <v>354.08208485751703</v>
      </c>
      <c r="J397" s="28">
        <f t="shared" si="21"/>
        <v>353.87162037664274</v>
      </c>
      <c r="K397" s="28">
        <f t="shared" si="21"/>
        <v>354.07902474822743</v>
      </c>
      <c r="L397" s="28">
        <f t="shared" si="21"/>
        <v>353.61195276159509</v>
      </c>
      <c r="M397" s="28">
        <f t="shared" si="21"/>
        <v>354.00770424061778</v>
      </c>
      <c r="N397" s="28">
        <f t="shared" si="21"/>
        <v>354.00584157521564</v>
      </c>
    </row>
    <row r="398" spans="1:14" x14ac:dyDescent="0.4">
      <c r="A398" s="1">
        <v>33298</v>
      </c>
      <c r="B398" s="28">
        <v>355.78770424061781</v>
      </c>
      <c r="C398" s="28">
        <f t="shared" si="21"/>
        <v>355.05584157521565</v>
      </c>
      <c r="D398" s="28">
        <f t="shared" si="21"/>
        <v>354.66110125095969</v>
      </c>
      <c r="E398" s="28">
        <f t="shared" si="21"/>
        <v>355.09768595041322</v>
      </c>
      <c r="F398" s="28">
        <f t="shared" si="21"/>
        <v>354.88164769904711</v>
      </c>
      <c r="G398" s="28">
        <f t="shared" si="21"/>
        <v>354.50708485751704</v>
      </c>
      <c r="H398" s="28">
        <f t="shared" si="21"/>
        <v>354.16432529467551</v>
      </c>
      <c r="I398" s="28">
        <f t="shared" si="21"/>
        <v>354.31992638757174</v>
      </c>
      <c r="J398" s="28">
        <f t="shared" si="21"/>
        <v>354.08208485751703</v>
      </c>
      <c r="K398" s="28">
        <f t="shared" si="21"/>
        <v>353.87162037664274</v>
      </c>
      <c r="L398" s="28">
        <f t="shared" si="21"/>
        <v>354.07902474822743</v>
      </c>
      <c r="M398" s="28">
        <f t="shared" si="21"/>
        <v>353.61195276159509</v>
      </c>
      <c r="N398" s="28">
        <f t="shared" si="21"/>
        <v>354.00770424061778</v>
      </c>
    </row>
    <row r="399" spans="1:14" x14ac:dyDescent="0.4">
      <c r="A399" s="1">
        <v>33329</v>
      </c>
      <c r="B399" s="28">
        <v>356.01195276159513</v>
      </c>
      <c r="C399" s="28">
        <f t="shared" si="21"/>
        <v>355.78770424061781</v>
      </c>
      <c r="D399" s="28">
        <f t="shared" si="21"/>
        <v>355.05584157521565</v>
      </c>
      <c r="E399" s="28">
        <f t="shared" si="21"/>
        <v>354.66110125095969</v>
      </c>
      <c r="F399" s="28">
        <f t="shared" si="21"/>
        <v>355.09768595041322</v>
      </c>
      <c r="G399" s="28">
        <f t="shared" si="21"/>
        <v>354.88164769904711</v>
      </c>
      <c r="H399" s="28">
        <f t="shared" si="21"/>
        <v>354.50708485751704</v>
      </c>
      <c r="I399" s="28">
        <f t="shared" si="21"/>
        <v>354.16432529467551</v>
      </c>
      <c r="J399" s="28">
        <f t="shared" si="21"/>
        <v>354.31992638757174</v>
      </c>
      <c r="K399" s="28">
        <f t="shared" si="21"/>
        <v>354.08208485751703</v>
      </c>
      <c r="L399" s="28">
        <f t="shared" si="21"/>
        <v>353.87162037664274</v>
      </c>
      <c r="M399" s="28">
        <f t="shared" si="21"/>
        <v>354.07902474822743</v>
      </c>
      <c r="N399" s="28">
        <f t="shared" si="21"/>
        <v>353.61195276159509</v>
      </c>
    </row>
    <row r="400" spans="1:14" x14ac:dyDescent="0.4">
      <c r="A400" s="1">
        <v>33359</v>
      </c>
      <c r="B400" s="28">
        <v>356.25902474822738</v>
      </c>
      <c r="C400" s="28">
        <f t="shared" si="21"/>
        <v>356.01195276159513</v>
      </c>
      <c r="D400" s="28">
        <f t="shared" si="21"/>
        <v>355.78770424061781</v>
      </c>
      <c r="E400" s="28">
        <f t="shared" si="21"/>
        <v>355.05584157521565</v>
      </c>
      <c r="F400" s="28">
        <f t="shared" si="21"/>
        <v>354.66110125095969</v>
      </c>
      <c r="G400" s="28">
        <f t="shared" si="21"/>
        <v>355.09768595041322</v>
      </c>
      <c r="H400" s="28">
        <f t="shared" si="21"/>
        <v>354.88164769904711</v>
      </c>
      <c r="I400" s="28">
        <f t="shared" si="21"/>
        <v>354.50708485751704</v>
      </c>
      <c r="J400" s="28">
        <f t="shared" si="21"/>
        <v>354.16432529467551</v>
      </c>
      <c r="K400" s="28">
        <f t="shared" si="21"/>
        <v>354.31992638757174</v>
      </c>
      <c r="L400" s="28">
        <f t="shared" si="21"/>
        <v>354.08208485751703</v>
      </c>
      <c r="M400" s="28">
        <f t="shared" si="21"/>
        <v>353.87162037664274</v>
      </c>
      <c r="N400" s="28">
        <f t="shared" si="21"/>
        <v>354.07902474822743</v>
      </c>
    </row>
    <row r="401" spans="1:14" x14ac:dyDescent="0.4">
      <c r="A401" s="1">
        <v>33390</v>
      </c>
      <c r="B401" s="28">
        <v>355.88162037664273</v>
      </c>
      <c r="C401" s="28">
        <f t="shared" si="21"/>
        <v>356.25902474822738</v>
      </c>
      <c r="D401" s="28">
        <f t="shared" si="21"/>
        <v>356.01195276159513</v>
      </c>
      <c r="E401" s="28">
        <f t="shared" si="21"/>
        <v>355.78770424061781</v>
      </c>
      <c r="F401" s="28">
        <f t="shared" si="21"/>
        <v>355.05584157521565</v>
      </c>
      <c r="G401" s="28">
        <f t="shared" si="21"/>
        <v>354.66110125095969</v>
      </c>
      <c r="H401" s="28">
        <f t="shared" si="21"/>
        <v>355.09768595041322</v>
      </c>
      <c r="I401" s="28">
        <f t="shared" si="21"/>
        <v>354.88164769904711</v>
      </c>
      <c r="J401" s="28">
        <f t="shared" si="21"/>
        <v>354.50708485751704</v>
      </c>
      <c r="K401" s="28">
        <f t="shared" si="21"/>
        <v>354.16432529467551</v>
      </c>
      <c r="L401" s="28">
        <f t="shared" si="21"/>
        <v>354.31992638757174</v>
      </c>
      <c r="M401" s="28">
        <f t="shared" si="21"/>
        <v>354.08208485751703</v>
      </c>
      <c r="N401" s="28">
        <f t="shared" si="21"/>
        <v>353.87162037664274</v>
      </c>
    </row>
    <row r="402" spans="1:14" x14ac:dyDescent="0.4">
      <c r="A402" s="1">
        <v>33420</v>
      </c>
      <c r="B402" s="28">
        <v>355.44208485751705</v>
      </c>
      <c r="C402" s="28">
        <f t="shared" si="21"/>
        <v>355.88162037664273</v>
      </c>
      <c r="D402" s="28">
        <f t="shared" si="21"/>
        <v>356.25902474822738</v>
      </c>
      <c r="E402" s="28">
        <f t="shared" si="21"/>
        <v>356.01195276159513</v>
      </c>
      <c r="F402" s="28">
        <f t="shared" si="21"/>
        <v>355.78770424061781</v>
      </c>
      <c r="G402" s="28">
        <f t="shared" si="21"/>
        <v>355.05584157521565</v>
      </c>
      <c r="H402" s="28">
        <f t="shared" si="21"/>
        <v>354.66110125095969</v>
      </c>
      <c r="I402" s="28">
        <f t="shared" si="21"/>
        <v>355.09768595041322</v>
      </c>
      <c r="J402" s="28">
        <f t="shared" si="21"/>
        <v>354.88164769904711</v>
      </c>
      <c r="K402" s="28">
        <f t="shared" si="21"/>
        <v>354.50708485751704</v>
      </c>
      <c r="L402" s="28">
        <f t="shared" si="21"/>
        <v>354.16432529467551</v>
      </c>
      <c r="M402" s="28">
        <f t="shared" si="21"/>
        <v>354.31992638757174</v>
      </c>
      <c r="N402" s="28">
        <f t="shared" si="21"/>
        <v>354.08208485751703</v>
      </c>
    </row>
    <row r="403" spans="1:14" x14ac:dyDescent="0.4">
      <c r="A403" s="1">
        <v>33451</v>
      </c>
      <c r="B403" s="28">
        <v>355.41992638757171</v>
      </c>
      <c r="C403" s="28">
        <f t="shared" si="21"/>
        <v>355.44208485751705</v>
      </c>
      <c r="D403" s="28">
        <f t="shared" si="21"/>
        <v>355.88162037664273</v>
      </c>
      <c r="E403" s="28">
        <f t="shared" si="21"/>
        <v>356.25902474822738</v>
      </c>
      <c r="F403" s="28">
        <f t="shared" si="21"/>
        <v>356.01195276159513</v>
      </c>
      <c r="G403" s="28">
        <f t="shared" si="21"/>
        <v>355.78770424061781</v>
      </c>
      <c r="H403" s="28">
        <f t="shared" si="21"/>
        <v>355.05584157521565</v>
      </c>
      <c r="I403" s="28">
        <f t="shared" si="21"/>
        <v>354.66110125095969</v>
      </c>
      <c r="J403" s="28">
        <f t="shared" si="21"/>
        <v>355.09768595041322</v>
      </c>
      <c r="K403" s="28">
        <f t="shared" si="21"/>
        <v>354.88164769904711</v>
      </c>
      <c r="L403" s="28">
        <f t="shared" si="21"/>
        <v>354.50708485751704</v>
      </c>
      <c r="M403" s="28">
        <f t="shared" si="21"/>
        <v>354.16432529467551</v>
      </c>
      <c r="N403" s="28">
        <f t="shared" si="21"/>
        <v>354.31992638757174</v>
      </c>
    </row>
    <row r="404" spans="1:14" x14ac:dyDescent="0.4">
      <c r="A404" s="1">
        <v>33482</v>
      </c>
      <c r="B404" s="28">
        <v>355.3543252946755</v>
      </c>
      <c r="C404" s="28">
        <f t="shared" si="21"/>
        <v>355.41992638757171</v>
      </c>
      <c r="D404" s="28">
        <f t="shared" si="21"/>
        <v>355.44208485751705</v>
      </c>
      <c r="E404" s="28">
        <f t="shared" si="21"/>
        <v>355.88162037664273</v>
      </c>
      <c r="F404" s="28">
        <f t="shared" si="21"/>
        <v>356.25902474822738</v>
      </c>
      <c r="G404" s="28">
        <f t="shared" si="21"/>
        <v>356.01195276159513</v>
      </c>
      <c r="H404" s="28">
        <f t="shared" si="21"/>
        <v>355.78770424061781</v>
      </c>
      <c r="I404" s="28">
        <f t="shared" si="21"/>
        <v>355.05584157521565</v>
      </c>
      <c r="J404" s="28">
        <f t="shared" si="21"/>
        <v>354.66110125095969</v>
      </c>
      <c r="K404" s="28">
        <f t="shared" si="21"/>
        <v>355.09768595041322</v>
      </c>
      <c r="L404" s="28">
        <f t="shared" si="21"/>
        <v>354.88164769904711</v>
      </c>
      <c r="M404" s="28">
        <f t="shared" si="21"/>
        <v>354.50708485751704</v>
      </c>
      <c r="N404" s="28">
        <f t="shared" si="21"/>
        <v>354.16432529467551</v>
      </c>
    </row>
    <row r="405" spans="1:14" x14ac:dyDescent="0.4">
      <c r="A405" s="1">
        <v>33512</v>
      </c>
      <c r="B405" s="28">
        <v>355.53708485751702</v>
      </c>
      <c r="C405" s="28">
        <f t="shared" si="21"/>
        <v>355.3543252946755</v>
      </c>
      <c r="D405" s="28">
        <f t="shared" si="21"/>
        <v>355.41992638757171</v>
      </c>
      <c r="E405" s="28">
        <f t="shared" si="21"/>
        <v>355.44208485751705</v>
      </c>
      <c r="F405" s="28">
        <f t="shared" si="21"/>
        <v>355.88162037664273</v>
      </c>
      <c r="G405" s="28">
        <f t="shared" si="21"/>
        <v>356.25902474822738</v>
      </c>
      <c r="H405" s="28">
        <f t="shared" si="21"/>
        <v>356.01195276159513</v>
      </c>
      <c r="I405" s="28">
        <f t="shared" si="21"/>
        <v>355.78770424061781</v>
      </c>
      <c r="J405" s="28">
        <f t="shared" si="21"/>
        <v>355.05584157521565</v>
      </c>
      <c r="K405" s="28">
        <f t="shared" si="21"/>
        <v>354.66110125095969</v>
      </c>
      <c r="L405" s="28">
        <f t="shared" si="21"/>
        <v>355.09768595041322</v>
      </c>
      <c r="M405" s="28">
        <f t="shared" si="21"/>
        <v>354.88164769904711</v>
      </c>
      <c r="N405" s="28">
        <f t="shared" si="21"/>
        <v>354.50708485751704</v>
      </c>
    </row>
    <row r="406" spans="1:14" x14ac:dyDescent="0.4">
      <c r="A406" s="1">
        <v>33543</v>
      </c>
      <c r="B406" s="28">
        <v>355.80164769904712</v>
      </c>
      <c r="C406" s="28">
        <f t="shared" si="21"/>
        <v>355.53708485751702</v>
      </c>
      <c r="D406" s="28">
        <f t="shared" si="21"/>
        <v>355.3543252946755</v>
      </c>
      <c r="E406" s="28">
        <f t="shared" si="21"/>
        <v>355.41992638757171</v>
      </c>
      <c r="F406" s="28">
        <f t="shared" si="21"/>
        <v>355.44208485751705</v>
      </c>
      <c r="G406" s="28">
        <f t="shared" si="21"/>
        <v>355.88162037664273</v>
      </c>
      <c r="H406" s="28">
        <f t="shared" si="21"/>
        <v>356.25902474822738</v>
      </c>
      <c r="I406" s="28">
        <f t="shared" si="21"/>
        <v>356.01195276159513</v>
      </c>
      <c r="J406" s="28">
        <f t="shared" si="21"/>
        <v>355.78770424061781</v>
      </c>
      <c r="K406" s="28">
        <f t="shared" si="21"/>
        <v>355.05584157521565</v>
      </c>
      <c r="L406" s="28">
        <f t="shared" si="21"/>
        <v>354.66110125095969</v>
      </c>
      <c r="M406" s="28">
        <f t="shared" si="21"/>
        <v>355.09768595041322</v>
      </c>
      <c r="N406" s="28">
        <f t="shared" si="21"/>
        <v>354.88164769904711</v>
      </c>
    </row>
    <row r="407" spans="1:14" x14ac:dyDescent="0.4">
      <c r="A407" s="1">
        <v>33573</v>
      </c>
      <c r="B407" s="28">
        <v>355.87768595041325</v>
      </c>
      <c r="C407" s="28">
        <f t="shared" si="21"/>
        <v>355.80164769904712</v>
      </c>
      <c r="D407" s="28">
        <f t="shared" si="21"/>
        <v>355.53708485751702</v>
      </c>
      <c r="E407" s="28">
        <f t="shared" si="21"/>
        <v>355.3543252946755</v>
      </c>
      <c r="F407" s="28">
        <f t="shared" si="21"/>
        <v>355.41992638757171</v>
      </c>
      <c r="G407" s="28">
        <f t="shared" si="21"/>
        <v>355.44208485751705</v>
      </c>
      <c r="H407" s="28">
        <f t="shared" si="21"/>
        <v>355.88162037664273</v>
      </c>
      <c r="I407" s="28">
        <f t="shared" si="21"/>
        <v>356.25902474822738</v>
      </c>
      <c r="J407" s="28">
        <f t="shared" si="21"/>
        <v>356.01195276159513</v>
      </c>
      <c r="K407" s="28">
        <f t="shared" si="21"/>
        <v>355.78770424061781</v>
      </c>
      <c r="L407" s="28">
        <f t="shared" si="21"/>
        <v>355.05584157521565</v>
      </c>
      <c r="M407" s="28">
        <f t="shared" si="21"/>
        <v>354.66110125095969</v>
      </c>
      <c r="N407" s="28">
        <f t="shared" si="21"/>
        <v>355.09768595041322</v>
      </c>
    </row>
    <row r="408" spans="1:14" x14ac:dyDescent="0.4">
      <c r="A408" s="1">
        <v>33604</v>
      </c>
      <c r="B408" s="28">
        <v>355.93110125095967</v>
      </c>
      <c r="C408" s="28">
        <f t="shared" si="21"/>
        <v>355.87768595041325</v>
      </c>
      <c r="D408" s="28">
        <f t="shared" si="21"/>
        <v>355.80164769904712</v>
      </c>
      <c r="E408" s="28">
        <f t="shared" si="21"/>
        <v>355.53708485751702</v>
      </c>
      <c r="F408" s="28">
        <f t="shared" si="21"/>
        <v>355.3543252946755</v>
      </c>
      <c r="G408" s="28">
        <f t="shared" si="21"/>
        <v>355.41992638757171</v>
      </c>
      <c r="H408" s="28">
        <f t="shared" si="21"/>
        <v>355.44208485751705</v>
      </c>
      <c r="I408" s="28">
        <f t="shared" si="21"/>
        <v>355.88162037664273</v>
      </c>
      <c r="J408" s="28">
        <f t="shared" si="21"/>
        <v>356.25902474822738</v>
      </c>
      <c r="K408" s="28">
        <f t="shared" si="21"/>
        <v>356.01195276159513</v>
      </c>
      <c r="L408" s="28">
        <f t="shared" si="21"/>
        <v>355.78770424061781</v>
      </c>
      <c r="M408" s="28">
        <f t="shared" si="21"/>
        <v>355.05584157521565</v>
      </c>
      <c r="N408" s="28">
        <f t="shared" si="21"/>
        <v>354.66110125095969</v>
      </c>
    </row>
    <row r="409" spans="1:14" x14ac:dyDescent="0.4">
      <c r="A409" s="1">
        <v>33635</v>
      </c>
      <c r="B409" s="28">
        <v>356.02584157521568</v>
      </c>
      <c r="C409" s="28">
        <f t="shared" si="21"/>
        <v>355.93110125095967</v>
      </c>
      <c r="D409" s="28">
        <f t="shared" si="21"/>
        <v>355.87768595041325</v>
      </c>
      <c r="E409" s="28">
        <f t="shared" si="21"/>
        <v>355.80164769904712</v>
      </c>
      <c r="F409" s="28">
        <f t="shared" ref="D409:P424" si="22">IF(E408=0,"",E408)</f>
        <v>355.53708485751702</v>
      </c>
      <c r="G409" s="28">
        <f t="shared" si="22"/>
        <v>355.3543252946755</v>
      </c>
      <c r="H409" s="28">
        <f t="shared" si="22"/>
        <v>355.41992638757171</v>
      </c>
      <c r="I409" s="28">
        <f t="shared" si="22"/>
        <v>355.44208485751705</v>
      </c>
      <c r="J409" s="28">
        <f t="shared" si="22"/>
        <v>355.88162037664273</v>
      </c>
      <c r="K409" s="28">
        <f t="shared" si="22"/>
        <v>356.25902474822738</v>
      </c>
      <c r="L409" s="28">
        <f t="shared" si="22"/>
        <v>356.01195276159513</v>
      </c>
      <c r="M409" s="28">
        <f t="shared" si="22"/>
        <v>355.78770424061781</v>
      </c>
      <c r="N409" s="28">
        <f t="shared" si="22"/>
        <v>355.05584157521565</v>
      </c>
    </row>
    <row r="410" spans="1:14" x14ac:dyDescent="0.4">
      <c r="A410" s="1">
        <v>33664</v>
      </c>
      <c r="B410" s="28">
        <v>356.43770424061779</v>
      </c>
      <c r="C410" s="28">
        <f t="shared" ref="C410:N473" si="23">IF(B409=0,"",B409)</f>
        <v>356.02584157521568</v>
      </c>
      <c r="D410" s="28">
        <f t="shared" si="22"/>
        <v>355.93110125095967</v>
      </c>
      <c r="E410" s="28">
        <f t="shared" si="22"/>
        <v>355.87768595041325</v>
      </c>
      <c r="F410" s="28">
        <f t="shared" si="22"/>
        <v>355.80164769904712</v>
      </c>
      <c r="G410" s="28">
        <f t="shared" si="22"/>
        <v>355.53708485751702</v>
      </c>
      <c r="H410" s="28">
        <f t="shared" si="22"/>
        <v>355.3543252946755</v>
      </c>
      <c r="I410" s="28">
        <f t="shared" si="22"/>
        <v>355.41992638757171</v>
      </c>
      <c r="J410" s="28">
        <f t="shared" si="22"/>
        <v>355.44208485751705</v>
      </c>
      <c r="K410" s="28">
        <f t="shared" si="22"/>
        <v>355.88162037664273</v>
      </c>
      <c r="L410" s="28">
        <f t="shared" si="22"/>
        <v>356.25902474822738</v>
      </c>
      <c r="M410" s="28">
        <f t="shared" si="22"/>
        <v>356.01195276159513</v>
      </c>
      <c r="N410" s="28">
        <f t="shared" si="22"/>
        <v>355.78770424061781</v>
      </c>
    </row>
    <row r="411" spans="1:14" x14ac:dyDescent="0.4">
      <c r="A411" s="1">
        <v>33695</v>
      </c>
      <c r="B411" s="28">
        <v>356.56195276159508</v>
      </c>
      <c r="C411" s="28">
        <f t="shared" si="23"/>
        <v>356.43770424061779</v>
      </c>
      <c r="D411" s="28">
        <f t="shared" si="22"/>
        <v>356.02584157521568</v>
      </c>
      <c r="E411" s="28">
        <f t="shared" si="22"/>
        <v>355.93110125095967</v>
      </c>
      <c r="F411" s="28">
        <f t="shared" si="22"/>
        <v>355.87768595041325</v>
      </c>
      <c r="G411" s="28">
        <f t="shared" si="22"/>
        <v>355.80164769904712</v>
      </c>
      <c r="H411" s="28">
        <f t="shared" si="22"/>
        <v>355.53708485751702</v>
      </c>
      <c r="I411" s="28">
        <f t="shared" si="22"/>
        <v>355.3543252946755</v>
      </c>
      <c r="J411" s="28">
        <f t="shared" si="22"/>
        <v>355.41992638757171</v>
      </c>
      <c r="K411" s="28">
        <f t="shared" si="22"/>
        <v>355.44208485751705</v>
      </c>
      <c r="L411" s="28">
        <f t="shared" si="22"/>
        <v>355.88162037664273</v>
      </c>
      <c r="M411" s="28">
        <f t="shared" si="22"/>
        <v>356.25902474822738</v>
      </c>
      <c r="N411" s="28">
        <f t="shared" si="22"/>
        <v>356.01195276159513</v>
      </c>
    </row>
    <row r="412" spans="1:14" x14ac:dyDescent="0.4">
      <c r="A412" s="1">
        <v>33725</v>
      </c>
      <c r="B412" s="28">
        <v>356.57902474822743</v>
      </c>
      <c r="C412" s="28">
        <f t="shared" si="23"/>
        <v>356.56195276159508</v>
      </c>
      <c r="D412" s="28">
        <f t="shared" si="22"/>
        <v>356.43770424061779</v>
      </c>
      <c r="E412" s="28">
        <f t="shared" si="22"/>
        <v>356.02584157521568</v>
      </c>
      <c r="F412" s="28">
        <f t="shared" si="22"/>
        <v>355.93110125095967</v>
      </c>
      <c r="G412" s="28">
        <f t="shared" si="22"/>
        <v>355.87768595041325</v>
      </c>
      <c r="H412" s="28">
        <f t="shared" si="22"/>
        <v>355.80164769904712</v>
      </c>
      <c r="I412" s="28">
        <f t="shared" si="22"/>
        <v>355.53708485751702</v>
      </c>
      <c r="J412" s="28">
        <f t="shared" si="22"/>
        <v>355.3543252946755</v>
      </c>
      <c r="K412" s="28">
        <f t="shared" si="22"/>
        <v>355.41992638757171</v>
      </c>
      <c r="L412" s="28">
        <f t="shared" si="22"/>
        <v>355.44208485751705</v>
      </c>
      <c r="M412" s="28">
        <f t="shared" si="22"/>
        <v>355.88162037664273</v>
      </c>
      <c r="N412" s="28">
        <f t="shared" si="22"/>
        <v>356.25902474822738</v>
      </c>
    </row>
    <row r="413" spans="1:14" x14ac:dyDescent="0.4">
      <c r="A413" s="1">
        <v>33756</v>
      </c>
      <c r="B413" s="28">
        <v>356.89162037664272</v>
      </c>
      <c r="C413" s="28">
        <f t="shared" si="23"/>
        <v>356.57902474822743</v>
      </c>
      <c r="D413" s="28">
        <f t="shared" si="22"/>
        <v>356.56195276159508</v>
      </c>
      <c r="E413" s="28">
        <f t="shared" si="22"/>
        <v>356.43770424061779</v>
      </c>
      <c r="F413" s="28">
        <f t="shared" si="22"/>
        <v>356.02584157521568</v>
      </c>
      <c r="G413" s="28">
        <f t="shared" si="22"/>
        <v>355.93110125095967</v>
      </c>
      <c r="H413" s="28">
        <f t="shared" si="22"/>
        <v>355.87768595041325</v>
      </c>
      <c r="I413" s="28">
        <f t="shared" si="22"/>
        <v>355.80164769904712</v>
      </c>
      <c r="J413" s="28">
        <f t="shared" si="22"/>
        <v>355.53708485751702</v>
      </c>
      <c r="K413" s="28">
        <f t="shared" si="22"/>
        <v>355.3543252946755</v>
      </c>
      <c r="L413" s="28">
        <f t="shared" si="22"/>
        <v>355.41992638757171</v>
      </c>
      <c r="M413" s="28">
        <f t="shared" si="22"/>
        <v>355.44208485751705</v>
      </c>
      <c r="N413" s="28">
        <f t="shared" si="22"/>
        <v>355.88162037664273</v>
      </c>
    </row>
    <row r="414" spans="1:14" x14ac:dyDescent="0.4">
      <c r="A414" s="1">
        <v>33786</v>
      </c>
      <c r="B414" s="28">
        <v>356.29208485751701</v>
      </c>
      <c r="C414" s="28">
        <f t="shared" si="23"/>
        <v>356.89162037664272</v>
      </c>
      <c r="D414" s="28">
        <f t="shared" si="22"/>
        <v>356.57902474822743</v>
      </c>
      <c r="E414" s="28">
        <f t="shared" si="22"/>
        <v>356.56195276159508</v>
      </c>
      <c r="F414" s="28">
        <f t="shared" si="22"/>
        <v>356.43770424061779</v>
      </c>
      <c r="G414" s="28">
        <f t="shared" si="22"/>
        <v>356.02584157521568</v>
      </c>
      <c r="H414" s="28">
        <f t="shared" si="22"/>
        <v>355.93110125095967</v>
      </c>
      <c r="I414" s="28">
        <f t="shared" si="22"/>
        <v>355.87768595041325</v>
      </c>
      <c r="J414" s="28">
        <f t="shared" si="22"/>
        <v>355.80164769904712</v>
      </c>
      <c r="K414" s="28">
        <f t="shared" si="22"/>
        <v>355.53708485751702</v>
      </c>
      <c r="L414" s="28">
        <f t="shared" si="22"/>
        <v>355.3543252946755</v>
      </c>
      <c r="M414" s="28">
        <f t="shared" si="22"/>
        <v>355.41992638757171</v>
      </c>
      <c r="N414" s="28">
        <f t="shared" si="22"/>
        <v>355.44208485751705</v>
      </c>
    </row>
    <row r="415" spans="1:14" x14ac:dyDescent="0.4">
      <c r="A415" s="1">
        <v>33817</v>
      </c>
      <c r="B415" s="28">
        <v>356.40992638757172</v>
      </c>
      <c r="C415" s="28">
        <f t="shared" si="23"/>
        <v>356.29208485751701</v>
      </c>
      <c r="D415" s="28">
        <f t="shared" si="22"/>
        <v>356.89162037664272</v>
      </c>
      <c r="E415" s="28">
        <f t="shared" si="22"/>
        <v>356.57902474822743</v>
      </c>
      <c r="F415" s="28">
        <f t="shared" si="22"/>
        <v>356.56195276159508</v>
      </c>
      <c r="G415" s="28">
        <f t="shared" si="22"/>
        <v>356.43770424061779</v>
      </c>
      <c r="H415" s="28">
        <f t="shared" si="22"/>
        <v>356.02584157521568</v>
      </c>
      <c r="I415" s="28">
        <f t="shared" si="22"/>
        <v>355.93110125095967</v>
      </c>
      <c r="J415" s="28">
        <f t="shared" si="22"/>
        <v>355.87768595041325</v>
      </c>
      <c r="K415" s="28">
        <f t="shared" si="22"/>
        <v>355.80164769904712</v>
      </c>
      <c r="L415" s="28">
        <f t="shared" si="22"/>
        <v>355.53708485751702</v>
      </c>
      <c r="M415" s="28">
        <f t="shared" si="22"/>
        <v>355.3543252946755</v>
      </c>
      <c r="N415" s="28">
        <f t="shared" si="22"/>
        <v>355.41992638757171</v>
      </c>
    </row>
    <row r="416" spans="1:14" x14ac:dyDescent="0.4">
      <c r="A416" s="1">
        <v>33848</v>
      </c>
      <c r="B416" s="28">
        <v>356.21432529467552</v>
      </c>
      <c r="C416" s="28">
        <f t="shared" si="23"/>
        <v>356.40992638757172</v>
      </c>
      <c r="D416" s="28">
        <f t="shared" si="22"/>
        <v>356.29208485751701</v>
      </c>
      <c r="E416" s="28">
        <f t="shared" si="22"/>
        <v>356.89162037664272</v>
      </c>
      <c r="F416" s="28">
        <f t="shared" si="22"/>
        <v>356.57902474822743</v>
      </c>
      <c r="G416" s="28">
        <f t="shared" si="22"/>
        <v>356.56195276159508</v>
      </c>
      <c r="H416" s="28">
        <f t="shared" si="22"/>
        <v>356.43770424061779</v>
      </c>
      <c r="I416" s="28">
        <f t="shared" si="22"/>
        <v>356.02584157521568</v>
      </c>
      <c r="J416" s="28">
        <f t="shared" si="22"/>
        <v>355.93110125095967</v>
      </c>
      <c r="K416" s="28">
        <f t="shared" si="22"/>
        <v>355.87768595041325</v>
      </c>
      <c r="L416" s="28">
        <f t="shared" si="22"/>
        <v>355.80164769904712</v>
      </c>
      <c r="M416" s="28">
        <f t="shared" si="22"/>
        <v>355.53708485751702</v>
      </c>
      <c r="N416" s="28">
        <f t="shared" si="22"/>
        <v>355.3543252946755</v>
      </c>
    </row>
    <row r="417" spans="1:14" x14ac:dyDescent="0.4">
      <c r="A417" s="1">
        <v>33878</v>
      </c>
      <c r="B417" s="28">
        <v>356.63708485751704</v>
      </c>
      <c r="C417" s="28">
        <f t="shared" si="23"/>
        <v>356.21432529467552</v>
      </c>
      <c r="D417" s="28">
        <f t="shared" si="22"/>
        <v>356.40992638757172</v>
      </c>
      <c r="E417" s="28">
        <f t="shared" si="22"/>
        <v>356.29208485751701</v>
      </c>
      <c r="F417" s="28">
        <f t="shared" si="22"/>
        <v>356.89162037664272</v>
      </c>
      <c r="G417" s="28">
        <f t="shared" si="22"/>
        <v>356.57902474822743</v>
      </c>
      <c r="H417" s="28">
        <f t="shared" si="22"/>
        <v>356.56195276159508</v>
      </c>
      <c r="I417" s="28">
        <f t="shared" si="22"/>
        <v>356.43770424061779</v>
      </c>
      <c r="J417" s="28">
        <f t="shared" si="22"/>
        <v>356.02584157521568</v>
      </c>
      <c r="K417" s="28">
        <f t="shared" si="22"/>
        <v>355.93110125095967</v>
      </c>
      <c r="L417" s="28">
        <f t="shared" si="22"/>
        <v>355.87768595041325</v>
      </c>
      <c r="M417" s="28">
        <f t="shared" si="22"/>
        <v>355.80164769904712</v>
      </c>
      <c r="N417" s="28">
        <f t="shared" si="22"/>
        <v>355.53708485751702</v>
      </c>
    </row>
    <row r="418" spans="1:14" x14ac:dyDescent="0.4">
      <c r="A418" s="1">
        <v>33909</v>
      </c>
      <c r="B418" s="28">
        <v>356.21164769904715</v>
      </c>
      <c r="C418" s="28">
        <f t="shared" si="23"/>
        <v>356.63708485751704</v>
      </c>
      <c r="D418" s="28">
        <f t="shared" si="22"/>
        <v>356.21432529467552</v>
      </c>
      <c r="E418" s="28">
        <f t="shared" si="22"/>
        <v>356.40992638757172</v>
      </c>
      <c r="F418" s="28">
        <f t="shared" si="22"/>
        <v>356.29208485751701</v>
      </c>
      <c r="G418" s="28">
        <f t="shared" si="22"/>
        <v>356.89162037664272</v>
      </c>
      <c r="H418" s="28">
        <f t="shared" si="22"/>
        <v>356.57902474822743</v>
      </c>
      <c r="I418" s="28">
        <f t="shared" si="22"/>
        <v>356.56195276159508</v>
      </c>
      <c r="J418" s="28">
        <f t="shared" si="22"/>
        <v>356.43770424061779</v>
      </c>
      <c r="K418" s="28">
        <f t="shared" si="22"/>
        <v>356.02584157521568</v>
      </c>
      <c r="L418" s="28">
        <f t="shared" si="22"/>
        <v>355.93110125095967</v>
      </c>
      <c r="M418" s="28">
        <f t="shared" si="22"/>
        <v>355.87768595041325</v>
      </c>
      <c r="N418" s="28">
        <f t="shared" si="22"/>
        <v>355.80164769904712</v>
      </c>
    </row>
    <row r="419" spans="1:14" x14ac:dyDescent="0.4">
      <c r="A419" s="1">
        <v>33939</v>
      </c>
      <c r="B419" s="28">
        <v>356.28768595041322</v>
      </c>
      <c r="C419" s="28">
        <f t="shared" si="23"/>
        <v>356.21164769904715</v>
      </c>
      <c r="D419" s="28">
        <f t="shared" si="22"/>
        <v>356.63708485751704</v>
      </c>
      <c r="E419" s="28">
        <f t="shared" si="22"/>
        <v>356.21432529467552</v>
      </c>
      <c r="F419" s="28">
        <f t="shared" si="22"/>
        <v>356.40992638757172</v>
      </c>
      <c r="G419" s="28">
        <f t="shared" si="22"/>
        <v>356.29208485751701</v>
      </c>
      <c r="H419" s="28">
        <f t="shared" si="22"/>
        <v>356.89162037664272</v>
      </c>
      <c r="I419" s="28">
        <f t="shared" si="22"/>
        <v>356.57902474822743</v>
      </c>
      <c r="J419" s="28">
        <f t="shared" si="22"/>
        <v>356.56195276159508</v>
      </c>
      <c r="K419" s="28">
        <f t="shared" si="22"/>
        <v>356.43770424061779</v>
      </c>
      <c r="L419" s="28">
        <f t="shared" si="22"/>
        <v>356.02584157521568</v>
      </c>
      <c r="M419" s="28">
        <f t="shared" si="22"/>
        <v>355.93110125095967</v>
      </c>
      <c r="N419" s="28">
        <f t="shared" si="22"/>
        <v>355.87768595041325</v>
      </c>
    </row>
    <row r="420" spans="1:14" x14ac:dyDescent="0.4">
      <c r="A420" s="1">
        <v>33970</v>
      </c>
      <c r="B420" s="28">
        <v>356.64110125095965</v>
      </c>
      <c r="C420" s="28">
        <f t="shared" si="23"/>
        <v>356.28768595041322</v>
      </c>
      <c r="D420" s="28">
        <f t="shared" si="22"/>
        <v>356.21164769904715</v>
      </c>
      <c r="E420" s="28">
        <f t="shared" si="22"/>
        <v>356.63708485751704</v>
      </c>
      <c r="F420" s="28">
        <f t="shared" si="22"/>
        <v>356.21432529467552</v>
      </c>
      <c r="G420" s="28">
        <f t="shared" si="22"/>
        <v>356.40992638757172</v>
      </c>
      <c r="H420" s="28">
        <f t="shared" si="22"/>
        <v>356.29208485751701</v>
      </c>
      <c r="I420" s="28">
        <f t="shared" si="22"/>
        <v>356.89162037664272</v>
      </c>
      <c r="J420" s="28">
        <f t="shared" si="22"/>
        <v>356.57902474822743</v>
      </c>
      <c r="K420" s="28">
        <f t="shared" si="22"/>
        <v>356.56195276159508</v>
      </c>
      <c r="L420" s="28">
        <f t="shared" si="22"/>
        <v>356.43770424061779</v>
      </c>
      <c r="M420" s="28">
        <f t="shared" si="22"/>
        <v>356.02584157521568</v>
      </c>
      <c r="N420" s="28">
        <f t="shared" si="22"/>
        <v>355.93110125095967</v>
      </c>
    </row>
    <row r="421" spans="1:14" x14ac:dyDescent="0.4">
      <c r="A421" s="1">
        <v>34001</v>
      </c>
      <c r="B421" s="28">
        <v>356.47584157521567</v>
      </c>
      <c r="C421" s="28">
        <f t="shared" si="23"/>
        <v>356.64110125095965</v>
      </c>
      <c r="D421" s="28">
        <f t="shared" si="22"/>
        <v>356.28768595041322</v>
      </c>
      <c r="E421" s="28">
        <f t="shared" si="22"/>
        <v>356.21164769904715</v>
      </c>
      <c r="F421" s="28">
        <f t="shared" si="22"/>
        <v>356.63708485751704</v>
      </c>
      <c r="G421" s="28">
        <f t="shared" si="22"/>
        <v>356.21432529467552</v>
      </c>
      <c r="H421" s="28">
        <f t="shared" si="22"/>
        <v>356.40992638757172</v>
      </c>
      <c r="I421" s="28">
        <f t="shared" si="22"/>
        <v>356.29208485751701</v>
      </c>
      <c r="J421" s="28">
        <f t="shared" si="22"/>
        <v>356.89162037664272</v>
      </c>
      <c r="K421" s="28">
        <f t="shared" si="22"/>
        <v>356.57902474822743</v>
      </c>
      <c r="L421" s="28">
        <f t="shared" si="22"/>
        <v>356.56195276159508</v>
      </c>
      <c r="M421" s="28">
        <f t="shared" si="22"/>
        <v>356.43770424061779</v>
      </c>
      <c r="N421" s="28">
        <f t="shared" si="22"/>
        <v>356.02584157521568</v>
      </c>
    </row>
    <row r="422" spans="1:14" x14ac:dyDescent="0.4">
      <c r="A422" s="1">
        <v>34029</v>
      </c>
      <c r="B422" s="28">
        <v>357.00770424061778</v>
      </c>
      <c r="C422" s="28">
        <f t="shared" si="23"/>
        <v>356.47584157521567</v>
      </c>
      <c r="D422" s="28">
        <f t="shared" si="22"/>
        <v>356.64110125095965</v>
      </c>
      <c r="E422" s="28">
        <f t="shared" si="22"/>
        <v>356.28768595041322</v>
      </c>
      <c r="F422" s="28">
        <f t="shared" si="22"/>
        <v>356.21164769904715</v>
      </c>
      <c r="G422" s="28">
        <f t="shared" si="22"/>
        <v>356.63708485751704</v>
      </c>
      <c r="H422" s="28">
        <f t="shared" si="22"/>
        <v>356.21432529467552</v>
      </c>
      <c r="I422" s="28">
        <f t="shared" si="22"/>
        <v>356.40992638757172</v>
      </c>
      <c r="J422" s="28">
        <f t="shared" si="22"/>
        <v>356.29208485751701</v>
      </c>
      <c r="K422" s="28">
        <f t="shared" si="22"/>
        <v>356.89162037664272</v>
      </c>
      <c r="L422" s="28">
        <f t="shared" si="22"/>
        <v>356.57902474822743</v>
      </c>
      <c r="M422" s="28">
        <f t="shared" si="22"/>
        <v>356.56195276159508</v>
      </c>
      <c r="N422" s="28">
        <f t="shared" si="22"/>
        <v>356.43770424061779</v>
      </c>
    </row>
    <row r="423" spans="1:14" x14ac:dyDescent="0.4">
      <c r="A423" s="1">
        <v>34060</v>
      </c>
      <c r="B423" s="28">
        <v>356.87195276159508</v>
      </c>
      <c r="C423" s="28">
        <f t="shared" si="23"/>
        <v>357.00770424061778</v>
      </c>
      <c r="D423" s="28">
        <f t="shared" si="22"/>
        <v>356.47584157521567</v>
      </c>
      <c r="E423" s="28">
        <f t="shared" si="22"/>
        <v>356.64110125095965</v>
      </c>
      <c r="F423" s="28">
        <f t="shared" si="22"/>
        <v>356.28768595041322</v>
      </c>
      <c r="G423" s="28">
        <f t="shared" si="22"/>
        <v>356.21164769904715</v>
      </c>
      <c r="H423" s="28">
        <f t="shared" si="22"/>
        <v>356.63708485751704</v>
      </c>
      <c r="I423" s="28">
        <f t="shared" si="22"/>
        <v>356.21432529467552</v>
      </c>
      <c r="J423" s="28">
        <f t="shared" si="22"/>
        <v>356.40992638757172</v>
      </c>
      <c r="K423" s="28">
        <f t="shared" si="22"/>
        <v>356.29208485751701</v>
      </c>
      <c r="L423" s="28">
        <f t="shared" si="22"/>
        <v>356.89162037664272</v>
      </c>
      <c r="M423" s="28">
        <f t="shared" si="22"/>
        <v>356.57902474822743</v>
      </c>
      <c r="N423" s="28">
        <f t="shared" si="22"/>
        <v>356.56195276159508</v>
      </c>
    </row>
    <row r="424" spans="1:14" x14ac:dyDescent="0.4">
      <c r="A424" s="1">
        <v>34090</v>
      </c>
      <c r="B424" s="28">
        <v>357.19902474822737</v>
      </c>
      <c r="C424" s="28">
        <f t="shared" si="23"/>
        <v>356.87195276159508</v>
      </c>
      <c r="D424" s="28">
        <f t="shared" si="22"/>
        <v>357.00770424061778</v>
      </c>
      <c r="E424" s="28">
        <f t="shared" si="22"/>
        <v>356.47584157521567</v>
      </c>
      <c r="F424" s="28">
        <f t="shared" si="22"/>
        <v>356.64110125095965</v>
      </c>
      <c r="G424" s="28">
        <f t="shared" si="22"/>
        <v>356.28768595041322</v>
      </c>
      <c r="H424" s="28">
        <f t="shared" si="22"/>
        <v>356.21164769904715</v>
      </c>
      <c r="I424" s="28">
        <f t="shared" si="22"/>
        <v>356.63708485751704</v>
      </c>
      <c r="J424" s="28">
        <f t="shared" si="22"/>
        <v>356.21432529467552</v>
      </c>
      <c r="K424" s="28">
        <f t="shared" si="22"/>
        <v>356.40992638757172</v>
      </c>
      <c r="L424" s="28">
        <f t="shared" si="22"/>
        <v>356.29208485751701</v>
      </c>
      <c r="M424" s="28">
        <f t="shared" si="22"/>
        <v>356.89162037664272</v>
      </c>
      <c r="N424" s="28">
        <f t="shared" si="22"/>
        <v>356.57902474822743</v>
      </c>
    </row>
    <row r="425" spans="1:14" x14ac:dyDescent="0.4">
      <c r="A425" s="1">
        <v>34121</v>
      </c>
      <c r="B425" s="28">
        <v>357.24162037664274</v>
      </c>
      <c r="C425" s="28">
        <f t="shared" si="23"/>
        <v>357.19902474822737</v>
      </c>
      <c r="D425" s="28">
        <f t="shared" si="23"/>
        <v>356.87195276159508</v>
      </c>
      <c r="E425" s="28">
        <f t="shared" si="23"/>
        <v>357.00770424061778</v>
      </c>
      <c r="F425" s="28">
        <f t="shared" si="23"/>
        <v>356.47584157521567</v>
      </c>
      <c r="G425" s="28">
        <f t="shared" si="23"/>
        <v>356.64110125095965</v>
      </c>
      <c r="H425" s="28">
        <f t="shared" si="23"/>
        <v>356.28768595041322</v>
      </c>
      <c r="I425" s="28">
        <f t="shared" si="23"/>
        <v>356.21164769904715</v>
      </c>
      <c r="J425" s="28">
        <f t="shared" si="23"/>
        <v>356.63708485751704</v>
      </c>
      <c r="K425" s="28">
        <f t="shared" si="23"/>
        <v>356.21432529467552</v>
      </c>
      <c r="L425" s="28">
        <f t="shared" si="23"/>
        <v>356.40992638757172</v>
      </c>
      <c r="M425" s="28">
        <f t="shared" si="23"/>
        <v>356.29208485751701</v>
      </c>
      <c r="N425" s="28">
        <f t="shared" si="23"/>
        <v>356.89162037664272</v>
      </c>
    </row>
    <row r="426" spans="1:14" x14ac:dyDescent="0.4">
      <c r="A426" s="1">
        <v>34151</v>
      </c>
      <c r="B426" s="28">
        <v>356.84208485751702</v>
      </c>
      <c r="C426" s="28">
        <f t="shared" si="23"/>
        <v>357.24162037664274</v>
      </c>
      <c r="D426" s="28">
        <f t="shared" si="23"/>
        <v>357.19902474822737</v>
      </c>
      <c r="E426" s="28">
        <f t="shared" si="23"/>
        <v>356.87195276159508</v>
      </c>
      <c r="F426" s="28">
        <f t="shared" si="23"/>
        <v>357.00770424061778</v>
      </c>
      <c r="G426" s="28">
        <f t="shared" si="23"/>
        <v>356.47584157521567</v>
      </c>
      <c r="H426" s="28">
        <f t="shared" si="23"/>
        <v>356.64110125095965</v>
      </c>
      <c r="I426" s="28">
        <f t="shared" si="23"/>
        <v>356.28768595041322</v>
      </c>
      <c r="J426" s="28">
        <f t="shared" si="23"/>
        <v>356.21164769904715</v>
      </c>
      <c r="K426" s="28">
        <f t="shared" si="23"/>
        <v>356.63708485751704</v>
      </c>
      <c r="L426" s="28">
        <f t="shared" si="23"/>
        <v>356.21432529467552</v>
      </c>
      <c r="M426" s="28">
        <f t="shared" si="23"/>
        <v>356.40992638757172</v>
      </c>
      <c r="N426" s="28">
        <f t="shared" si="23"/>
        <v>356.29208485751701</v>
      </c>
    </row>
    <row r="427" spans="1:14" x14ac:dyDescent="0.4">
      <c r="A427" s="1">
        <v>34182</v>
      </c>
      <c r="B427" s="28">
        <v>356.9299263875717</v>
      </c>
      <c r="C427" s="28">
        <f t="shared" si="23"/>
        <v>356.84208485751702</v>
      </c>
      <c r="D427" s="28">
        <f t="shared" si="23"/>
        <v>357.24162037664274</v>
      </c>
      <c r="E427" s="28">
        <f t="shared" si="23"/>
        <v>357.19902474822737</v>
      </c>
      <c r="F427" s="28">
        <f t="shared" si="23"/>
        <v>356.87195276159508</v>
      </c>
      <c r="G427" s="28">
        <f t="shared" si="23"/>
        <v>357.00770424061778</v>
      </c>
      <c r="H427" s="28">
        <f t="shared" si="23"/>
        <v>356.47584157521567</v>
      </c>
      <c r="I427" s="28">
        <f t="shared" si="23"/>
        <v>356.64110125095965</v>
      </c>
      <c r="J427" s="28">
        <f t="shared" si="23"/>
        <v>356.28768595041322</v>
      </c>
      <c r="K427" s="28">
        <f t="shared" si="23"/>
        <v>356.21164769904715</v>
      </c>
      <c r="L427" s="28">
        <f t="shared" si="23"/>
        <v>356.63708485751704</v>
      </c>
      <c r="M427" s="28">
        <f t="shared" si="23"/>
        <v>356.21432529467552</v>
      </c>
      <c r="N427" s="28">
        <f t="shared" si="23"/>
        <v>356.40992638757172</v>
      </c>
    </row>
    <row r="428" spans="1:14" x14ac:dyDescent="0.4">
      <c r="A428" s="1">
        <v>34213</v>
      </c>
      <c r="B428" s="28">
        <v>356.89432529467553</v>
      </c>
      <c r="C428" s="28">
        <f t="shared" si="23"/>
        <v>356.9299263875717</v>
      </c>
      <c r="D428" s="28">
        <f t="shared" si="23"/>
        <v>356.84208485751702</v>
      </c>
      <c r="E428" s="28">
        <f t="shared" si="23"/>
        <v>357.24162037664274</v>
      </c>
      <c r="F428" s="28">
        <f t="shared" si="23"/>
        <v>357.19902474822737</v>
      </c>
      <c r="G428" s="28">
        <f t="shared" si="23"/>
        <v>356.87195276159508</v>
      </c>
      <c r="H428" s="28">
        <f t="shared" si="23"/>
        <v>357.00770424061778</v>
      </c>
      <c r="I428" s="28">
        <f t="shared" si="23"/>
        <v>356.47584157521567</v>
      </c>
      <c r="J428" s="28">
        <f t="shared" si="23"/>
        <v>356.64110125095965</v>
      </c>
      <c r="K428" s="28">
        <f t="shared" si="23"/>
        <v>356.28768595041322</v>
      </c>
      <c r="L428" s="28">
        <f t="shared" si="23"/>
        <v>356.21164769904715</v>
      </c>
      <c r="M428" s="28">
        <f t="shared" si="23"/>
        <v>356.63708485751704</v>
      </c>
      <c r="N428" s="28">
        <f t="shared" si="23"/>
        <v>356.21432529467552</v>
      </c>
    </row>
    <row r="429" spans="1:14" x14ac:dyDescent="0.4">
      <c r="A429" s="1">
        <v>34243</v>
      </c>
      <c r="B429" s="28">
        <v>357.31708485751705</v>
      </c>
      <c r="C429" s="28">
        <f t="shared" si="23"/>
        <v>356.89432529467553</v>
      </c>
      <c r="D429" s="28">
        <f t="shared" si="23"/>
        <v>356.9299263875717</v>
      </c>
      <c r="E429" s="28">
        <f t="shared" si="23"/>
        <v>356.84208485751702</v>
      </c>
      <c r="F429" s="28">
        <f t="shared" si="23"/>
        <v>357.24162037664274</v>
      </c>
      <c r="G429" s="28">
        <f t="shared" si="23"/>
        <v>357.19902474822737</v>
      </c>
      <c r="H429" s="28">
        <f t="shared" si="23"/>
        <v>356.87195276159508</v>
      </c>
      <c r="I429" s="28">
        <f t="shared" si="23"/>
        <v>357.00770424061778</v>
      </c>
      <c r="J429" s="28">
        <f t="shared" si="23"/>
        <v>356.47584157521567</v>
      </c>
      <c r="K429" s="28">
        <f t="shared" si="23"/>
        <v>356.64110125095965</v>
      </c>
      <c r="L429" s="28">
        <f t="shared" si="23"/>
        <v>356.28768595041322</v>
      </c>
      <c r="M429" s="28">
        <f t="shared" si="23"/>
        <v>356.21164769904715</v>
      </c>
      <c r="N429" s="28">
        <f t="shared" si="23"/>
        <v>356.63708485751704</v>
      </c>
    </row>
    <row r="430" spans="1:14" x14ac:dyDescent="0.4">
      <c r="A430" s="1">
        <v>34274</v>
      </c>
      <c r="B430" s="28">
        <v>357.3916476990471</v>
      </c>
      <c r="C430" s="28">
        <f t="shared" si="23"/>
        <v>357.31708485751705</v>
      </c>
      <c r="D430" s="28">
        <f t="shared" si="23"/>
        <v>356.89432529467553</v>
      </c>
      <c r="E430" s="28">
        <f t="shared" si="23"/>
        <v>356.9299263875717</v>
      </c>
      <c r="F430" s="28">
        <f t="shared" si="23"/>
        <v>356.84208485751702</v>
      </c>
      <c r="G430" s="28">
        <f t="shared" si="23"/>
        <v>357.24162037664274</v>
      </c>
      <c r="H430" s="28">
        <f t="shared" si="23"/>
        <v>357.19902474822737</v>
      </c>
      <c r="I430" s="28">
        <f t="shared" si="23"/>
        <v>356.87195276159508</v>
      </c>
      <c r="J430" s="28">
        <f t="shared" si="23"/>
        <v>357.00770424061778</v>
      </c>
      <c r="K430" s="28">
        <f t="shared" si="23"/>
        <v>356.47584157521567</v>
      </c>
      <c r="L430" s="28">
        <f t="shared" si="23"/>
        <v>356.64110125095965</v>
      </c>
      <c r="M430" s="28">
        <f t="shared" si="23"/>
        <v>356.28768595041322</v>
      </c>
      <c r="N430" s="28">
        <f t="shared" si="23"/>
        <v>356.21164769904715</v>
      </c>
    </row>
    <row r="431" spans="1:14" x14ac:dyDescent="0.4">
      <c r="A431" s="1">
        <v>34304</v>
      </c>
      <c r="B431" s="28">
        <v>357.68768595041325</v>
      </c>
      <c r="C431" s="28">
        <f t="shared" si="23"/>
        <v>357.3916476990471</v>
      </c>
      <c r="D431" s="28">
        <f t="shared" si="23"/>
        <v>357.31708485751705</v>
      </c>
      <c r="E431" s="28">
        <f t="shared" si="23"/>
        <v>356.89432529467553</v>
      </c>
      <c r="F431" s="28">
        <f t="shared" si="23"/>
        <v>356.9299263875717</v>
      </c>
      <c r="G431" s="28">
        <f t="shared" si="23"/>
        <v>356.84208485751702</v>
      </c>
      <c r="H431" s="28">
        <f t="shared" si="23"/>
        <v>357.24162037664274</v>
      </c>
      <c r="I431" s="28">
        <f t="shared" si="23"/>
        <v>357.19902474822737</v>
      </c>
      <c r="J431" s="28">
        <f t="shared" si="23"/>
        <v>356.87195276159508</v>
      </c>
      <c r="K431" s="28">
        <f t="shared" si="23"/>
        <v>357.00770424061778</v>
      </c>
      <c r="L431" s="28">
        <f t="shared" si="23"/>
        <v>356.47584157521567</v>
      </c>
      <c r="M431" s="28">
        <f t="shared" si="23"/>
        <v>356.64110125095965</v>
      </c>
      <c r="N431" s="28">
        <f t="shared" si="23"/>
        <v>356.28768595041322</v>
      </c>
    </row>
    <row r="432" spans="1:14" x14ac:dyDescent="0.4">
      <c r="A432" s="1">
        <v>34335</v>
      </c>
      <c r="B432" s="28">
        <v>358.31110125095967</v>
      </c>
      <c r="C432" s="28">
        <f t="shared" si="23"/>
        <v>357.68768595041325</v>
      </c>
      <c r="D432" s="28">
        <f t="shared" si="23"/>
        <v>357.3916476990471</v>
      </c>
      <c r="E432" s="28">
        <f t="shared" si="23"/>
        <v>357.31708485751705</v>
      </c>
      <c r="F432" s="28">
        <f t="shared" si="23"/>
        <v>356.89432529467553</v>
      </c>
      <c r="G432" s="28">
        <f t="shared" si="23"/>
        <v>356.9299263875717</v>
      </c>
      <c r="H432" s="28">
        <f t="shared" si="23"/>
        <v>356.84208485751702</v>
      </c>
      <c r="I432" s="28">
        <f t="shared" si="23"/>
        <v>357.24162037664274</v>
      </c>
      <c r="J432" s="28">
        <f t="shared" si="23"/>
        <v>357.19902474822737</v>
      </c>
      <c r="K432" s="28">
        <f t="shared" si="23"/>
        <v>356.87195276159508</v>
      </c>
      <c r="L432" s="28">
        <f t="shared" si="23"/>
        <v>357.00770424061778</v>
      </c>
      <c r="M432" s="28">
        <f t="shared" si="23"/>
        <v>356.47584157521567</v>
      </c>
      <c r="N432" s="28">
        <f t="shared" si="23"/>
        <v>356.64110125095965</v>
      </c>
    </row>
    <row r="433" spans="1:14" x14ac:dyDescent="0.4">
      <c r="A433" s="1">
        <v>34366</v>
      </c>
      <c r="B433" s="28">
        <v>358.21584157521568</v>
      </c>
      <c r="C433" s="28">
        <f t="shared" si="23"/>
        <v>358.31110125095967</v>
      </c>
      <c r="D433" s="28">
        <f t="shared" si="23"/>
        <v>357.68768595041325</v>
      </c>
      <c r="E433" s="28">
        <f t="shared" si="23"/>
        <v>357.3916476990471</v>
      </c>
      <c r="F433" s="28">
        <f t="shared" si="23"/>
        <v>357.31708485751705</v>
      </c>
      <c r="G433" s="28">
        <f t="shared" si="23"/>
        <v>356.89432529467553</v>
      </c>
      <c r="H433" s="28">
        <f t="shared" si="23"/>
        <v>356.9299263875717</v>
      </c>
      <c r="I433" s="28">
        <f t="shared" si="23"/>
        <v>356.84208485751702</v>
      </c>
      <c r="J433" s="28">
        <f t="shared" si="23"/>
        <v>357.24162037664274</v>
      </c>
      <c r="K433" s="28">
        <f t="shared" si="23"/>
        <v>357.19902474822737</v>
      </c>
      <c r="L433" s="28">
        <f t="shared" si="23"/>
        <v>356.87195276159508</v>
      </c>
      <c r="M433" s="28">
        <f t="shared" si="23"/>
        <v>357.00770424061778</v>
      </c>
      <c r="N433" s="28">
        <f t="shared" si="23"/>
        <v>356.47584157521567</v>
      </c>
    </row>
    <row r="434" spans="1:14" x14ac:dyDescent="0.4">
      <c r="A434" s="1">
        <v>34394</v>
      </c>
      <c r="B434" s="28">
        <v>358.59770424061782</v>
      </c>
      <c r="C434" s="28">
        <f t="shared" si="23"/>
        <v>358.21584157521568</v>
      </c>
      <c r="D434" s="28">
        <f t="shared" si="23"/>
        <v>358.31110125095967</v>
      </c>
      <c r="E434" s="28">
        <f t="shared" si="23"/>
        <v>357.68768595041325</v>
      </c>
      <c r="F434" s="28">
        <f t="shared" si="23"/>
        <v>357.3916476990471</v>
      </c>
      <c r="G434" s="28">
        <f t="shared" si="23"/>
        <v>357.31708485751705</v>
      </c>
      <c r="H434" s="28">
        <f t="shared" si="23"/>
        <v>356.89432529467553</v>
      </c>
      <c r="I434" s="28">
        <f t="shared" si="23"/>
        <v>356.9299263875717</v>
      </c>
      <c r="J434" s="28">
        <f t="shared" si="23"/>
        <v>356.84208485751702</v>
      </c>
      <c r="K434" s="28">
        <f t="shared" si="23"/>
        <v>357.24162037664274</v>
      </c>
      <c r="L434" s="28">
        <f t="shared" si="23"/>
        <v>357.19902474822737</v>
      </c>
      <c r="M434" s="28">
        <f t="shared" si="23"/>
        <v>356.87195276159508</v>
      </c>
      <c r="N434" s="28">
        <f t="shared" si="23"/>
        <v>357.00770424061778</v>
      </c>
    </row>
    <row r="435" spans="1:14" x14ac:dyDescent="0.4">
      <c r="A435" s="1">
        <v>34425</v>
      </c>
      <c r="B435" s="28">
        <v>358.67195276159509</v>
      </c>
      <c r="C435" s="28">
        <f t="shared" si="23"/>
        <v>358.59770424061782</v>
      </c>
      <c r="D435" s="28">
        <f t="shared" si="23"/>
        <v>358.21584157521568</v>
      </c>
      <c r="E435" s="28">
        <f t="shared" si="23"/>
        <v>358.31110125095967</v>
      </c>
      <c r="F435" s="28">
        <f t="shared" si="23"/>
        <v>357.68768595041325</v>
      </c>
      <c r="G435" s="28">
        <f t="shared" si="23"/>
        <v>357.3916476990471</v>
      </c>
      <c r="H435" s="28">
        <f t="shared" si="23"/>
        <v>357.31708485751705</v>
      </c>
      <c r="I435" s="28">
        <f t="shared" si="23"/>
        <v>356.89432529467553</v>
      </c>
      <c r="J435" s="28">
        <f t="shared" si="23"/>
        <v>356.9299263875717</v>
      </c>
      <c r="K435" s="28">
        <f t="shared" si="23"/>
        <v>356.84208485751702</v>
      </c>
      <c r="L435" s="28">
        <f t="shared" si="23"/>
        <v>357.24162037664274</v>
      </c>
      <c r="M435" s="28">
        <f t="shared" si="23"/>
        <v>357.19902474822737</v>
      </c>
      <c r="N435" s="28">
        <f t="shared" si="23"/>
        <v>356.87195276159508</v>
      </c>
    </row>
    <row r="436" spans="1:14" x14ac:dyDescent="0.4">
      <c r="A436" s="1">
        <v>34455</v>
      </c>
      <c r="B436" s="28">
        <v>358.6090247482274</v>
      </c>
      <c r="C436" s="28">
        <f t="shared" si="23"/>
        <v>358.67195276159509</v>
      </c>
      <c r="D436" s="28">
        <f t="shared" si="23"/>
        <v>358.59770424061782</v>
      </c>
      <c r="E436" s="28">
        <f t="shared" si="23"/>
        <v>358.21584157521568</v>
      </c>
      <c r="F436" s="28">
        <f t="shared" si="23"/>
        <v>358.31110125095967</v>
      </c>
      <c r="G436" s="28">
        <f t="shared" si="23"/>
        <v>357.68768595041325</v>
      </c>
      <c r="H436" s="28">
        <f t="shared" si="23"/>
        <v>357.3916476990471</v>
      </c>
      <c r="I436" s="28">
        <f t="shared" si="23"/>
        <v>357.31708485751705</v>
      </c>
      <c r="J436" s="28">
        <f t="shared" si="23"/>
        <v>356.89432529467553</v>
      </c>
      <c r="K436" s="28">
        <f t="shared" si="23"/>
        <v>356.9299263875717</v>
      </c>
      <c r="L436" s="28">
        <f t="shared" si="23"/>
        <v>356.84208485751702</v>
      </c>
      <c r="M436" s="28">
        <f t="shared" si="23"/>
        <v>357.24162037664274</v>
      </c>
      <c r="N436" s="28">
        <f t="shared" si="23"/>
        <v>357.19902474822737</v>
      </c>
    </row>
    <row r="437" spans="1:14" x14ac:dyDescent="0.4">
      <c r="A437" s="1">
        <v>34486</v>
      </c>
      <c r="B437" s="28">
        <v>358.58162037664272</v>
      </c>
      <c r="C437" s="28">
        <f t="shared" si="23"/>
        <v>358.6090247482274</v>
      </c>
      <c r="D437" s="28">
        <f t="shared" si="23"/>
        <v>358.67195276159509</v>
      </c>
      <c r="E437" s="28">
        <f t="shared" si="23"/>
        <v>358.59770424061782</v>
      </c>
      <c r="F437" s="28">
        <f t="shared" si="23"/>
        <v>358.21584157521568</v>
      </c>
      <c r="G437" s="28">
        <f t="shared" si="23"/>
        <v>358.31110125095967</v>
      </c>
      <c r="H437" s="28">
        <f t="shared" si="23"/>
        <v>357.68768595041325</v>
      </c>
      <c r="I437" s="28">
        <f t="shared" si="23"/>
        <v>357.3916476990471</v>
      </c>
      <c r="J437" s="28">
        <f t="shared" si="23"/>
        <v>357.31708485751705</v>
      </c>
      <c r="K437" s="28">
        <f t="shared" si="23"/>
        <v>356.89432529467553</v>
      </c>
      <c r="L437" s="28">
        <f t="shared" si="23"/>
        <v>356.9299263875717</v>
      </c>
      <c r="M437" s="28">
        <f t="shared" si="23"/>
        <v>356.84208485751702</v>
      </c>
      <c r="N437" s="28">
        <f t="shared" si="23"/>
        <v>357.24162037664274</v>
      </c>
    </row>
    <row r="438" spans="1:14" x14ac:dyDescent="0.4">
      <c r="A438" s="1">
        <v>34516</v>
      </c>
      <c r="B438" s="28">
        <v>358.82208485751704</v>
      </c>
      <c r="C438" s="28">
        <f t="shared" si="23"/>
        <v>358.58162037664272</v>
      </c>
      <c r="D438" s="28">
        <f t="shared" si="23"/>
        <v>358.6090247482274</v>
      </c>
      <c r="E438" s="28">
        <f t="shared" si="23"/>
        <v>358.67195276159509</v>
      </c>
      <c r="F438" s="28">
        <f t="shared" si="23"/>
        <v>358.59770424061782</v>
      </c>
      <c r="G438" s="28">
        <f t="shared" si="23"/>
        <v>358.21584157521568</v>
      </c>
      <c r="H438" s="28">
        <f t="shared" si="23"/>
        <v>358.31110125095967</v>
      </c>
      <c r="I438" s="28">
        <f t="shared" si="23"/>
        <v>357.68768595041325</v>
      </c>
      <c r="J438" s="28">
        <f t="shared" si="23"/>
        <v>357.3916476990471</v>
      </c>
      <c r="K438" s="28">
        <f t="shared" si="23"/>
        <v>357.31708485751705</v>
      </c>
      <c r="L438" s="28">
        <f t="shared" si="23"/>
        <v>356.89432529467553</v>
      </c>
      <c r="M438" s="28">
        <f t="shared" si="23"/>
        <v>356.9299263875717</v>
      </c>
      <c r="N438" s="28">
        <f t="shared" si="23"/>
        <v>356.84208485751702</v>
      </c>
    </row>
    <row r="439" spans="1:14" x14ac:dyDescent="0.4">
      <c r="A439" s="1">
        <v>34547</v>
      </c>
      <c r="B439" s="28">
        <v>358.88992638757173</v>
      </c>
      <c r="C439" s="28">
        <f t="shared" si="23"/>
        <v>358.82208485751704</v>
      </c>
      <c r="D439" s="28">
        <f t="shared" si="23"/>
        <v>358.58162037664272</v>
      </c>
      <c r="E439" s="28">
        <f t="shared" si="23"/>
        <v>358.6090247482274</v>
      </c>
      <c r="F439" s="28">
        <f t="shared" si="23"/>
        <v>358.67195276159509</v>
      </c>
      <c r="G439" s="28">
        <f t="shared" si="23"/>
        <v>358.59770424061782</v>
      </c>
      <c r="H439" s="28">
        <f t="shared" si="23"/>
        <v>358.21584157521568</v>
      </c>
      <c r="I439" s="28">
        <f t="shared" si="23"/>
        <v>358.31110125095967</v>
      </c>
      <c r="J439" s="28">
        <f t="shared" si="23"/>
        <v>357.68768595041325</v>
      </c>
      <c r="K439" s="28">
        <f t="shared" si="23"/>
        <v>357.3916476990471</v>
      </c>
      <c r="L439" s="28">
        <f t="shared" si="23"/>
        <v>357.31708485751705</v>
      </c>
      <c r="M439" s="28">
        <f t="shared" si="23"/>
        <v>356.89432529467553</v>
      </c>
      <c r="N439" s="28">
        <f t="shared" si="23"/>
        <v>356.9299263875717</v>
      </c>
    </row>
    <row r="440" spans="1:14" x14ac:dyDescent="0.4">
      <c r="A440" s="1">
        <v>34578</v>
      </c>
      <c r="B440" s="28">
        <v>359.0443252946755</v>
      </c>
      <c r="C440" s="28">
        <f t="shared" si="23"/>
        <v>358.88992638757173</v>
      </c>
      <c r="D440" s="28">
        <f t="shared" si="23"/>
        <v>358.82208485751704</v>
      </c>
      <c r="E440" s="28">
        <f t="shared" si="23"/>
        <v>358.58162037664272</v>
      </c>
      <c r="F440" s="28">
        <f t="shared" si="23"/>
        <v>358.6090247482274</v>
      </c>
      <c r="G440" s="28">
        <f t="shared" si="23"/>
        <v>358.67195276159509</v>
      </c>
      <c r="H440" s="28">
        <f t="shared" si="23"/>
        <v>358.59770424061782</v>
      </c>
      <c r="I440" s="28">
        <f t="shared" si="23"/>
        <v>358.21584157521568</v>
      </c>
      <c r="J440" s="28">
        <f t="shared" si="23"/>
        <v>358.31110125095967</v>
      </c>
      <c r="K440" s="28">
        <f t="shared" si="23"/>
        <v>357.68768595041325</v>
      </c>
      <c r="L440" s="28">
        <f t="shared" si="23"/>
        <v>357.3916476990471</v>
      </c>
      <c r="M440" s="28">
        <f t="shared" si="23"/>
        <v>357.31708485751705</v>
      </c>
      <c r="N440" s="28">
        <f t="shared" si="23"/>
        <v>356.89432529467553</v>
      </c>
    </row>
    <row r="441" spans="1:14" x14ac:dyDescent="0.4">
      <c r="A441" s="1">
        <v>34608</v>
      </c>
      <c r="B441" s="28">
        <v>359.32708485751704</v>
      </c>
      <c r="C441" s="28">
        <f t="shared" si="23"/>
        <v>359.0443252946755</v>
      </c>
      <c r="D441" s="28">
        <f t="shared" si="23"/>
        <v>358.88992638757173</v>
      </c>
      <c r="E441" s="28">
        <f t="shared" si="23"/>
        <v>358.82208485751704</v>
      </c>
      <c r="F441" s="28">
        <f t="shared" si="23"/>
        <v>358.58162037664272</v>
      </c>
      <c r="G441" s="28">
        <f t="shared" si="23"/>
        <v>358.6090247482274</v>
      </c>
      <c r="H441" s="28">
        <f t="shared" si="23"/>
        <v>358.67195276159509</v>
      </c>
      <c r="I441" s="28">
        <f t="shared" si="23"/>
        <v>358.59770424061782</v>
      </c>
      <c r="J441" s="28">
        <f t="shared" si="23"/>
        <v>358.21584157521568</v>
      </c>
      <c r="K441" s="28">
        <f t="shared" si="23"/>
        <v>358.31110125095967</v>
      </c>
      <c r="L441" s="28">
        <f t="shared" si="23"/>
        <v>357.68768595041325</v>
      </c>
      <c r="M441" s="28">
        <f t="shared" si="23"/>
        <v>357.3916476990471</v>
      </c>
      <c r="N441" s="28">
        <f t="shared" si="23"/>
        <v>357.31708485751705</v>
      </c>
    </row>
    <row r="442" spans="1:14" x14ac:dyDescent="0.4">
      <c r="A442" s="1">
        <v>34639</v>
      </c>
      <c r="B442" s="28">
        <v>359.63164769904711</v>
      </c>
      <c r="C442" s="28">
        <f t="shared" si="23"/>
        <v>359.32708485751704</v>
      </c>
      <c r="D442" s="28">
        <f t="shared" si="23"/>
        <v>359.0443252946755</v>
      </c>
      <c r="E442" s="28">
        <f t="shared" si="23"/>
        <v>358.88992638757173</v>
      </c>
      <c r="F442" s="28">
        <f t="shared" si="23"/>
        <v>358.82208485751704</v>
      </c>
      <c r="G442" s="28">
        <f t="shared" si="23"/>
        <v>358.58162037664272</v>
      </c>
      <c r="H442" s="28">
        <f t="shared" si="23"/>
        <v>358.6090247482274</v>
      </c>
      <c r="I442" s="28">
        <f t="shared" si="23"/>
        <v>358.67195276159509</v>
      </c>
      <c r="J442" s="28">
        <f t="shared" si="23"/>
        <v>358.59770424061782</v>
      </c>
      <c r="K442" s="28">
        <f t="shared" si="23"/>
        <v>358.21584157521568</v>
      </c>
      <c r="L442" s="28">
        <f t="shared" si="23"/>
        <v>358.31110125095967</v>
      </c>
      <c r="M442" s="28">
        <f t="shared" si="23"/>
        <v>357.68768595041325</v>
      </c>
      <c r="N442" s="28">
        <f t="shared" si="23"/>
        <v>357.3916476990471</v>
      </c>
    </row>
    <row r="443" spans="1:14" x14ac:dyDescent="0.4">
      <c r="A443" s="1">
        <v>34669</v>
      </c>
      <c r="B443" s="28">
        <v>359.92768595041326</v>
      </c>
      <c r="C443" s="28">
        <f t="shared" si="23"/>
        <v>359.63164769904711</v>
      </c>
      <c r="D443" s="28">
        <f t="shared" si="23"/>
        <v>359.32708485751704</v>
      </c>
      <c r="E443" s="28">
        <f t="shared" si="23"/>
        <v>359.0443252946755</v>
      </c>
      <c r="F443" s="28">
        <f t="shared" si="23"/>
        <v>358.88992638757173</v>
      </c>
      <c r="G443" s="28">
        <f t="shared" si="23"/>
        <v>358.82208485751704</v>
      </c>
      <c r="H443" s="28">
        <f t="shared" si="23"/>
        <v>358.58162037664272</v>
      </c>
      <c r="I443" s="28">
        <f t="shared" si="23"/>
        <v>358.6090247482274</v>
      </c>
      <c r="J443" s="28">
        <f t="shared" si="23"/>
        <v>358.67195276159509</v>
      </c>
      <c r="K443" s="28">
        <f t="shared" si="23"/>
        <v>358.59770424061782</v>
      </c>
      <c r="L443" s="28">
        <f t="shared" si="23"/>
        <v>358.21584157521568</v>
      </c>
      <c r="M443" s="28">
        <f t="shared" si="23"/>
        <v>358.31110125095967</v>
      </c>
      <c r="N443" s="28">
        <f t="shared" si="23"/>
        <v>357.68768595041325</v>
      </c>
    </row>
    <row r="444" spans="1:14" x14ac:dyDescent="0.4">
      <c r="A444" s="1">
        <v>34700</v>
      </c>
      <c r="B444" s="28">
        <v>359.91110125095969</v>
      </c>
      <c r="C444" s="28">
        <f t="shared" si="23"/>
        <v>359.92768595041326</v>
      </c>
      <c r="D444" s="28">
        <f t="shared" si="23"/>
        <v>359.63164769904711</v>
      </c>
      <c r="E444" s="28">
        <f t="shared" si="23"/>
        <v>359.32708485751704</v>
      </c>
      <c r="F444" s="28">
        <f t="shared" si="23"/>
        <v>359.0443252946755</v>
      </c>
      <c r="G444" s="28">
        <f t="shared" si="23"/>
        <v>358.88992638757173</v>
      </c>
      <c r="H444" s="28">
        <f t="shared" si="23"/>
        <v>358.82208485751704</v>
      </c>
      <c r="I444" s="28">
        <f t="shared" si="23"/>
        <v>358.58162037664272</v>
      </c>
      <c r="J444" s="28">
        <f t="shared" si="23"/>
        <v>358.6090247482274</v>
      </c>
      <c r="K444" s="28">
        <f t="shared" si="23"/>
        <v>358.67195276159509</v>
      </c>
      <c r="L444" s="28">
        <f t="shared" si="23"/>
        <v>358.59770424061782</v>
      </c>
      <c r="M444" s="28">
        <f t="shared" si="23"/>
        <v>358.21584157521568</v>
      </c>
      <c r="N444" s="28">
        <f t="shared" si="23"/>
        <v>358.31110125095967</v>
      </c>
    </row>
    <row r="445" spans="1:14" x14ac:dyDescent="0.4">
      <c r="A445" s="1">
        <v>34731</v>
      </c>
      <c r="B445" s="28">
        <v>360.30584157521565</v>
      </c>
      <c r="C445" s="28">
        <f t="shared" ref="C445:N508" si="24">IF(B444=0,"",B444)</f>
        <v>359.91110125095969</v>
      </c>
      <c r="D445" s="28">
        <f t="shared" si="24"/>
        <v>359.92768595041326</v>
      </c>
      <c r="E445" s="28">
        <f t="shared" si="24"/>
        <v>359.63164769904711</v>
      </c>
      <c r="F445" s="28">
        <f t="shared" si="24"/>
        <v>359.32708485751704</v>
      </c>
      <c r="G445" s="28">
        <f t="shared" si="24"/>
        <v>359.0443252946755</v>
      </c>
      <c r="H445" s="28">
        <f t="shared" si="24"/>
        <v>358.88992638757173</v>
      </c>
      <c r="I445" s="28">
        <f t="shared" si="24"/>
        <v>358.82208485751704</v>
      </c>
      <c r="J445" s="28">
        <f t="shared" si="24"/>
        <v>358.58162037664272</v>
      </c>
      <c r="K445" s="28">
        <f t="shared" si="24"/>
        <v>358.6090247482274</v>
      </c>
      <c r="L445" s="28">
        <f t="shared" si="24"/>
        <v>358.67195276159509</v>
      </c>
      <c r="M445" s="28">
        <f t="shared" si="24"/>
        <v>358.59770424061782</v>
      </c>
      <c r="N445" s="28">
        <f t="shared" si="24"/>
        <v>358.21584157521568</v>
      </c>
    </row>
    <row r="446" spans="1:14" x14ac:dyDescent="0.4">
      <c r="A446" s="1">
        <v>34759</v>
      </c>
      <c r="B446" s="28">
        <v>360.25770424061778</v>
      </c>
      <c r="C446" s="28">
        <f t="shared" si="24"/>
        <v>360.30584157521565</v>
      </c>
      <c r="D446" s="28">
        <f t="shared" si="24"/>
        <v>359.91110125095969</v>
      </c>
      <c r="E446" s="28">
        <f t="shared" si="24"/>
        <v>359.92768595041326</v>
      </c>
      <c r="F446" s="28">
        <f t="shared" si="24"/>
        <v>359.63164769904711</v>
      </c>
      <c r="G446" s="28">
        <f t="shared" si="24"/>
        <v>359.32708485751704</v>
      </c>
      <c r="H446" s="28">
        <f t="shared" si="24"/>
        <v>359.0443252946755</v>
      </c>
      <c r="I446" s="28">
        <f t="shared" si="24"/>
        <v>358.88992638757173</v>
      </c>
      <c r="J446" s="28">
        <f t="shared" si="24"/>
        <v>358.82208485751704</v>
      </c>
      <c r="K446" s="28">
        <f t="shared" si="24"/>
        <v>358.58162037664272</v>
      </c>
      <c r="L446" s="28">
        <f t="shared" si="24"/>
        <v>358.6090247482274</v>
      </c>
      <c r="M446" s="28">
        <f t="shared" si="24"/>
        <v>358.67195276159509</v>
      </c>
      <c r="N446" s="28">
        <f t="shared" si="24"/>
        <v>358.59770424061782</v>
      </c>
    </row>
    <row r="447" spans="1:14" x14ac:dyDescent="0.4">
      <c r="A447" s="1">
        <v>34790</v>
      </c>
      <c r="B447" s="28">
        <v>360.86195276159509</v>
      </c>
      <c r="C447" s="28">
        <f t="shared" si="24"/>
        <v>360.25770424061778</v>
      </c>
      <c r="D447" s="28">
        <f t="shared" si="24"/>
        <v>360.30584157521565</v>
      </c>
      <c r="E447" s="28">
        <f t="shared" si="24"/>
        <v>359.91110125095969</v>
      </c>
      <c r="F447" s="28">
        <f t="shared" si="24"/>
        <v>359.92768595041326</v>
      </c>
      <c r="G447" s="28">
        <f t="shared" si="24"/>
        <v>359.63164769904711</v>
      </c>
      <c r="H447" s="28">
        <f t="shared" si="24"/>
        <v>359.32708485751704</v>
      </c>
      <c r="I447" s="28">
        <f t="shared" si="24"/>
        <v>359.0443252946755</v>
      </c>
      <c r="J447" s="28">
        <f t="shared" si="24"/>
        <v>358.88992638757173</v>
      </c>
      <c r="K447" s="28">
        <f t="shared" si="24"/>
        <v>358.82208485751704</v>
      </c>
      <c r="L447" s="28">
        <f t="shared" si="24"/>
        <v>358.58162037664272</v>
      </c>
      <c r="M447" s="28">
        <f t="shared" si="24"/>
        <v>358.6090247482274</v>
      </c>
      <c r="N447" s="28">
        <f t="shared" si="24"/>
        <v>358.67195276159509</v>
      </c>
    </row>
    <row r="448" spans="1:14" x14ac:dyDescent="0.4">
      <c r="A448" s="1">
        <v>34820</v>
      </c>
      <c r="B448" s="28">
        <v>360.71902474822741</v>
      </c>
      <c r="C448" s="28">
        <f t="shared" si="24"/>
        <v>360.86195276159509</v>
      </c>
      <c r="D448" s="28">
        <f t="shared" si="24"/>
        <v>360.25770424061778</v>
      </c>
      <c r="E448" s="28">
        <f t="shared" si="24"/>
        <v>360.30584157521565</v>
      </c>
      <c r="F448" s="28">
        <f t="shared" si="24"/>
        <v>359.91110125095969</v>
      </c>
      <c r="G448" s="28">
        <f t="shared" si="24"/>
        <v>359.92768595041326</v>
      </c>
      <c r="H448" s="28">
        <f t="shared" si="24"/>
        <v>359.63164769904711</v>
      </c>
      <c r="I448" s="28">
        <f t="shared" si="24"/>
        <v>359.32708485751704</v>
      </c>
      <c r="J448" s="28">
        <f t="shared" si="24"/>
        <v>359.0443252946755</v>
      </c>
      <c r="K448" s="28">
        <f t="shared" si="24"/>
        <v>358.88992638757173</v>
      </c>
      <c r="L448" s="28">
        <f t="shared" si="24"/>
        <v>358.82208485751704</v>
      </c>
      <c r="M448" s="28">
        <f t="shared" si="24"/>
        <v>358.58162037664272</v>
      </c>
      <c r="N448" s="28">
        <f t="shared" si="24"/>
        <v>358.6090247482274</v>
      </c>
    </row>
    <row r="449" spans="1:14" x14ac:dyDescent="0.4">
      <c r="A449" s="1">
        <v>34851</v>
      </c>
      <c r="B449" s="28">
        <v>360.90162037664271</v>
      </c>
      <c r="C449" s="28">
        <f t="shared" si="24"/>
        <v>360.71902474822741</v>
      </c>
      <c r="D449" s="28">
        <f t="shared" si="24"/>
        <v>360.86195276159509</v>
      </c>
      <c r="E449" s="28">
        <f t="shared" si="24"/>
        <v>360.25770424061778</v>
      </c>
      <c r="F449" s="28">
        <f t="shared" si="24"/>
        <v>360.30584157521565</v>
      </c>
      <c r="G449" s="28">
        <f t="shared" si="24"/>
        <v>359.91110125095969</v>
      </c>
      <c r="H449" s="28">
        <f t="shared" si="24"/>
        <v>359.92768595041326</v>
      </c>
      <c r="I449" s="28">
        <f t="shared" si="24"/>
        <v>359.63164769904711</v>
      </c>
      <c r="J449" s="28">
        <f t="shared" si="24"/>
        <v>359.32708485751704</v>
      </c>
      <c r="K449" s="28">
        <f t="shared" si="24"/>
        <v>359.0443252946755</v>
      </c>
      <c r="L449" s="28">
        <f t="shared" si="24"/>
        <v>358.88992638757173</v>
      </c>
      <c r="M449" s="28">
        <f t="shared" si="24"/>
        <v>358.82208485751704</v>
      </c>
      <c r="N449" s="28">
        <f t="shared" si="24"/>
        <v>358.58162037664272</v>
      </c>
    </row>
    <row r="450" spans="1:14" x14ac:dyDescent="0.4">
      <c r="A450" s="1">
        <v>34881</v>
      </c>
      <c r="B450" s="28">
        <v>361.16208485751702</v>
      </c>
      <c r="C450" s="28">
        <f t="shared" si="24"/>
        <v>360.90162037664271</v>
      </c>
      <c r="D450" s="28">
        <f t="shared" si="24"/>
        <v>360.71902474822741</v>
      </c>
      <c r="E450" s="28">
        <f t="shared" si="24"/>
        <v>360.86195276159509</v>
      </c>
      <c r="F450" s="28">
        <f t="shared" si="24"/>
        <v>360.25770424061778</v>
      </c>
      <c r="G450" s="28">
        <f t="shared" si="24"/>
        <v>360.30584157521565</v>
      </c>
      <c r="H450" s="28">
        <f t="shared" si="24"/>
        <v>359.91110125095969</v>
      </c>
      <c r="I450" s="28">
        <f t="shared" si="24"/>
        <v>359.92768595041326</v>
      </c>
      <c r="J450" s="28">
        <f t="shared" si="24"/>
        <v>359.63164769904711</v>
      </c>
      <c r="K450" s="28">
        <f t="shared" si="24"/>
        <v>359.32708485751704</v>
      </c>
      <c r="L450" s="28">
        <f t="shared" si="24"/>
        <v>359.0443252946755</v>
      </c>
      <c r="M450" s="28">
        <f t="shared" si="24"/>
        <v>358.88992638757173</v>
      </c>
      <c r="N450" s="28">
        <f t="shared" si="24"/>
        <v>358.82208485751704</v>
      </c>
    </row>
    <row r="451" spans="1:14" x14ac:dyDescent="0.4">
      <c r="A451" s="1">
        <v>34912</v>
      </c>
      <c r="B451" s="28">
        <v>360.8599263875717</v>
      </c>
      <c r="C451" s="28">
        <f t="shared" si="24"/>
        <v>361.16208485751702</v>
      </c>
      <c r="D451" s="28">
        <f t="shared" si="24"/>
        <v>360.90162037664271</v>
      </c>
      <c r="E451" s="28">
        <f t="shared" si="24"/>
        <v>360.71902474822741</v>
      </c>
      <c r="F451" s="28">
        <f t="shared" si="24"/>
        <v>360.86195276159509</v>
      </c>
      <c r="G451" s="28">
        <f t="shared" si="24"/>
        <v>360.25770424061778</v>
      </c>
      <c r="H451" s="28">
        <f t="shared" si="24"/>
        <v>360.30584157521565</v>
      </c>
      <c r="I451" s="28">
        <f t="shared" si="24"/>
        <v>359.91110125095969</v>
      </c>
      <c r="J451" s="28">
        <f t="shared" si="24"/>
        <v>359.92768595041326</v>
      </c>
      <c r="K451" s="28">
        <f t="shared" si="24"/>
        <v>359.63164769904711</v>
      </c>
      <c r="L451" s="28">
        <f t="shared" si="24"/>
        <v>359.32708485751704</v>
      </c>
      <c r="M451" s="28">
        <f t="shared" si="24"/>
        <v>359.0443252946755</v>
      </c>
      <c r="N451" s="28">
        <f t="shared" si="24"/>
        <v>358.88992638757173</v>
      </c>
    </row>
    <row r="452" spans="1:14" x14ac:dyDescent="0.4">
      <c r="A452" s="1">
        <v>34943</v>
      </c>
      <c r="B452" s="28">
        <v>361.25432529467554</v>
      </c>
      <c r="C452" s="28">
        <f t="shared" si="24"/>
        <v>360.8599263875717</v>
      </c>
      <c r="D452" s="28">
        <f t="shared" si="24"/>
        <v>361.16208485751702</v>
      </c>
      <c r="E452" s="28">
        <f t="shared" si="24"/>
        <v>360.90162037664271</v>
      </c>
      <c r="F452" s="28">
        <f t="shared" si="24"/>
        <v>360.71902474822741</v>
      </c>
      <c r="G452" s="28">
        <f t="shared" si="24"/>
        <v>360.86195276159509</v>
      </c>
      <c r="H452" s="28">
        <f t="shared" si="24"/>
        <v>360.25770424061778</v>
      </c>
      <c r="I452" s="28">
        <f t="shared" si="24"/>
        <v>360.30584157521565</v>
      </c>
      <c r="J452" s="28">
        <f t="shared" si="24"/>
        <v>359.91110125095969</v>
      </c>
      <c r="K452" s="28">
        <f t="shared" si="24"/>
        <v>359.92768595041326</v>
      </c>
      <c r="L452" s="28">
        <f t="shared" si="24"/>
        <v>359.63164769904711</v>
      </c>
      <c r="M452" s="28">
        <f t="shared" si="24"/>
        <v>359.32708485751704</v>
      </c>
      <c r="N452" s="28">
        <f t="shared" si="24"/>
        <v>359.0443252946755</v>
      </c>
    </row>
    <row r="453" spans="1:14" x14ac:dyDescent="0.4">
      <c r="A453" s="1">
        <v>34973</v>
      </c>
      <c r="B453" s="28">
        <v>361.07708485751704</v>
      </c>
      <c r="C453" s="28">
        <f t="shared" si="24"/>
        <v>361.25432529467554</v>
      </c>
      <c r="D453" s="28">
        <f t="shared" si="24"/>
        <v>360.8599263875717</v>
      </c>
      <c r="E453" s="28">
        <f t="shared" si="24"/>
        <v>361.16208485751702</v>
      </c>
      <c r="F453" s="28">
        <f t="shared" si="24"/>
        <v>360.90162037664271</v>
      </c>
      <c r="G453" s="28">
        <f t="shared" si="24"/>
        <v>360.71902474822741</v>
      </c>
      <c r="H453" s="28">
        <f t="shared" si="24"/>
        <v>360.86195276159509</v>
      </c>
      <c r="I453" s="28">
        <f t="shared" si="24"/>
        <v>360.25770424061778</v>
      </c>
      <c r="J453" s="28">
        <f t="shared" si="24"/>
        <v>360.30584157521565</v>
      </c>
      <c r="K453" s="28">
        <f t="shared" si="24"/>
        <v>359.91110125095969</v>
      </c>
      <c r="L453" s="28">
        <f t="shared" si="24"/>
        <v>359.92768595041326</v>
      </c>
      <c r="M453" s="28">
        <f t="shared" si="24"/>
        <v>359.63164769904711</v>
      </c>
      <c r="N453" s="28">
        <f t="shared" si="24"/>
        <v>359.32708485751704</v>
      </c>
    </row>
    <row r="454" spans="1:14" x14ac:dyDescent="0.4">
      <c r="A454" s="1">
        <v>35004</v>
      </c>
      <c r="B454" s="28">
        <v>361.61164769904713</v>
      </c>
      <c r="C454" s="28">
        <f t="shared" si="24"/>
        <v>361.07708485751704</v>
      </c>
      <c r="D454" s="28">
        <f t="shared" si="24"/>
        <v>361.25432529467554</v>
      </c>
      <c r="E454" s="28">
        <f t="shared" si="24"/>
        <v>360.8599263875717</v>
      </c>
      <c r="F454" s="28">
        <f t="shared" si="24"/>
        <v>361.16208485751702</v>
      </c>
      <c r="G454" s="28">
        <f t="shared" si="24"/>
        <v>360.90162037664271</v>
      </c>
      <c r="H454" s="28">
        <f t="shared" si="24"/>
        <v>360.71902474822741</v>
      </c>
      <c r="I454" s="28">
        <f t="shared" si="24"/>
        <v>360.86195276159509</v>
      </c>
      <c r="J454" s="28">
        <f t="shared" si="24"/>
        <v>360.25770424061778</v>
      </c>
      <c r="K454" s="28">
        <f t="shared" si="24"/>
        <v>360.30584157521565</v>
      </c>
      <c r="L454" s="28">
        <f t="shared" si="24"/>
        <v>359.91110125095969</v>
      </c>
      <c r="M454" s="28">
        <f t="shared" si="24"/>
        <v>359.92768595041326</v>
      </c>
      <c r="N454" s="28">
        <f t="shared" si="24"/>
        <v>359.63164769904711</v>
      </c>
    </row>
    <row r="455" spans="1:14" x14ac:dyDescent="0.4">
      <c r="A455" s="1">
        <v>35034</v>
      </c>
      <c r="B455" s="28">
        <v>361.58768595041323</v>
      </c>
      <c r="C455" s="28">
        <f t="shared" si="24"/>
        <v>361.61164769904713</v>
      </c>
      <c r="D455" s="28">
        <f t="shared" si="24"/>
        <v>361.07708485751704</v>
      </c>
      <c r="E455" s="28">
        <f t="shared" si="24"/>
        <v>361.25432529467554</v>
      </c>
      <c r="F455" s="28">
        <f t="shared" si="24"/>
        <v>360.8599263875717</v>
      </c>
      <c r="G455" s="28">
        <f t="shared" si="24"/>
        <v>361.16208485751702</v>
      </c>
      <c r="H455" s="28">
        <f t="shared" si="24"/>
        <v>360.90162037664271</v>
      </c>
      <c r="I455" s="28">
        <f t="shared" si="24"/>
        <v>360.71902474822741</v>
      </c>
      <c r="J455" s="28">
        <f t="shared" si="24"/>
        <v>360.86195276159509</v>
      </c>
      <c r="K455" s="28">
        <f t="shared" si="24"/>
        <v>360.25770424061778</v>
      </c>
      <c r="L455" s="28">
        <f t="shared" si="24"/>
        <v>360.30584157521565</v>
      </c>
      <c r="M455" s="28">
        <f t="shared" si="24"/>
        <v>359.91110125095969</v>
      </c>
      <c r="N455" s="28">
        <f t="shared" si="24"/>
        <v>359.92768595041326</v>
      </c>
    </row>
    <row r="456" spans="1:14" x14ac:dyDescent="0.4">
      <c r="A456" s="1">
        <v>35065</v>
      </c>
      <c r="B456" s="28">
        <v>361.99110125095967</v>
      </c>
      <c r="C456" s="28">
        <f t="shared" si="24"/>
        <v>361.58768595041323</v>
      </c>
      <c r="D456" s="28">
        <f t="shared" si="24"/>
        <v>361.61164769904713</v>
      </c>
      <c r="E456" s="28">
        <f t="shared" si="24"/>
        <v>361.07708485751704</v>
      </c>
      <c r="F456" s="28">
        <f t="shared" si="24"/>
        <v>361.25432529467554</v>
      </c>
      <c r="G456" s="28">
        <f t="shared" si="24"/>
        <v>360.8599263875717</v>
      </c>
      <c r="H456" s="28">
        <f t="shared" si="24"/>
        <v>361.16208485751702</v>
      </c>
      <c r="I456" s="28">
        <f t="shared" si="24"/>
        <v>360.90162037664271</v>
      </c>
      <c r="J456" s="28">
        <f t="shared" si="24"/>
        <v>360.71902474822741</v>
      </c>
      <c r="K456" s="28">
        <f t="shared" si="24"/>
        <v>360.86195276159509</v>
      </c>
      <c r="L456" s="28">
        <f t="shared" si="24"/>
        <v>360.25770424061778</v>
      </c>
      <c r="M456" s="28">
        <f t="shared" si="24"/>
        <v>360.30584157521565</v>
      </c>
      <c r="N456" s="28">
        <f t="shared" si="24"/>
        <v>359.91110125095969</v>
      </c>
    </row>
    <row r="457" spans="1:14" x14ac:dyDescent="0.4">
      <c r="A457" s="1">
        <v>35096</v>
      </c>
      <c r="B457" s="28">
        <v>362.54584157521566</v>
      </c>
      <c r="C457" s="28">
        <f t="shared" si="24"/>
        <v>361.99110125095967</v>
      </c>
      <c r="D457" s="28">
        <f t="shared" si="24"/>
        <v>361.58768595041323</v>
      </c>
      <c r="E457" s="28">
        <f t="shared" si="24"/>
        <v>361.61164769904713</v>
      </c>
      <c r="F457" s="28">
        <f t="shared" si="24"/>
        <v>361.07708485751704</v>
      </c>
      <c r="G457" s="28">
        <f t="shared" si="24"/>
        <v>361.25432529467554</v>
      </c>
      <c r="H457" s="28">
        <f t="shared" si="24"/>
        <v>360.8599263875717</v>
      </c>
      <c r="I457" s="28">
        <f t="shared" si="24"/>
        <v>361.16208485751702</v>
      </c>
      <c r="J457" s="28">
        <f t="shared" si="24"/>
        <v>360.90162037664271</v>
      </c>
      <c r="K457" s="28">
        <f t="shared" si="24"/>
        <v>360.71902474822741</v>
      </c>
      <c r="L457" s="28">
        <f t="shared" si="24"/>
        <v>360.86195276159509</v>
      </c>
      <c r="M457" s="28">
        <f t="shared" si="24"/>
        <v>360.25770424061778</v>
      </c>
      <c r="N457" s="28">
        <f t="shared" si="24"/>
        <v>360.30584157521565</v>
      </c>
    </row>
    <row r="458" spans="1:14" x14ac:dyDescent="0.4">
      <c r="A458" s="1">
        <v>35125</v>
      </c>
      <c r="B458" s="28">
        <v>362.64770424061777</v>
      </c>
      <c r="C458" s="28">
        <f t="shared" si="24"/>
        <v>362.54584157521566</v>
      </c>
      <c r="D458" s="28">
        <f t="shared" si="24"/>
        <v>361.99110125095967</v>
      </c>
      <c r="E458" s="28">
        <f t="shared" si="24"/>
        <v>361.58768595041323</v>
      </c>
      <c r="F458" s="28">
        <f t="shared" si="24"/>
        <v>361.61164769904713</v>
      </c>
      <c r="G458" s="28">
        <f t="shared" si="24"/>
        <v>361.07708485751704</v>
      </c>
      <c r="H458" s="28">
        <f t="shared" si="24"/>
        <v>361.25432529467554</v>
      </c>
      <c r="I458" s="28">
        <f t="shared" si="24"/>
        <v>360.8599263875717</v>
      </c>
      <c r="J458" s="28">
        <f t="shared" si="24"/>
        <v>361.16208485751702</v>
      </c>
      <c r="K458" s="28">
        <f t="shared" si="24"/>
        <v>360.90162037664271</v>
      </c>
      <c r="L458" s="28">
        <f t="shared" si="24"/>
        <v>360.71902474822741</v>
      </c>
      <c r="M458" s="28">
        <f t="shared" si="24"/>
        <v>360.86195276159509</v>
      </c>
      <c r="N458" s="28">
        <f t="shared" si="24"/>
        <v>360.25770424061778</v>
      </c>
    </row>
    <row r="459" spans="1:14" x14ac:dyDescent="0.4">
      <c r="A459" s="1">
        <v>35156</v>
      </c>
      <c r="B459" s="28">
        <v>362.12195276159508</v>
      </c>
      <c r="C459" s="28">
        <f t="shared" si="24"/>
        <v>362.64770424061777</v>
      </c>
      <c r="D459" s="28">
        <f t="shared" si="24"/>
        <v>362.54584157521566</v>
      </c>
      <c r="E459" s="28">
        <f t="shared" si="24"/>
        <v>361.99110125095967</v>
      </c>
      <c r="F459" s="28">
        <f t="shared" si="24"/>
        <v>361.58768595041323</v>
      </c>
      <c r="G459" s="28">
        <f t="shared" si="24"/>
        <v>361.61164769904713</v>
      </c>
      <c r="H459" s="28">
        <f t="shared" si="24"/>
        <v>361.07708485751704</v>
      </c>
      <c r="I459" s="28">
        <f t="shared" si="24"/>
        <v>361.25432529467554</v>
      </c>
      <c r="J459" s="28">
        <f t="shared" si="24"/>
        <v>360.8599263875717</v>
      </c>
      <c r="K459" s="28">
        <f t="shared" si="24"/>
        <v>361.16208485751702</v>
      </c>
      <c r="L459" s="28">
        <f t="shared" si="24"/>
        <v>360.90162037664271</v>
      </c>
      <c r="M459" s="28">
        <f t="shared" si="24"/>
        <v>360.71902474822741</v>
      </c>
      <c r="N459" s="28">
        <f t="shared" si="24"/>
        <v>360.86195276159509</v>
      </c>
    </row>
    <row r="460" spans="1:14" x14ac:dyDescent="0.4">
      <c r="A460" s="1">
        <v>35186</v>
      </c>
      <c r="B460" s="28">
        <v>362.33902474822742</v>
      </c>
      <c r="C460" s="28">
        <f t="shared" si="24"/>
        <v>362.12195276159508</v>
      </c>
      <c r="D460" s="28">
        <f t="shared" si="24"/>
        <v>362.64770424061777</v>
      </c>
      <c r="E460" s="28">
        <f t="shared" si="24"/>
        <v>362.54584157521566</v>
      </c>
      <c r="F460" s="28">
        <f t="shared" si="24"/>
        <v>361.99110125095967</v>
      </c>
      <c r="G460" s="28">
        <f t="shared" si="24"/>
        <v>361.58768595041323</v>
      </c>
      <c r="H460" s="28">
        <f t="shared" si="24"/>
        <v>361.61164769904713</v>
      </c>
      <c r="I460" s="28">
        <f t="shared" si="24"/>
        <v>361.07708485751704</v>
      </c>
      <c r="J460" s="28">
        <f t="shared" si="24"/>
        <v>361.25432529467554</v>
      </c>
      <c r="K460" s="28">
        <f t="shared" si="24"/>
        <v>360.8599263875717</v>
      </c>
      <c r="L460" s="28">
        <f t="shared" si="24"/>
        <v>361.16208485751702</v>
      </c>
      <c r="M460" s="28">
        <f t="shared" si="24"/>
        <v>360.90162037664271</v>
      </c>
      <c r="N460" s="28">
        <f t="shared" si="24"/>
        <v>360.71902474822741</v>
      </c>
    </row>
    <row r="461" spans="1:14" x14ac:dyDescent="0.4">
      <c r="A461" s="1">
        <v>35217</v>
      </c>
      <c r="B461" s="28">
        <v>362.61162037664275</v>
      </c>
      <c r="C461" s="28">
        <f t="shared" si="24"/>
        <v>362.33902474822742</v>
      </c>
      <c r="D461" s="28">
        <f t="shared" si="24"/>
        <v>362.12195276159508</v>
      </c>
      <c r="E461" s="28">
        <f t="shared" si="24"/>
        <v>362.64770424061777</v>
      </c>
      <c r="F461" s="28">
        <f t="shared" si="24"/>
        <v>362.54584157521566</v>
      </c>
      <c r="G461" s="28">
        <f t="shared" si="24"/>
        <v>361.99110125095967</v>
      </c>
      <c r="H461" s="28">
        <f t="shared" si="24"/>
        <v>361.58768595041323</v>
      </c>
      <c r="I461" s="28">
        <f t="shared" si="24"/>
        <v>361.61164769904713</v>
      </c>
      <c r="J461" s="28">
        <f t="shared" si="24"/>
        <v>361.07708485751704</v>
      </c>
      <c r="K461" s="28">
        <f t="shared" si="24"/>
        <v>361.25432529467554</v>
      </c>
      <c r="L461" s="28">
        <f t="shared" si="24"/>
        <v>360.8599263875717</v>
      </c>
      <c r="M461" s="28">
        <f t="shared" si="24"/>
        <v>361.16208485751702</v>
      </c>
      <c r="N461" s="28">
        <f t="shared" si="24"/>
        <v>360.90162037664271</v>
      </c>
    </row>
    <row r="462" spans="1:14" x14ac:dyDescent="0.4">
      <c r="A462" s="1">
        <v>35247</v>
      </c>
      <c r="B462" s="28">
        <v>362.92208485751701</v>
      </c>
      <c r="C462" s="28">
        <f t="shared" si="24"/>
        <v>362.61162037664275</v>
      </c>
      <c r="D462" s="28">
        <f t="shared" si="24"/>
        <v>362.33902474822742</v>
      </c>
      <c r="E462" s="28">
        <f t="shared" si="24"/>
        <v>362.12195276159508</v>
      </c>
      <c r="F462" s="28">
        <f t="shared" si="24"/>
        <v>362.64770424061777</v>
      </c>
      <c r="G462" s="28">
        <f t="shared" si="24"/>
        <v>362.54584157521566</v>
      </c>
      <c r="H462" s="28">
        <f t="shared" si="24"/>
        <v>361.99110125095967</v>
      </c>
      <c r="I462" s="28">
        <f t="shared" si="24"/>
        <v>361.58768595041323</v>
      </c>
      <c r="J462" s="28">
        <f t="shared" si="24"/>
        <v>361.61164769904713</v>
      </c>
      <c r="K462" s="28">
        <f t="shared" si="24"/>
        <v>361.07708485751704</v>
      </c>
      <c r="L462" s="28">
        <f t="shared" si="24"/>
        <v>361.25432529467554</v>
      </c>
      <c r="M462" s="28">
        <f t="shared" si="24"/>
        <v>360.8599263875717</v>
      </c>
      <c r="N462" s="28">
        <f t="shared" si="24"/>
        <v>361.16208485751702</v>
      </c>
    </row>
    <row r="463" spans="1:14" x14ac:dyDescent="0.4">
      <c r="A463" s="1">
        <v>35278</v>
      </c>
      <c r="B463" s="28">
        <v>362.88992638757173</v>
      </c>
      <c r="C463" s="28">
        <f t="shared" si="24"/>
        <v>362.92208485751701</v>
      </c>
      <c r="D463" s="28">
        <f t="shared" si="24"/>
        <v>362.61162037664275</v>
      </c>
      <c r="E463" s="28">
        <f t="shared" si="24"/>
        <v>362.33902474822742</v>
      </c>
      <c r="F463" s="28">
        <f t="shared" si="24"/>
        <v>362.12195276159508</v>
      </c>
      <c r="G463" s="28">
        <f t="shared" si="24"/>
        <v>362.64770424061777</v>
      </c>
      <c r="H463" s="28">
        <f t="shared" si="24"/>
        <v>362.54584157521566</v>
      </c>
      <c r="I463" s="28">
        <f t="shared" si="24"/>
        <v>361.99110125095967</v>
      </c>
      <c r="J463" s="28">
        <f t="shared" si="24"/>
        <v>361.58768595041323</v>
      </c>
      <c r="K463" s="28">
        <f t="shared" si="24"/>
        <v>361.61164769904713</v>
      </c>
      <c r="L463" s="28">
        <f t="shared" si="24"/>
        <v>361.07708485751704</v>
      </c>
      <c r="M463" s="28">
        <f t="shared" si="24"/>
        <v>361.25432529467554</v>
      </c>
      <c r="N463" s="28">
        <f t="shared" si="24"/>
        <v>360.8599263875717</v>
      </c>
    </row>
    <row r="464" spans="1:14" x14ac:dyDescent="0.4">
      <c r="A464" s="1">
        <v>35309</v>
      </c>
      <c r="B464" s="28">
        <v>362.65432529467552</v>
      </c>
      <c r="C464" s="28">
        <f t="shared" si="24"/>
        <v>362.88992638757173</v>
      </c>
      <c r="D464" s="28">
        <f t="shared" si="24"/>
        <v>362.92208485751701</v>
      </c>
      <c r="E464" s="28">
        <f t="shared" si="24"/>
        <v>362.61162037664275</v>
      </c>
      <c r="F464" s="28">
        <f t="shared" si="24"/>
        <v>362.33902474822742</v>
      </c>
      <c r="G464" s="28">
        <f t="shared" si="24"/>
        <v>362.12195276159508</v>
      </c>
      <c r="H464" s="28">
        <f t="shared" si="24"/>
        <v>362.64770424061777</v>
      </c>
      <c r="I464" s="28">
        <f t="shared" si="24"/>
        <v>362.54584157521566</v>
      </c>
      <c r="J464" s="28">
        <f t="shared" si="24"/>
        <v>361.99110125095967</v>
      </c>
      <c r="K464" s="28">
        <f t="shared" si="24"/>
        <v>361.58768595041323</v>
      </c>
      <c r="L464" s="28">
        <f t="shared" si="24"/>
        <v>361.61164769904713</v>
      </c>
      <c r="M464" s="28">
        <f t="shared" si="24"/>
        <v>361.07708485751704</v>
      </c>
      <c r="N464" s="28">
        <f t="shared" si="24"/>
        <v>361.25432529467554</v>
      </c>
    </row>
    <row r="465" spans="1:14" x14ac:dyDescent="0.4">
      <c r="A465" s="1">
        <v>35339</v>
      </c>
      <c r="B465" s="28">
        <v>362.93708485751705</v>
      </c>
      <c r="C465" s="28">
        <f t="shared" si="24"/>
        <v>362.65432529467552</v>
      </c>
      <c r="D465" s="28">
        <f t="shared" si="24"/>
        <v>362.88992638757173</v>
      </c>
      <c r="E465" s="28">
        <f t="shared" si="24"/>
        <v>362.92208485751701</v>
      </c>
      <c r="F465" s="28">
        <f t="shared" si="24"/>
        <v>362.61162037664275</v>
      </c>
      <c r="G465" s="28">
        <f t="shared" si="24"/>
        <v>362.33902474822742</v>
      </c>
      <c r="H465" s="28">
        <f t="shared" si="24"/>
        <v>362.12195276159508</v>
      </c>
      <c r="I465" s="28">
        <f t="shared" si="24"/>
        <v>362.64770424061777</v>
      </c>
      <c r="J465" s="28">
        <f t="shared" si="24"/>
        <v>362.54584157521566</v>
      </c>
      <c r="K465" s="28">
        <f t="shared" si="24"/>
        <v>361.99110125095967</v>
      </c>
      <c r="L465" s="28">
        <f t="shared" si="24"/>
        <v>361.58768595041323</v>
      </c>
      <c r="M465" s="28">
        <f t="shared" si="24"/>
        <v>361.61164769904713</v>
      </c>
      <c r="N465" s="28">
        <f t="shared" si="24"/>
        <v>361.07708485751704</v>
      </c>
    </row>
    <row r="466" spans="1:14" x14ac:dyDescent="0.4">
      <c r="A466" s="1">
        <v>35370</v>
      </c>
      <c r="B466" s="28">
        <v>362.81164769904711</v>
      </c>
      <c r="C466" s="28">
        <f t="shared" si="24"/>
        <v>362.93708485751705</v>
      </c>
      <c r="D466" s="28">
        <f t="shared" si="24"/>
        <v>362.65432529467552</v>
      </c>
      <c r="E466" s="28">
        <f t="shared" si="24"/>
        <v>362.88992638757173</v>
      </c>
      <c r="F466" s="28">
        <f t="shared" ref="C466:Q529" si="25">IF(E465=0,"",E465)</f>
        <v>362.92208485751701</v>
      </c>
      <c r="G466" s="28">
        <f t="shared" si="25"/>
        <v>362.61162037664275</v>
      </c>
      <c r="H466" s="28">
        <f t="shared" si="25"/>
        <v>362.33902474822742</v>
      </c>
      <c r="I466" s="28">
        <f t="shared" si="25"/>
        <v>362.12195276159508</v>
      </c>
      <c r="J466" s="28">
        <f t="shared" si="25"/>
        <v>362.64770424061777</v>
      </c>
      <c r="K466" s="28">
        <f t="shared" si="25"/>
        <v>362.54584157521566</v>
      </c>
      <c r="L466" s="28">
        <f t="shared" si="25"/>
        <v>361.99110125095967</v>
      </c>
      <c r="M466" s="28">
        <f t="shared" si="25"/>
        <v>361.58768595041323</v>
      </c>
      <c r="N466" s="28">
        <f t="shared" si="25"/>
        <v>361.61164769904713</v>
      </c>
    </row>
    <row r="467" spans="1:14" x14ac:dyDescent="0.4">
      <c r="A467" s="1">
        <v>35400</v>
      </c>
      <c r="B467" s="28">
        <v>363.21768595041323</v>
      </c>
      <c r="C467" s="28">
        <f t="shared" si="25"/>
        <v>362.81164769904711</v>
      </c>
      <c r="D467" s="28">
        <f t="shared" si="25"/>
        <v>362.93708485751705</v>
      </c>
      <c r="E467" s="28">
        <f t="shared" si="25"/>
        <v>362.65432529467552</v>
      </c>
      <c r="F467" s="28">
        <f t="shared" si="25"/>
        <v>362.88992638757173</v>
      </c>
      <c r="G467" s="28">
        <f t="shared" si="25"/>
        <v>362.92208485751701</v>
      </c>
      <c r="H467" s="28">
        <f t="shared" si="25"/>
        <v>362.61162037664275</v>
      </c>
      <c r="I467" s="28">
        <f t="shared" si="25"/>
        <v>362.33902474822742</v>
      </c>
      <c r="J467" s="28">
        <f t="shared" si="25"/>
        <v>362.12195276159508</v>
      </c>
      <c r="K467" s="28">
        <f t="shared" si="25"/>
        <v>362.64770424061777</v>
      </c>
      <c r="L467" s="28">
        <f t="shared" si="25"/>
        <v>362.54584157521566</v>
      </c>
      <c r="M467" s="28">
        <f t="shared" si="25"/>
        <v>361.99110125095967</v>
      </c>
      <c r="N467" s="28">
        <f t="shared" si="25"/>
        <v>361.58768595041323</v>
      </c>
    </row>
    <row r="468" spans="1:14" x14ac:dyDescent="0.4">
      <c r="A468" s="1">
        <v>35431</v>
      </c>
      <c r="B468" s="28">
        <v>363.13110125095966</v>
      </c>
      <c r="C468" s="28">
        <f t="shared" si="25"/>
        <v>363.21768595041323</v>
      </c>
      <c r="D468" s="28">
        <f t="shared" si="25"/>
        <v>362.81164769904711</v>
      </c>
      <c r="E468" s="28">
        <f t="shared" si="25"/>
        <v>362.93708485751705</v>
      </c>
      <c r="F468" s="28">
        <f t="shared" si="25"/>
        <v>362.65432529467552</v>
      </c>
      <c r="G468" s="28">
        <f t="shared" si="25"/>
        <v>362.88992638757173</v>
      </c>
      <c r="H468" s="28">
        <f t="shared" si="25"/>
        <v>362.92208485751701</v>
      </c>
      <c r="I468" s="28">
        <f t="shared" si="25"/>
        <v>362.61162037664275</v>
      </c>
      <c r="J468" s="28">
        <f t="shared" si="25"/>
        <v>362.33902474822742</v>
      </c>
      <c r="K468" s="28">
        <f t="shared" si="25"/>
        <v>362.12195276159508</v>
      </c>
      <c r="L468" s="28">
        <f t="shared" si="25"/>
        <v>362.64770424061777</v>
      </c>
      <c r="M468" s="28">
        <f t="shared" si="25"/>
        <v>362.54584157521566</v>
      </c>
      <c r="N468" s="28">
        <f t="shared" si="25"/>
        <v>361.99110125095967</v>
      </c>
    </row>
    <row r="469" spans="1:14" x14ac:dyDescent="0.4">
      <c r="A469" s="1">
        <v>35462</v>
      </c>
      <c r="B469" s="28">
        <v>363.29584157521566</v>
      </c>
      <c r="C469" s="28">
        <f t="shared" si="25"/>
        <v>363.13110125095966</v>
      </c>
      <c r="D469" s="28">
        <f t="shared" si="25"/>
        <v>363.21768595041323</v>
      </c>
      <c r="E469" s="28">
        <f t="shared" si="25"/>
        <v>362.81164769904711</v>
      </c>
      <c r="F469" s="28">
        <f t="shared" si="25"/>
        <v>362.93708485751705</v>
      </c>
      <c r="G469" s="28">
        <f t="shared" si="25"/>
        <v>362.65432529467552</v>
      </c>
      <c r="H469" s="28">
        <f t="shared" si="25"/>
        <v>362.88992638757173</v>
      </c>
      <c r="I469" s="28">
        <f t="shared" si="25"/>
        <v>362.92208485751701</v>
      </c>
      <c r="J469" s="28">
        <f t="shared" si="25"/>
        <v>362.61162037664275</v>
      </c>
      <c r="K469" s="28">
        <f t="shared" si="25"/>
        <v>362.33902474822742</v>
      </c>
      <c r="L469" s="28">
        <f t="shared" si="25"/>
        <v>362.12195276159508</v>
      </c>
      <c r="M469" s="28">
        <f t="shared" si="25"/>
        <v>362.64770424061777</v>
      </c>
      <c r="N469" s="28">
        <f t="shared" si="25"/>
        <v>362.54584157521566</v>
      </c>
    </row>
    <row r="470" spans="1:14" x14ac:dyDescent="0.4">
      <c r="A470" s="1">
        <v>35490</v>
      </c>
      <c r="B470" s="28">
        <v>363.18770424061779</v>
      </c>
      <c r="C470" s="28">
        <f t="shared" si="25"/>
        <v>363.29584157521566</v>
      </c>
      <c r="D470" s="28">
        <f t="shared" si="25"/>
        <v>363.13110125095966</v>
      </c>
      <c r="E470" s="28">
        <f t="shared" si="25"/>
        <v>363.21768595041323</v>
      </c>
      <c r="F470" s="28">
        <f t="shared" si="25"/>
        <v>362.81164769904711</v>
      </c>
      <c r="G470" s="28">
        <f t="shared" si="25"/>
        <v>362.93708485751705</v>
      </c>
      <c r="H470" s="28">
        <f t="shared" si="25"/>
        <v>362.65432529467552</v>
      </c>
      <c r="I470" s="28">
        <f t="shared" si="25"/>
        <v>362.88992638757173</v>
      </c>
      <c r="J470" s="28">
        <f t="shared" si="25"/>
        <v>362.92208485751701</v>
      </c>
      <c r="K470" s="28">
        <f t="shared" si="25"/>
        <v>362.61162037664275</v>
      </c>
      <c r="L470" s="28">
        <f t="shared" si="25"/>
        <v>362.33902474822742</v>
      </c>
      <c r="M470" s="28">
        <f t="shared" si="25"/>
        <v>362.12195276159508</v>
      </c>
      <c r="N470" s="28">
        <f t="shared" si="25"/>
        <v>362.64770424061777</v>
      </c>
    </row>
    <row r="471" spans="1:14" x14ac:dyDescent="0.4">
      <c r="A471" s="1">
        <v>35521</v>
      </c>
      <c r="B471" s="28">
        <v>363.77195276159512</v>
      </c>
      <c r="C471" s="28">
        <f t="shared" si="25"/>
        <v>363.18770424061779</v>
      </c>
      <c r="D471" s="28">
        <f t="shared" si="25"/>
        <v>363.29584157521566</v>
      </c>
      <c r="E471" s="28">
        <f t="shared" si="25"/>
        <v>363.13110125095966</v>
      </c>
      <c r="F471" s="28">
        <f t="shared" si="25"/>
        <v>363.21768595041323</v>
      </c>
      <c r="G471" s="28">
        <f t="shared" si="25"/>
        <v>362.81164769904711</v>
      </c>
      <c r="H471" s="28">
        <f t="shared" si="25"/>
        <v>362.93708485751705</v>
      </c>
      <c r="I471" s="28">
        <f t="shared" si="25"/>
        <v>362.65432529467552</v>
      </c>
      <c r="J471" s="28">
        <f t="shared" si="25"/>
        <v>362.88992638757173</v>
      </c>
      <c r="K471" s="28">
        <f t="shared" si="25"/>
        <v>362.92208485751701</v>
      </c>
      <c r="L471" s="28">
        <f t="shared" si="25"/>
        <v>362.61162037664275</v>
      </c>
      <c r="M471" s="28">
        <f t="shared" si="25"/>
        <v>362.33902474822742</v>
      </c>
      <c r="N471" s="28">
        <f t="shared" si="25"/>
        <v>362.12195276159508</v>
      </c>
    </row>
    <row r="472" spans="1:14" x14ac:dyDescent="0.4">
      <c r="A472" s="1">
        <v>35551</v>
      </c>
      <c r="B472" s="28">
        <v>363.71902474822741</v>
      </c>
      <c r="C472" s="28">
        <f t="shared" si="25"/>
        <v>363.77195276159512</v>
      </c>
      <c r="D472" s="28">
        <f t="shared" si="25"/>
        <v>363.18770424061779</v>
      </c>
      <c r="E472" s="28">
        <f t="shared" si="25"/>
        <v>363.29584157521566</v>
      </c>
      <c r="F472" s="28">
        <f t="shared" si="25"/>
        <v>363.13110125095966</v>
      </c>
      <c r="G472" s="28">
        <f t="shared" si="25"/>
        <v>363.21768595041323</v>
      </c>
      <c r="H472" s="28">
        <f t="shared" si="25"/>
        <v>362.81164769904711</v>
      </c>
      <c r="I472" s="28">
        <f t="shared" si="25"/>
        <v>362.93708485751705</v>
      </c>
      <c r="J472" s="28">
        <f t="shared" si="25"/>
        <v>362.65432529467552</v>
      </c>
      <c r="K472" s="28">
        <f t="shared" si="25"/>
        <v>362.88992638757173</v>
      </c>
      <c r="L472" s="28">
        <f t="shared" si="25"/>
        <v>362.92208485751701</v>
      </c>
      <c r="M472" s="28">
        <f t="shared" si="25"/>
        <v>362.61162037664275</v>
      </c>
      <c r="N472" s="28">
        <f t="shared" si="25"/>
        <v>362.33902474822742</v>
      </c>
    </row>
    <row r="473" spans="1:14" x14ac:dyDescent="0.4">
      <c r="A473" s="1">
        <v>35582</v>
      </c>
      <c r="B473" s="28">
        <v>363.27162037664272</v>
      </c>
      <c r="C473" s="28">
        <f t="shared" si="25"/>
        <v>363.71902474822741</v>
      </c>
      <c r="D473" s="28">
        <f t="shared" si="25"/>
        <v>363.77195276159512</v>
      </c>
      <c r="E473" s="28">
        <f t="shared" si="25"/>
        <v>363.18770424061779</v>
      </c>
      <c r="F473" s="28">
        <f t="shared" si="25"/>
        <v>363.29584157521566</v>
      </c>
      <c r="G473" s="28">
        <f t="shared" si="25"/>
        <v>363.13110125095966</v>
      </c>
      <c r="H473" s="28">
        <f t="shared" si="25"/>
        <v>363.21768595041323</v>
      </c>
      <c r="I473" s="28">
        <f t="shared" si="25"/>
        <v>362.81164769904711</v>
      </c>
      <c r="J473" s="28">
        <f t="shared" si="25"/>
        <v>362.93708485751705</v>
      </c>
      <c r="K473" s="28">
        <f t="shared" si="25"/>
        <v>362.65432529467552</v>
      </c>
      <c r="L473" s="28">
        <f t="shared" si="25"/>
        <v>362.88992638757173</v>
      </c>
      <c r="M473" s="28">
        <f t="shared" si="25"/>
        <v>362.92208485751701</v>
      </c>
      <c r="N473" s="28">
        <f t="shared" si="25"/>
        <v>362.61162037664275</v>
      </c>
    </row>
    <row r="474" spans="1:14" x14ac:dyDescent="0.4">
      <c r="A474" s="1">
        <v>35612</v>
      </c>
      <c r="B474" s="28">
        <v>363.74208485751706</v>
      </c>
      <c r="C474" s="28">
        <f t="shared" si="25"/>
        <v>363.27162037664272</v>
      </c>
      <c r="D474" s="28">
        <f t="shared" si="25"/>
        <v>363.71902474822741</v>
      </c>
      <c r="E474" s="28">
        <f t="shared" si="25"/>
        <v>363.77195276159512</v>
      </c>
      <c r="F474" s="28">
        <f t="shared" si="25"/>
        <v>363.18770424061779</v>
      </c>
      <c r="G474" s="28">
        <f t="shared" si="25"/>
        <v>363.29584157521566</v>
      </c>
      <c r="H474" s="28">
        <f t="shared" si="25"/>
        <v>363.13110125095966</v>
      </c>
      <c r="I474" s="28">
        <f t="shared" si="25"/>
        <v>363.21768595041323</v>
      </c>
      <c r="J474" s="28">
        <f t="shared" si="25"/>
        <v>362.81164769904711</v>
      </c>
      <c r="K474" s="28">
        <f t="shared" si="25"/>
        <v>362.93708485751705</v>
      </c>
      <c r="L474" s="28">
        <f t="shared" si="25"/>
        <v>362.65432529467552</v>
      </c>
      <c r="M474" s="28">
        <f t="shared" si="25"/>
        <v>362.88992638757173</v>
      </c>
      <c r="N474" s="28">
        <f t="shared" si="25"/>
        <v>362.92208485751701</v>
      </c>
    </row>
    <row r="475" spans="1:14" x14ac:dyDescent="0.4">
      <c r="A475" s="1">
        <v>35643</v>
      </c>
      <c r="B475" s="28">
        <v>363.90992638757172</v>
      </c>
      <c r="C475" s="28">
        <f t="shared" si="25"/>
        <v>363.74208485751706</v>
      </c>
      <c r="D475" s="28">
        <f t="shared" si="25"/>
        <v>363.27162037664272</v>
      </c>
      <c r="E475" s="28">
        <f t="shared" si="25"/>
        <v>363.71902474822741</v>
      </c>
      <c r="F475" s="28">
        <f t="shared" si="25"/>
        <v>363.77195276159512</v>
      </c>
      <c r="G475" s="28">
        <f t="shared" si="25"/>
        <v>363.18770424061779</v>
      </c>
      <c r="H475" s="28">
        <f t="shared" si="25"/>
        <v>363.29584157521566</v>
      </c>
      <c r="I475" s="28">
        <f t="shared" si="25"/>
        <v>363.13110125095966</v>
      </c>
      <c r="J475" s="28">
        <f t="shared" si="25"/>
        <v>363.21768595041323</v>
      </c>
      <c r="K475" s="28">
        <f t="shared" si="25"/>
        <v>362.81164769904711</v>
      </c>
      <c r="L475" s="28">
        <f t="shared" si="25"/>
        <v>362.93708485751705</v>
      </c>
      <c r="M475" s="28">
        <f t="shared" si="25"/>
        <v>362.65432529467552</v>
      </c>
      <c r="N475" s="28">
        <f t="shared" si="25"/>
        <v>362.88992638757173</v>
      </c>
    </row>
    <row r="476" spans="1:14" x14ac:dyDescent="0.4">
      <c r="A476" s="1">
        <v>35674</v>
      </c>
      <c r="B476" s="28">
        <v>363.39432529467553</v>
      </c>
      <c r="C476" s="28">
        <f t="shared" si="25"/>
        <v>363.90992638757172</v>
      </c>
      <c r="D476" s="28">
        <f t="shared" si="25"/>
        <v>363.74208485751706</v>
      </c>
      <c r="E476" s="28">
        <f t="shared" si="25"/>
        <v>363.27162037664272</v>
      </c>
      <c r="F476" s="28">
        <f t="shared" si="25"/>
        <v>363.71902474822741</v>
      </c>
      <c r="G476" s="28">
        <f t="shared" si="25"/>
        <v>363.77195276159512</v>
      </c>
      <c r="H476" s="28">
        <f t="shared" si="25"/>
        <v>363.18770424061779</v>
      </c>
      <c r="I476" s="28">
        <f t="shared" si="25"/>
        <v>363.29584157521566</v>
      </c>
      <c r="J476" s="28">
        <f t="shared" si="25"/>
        <v>363.13110125095966</v>
      </c>
      <c r="K476" s="28">
        <f t="shared" si="25"/>
        <v>363.21768595041323</v>
      </c>
      <c r="L476" s="28">
        <f t="shared" si="25"/>
        <v>362.81164769904711</v>
      </c>
      <c r="M476" s="28">
        <f t="shared" si="25"/>
        <v>362.93708485751705</v>
      </c>
      <c r="N476" s="28">
        <f t="shared" si="25"/>
        <v>362.65432529467552</v>
      </c>
    </row>
    <row r="477" spans="1:14" x14ac:dyDescent="0.4">
      <c r="A477" s="1">
        <v>35704</v>
      </c>
      <c r="B477" s="28">
        <v>364.10708485751701</v>
      </c>
      <c r="C477" s="28">
        <f t="shared" si="25"/>
        <v>363.39432529467553</v>
      </c>
      <c r="D477" s="28">
        <f t="shared" si="25"/>
        <v>363.90992638757172</v>
      </c>
      <c r="E477" s="28">
        <f t="shared" si="25"/>
        <v>363.74208485751706</v>
      </c>
      <c r="F477" s="28">
        <f t="shared" si="25"/>
        <v>363.27162037664272</v>
      </c>
      <c r="G477" s="28">
        <f t="shared" si="25"/>
        <v>363.71902474822741</v>
      </c>
      <c r="H477" s="28">
        <f t="shared" si="25"/>
        <v>363.77195276159512</v>
      </c>
      <c r="I477" s="28">
        <f t="shared" si="25"/>
        <v>363.18770424061779</v>
      </c>
      <c r="J477" s="28">
        <f t="shared" si="25"/>
        <v>363.29584157521566</v>
      </c>
      <c r="K477" s="28">
        <f t="shared" si="25"/>
        <v>363.13110125095966</v>
      </c>
      <c r="L477" s="28">
        <f t="shared" si="25"/>
        <v>363.21768595041323</v>
      </c>
      <c r="M477" s="28">
        <f t="shared" si="25"/>
        <v>362.81164769904711</v>
      </c>
      <c r="N477" s="28">
        <f t="shared" si="25"/>
        <v>362.93708485751705</v>
      </c>
    </row>
    <row r="478" spans="1:14" x14ac:dyDescent="0.4">
      <c r="A478" s="1">
        <v>35735</v>
      </c>
      <c r="B478" s="28">
        <v>364.48164769904713</v>
      </c>
      <c r="C478" s="28">
        <f t="shared" si="25"/>
        <v>364.10708485751701</v>
      </c>
      <c r="D478" s="28">
        <f t="shared" si="25"/>
        <v>363.39432529467553</v>
      </c>
      <c r="E478" s="28">
        <f t="shared" si="25"/>
        <v>363.90992638757172</v>
      </c>
      <c r="F478" s="28">
        <f t="shared" si="25"/>
        <v>363.74208485751706</v>
      </c>
      <c r="G478" s="28">
        <f t="shared" si="25"/>
        <v>363.27162037664272</v>
      </c>
      <c r="H478" s="28">
        <f t="shared" si="25"/>
        <v>363.71902474822741</v>
      </c>
      <c r="I478" s="28">
        <f t="shared" si="25"/>
        <v>363.77195276159512</v>
      </c>
      <c r="J478" s="28">
        <f t="shared" si="25"/>
        <v>363.18770424061779</v>
      </c>
      <c r="K478" s="28">
        <f t="shared" si="25"/>
        <v>363.29584157521566</v>
      </c>
      <c r="L478" s="28">
        <f t="shared" si="25"/>
        <v>363.13110125095966</v>
      </c>
      <c r="M478" s="28">
        <f t="shared" si="25"/>
        <v>363.21768595041323</v>
      </c>
      <c r="N478" s="28">
        <f t="shared" si="25"/>
        <v>362.81164769904711</v>
      </c>
    </row>
    <row r="479" spans="1:14" x14ac:dyDescent="0.4">
      <c r="A479" s="1">
        <v>35765</v>
      </c>
      <c r="B479" s="28">
        <v>365.16768595041322</v>
      </c>
      <c r="C479" s="28">
        <f t="shared" si="25"/>
        <v>364.48164769904713</v>
      </c>
      <c r="D479" s="28">
        <f t="shared" si="25"/>
        <v>364.10708485751701</v>
      </c>
      <c r="E479" s="28">
        <f t="shared" si="25"/>
        <v>363.39432529467553</v>
      </c>
      <c r="F479" s="28">
        <f t="shared" si="25"/>
        <v>363.90992638757172</v>
      </c>
      <c r="G479" s="28">
        <f t="shared" si="25"/>
        <v>363.74208485751706</v>
      </c>
      <c r="H479" s="28">
        <f t="shared" si="25"/>
        <v>363.27162037664272</v>
      </c>
      <c r="I479" s="28">
        <f t="shared" si="25"/>
        <v>363.71902474822741</v>
      </c>
      <c r="J479" s="28">
        <f t="shared" si="25"/>
        <v>363.77195276159512</v>
      </c>
      <c r="K479" s="28">
        <f t="shared" si="25"/>
        <v>363.18770424061779</v>
      </c>
      <c r="L479" s="28">
        <f t="shared" si="25"/>
        <v>363.29584157521566</v>
      </c>
      <c r="M479" s="28">
        <f t="shared" si="25"/>
        <v>363.13110125095966</v>
      </c>
      <c r="N479" s="28">
        <f t="shared" si="25"/>
        <v>363.21768595041323</v>
      </c>
    </row>
    <row r="480" spans="1:14" x14ac:dyDescent="0.4">
      <c r="A480" s="1">
        <v>35796</v>
      </c>
      <c r="B480" s="28">
        <v>365.27110125095965</v>
      </c>
      <c r="C480" s="28">
        <f t="shared" si="25"/>
        <v>365.16768595041322</v>
      </c>
      <c r="D480" s="28">
        <f t="shared" si="25"/>
        <v>364.48164769904713</v>
      </c>
      <c r="E480" s="28">
        <f t="shared" si="25"/>
        <v>364.10708485751701</v>
      </c>
      <c r="F480" s="28">
        <f t="shared" si="25"/>
        <v>363.39432529467553</v>
      </c>
      <c r="G480" s="28">
        <f t="shared" si="25"/>
        <v>363.90992638757172</v>
      </c>
      <c r="H480" s="28">
        <f t="shared" si="25"/>
        <v>363.74208485751706</v>
      </c>
      <c r="I480" s="28">
        <f t="shared" si="25"/>
        <v>363.27162037664272</v>
      </c>
      <c r="J480" s="28">
        <f t="shared" si="25"/>
        <v>363.71902474822741</v>
      </c>
      <c r="K480" s="28">
        <f t="shared" si="25"/>
        <v>363.77195276159512</v>
      </c>
      <c r="L480" s="28">
        <f t="shared" si="25"/>
        <v>363.18770424061779</v>
      </c>
      <c r="M480" s="28">
        <f t="shared" si="25"/>
        <v>363.29584157521566</v>
      </c>
      <c r="N480" s="28">
        <f t="shared" si="25"/>
        <v>363.13110125095966</v>
      </c>
    </row>
    <row r="481" spans="1:14" x14ac:dyDescent="0.4">
      <c r="A481" s="1">
        <v>35827</v>
      </c>
      <c r="B481" s="28">
        <v>365.45584157521563</v>
      </c>
      <c r="C481" s="28">
        <f t="shared" si="25"/>
        <v>365.27110125095965</v>
      </c>
      <c r="D481" s="28">
        <f t="shared" si="25"/>
        <v>365.16768595041322</v>
      </c>
      <c r="E481" s="28">
        <f t="shared" si="25"/>
        <v>364.48164769904713</v>
      </c>
      <c r="F481" s="28">
        <f t="shared" si="25"/>
        <v>364.10708485751701</v>
      </c>
      <c r="G481" s="28">
        <f t="shared" si="25"/>
        <v>363.39432529467553</v>
      </c>
      <c r="H481" s="28">
        <f t="shared" si="25"/>
        <v>363.90992638757172</v>
      </c>
      <c r="I481" s="28">
        <f t="shared" si="25"/>
        <v>363.74208485751706</v>
      </c>
      <c r="J481" s="28">
        <f t="shared" si="25"/>
        <v>363.27162037664272</v>
      </c>
      <c r="K481" s="28">
        <f t="shared" si="25"/>
        <v>363.71902474822741</v>
      </c>
      <c r="L481" s="28">
        <f t="shared" si="25"/>
        <v>363.77195276159512</v>
      </c>
      <c r="M481" s="28">
        <f t="shared" si="25"/>
        <v>363.18770424061779</v>
      </c>
      <c r="N481" s="28">
        <f t="shared" si="25"/>
        <v>363.29584157521566</v>
      </c>
    </row>
    <row r="482" spans="1:14" x14ac:dyDescent="0.4">
      <c r="A482" s="1">
        <v>35855</v>
      </c>
      <c r="B482" s="28">
        <v>365.93770424061779</v>
      </c>
      <c r="C482" s="28">
        <f t="shared" si="25"/>
        <v>365.45584157521563</v>
      </c>
      <c r="D482" s="28">
        <f t="shared" si="25"/>
        <v>365.27110125095965</v>
      </c>
      <c r="E482" s="28">
        <f t="shared" si="25"/>
        <v>365.16768595041322</v>
      </c>
      <c r="F482" s="28">
        <f t="shared" si="25"/>
        <v>364.48164769904713</v>
      </c>
      <c r="G482" s="28">
        <f t="shared" si="25"/>
        <v>364.10708485751701</v>
      </c>
      <c r="H482" s="28">
        <f t="shared" si="25"/>
        <v>363.39432529467553</v>
      </c>
      <c r="I482" s="28">
        <f t="shared" si="25"/>
        <v>363.90992638757172</v>
      </c>
      <c r="J482" s="28">
        <f t="shared" si="25"/>
        <v>363.74208485751706</v>
      </c>
      <c r="K482" s="28">
        <f t="shared" si="25"/>
        <v>363.27162037664272</v>
      </c>
      <c r="L482" s="28">
        <f t="shared" si="25"/>
        <v>363.71902474822741</v>
      </c>
      <c r="M482" s="28">
        <f t="shared" si="25"/>
        <v>363.77195276159512</v>
      </c>
      <c r="N482" s="28">
        <f t="shared" si="25"/>
        <v>363.18770424061779</v>
      </c>
    </row>
    <row r="483" spans="1:14" x14ac:dyDescent="0.4">
      <c r="A483" s="1">
        <v>35886</v>
      </c>
      <c r="B483" s="28">
        <v>366.02195276159512</v>
      </c>
      <c r="C483" s="28">
        <f t="shared" si="25"/>
        <v>365.93770424061779</v>
      </c>
      <c r="D483" s="28">
        <f t="shared" si="25"/>
        <v>365.45584157521563</v>
      </c>
      <c r="E483" s="28">
        <f t="shared" si="25"/>
        <v>365.27110125095965</v>
      </c>
      <c r="F483" s="28">
        <f t="shared" si="25"/>
        <v>365.16768595041322</v>
      </c>
      <c r="G483" s="28">
        <f t="shared" si="25"/>
        <v>364.48164769904713</v>
      </c>
      <c r="H483" s="28">
        <f t="shared" si="25"/>
        <v>364.10708485751701</v>
      </c>
      <c r="I483" s="28">
        <f t="shared" si="25"/>
        <v>363.39432529467553</v>
      </c>
      <c r="J483" s="28">
        <f t="shared" si="25"/>
        <v>363.90992638757172</v>
      </c>
      <c r="K483" s="28">
        <f t="shared" si="25"/>
        <v>363.74208485751706</v>
      </c>
      <c r="L483" s="28">
        <f t="shared" si="25"/>
        <v>363.27162037664272</v>
      </c>
      <c r="M483" s="28">
        <f t="shared" si="25"/>
        <v>363.71902474822741</v>
      </c>
      <c r="N483" s="28">
        <f t="shared" si="25"/>
        <v>363.77195276159512</v>
      </c>
    </row>
    <row r="484" spans="1:14" x14ac:dyDescent="0.4">
      <c r="A484" s="1">
        <v>35916</v>
      </c>
      <c r="B484" s="28">
        <v>366.21902474822741</v>
      </c>
      <c r="C484" s="28">
        <f t="shared" si="25"/>
        <v>366.02195276159512</v>
      </c>
      <c r="D484" s="28">
        <f t="shared" si="25"/>
        <v>365.93770424061779</v>
      </c>
      <c r="E484" s="28">
        <f t="shared" si="25"/>
        <v>365.45584157521563</v>
      </c>
      <c r="F484" s="28">
        <f t="shared" si="25"/>
        <v>365.27110125095965</v>
      </c>
      <c r="G484" s="28">
        <f t="shared" si="25"/>
        <v>365.16768595041322</v>
      </c>
      <c r="H484" s="28">
        <f t="shared" si="25"/>
        <v>364.48164769904713</v>
      </c>
      <c r="I484" s="28">
        <f t="shared" si="25"/>
        <v>364.10708485751701</v>
      </c>
      <c r="J484" s="28">
        <f t="shared" si="25"/>
        <v>363.39432529467553</v>
      </c>
      <c r="K484" s="28">
        <f t="shared" si="25"/>
        <v>363.90992638757172</v>
      </c>
      <c r="L484" s="28">
        <f t="shared" si="25"/>
        <v>363.74208485751706</v>
      </c>
      <c r="M484" s="28">
        <f t="shared" si="25"/>
        <v>363.27162037664272</v>
      </c>
      <c r="N484" s="28">
        <f t="shared" si="25"/>
        <v>363.71902474822741</v>
      </c>
    </row>
    <row r="485" spans="1:14" x14ac:dyDescent="0.4">
      <c r="A485" s="1">
        <v>35947</v>
      </c>
      <c r="B485" s="28">
        <v>366.52162037664272</v>
      </c>
      <c r="C485" s="28">
        <f t="shared" si="25"/>
        <v>366.21902474822741</v>
      </c>
      <c r="D485" s="28">
        <f t="shared" si="25"/>
        <v>366.02195276159512</v>
      </c>
      <c r="E485" s="28">
        <f t="shared" si="25"/>
        <v>365.93770424061779</v>
      </c>
      <c r="F485" s="28">
        <f t="shared" si="25"/>
        <v>365.45584157521563</v>
      </c>
      <c r="G485" s="28">
        <f t="shared" si="25"/>
        <v>365.27110125095965</v>
      </c>
      <c r="H485" s="28">
        <f t="shared" si="25"/>
        <v>365.16768595041322</v>
      </c>
      <c r="I485" s="28">
        <f t="shared" si="25"/>
        <v>364.48164769904713</v>
      </c>
      <c r="J485" s="28">
        <f t="shared" si="25"/>
        <v>364.10708485751701</v>
      </c>
      <c r="K485" s="28">
        <f t="shared" si="25"/>
        <v>363.39432529467553</v>
      </c>
      <c r="L485" s="28">
        <f t="shared" si="25"/>
        <v>363.90992638757172</v>
      </c>
      <c r="M485" s="28">
        <f t="shared" si="25"/>
        <v>363.74208485751706</v>
      </c>
      <c r="N485" s="28">
        <f t="shared" si="25"/>
        <v>363.27162037664272</v>
      </c>
    </row>
    <row r="486" spans="1:14" x14ac:dyDescent="0.4">
      <c r="A486" s="1">
        <v>35977</v>
      </c>
      <c r="B486" s="28">
        <v>366.91208485751702</v>
      </c>
      <c r="C486" s="28">
        <f t="shared" si="25"/>
        <v>366.52162037664272</v>
      </c>
      <c r="D486" s="28">
        <f t="shared" si="25"/>
        <v>366.21902474822741</v>
      </c>
      <c r="E486" s="28">
        <f t="shared" si="25"/>
        <v>366.02195276159512</v>
      </c>
      <c r="F486" s="28">
        <f t="shared" si="25"/>
        <v>365.93770424061779</v>
      </c>
      <c r="G486" s="28">
        <f t="shared" si="25"/>
        <v>365.45584157521563</v>
      </c>
      <c r="H486" s="28">
        <f t="shared" si="25"/>
        <v>365.27110125095965</v>
      </c>
      <c r="I486" s="28">
        <f t="shared" si="25"/>
        <v>365.16768595041322</v>
      </c>
      <c r="J486" s="28">
        <f t="shared" si="25"/>
        <v>364.48164769904713</v>
      </c>
      <c r="K486" s="28">
        <f t="shared" si="25"/>
        <v>364.10708485751701</v>
      </c>
      <c r="L486" s="28">
        <f t="shared" si="25"/>
        <v>363.39432529467553</v>
      </c>
      <c r="M486" s="28">
        <f t="shared" si="25"/>
        <v>363.90992638757172</v>
      </c>
      <c r="N486" s="28">
        <f t="shared" si="25"/>
        <v>363.74208485751706</v>
      </c>
    </row>
    <row r="487" spans="1:14" x14ac:dyDescent="0.4">
      <c r="A487" s="1">
        <v>36008</v>
      </c>
      <c r="B487" s="28">
        <v>367.18992638757169</v>
      </c>
      <c r="C487" s="28">
        <f t="shared" si="25"/>
        <v>366.91208485751702</v>
      </c>
      <c r="D487" s="28">
        <f t="shared" si="25"/>
        <v>366.52162037664272</v>
      </c>
      <c r="E487" s="28">
        <f t="shared" si="25"/>
        <v>366.21902474822741</v>
      </c>
      <c r="F487" s="28">
        <f t="shared" si="25"/>
        <v>366.02195276159512</v>
      </c>
      <c r="G487" s="28">
        <f t="shared" si="25"/>
        <v>365.93770424061779</v>
      </c>
      <c r="H487" s="28">
        <f t="shared" si="25"/>
        <v>365.45584157521563</v>
      </c>
      <c r="I487" s="28">
        <f t="shared" ref="D487:S502" si="26">IF(H486=0,"",H486)</f>
        <v>365.27110125095965</v>
      </c>
      <c r="J487" s="28">
        <f t="shared" si="26"/>
        <v>365.16768595041322</v>
      </c>
      <c r="K487" s="28">
        <f t="shared" si="26"/>
        <v>364.48164769904713</v>
      </c>
      <c r="L487" s="28">
        <f t="shared" si="26"/>
        <v>364.10708485751701</v>
      </c>
      <c r="M487" s="28">
        <f t="shared" si="26"/>
        <v>363.39432529467553</v>
      </c>
      <c r="N487" s="28">
        <f t="shared" si="26"/>
        <v>363.90992638757172</v>
      </c>
    </row>
    <row r="488" spans="1:14" x14ac:dyDescent="0.4">
      <c r="A488" s="1">
        <v>36039</v>
      </c>
      <c r="B488" s="28">
        <v>367.1043252946755</v>
      </c>
      <c r="C488" s="28">
        <f t="shared" ref="C488:N551" si="27">IF(B487=0,"",B487)</f>
        <v>367.18992638757169</v>
      </c>
      <c r="D488" s="28">
        <f t="shared" si="26"/>
        <v>366.91208485751702</v>
      </c>
      <c r="E488" s="28">
        <f t="shared" si="26"/>
        <v>366.52162037664272</v>
      </c>
      <c r="F488" s="28">
        <f t="shared" si="26"/>
        <v>366.21902474822741</v>
      </c>
      <c r="G488" s="28">
        <f t="shared" si="26"/>
        <v>366.02195276159512</v>
      </c>
      <c r="H488" s="28">
        <f t="shared" si="26"/>
        <v>365.93770424061779</v>
      </c>
      <c r="I488" s="28">
        <f t="shared" si="26"/>
        <v>365.45584157521563</v>
      </c>
      <c r="J488" s="28">
        <f t="shared" si="26"/>
        <v>365.27110125095965</v>
      </c>
      <c r="K488" s="28">
        <f t="shared" si="26"/>
        <v>365.16768595041322</v>
      </c>
      <c r="L488" s="28">
        <f t="shared" si="26"/>
        <v>364.48164769904713</v>
      </c>
      <c r="M488" s="28">
        <f t="shared" si="26"/>
        <v>364.10708485751701</v>
      </c>
      <c r="N488" s="28">
        <f t="shared" si="26"/>
        <v>363.39432529467553</v>
      </c>
    </row>
    <row r="489" spans="1:14" x14ac:dyDescent="0.4">
      <c r="A489" s="1">
        <v>36069</v>
      </c>
      <c r="B489" s="28">
        <v>367.55708485751705</v>
      </c>
      <c r="C489" s="28">
        <f t="shared" si="27"/>
        <v>367.1043252946755</v>
      </c>
      <c r="D489" s="28">
        <f t="shared" si="26"/>
        <v>367.18992638757169</v>
      </c>
      <c r="E489" s="28">
        <f t="shared" si="26"/>
        <v>366.91208485751702</v>
      </c>
      <c r="F489" s="28">
        <f t="shared" si="26"/>
        <v>366.52162037664272</v>
      </c>
      <c r="G489" s="28">
        <f t="shared" si="26"/>
        <v>366.21902474822741</v>
      </c>
      <c r="H489" s="28">
        <f t="shared" si="26"/>
        <v>366.02195276159512</v>
      </c>
      <c r="I489" s="28">
        <f t="shared" si="26"/>
        <v>365.93770424061779</v>
      </c>
      <c r="J489" s="28">
        <f t="shared" si="26"/>
        <v>365.45584157521563</v>
      </c>
      <c r="K489" s="28">
        <f t="shared" si="26"/>
        <v>365.27110125095965</v>
      </c>
      <c r="L489" s="28">
        <f t="shared" si="26"/>
        <v>365.16768595041322</v>
      </c>
      <c r="M489" s="28">
        <f t="shared" si="26"/>
        <v>364.48164769904713</v>
      </c>
      <c r="N489" s="28">
        <f t="shared" si="26"/>
        <v>364.10708485751701</v>
      </c>
    </row>
    <row r="490" spans="1:14" x14ac:dyDescent="0.4">
      <c r="A490" s="1">
        <v>36100</v>
      </c>
      <c r="B490" s="28">
        <v>367.5116476990471</v>
      </c>
      <c r="C490" s="28">
        <f t="shared" si="27"/>
        <v>367.55708485751705</v>
      </c>
      <c r="D490" s="28">
        <f t="shared" si="26"/>
        <v>367.1043252946755</v>
      </c>
      <c r="E490" s="28">
        <f t="shared" si="26"/>
        <v>367.18992638757169</v>
      </c>
      <c r="F490" s="28">
        <f t="shared" si="26"/>
        <v>366.91208485751702</v>
      </c>
      <c r="G490" s="28">
        <f t="shared" si="26"/>
        <v>366.52162037664272</v>
      </c>
      <c r="H490" s="28">
        <f t="shared" si="26"/>
        <v>366.21902474822741</v>
      </c>
      <c r="I490" s="28">
        <f t="shared" si="26"/>
        <v>366.02195276159512</v>
      </c>
      <c r="J490" s="28">
        <f t="shared" si="26"/>
        <v>365.93770424061779</v>
      </c>
      <c r="K490" s="28">
        <f t="shared" si="26"/>
        <v>365.45584157521563</v>
      </c>
      <c r="L490" s="28">
        <f t="shared" si="26"/>
        <v>365.27110125095965</v>
      </c>
      <c r="M490" s="28">
        <f t="shared" si="26"/>
        <v>365.16768595041322</v>
      </c>
      <c r="N490" s="28">
        <f t="shared" si="26"/>
        <v>364.48164769904713</v>
      </c>
    </row>
    <row r="491" spans="1:14" x14ac:dyDescent="0.4">
      <c r="A491" s="1">
        <v>36130</v>
      </c>
      <c r="B491" s="28">
        <v>367.85768595041327</v>
      </c>
      <c r="C491" s="28">
        <f t="shared" si="27"/>
        <v>367.5116476990471</v>
      </c>
      <c r="D491" s="28">
        <f t="shared" si="26"/>
        <v>367.55708485751705</v>
      </c>
      <c r="E491" s="28">
        <f t="shared" si="26"/>
        <v>367.1043252946755</v>
      </c>
      <c r="F491" s="28">
        <f t="shared" si="26"/>
        <v>367.18992638757169</v>
      </c>
      <c r="G491" s="28">
        <f t="shared" si="26"/>
        <v>366.91208485751702</v>
      </c>
      <c r="H491" s="28">
        <f t="shared" si="26"/>
        <v>366.52162037664272</v>
      </c>
      <c r="I491" s="28">
        <f t="shared" si="26"/>
        <v>366.21902474822741</v>
      </c>
      <c r="J491" s="28">
        <f t="shared" si="26"/>
        <v>366.02195276159512</v>
      </c>
      <c r="K491" s="28">
        <f t="shared" si="26"/>
        <v>365.93770424061779</v>
      </c>
      <c r="L491" s="28">
        <f t="shared" si="26"/>
        <v>365.45584157521563</v>
      </c>
      <c r="M491" s="28">
        <f t="shared" si="26"/>
        <v>365.27110125095965</v>
      </c>
      <c r="N491" s="28">
        <f t="shared" si="26"/>
        <v>365.16768595041322</v>
      </c>
    </row>
    <row r="492" spans="1:14" x14ac:dyDescent="0.4">
      <c r="A492" s="1">
        <v>36161</v>
      </c>
      <c r="B492" s="28">
        <v>368.09110125095964</v>
      </c>
      <c r="C492" s="28">
        <f t="shared" si="27"/>
        <v>367.85768595041327</v>
      </c>
      <c r="D492" s="28">
        <f t="shared" si="26"/>
        <v>367.5116476990471</v>
      </c>
      <c r="E492" s="28">
        <f t="shared" si="26"/>
        <v>367.55708485751705</v>
      </c>
      <c r="F492" s="28">
        <f t="shared" si="26"/>
        <v>367.1043252946755</v>
      </c>
      <c r="G492" s="28">
        <f t="shared" si="26"/>
        <v>367.18992638757169</v>
      </c>
      <c r="H492" s="28">
        <f t="shared" si="26"/>
        <v>366.91208485751702</v>
      </c>
      <c r="I492" s="28">
        <f t="shared" si="26"/>
        <v>366.52162037664272</v>
      </c>
      <c r="J492" s="28">
        <f t="shared" si="26"/>
        <v>366.21902474822741</v>
      </c>
      <c r="K492" s="28">
        <f t="shared" si="26"/>
        <v>366.02195276159512</v>
      </c>
      <c r="L492" s="28">
        <f t="shared" si="26"/>
        <v>365.93770424061779</v>
      </c>
      <c r="M492" s="28">
        <f t="shared" si="26"/>
        <v>365.45584157521563</v>
      </c>
      <c r="N492" s="28">
        <f t="shared" si="26"/>
        <v>365.27110125095965</v>
      </c>
    </row>
    <row r="493" spans="1:14" x14ac:dyDescent="0.4">
      <c r="A493" s="1">
        <v>36192</v>
      </c>
      <c r="B493" s="28">
        <v>368.17584157521566</v>
      </c>
      <c r="C493" s="28">
        <f t="shared" si="27"/>
        <v>368.09110125095964</v>
      </c>
      <c r="D493" s="28">
        <f t="shared" si="26"/>
        <v>367.85768595041327</v>
      </c>
      <c r="E493" s="28">
        <f t="shared" si="26"/>
        <v>367.5116476990471</v>
      </c>
      <c r="F493" s="28">
        <f t="shared" si="26"/>
        <v>367.55708485751705</v>
      </c>
      <c r="G493" s="28">
        <f t="shared" si="26"/>
        <v>367.1043252946755</v>
      </c>
      <c r="H493" s="28">
        <f t="shared" si="26"/>
        <v>367.18992638757169</v>
      </c>
      <c r="I493" s="28">
        <f t="shared" si="26"/>
        <v>366.91208485751702</v>
      </c>
      <c r="J493" s="28">
        <f t="shared" si="26"/>
        <v>366.52162037664272</v>
      </c>
      <c r="K493" s="28">
        <f t="shared" si="26"/>
        <v>366.21902474822741</v>
      </c>
      <c r="L493" s="28">
        <f t="shared" si="26"/>
        <v>366.02195276159512</v>
      </c>
      <c r="M493" s="28">
        <f t="shared" si="26"/>
        <v>365.93770424061779</v>
      </c>
      <c r="N493" s="28">
        <f t="shared" si="26"/>
        <v>365.45584157521563</v>
      </c>
    </row>
    <row r="494" spans="1:14" x14ac:dyDescent="0.4">
      <c r="A494" s="1">
        <v>36220</v>
      </c>
      <c r="B494" s="28">
        <v>368.21770424061776</v>
      </c>
      <c r="C494" s="28">
        <f t="shared" si="27"/>
        <v>368.17584157521566</v>
      </c>
      <c r="D494" s="28">
        <f t="shared" si="26"/>
        <v>368.09110125095964</v>
      </c>
      <c r="E494" s="28">
        <f t="shared" si="26"/>
        <v>367.85768595041327</v>
      </c>
      <c r="F494" s="28">
        <f t="shared" si="26"/>
        <v>367.5116476990471</v>
      </c>
      <c r="G494" s="28">
        <f t="shared" si="26"/>
        <v>367.55708485751705</v>
      </c>
      <c r="H494" s="28">
        <f t="shared" si="26"/>
        <v>367.1043252946755</v>
      </c>
      <c r="I494" s="28">
        <f t="shared" si="26"/>
        <v>367.18992638757169</v>
      </c>
      <c r="J494" s="28">
        <f t="shared" si="26"/>
        <v>366.91208485751702</v>
      </c>
      <c r="K494" s="28">
        <f t="shared" si="26"/>
        <v>366.52162037664272</v>
      </c>
      <c r="L494" s="28">
        <f t="shared" si="26"/>
        <v>366.21902474822741</v>
      </c>
      <c r="M494" s="28">
        <f t="shared" si="26"/>
        <v>366.02195276159512</v>
      </c>
      <c r="N494" s="28">
        <f t="shared" si="26"/>
        <v>365.93770424061779</v>
      </c>
    </row>
    <row r="495" spans="1:14" x14ac:dyDescent="0.4">
      <c r="A495" s="1">
        <v>36251</v>
      </c>
      <c r="B495" s="28">
        <v>368.55195276159509</v>
      </c>
      <c r="C495" s="28">
        <f t="shared" si="27"/>
        <v>368.21770424061776</v>
      </c>
      <c r="D495" s="28">
        <f t="shared" si="26"/>
        <v>368.17584157521566</v>
      </c>
      <c r="E495" s="28">
        <f t="shared" si="26"/>
        <v>368.09110125095964</v>
      </c>
      <c r="F495" s="28">
        <f t="shared" si="26"/>
        <v>367.85768595041327</v>
      </c>
      <c r="G495" s="28">
        <f t="shared" si="26"/>
        <v>367.5116476990471</v>
      </c>
      <c r="H495" s="28">
        <f t="shared" si="26"/>
        <v>367.55708485751705</v>
      </c>
      <c r="I495" s="28">
        <f t="shared" si="26"/>
        <v>367.1043252946755</v>
      </c>
      <c r="J495" s="28">
        <f t="shared" si="26"/>
        <v>367.18992638757169</v>
      </c>
      <c r="K495" s="28">
        <f t="shared" si="26"/>
        <v>366.91208485751702</v>
      </c>
      <c r="L495" s="28">
        <f t="shared" si="26"/>
        <v>366.52162037664272</v>
      </c>
      <c r="M495" s="28">
        <f t="shared" si="26"/>
        <v>366.21902474822741</v>
      </c>
      <c r="N495" s="28">
        <f t="shared" si="26"/>
        <v>366.02195276159512</v>
      </c>
    </row>
    <row r="496" spans="1:14" x14ac:dyDescent="0.4">
      <c r="A496" s="1">
        <v>36281</v>
      </c>
      <c r="B496" s="28">
        <v>367.9190247482274</v>
      </c>
      <c r="C496" s="28">
        <f t="shared" si="27"/>
        <v>368.55195276159509</v>
      </c>
      <c r="D496" s="28">
        <f t="shared" si="26"/>
        <v>368.21770424061776</v>
      </c>
      <c r="E496" s="28">
        <f t="shared" si="26"/>
        <v>368.17584157521566</v>
      </c>
      <c r="F496" s="28">
        <f t="shared" si="26"/>
        <v>368.09110125095964</v>
      </c>
      <c r="G496" s="28">
        <f t="shared" si="26"/>
        <v>367.85768595041327</v>
      </c>
      <c r="H496" s="28">
        <f t="shared" si="26"/>
        <v>367.5116476990471</v>
      </c>
      <c r="I496" s="28">
        <f t="shared" si="26"/>
        <v>367.55708485751705</v>
      </c>
      <c r="J496" s="28">
        <f t="shared" si="26"/>
        <v>367.1043252946755</v>
      </c>
      <c r="K496" s="28">
        <f t="shared" si="26"/>
        <v>367.18992638757169</v>
      </c>
      <c r="L496" s="28">
        <f t="shared" si="26"/>
        <v>366.91208485751702</v>
      </c>
      <c r="M496" s="28">
        <f t="shared" si="26"/>
        <v>366.52162037664272</v>
      </c>
      <c r="N496" s="28">
        <f t="shared" si="26"/>
        <v>366.21902474822741</v>
      </c>
    </row>
    <row r="497" spans="1:14" x14ac:dyDescent="0.4">
      <c r="A497" s="1">
        <v>36312</v>
      </c>
      <c r="B497" s="28">
        <v>367.99162037664274</v>
      </c>
      <c r="C497" s="28">
        <f t="shared" si="27"/>
        <v>367.9190247482274</v>
      </c>
      <c r="D497" s="28">
        <f t="shared" si="26"/>
        <v>368.55195276159509</v>
      </c>
      <c r="E497" s="28">
        <f t="shared" si="26"/>
        <v>368.21770424061776</v>
      </c>
      <c r="F497" s="28">
        <f t="shared" si="26"/>
        <v>368.17584157521566</v>
      </c>
      <c r="G497" s="28">
        <f t="shared" si="26"/>
        <v>368.09110125095964</v>
      </c>
      <c r="H497" s="28">
        <f t="shared" si="26"/>
        <v>367.85768595041327</v>
      </c>
      <c r="I497" s="28">
        <f t="shared" si="26"/>
        <v>367.5116476990471</v>
      </c>
      <c r="J497" s="28">
        <f t="shared" si="26"/>
        <v>367.55708485751705</v>
      </c>
      <c r="K497" s="28">
        <f t="shared" si="26"/>
        <v>367.1043252946755</v>
      </c>
      <c r="L497" s="28">
        <f t="shared" si="26"/>
        <v>367.18992638757169</v>
      </c>
      <c r="M497" s="28">
        <f t="shared" si="26"/>
        <v>366.91208485751702</v>
      </c>
      <c r="N497" s="28">
        <f t="shared" si="26"/>
        <v>366.52162037664272</v>
      </c>
    </row>
    <row r="498" spans="1:14" x14ac:dyDescent="0.4">
      <c r="A498" s="1">
        <v>36342</v>
      </c>
      <c r="B498" s="28">
        <v>368.54208485751701</v>
      </c>
      <c r="C498" s="28">
        <f t="shared" si="27"/>
        <v>367.99162037664274</v>
      </c>
      <c r="D498" s="28">
        <f t="shared" si="26"/>
        <v>367.9190247482274</v>
      </c>
      <c r="E498" s="28">
        <f t="shared" si="26"/>
        <v>368.55195276159509</v>
      </c>
      <c r="F498" s="28">
        <f t="shared" si="26"/>
        <v>368.21770424061776</v>
      </c>
      <c r="G498" s="28">
        <f t="shared" si="26"/>
        <v>368.17584157521566</v>
      </c>
      <c r="H498" s="28">
        <f t="shared" si="26"/>
        <v>368.09110125095964</v>
      </c>
      <c r="I498" s="28">
        <f t="shared" si="26"/>
        <v>367.85768595041327</v>
      </c>
      <c r="J498" s="28">
        <f t="shared" si="26"/>
        <v>367.5116476990471</v>
      </c>
      <c r="K498" s="28">
        <f t="shared" si="26"/>
        <v>367.55708485751705</v>
      </c>
      <c r="L498" s="28">
        <f t="shared" si="26"/>
        <v>367.1043252946755</v>
      </c>
      <c r="M498" s="28">
        <f t="shared" si="26"/>
        <v>367.18992638757169</v>
      </c>
      <c r="N498" s="28">
        <f t="shared" si="26"/>
        <v>366.91208485751702</v>
      </c>
    </row>
    <row r="499" spans="1:14" x14ac:dyDescent="0.4">
      <c r="A499" s="1">
        <v>36373</v>
      </c>
      <c r="B499" s="28">
        <v>368.33992638757172</v>
      </c>
      <c r="C499" s="28">
        <f t="shared" si="27"/>
        <v>368.54208485751701</v>
      </c>
      <c r="D499" s="28">
        <f t="shared" si="26"/>
        <v>367.99162037664274</v>
      </c>
      <c r="E499" s="28">
        <f t="shared" si="26"/>
        <v>367.9190247482274</v>
      </c>
      <c r="F499" s="28">
        <f t="shared" si="26"/>
        <v>368.55195276159509</v>
      </c>
      <c r="G499" s="28">
        <f t="shared" si="26"/>
        <v>368.21770424061776</v>
      </c>
      <c r="H499" s="28">
        <f t="shared" si="26"/>
        <v>368.17584157521566</v>
      </c>
      <c r="I499" s="28">
        <f t="shared" si="26"/>
        <v>368.09110125095964</v>
      </c>
      <c r="J499" s="28">
        <f t="shared" si="26"/>
        <v>367.85768595041327</v>
      </c>
      <c r="K499" s="28">
        <f t="shared" si="26"/>
        <v>367.5116476990471</v>
      </c>
      <c r="L499" s="28">
        <f t="shared" si="26"/>
        <v>367.55708485751705</v>
      </c>
      <c r="M499" s="28">
        <f t="shared" si="26"/>
        <v>367.1043252946755</v>
      </c>
      <c r="N499" s="28">
        <f t="shared" si="26"/>
        <v>367.18992638757169</v>
      </c>
    </row>
    <row r="500" spans="1:14" x14ac:dyDescent="0.4">
      <c r="A500" s="1">
        <v>36404</v>
      </c>
      <c r="B500" s="28">
        <v>367.84432529467551</v>
      </c>
      <c r="C500" s="28">
        <f t="shared" si="27"/>
        <v>368.33992638757172</v>
      </c>
      <c r="D500" s="28">
        <f t="shared" si="26"/>
        <v>368.54208485751701</v>
      </c>
      <c r="E500" s="28">
        <f t="shared" si="26"/>
        <v>367.99162037664274</v>
      </c>
      <c r="F500" s="28">
        <f t="shared" si="26"/>
        <v>367.9190247482274</v>
      </c>
      <c r="G500" s="28">
        <f t="shared" si="26"/>
        <v>368.55195276159509</v>
      </c>
      <c r="H500" s="28">
        <f t="shared" si="26"/>
        <v>368.21770424061776</v>
      </c>
      <c r="I500" s="28">
        <f t="shared" si="26"/>
        <v>368.17584157521566</v>
      </c>
      <c r="J500" s="28">
        <f t="shared" si="26"/>
        <v>368.09110125095964</v>
      </c>
      <c r="K500" s="28">
        <f t="shared" si="26"/>
        <v>367.85768595041327</v>
      </c>
      <c r="L500" s="28">
        <f t="shared" si="26"/>
        <v>367.5116476990471</v>
      </c>
      <c r="M500" s="28">
        <f t="shared" si="26"/>
        <v>367.55708485751705</v>
      </c>
      <c r="N500" s="28">
        <f t="shared" si="26"/>
        <v>367.1043252946755</v>
      </c>
    </row>
    <row r="501" spans="1:14" x14ac:dyDescent="0.4">
      <c r="A501" s="1">
        <v>36434</v>
      </c>
      <c r="B501" s="28">
        <v>368.45708485751703</v>
      </c>
      <c r="C501" s="28">
        <f t="shared" si="27"/>
        <v>367.84432529467551</v>
      </c>
      <c r="D501" s="28">
        <f t="shared" si="26"/>
        <v>368.33992638757172</v>
      </c>
      <c r="E501" s="28">
        <f t="shared" si="26"/>
        <v>368.54208485751701</v>
      </c>
      <c r="F501" s="28">
        <f t="shared" si="26"/>
        <v>367.99162037664274</v>
      </c>
      <c r="G501" s="28">
        <f t="shared" si="26"/>
        <v>367.9190247482274</v>
      </c>
      <c r="H501" s="28">
        <f t="shared" si="26"/>
        <v>368.55195276159509</v>
      </c>
      <c r="I501" s="28">
        <f t="shared" si="26"/>
        <v>368.21770424061776</v>
      </c>
      <c r="J501" s="28">
        <f t="shared" si="26"/>
        <v>368.17584157521566</v>
      </c>
      <c r="K501" s="28">
        <f t="shared" si="26"/>
        <v>368.09110125095964</v>
      </c>
      <c r="L501" s="28">
        <f t="shared" si="26"/>
        <v>367.85768595041327</v>
      </c>
      <c r="M501" s="28">
        <f t="shared" si="26"/>
        <v>367.5116476990471</v>
      </c>
      <c r="N501" s="28">
        <f t="shared" si="26"/>
        <v>367.55708485751705</v>
      </c>
    </row>
    <row r="502" spans="1:14" x14ac:dyDescent="0.4">
      <c r="A502" s="1">
        <v>36465</v>
      </c>
      <c r="B502" s="28">
        <v>368.73164769904713</v>
      </c>
      <c r="C502" s="28">
        <f t="shared" si="27"/>
        <v>368.45708485751703</v>
      </c>
      <c r="D502" s="28">
        <f t="shared" si="26"/>
        <v>367.84432529467551</v>
      </c>
      <c r="E502" s="28">
        <f t="shared" si="26"/>
        <v>368.33992638757172</v>
      </c>
      <c r="F502" s="28">
        <f t="shared" si="26"/>
        <v>368.54208485751701</v>
      </c>
      <c r="G502" s="28">
        <f t="shared" si="26"/>
        <v>367.99162037664274</v>
      </c>
      <c r="H502" s="28">
        <f t="shared" si="26"/>
        <v>367.9190247482274</v>
      </c>
      <c r="I502" s="28">
        <f t="shared" si="26"/>
        <v>368.55195276159509</v>
      </c>
      <c r="J502" s="28">
        <f t="shared" si="26"/>
        <v>368.21770424061776</v>
      </c>
      <c r="K502" s="28">
        <f t="shared" si="26"/>
        <v>368.17584157521566</v>
      </c>
      <c r="L502" s="28">
        <f t="shared" si="26"/>
        <v>368.09110125095964</v>
      </c>
      <c r="M502" s="28">
        <f t="shared" si="26"/>
        <v>367.85768595041327</v>
      </c>
      <c r="N502" s="28">
        <f t="shared" si="26"/>
        <v>367.5116476990471</v>
      </c>
    </row>
    <row r="503" spans="1:14" x14ac:dyDescent="0.4">
      <c r="A503" s="1">
        <v>36495</v>
      </c>
      <c r="B503" s="28">
        <v>368.88768595041324</v>
      </c>
      <c r="C503" s="28">
        <f t="shared" si="27"/>
        <v>368.73164769904713</v>
      </c>
      <c r="D503" s="28">
        <f t="shared" si="27"/>
        <v>368.45708485751703</v>
      </c>
      <c r="E503" s="28">
        <f t="shared" si="27"/>
        <v>367.84432529467551</v>
      </c>
      <c r="F503" s="28">
        <f t="shared" si="27"/>
        <v>368.33992638757172</v>
      </c>
      <c r="G503" s="28">
        <f t="shared" si="27"/>
        <v>368.54208485751701</v>
      </c>
      <c r="H503" s="28">
        <f t="shared" si="27"/>
        <v>367.99162037664274</v>
      </c>
      <c r="I503" s="28">
        <f t="shared" si="27"/>
        <v>367.9190247482274</v>
      </c>
      <c r="J503" s="28">
        <f t="shared" si="27"/>
        <v>368.55195276159509</v>
      </c>
      <c r="K503" s="28">
        <f t="shared" si="27"/>
        <v>368.21770424061776</v>
      </c>
      <c r="L503" s="28">
        <f t="shared" si="27"/>
        <v>368.17584157521566</v>
      </c>
      <c r="M503" s="28">
        <f t="shared" si="27"/>
        <v>368.09110125095964</v>
      </c>
      <c r="N503" s="28">
        <f t="shared" si="27"/>
        <v>367.85768595041327</v>
      </c>
    </row>
    <row r="504" spans="1:14" x14ac:dyDescent="0.4">
      <c r="A504" s="1">
        <v>36526</v>
      </c>
      <c r="B504" s="28">
        <v>369.08110125095965</v>
      </c>
      <c r="C504" s="28">
        <f t="shared" si="27"/>
        <v>368.88768595041324</v>
      </c>
      <c r="D504" s="28">
        <f t="shared" si="27"/>
        <v>368.73164769904713</v>
      </c>
      <c r="E504" s="28">
        <f t="shared" si="27"/>
        <v>368.45708485751703</v>
      </c>
      <c r="F504" s="28">
        <f t="shared" si="27"/>
        <v>367.84432529467551</v>
      </c>
      <c r="G504" s="28">
        <f t="shared" si="27"/>
        <v>368.33992638757172</v>
      </c>
      <c r="H504" s="28">
        <f t="shared" si="27"/>
        <v>368.54208485751701</v>
      </c>
      <c r="I504" s="28">
        <f t="shared" si="27"/>
        <v>367.99162037664274</v>
      </c>
      <c r="J504" s="28">
        <f t="shared" si="27"/>
        <v>367.9190247482274</v>
      </c>
      <c r="K504" s="28">
        <f t="shared" si="27"/>
        <v>368.55195276159509</v>
      </c>
      <c r="L504" s="28">
        <f t="shared" si="27"/>
        <v>368.21770424061776</v>
      </c>
      <c r="M504" s="28">
        <f t="shared" si="27"/>
        <v>368.17584157521566</v>
      </c>
      <c r="N504" s="28">
        <f t="shared" si="27"/>
        <v>368.09110125095964</v>
      </c>
    </row>
    <row r="505" spans="1:14" x14ac:dyDescent="0.4">
      <c r="A505" s="1">
        <v>36557</v>
      </c>
      <c r="B505" s="28">
        <v>368.76584157521563</v>
      </c>
      <c r="C505" s="28">
        <f t="shared" si="27"/>
        <v>369.08110125095965</v>
      </c>
      <c r="D505" s="28">
        <f t="shared" si="27"/>
        <v>368.88768595041324</v>
      </c>
      <c r="E505" s="28">
        <f t="shared" si="27"/>
        <v>368.73164769904713</v>
      </c>
      <c r="F505" s="28">
        <f t="shared" si="27"/>
        <v>368.45708485751703</v>
      </c>
      <c r="G505" s="28">
        <f t="shared" si="27"/>
        <v>367.84432529467551</v>
      </c>
      <c r="H505" s="28">
        <f t="shared" si="27"/>
        <v>368.33992638757172</v>
      </c>
      <c r="I505" s="28">
        <f t="shared" si="27"/>
        <v>368.54208485751701</v>
      </c>
      <c r="J505" s="28">
        <f t="shared" si="27"/>
        <v>367.99162037664274</v>
      </c>
      <c r="K505" s="28">
        <f t="shared" si="27"/>
        <v>367.9190247482274</v>
      </c>
      <c r="L505" s="28">
        <f t="shared" si="27"/>
        <v>368.55195276159509</v>
      </c>
      <c r="M505" s="28">
        <f t="shared" si="27"/>
        <v>368.21770424061776</v>
      </c>
      <c r="N505" s="28">
        <f t="shared" si="27"/>
        <v>368.17584157521566</v>
      </c>
    </row>
    <row r="506" spans="1:14" x14ac:dyDescent="0.4">
      <c r="A506" s="1">
        <v>36586</v>
      </c>
      <c r="B506" s="28">
        <v>369.13770424061778</v>
      </c>
      <c r="C506" s="28">
        <f t="shared" si="27"/>
        <v>368.76584157521563</v>
      </c>
      <c r="D506" s="28">
        <f t="shared" si="27"/>
        <v>369.08110125095965</v>
      </c>
      <c r="E506" s="28">
        <f t="shared" si="27"/>
        <v>368.88768595041324</v>
      </c>
      <c r="F506" s="28">
        <f t="shared" si="27"/>
        <v>368.73164769904713</v>
      </c>
      <c r="G506" s="28">
        <f t="shared" si="27"/>
        <v>368.45708485751703</v>
      </c>
      <c r="H506" s="28">
        <f t="shared" si="27"/>
        <v>367.84432529467551</v>
      </c>
      <c r="I506" s="28">
        <f t="shared" si="27"/>
        <v>368.33992638757172</v>
      </c>
      <c r="J506" s="28">
        <f t="shared" si="27"/>
        <v>368.54208485751701</v>
      </c>
      <c r="K506" s="28">
        <f t="shared" si="27"/>
        <v>367.99162037664274</v>
      </c>
      <c r="L506" s="28">
        <f t="shared" si="27"/>
        <v>367.9190247482274</v>
      </c>
      <c r="M506" s="28">
        <f t="shared" si="27"/>
        <v>368.55195276159509</v>
      </c>
      <c r="N506" s="28">
        <f t="shared" si="27"/>
        <v>368.21770424061776</v>
      </c>
    </row>
    <row r="507" spans="1:14" x14ac:dyDescent="0.4">
      <c r="A507" s="1">
        <v>36617</v>
      </c>
      <c r="B507" s="28">
        <v>369.07195276159513</v>
      </c>
      <c r="C507" s="28">
        <f t="shared" si="27"/>
        <v>369.13770424061778</v>
      </c>
      <c r="D507" s="28">
        <f t="shared" si="27"/>
        <v>368.76584157521563</v>
      </c>
      <c r="E507" s="28">
        <f t="shared" si="27"/>
        <v>369.08110125095965</v>
      </c>
      <c r="F507" s="28">
        <f t="shared" si="27"/>
        <v>368.88768595041324</v>
      </c>
      <c r="G507" s="28">
        <f t="shared" si="27"/>
        <v>368.73164769904713</v>
      </c>
      <c r="H507" s="28">
        <f t="shared" si="27"/>
        <v>368.45708485751703</v>
      </c>
      <c r="I507" s="28">
        <f t="shared" si="27"/>
        <v>367.84432529467551</v>
      </c>
      <c r="J507" s="28">
        <f t="shared" si="27"/>
        <v>368.33992638757172</v>
      </c>
      <c r="K507" s="28">
        <f t="shared" si="27"/>
        <v>368.54208485751701</v>
      </c>
      <c r="L507" s="28">
        <f t="shared" si="27"/>
        <v>367.99162037664274</v>
      </c>
      <c r="M507" s="28">
        <f t="shared" si="27"/>
        <v>367.9190247482274</v>
      </c>
      <c r="N507" s="28">
        <f t="shared" si="27"/>
        <v>368.55195276159509</v>
      </c>
    </row>
    <row r="508" spans="1:14" x14ac:dyDescent="0.4">
      <c r="A508" s="1">
        <v>36647</v>
      </c>
      <c r="B508" s="28">
        <v>368.74902474822738</v>
      </c>
      <c r="C508" s="28">
        <f t="shared" si="27"/>
        <v>369.07195276159513</v>
      </c>
      <c r="D508" s="28">
        <f t="shared" si="27"/>
        <v>369.13770424061778</v>
      </c>
      <c r="E508" s="28">
        <f t="shared" si="27"/>
        <v>368.76584157521563</v>
      </c>
      <c r="F508" s="28">
        <f t="shared" si="27"/>
        <v>369.08110125095965</v>
      </c>
      <c r="G508" s="28">
        <f t="shared" si="27"/>
        <v>368.88768595041324</v>
      </c>
      <c r="H508" s="28">
        <f t="shared" si="27"/>
        <v>368.73164769904713</v>
      </c>
      <c r="I508" s="28">
        <f t="shared" si="27"/>
        <v>368.45708485751703</v>
      </c>
      <c r="J508" s="28">
        <f t="shared" si="27"/>
        <v>367.84432529467551</v>
      </c>
      <c r="K508" s="28">
        <f t="shared" si="27"/>
        <v>368.33992638757172</v>
      </c>
      <c r="L508" s="28">
        <f t="shared" si="27"/>
        <v>368.54208485751701</v>
      </c>
      <c r="M508" s="28">
        <f t="shared" si="27"/>
        <v>367.99162037664274</v>
      </c>
      <c r="N508" s="28">
        <f t="shared" si="27"/>
        <v>367.9190247482274</v>
      </c>
    </row>
    <row r="509" spans="1:14" x14ac:dyDescent="0.4">
      <c r="A509" s="1">
        <v>36678</v>
      </c>
      <c r="B509" s="28">
        <v>369.33162037664272</v>
      </c>
      <c r="C509" s="28">
        <f t="shared" si="27"/>
        <v>368.74902474822738</v>
      </c>
      <c r="D509" s="28">
        <f t="shared" si="27"/>
        <v>369.07195276159513</v>
      </c>
      <c r="E509" s="28">
        <f t="shared" si="27"/>
        <v>369.13770424061778</v>
      </c>
      <c r="F509" s="28">
        <f t="shared" si="27"/>
        <v>368.76584157521563</v>
      </c>
      <c r="G509" s="28">
        <f t="shared" si="27"/>
        <v>369.08110125095965</v>
      </c>
      <c r="H509" s="28">
        <f t="shared" si="27"/>
        <v>368.88768595041324</v>
      </c>
      <c r="I509" s="28">
        <f t="shared" si="27"/>
        <v>368.73164769904713</v>
      </c>
      <c r="J509" s="28">
        <f t="shared" si="27"/>
        <v>368.45708485751703</v>
      </c>
      <c r="K509" s="28">
        <f t="shared" si="27"/>
        <v>367.84432529467551</v>
      </c>
      <c r="L509" s="28">
        <f t="shared" si="27"/>
        <v>368.33992638757172</v>
      </c>
      <c r="M509" s="28">
        <f t="shared" si="27"/>
        <v>368.54208485751701</v>
      </c>
      <c r="N509" s="28">
        <f t="shared" si="27"/>
        <v>367.99162037664274</v>
      </c>
    </row>
    <row r="510" spans="1:14" x14ac:dyDescent="0.4">
      <c r="A510" s="1">
        <v>36708</v>
      </c>
      <c r="B510" s="28">
        <v>369.39208485751703</v>
      </c>
      <c r="C510" s="28">
        <f t="shared" si="27"/>
        <v>369.33162037664272</v>
      </c>
      <c r="D510" s="28">
        <f t="shared" si="27"/>
        <v>368.74902474822738</v>
      </c>
      <c r="E510" s="28">
        <f t="shared" si="27"/>
        <v>369.07195276159513</v>
      </c>
      <c r="F510" s="28">
        <f t="shared" si="27"/>
        <v>369.13770424061778</v>
      </c>
      <c r="G510" s="28">
        <f t="shared" si="27"/>
        <v>368.76584157521563</v>
      </c>
      <c r="H510" s="28">
        <f t="shared" si="27"/>
        <v>369.08110125095965</v>
      </c>
      <c r="I510" s="28">
        <f t="shared" si="27"/>
        <v>368.88768595041324</v>
      </c>
      <c r="J510" s="28">
        <f t="shared" si="27"/>
        <v>368.73164769904713</v>
      </c>
      <c r="K510" s="28">
        <f t="shared" si="27"/>
        <v>368.45708485751703</v>
      </c>
      <c r="L510" s="28">
        <f t="shared" si="27"/>
        <v>367.84432529467551</v>
      </c>
      <c r="M510" s="28">
        <f t="shared" si="27"/>
        <v>368.33992638757172</v>
      </c>
      <c r="N510" s="28">
        <f t="shared" si="27"/>
        <v>368.54208485751701</v>
      </c>
    </row>
    <row r="511" spans="1:14" x14ac:dyDescent="0.4">
      <c r="A511" s="1">
        <v>36739</v>
      </c>
      <c r="B511" s="28">
        <v>369.52992638757172</v>
      </c>
      <c r="C511" s="28">
        <f t="shared" si="27"/>
        <v>369.39208485751703</v>
      </c>
      <c r="D511" s="28">
        <f t="shared" si="27"/>
        <v>369.33162037664272</v>
      </c>
      <c r="E511" s="28">
        <f t="shared" si="27"/>
        <v>368.74902474822738</v>
      </c>
      <c r="F511" s="28">
        <f t="shared" si="27"/>
        <v>369.07195276159513</v>
      </c>
      <c r="G511" s="28">
        <f t="shared" si="27"/>
        <v>369.13770424061778</v>
      </c>
      <c r="H511" s="28">
        <f t="shared" si="27"/>
        <v>368.76584157521563</v>
      </c>
      <c r="I511" s="28">
        <f t="shared" si="27"/>
        <v>369.08110125095965</v>
      </c>
      <c r="J511" s="28">
        <f t="shared" si="27"/>
        <v>368.88768595041324</v>
      </c>
      <c r="K511" s="28">
        <f t="shared" si="27"/>
        <v>368.73164769904713</v>
      </c>
      <c r="L511" s="28">
        <f t="shared" si="27"/>
        <v>368.45708485751703</v>
      </c>
      <c r="M511" s="28">
        <f t="shared" si="27"/>
        <v>367.84432529467551</v>
      </c>
      <c r="N511" s="28">
        <f t="shared" si="27"/>
        <v>368.33992638757172</v>
      </c>
    </row>
    <row r="512" spans="1:14" x14ac:dyDescent="0.4">
      <c r="A512" s="1">
        <v>36770</v>
      </c>
      <c r="B512" s="28">
        <v>369.82432529467553</v>
      </c>
      <c r="C512" s="28">
        <f t="shared" si="27"/>
        <v>369.52992638757172</v>
      </c>
      <c r="D512" s="28">
        <f t="shared" si="27"/>
        <v>369.39208485751703</v>
      </c>
      <c r="E512" s="28">
        <f t="shared" si="27"/>
        <v>369.33162037664272</v>
      </c>
      <c r="F512" s="28">
        <f t="shared" si="27"/>
        <v>368.74902474822738</v>
      </c>
      <c r="G512" s="28">
        <f t="shared" si="27"/>
        <v>369.07195276159513</v>
      </c>
      <c r="H512" s="28">
        <f t="shared" si="27"/>
        <v>369.13770424061778</v>
      </c>
      <c r="I512" s="28">
        <f t="shared" si="27"/>
        <v>368.76584157521563</v>
      </c>
      <c r="J512" s="28">
        <f t="shared" si="27"/>
        <v>369.08110125095965</v>
      </c>
      <c r="K512" s="28">
        <f t="shared" si="27"/>
        <v>368.88768595041324</v>
      </c>
      <c r="L512" s="28">
        <f t="shared" si="27"/>
        <v>368.73164769904713</v>
      </c>
      <c r="M512" s="28">
        <f t="shared" si="27"/>
        <v>368.45708485751703</v>
      </c>
      <c r="N512" s="28">
        <f t="shared" si="27"/>
        <v>367.84432529467551</v>
      </c>
    </row>
    <row r="513" spans="1:14" x14ac:dyDescent="0.4">
      <c r="A513" s="1">
        <v>36800</v>
      </c>
      <c r="B513" s="28">
        <v>370.05708485751705</v>
      </c>
      <c r="C513" s="28">
        <f t="shared" si="27"/>
        <v>369.82432529467553</v>
      </c>
      <c r="D513" s="28">
        <f t="shared" si="27"/>
        <v>369.52992638757172</v>
      </c>
      <c r="E513" s="28">
        <f t="shared" si="27"/>
        <v>369.39208485751703</v>
      </c>
      <c r="F513" s="28">
        <f t="shared" si="27"/>
        <v>369.33162037664272</v>
      </c>
      <c r="G513" s="28">
        <f t="shared" si="27"/>
        <v>368.74902474822738</v>
      </c>
      <c r="H513" s="28">
        <f t="shared" si="27"/>
        <v>369.07195276159513</v>
      </c>
      <c r="I513" s="28">
        <f t="shared" si="27"/>
        <v>369.13770424061778</v>
      </c>
      <c r="J513" s="28">
        <f t="shared" si="27"/>
        <v>368.76584157521563</v>
      </c>
      <c r="K513" s="28">
        <f t="shared" si="27"/>
        <v>369.08110125095965</v>
      </c>
      <c r="L513" s="28">
        <f t="shared" si="27"/>
        <v>368.88768595041324</v>
      </c>
      <c r="M513" s="28">
        <f t="shared" si="27"/>
        <v>368.73164769904713</v>
      </c>
      <c r="N513" s="28">
        <f t="shared" si="27"/>
        <v>368.45708485751703</v>
      </c>
    </row>
    <row r="514" spans="1:14" x14ac:dyDescent="0.4">
      <c r="A514" s="1">
        <v>36831</v>
      </c>
      <c r="B514" s="28">
        <v>370.34164769904714</v>
      </c>
      <c r="C514" s="28">
        <f t="shared" si="27"/>
        <v>370.05708485751705</v>
      </c>
      <c r="D514" s="28">
        <f t="shared" si="27"/>
        <v>369.82432529467553</v>
      </c>
      <c r="E514" s="28">
        <f t="shared" si="27"/>
        <v>369.52992638757172</v>
      </c>
      <c r="F514" s="28">
        <f t="shared" si="27"/>
        <v>369.39208485751703</v>
      </c>
      <c r="G514" s="28">
        <f t="shared" si="27"/>
        <v>369.33162037664272</v>
      </c>
      <c r="H514" s="28">
        <f t="shared" si="27"/>
        <v>368.74902474822738</v>
      </c>
      <c r="I514" s="28">
        <f t="shared" si="27"/>
        <v>369.07195276159513</v>
      </c>
      <c r="J514" s="28">
        <f t="shared" si="27"/>
        <v>369.13770424061778</v>
      </c>
      <c r="K514" s="28">
        <f t="shared" si="27"/>
        <v>368.76584157521563</v>
      </c>
      <c r="L514" s="28">
        <f t="shared" si="27"/>
        <v>369.08110125095965</v>
      </c>
      <c r="M514" s="28">
        <f t="shared" si="27"/>
        <v>368.88768595041324</v>
      </c>
      <c r="N514" s="28">
        <f t="shared" si="27"/>
        <v>368.73164769904713</v>
      </c>
    </row>
    <row r="515" spans="1:14" x14ac:dyDescent="0.4">
      <c r="A515" s="1">
        <v>36861</v>
      </c>
      <c r="B515" s="28">
        <v>370.40768595041322</v>
      </c>
      <c r="C515" s="28">
        <f t="shared" si="27"/>
        <v>370.34164769904714</v>
      </c>
      <c r="D515" s="28">
        <f t="shared" si="27"/>
        <v>370.05708485751705</v>
      </c>
      <c r="E515" s="28">
        <f t="shared" si="27"/>
        <v>369.82432529467553</v>
      </c>
      <c r="F515" s="28">
        <f t="shared" si="27"/>
        <v>369.52992638757172</v>
      </c>
      <c r="G515" s="28">
        <f t="shared" si="27"/>
        <v>369.39208485751703</v>
      </c>
      <c r="H515" s="28">
        <f t="shared" si="27"/>
        <v>369.33162037664272</v>
      </c>
      <c r="I515" s="28">
        <f t="shared" si="27"/>
        <v>368.74902474822738</v>
      </c>
      <c r="J515" s="28">
        <f t="shared" si="27"/>
        <v>369.07195276159513</v>
      </c>
      <c r="K515" s="28">
        <f t="shared" si="27"/>
        <v>369.13770424061778</v>
      </c>
      <c r="L515" s="28">
        <f t="shared" si="27"/>
        <v>368.76584157521563</v>
      </c>
      <c r="M515" s="28">
        <f t="shared" si="27"/>
        <v>369.08110125095965</v>
      </c>
      <c r="N515" s="28">
        <f t="shared" si="27"/>
        <v>368.88768595041324</v>
      </c>
    </row>
    <row r="516" spans="1:14" x14ac:dyDescent="0.4">
      <c r="A516" s="1">
        <v>36892</v>
      </c>
      <c r="B516" s="28">
        <v>370.22110125095963</v>
      </c>
      <c r="C516" s="28">
        <f t="shared" si="27"/>
        <v>370.40768595041322</v>
      </c>
      <c r="D516" s="28">
        <f t="shared" si="27"/>
        <v>370.34164769904714</v>
      </c>
      <c r="E516" s="28">
        <f t="shared" si="27"/>
        <v>370.05708485751705</v>
      </c>
      <c r="F516" s="28">
        <f t="shared" si="27"/>
        <v>369.82432529467553</v>
      </c>
      <c r="G516" s="28">
        <f t="shared" si="27"/>
        <v>369.52992638757172</v>
      </c>
      <c r="H516" s="28">
        <f t="shared" si="27"/>
        <v>369.39208485751703</v>
      </c>
      <c r="I516" s="28">
        <f t="shared" si="27"/>
        <v>369.33162037664272</v>
      </c>
      <c r="J516" s="28">
        <f t="shared" si="27"/>
        <v>368.74902474822738</v>
      </c>
      <c r="K516" s="28">
        <f t="shared" si="27"/>
        <v>369.07195276159513</v>
      </c>
      <c r="L516" s="28">
        <f t="shared" si="27"/>
        <v>369.13770424061778</v>
      </c>
      <c r="M516" s="28">
        <f t="shared" si="27"/>
        <v>368.76584157521563</v>
      </c>
      <c r="N516" s="28">
        <f t="shared" si="27"/>
        <v>369.08110125095965</v>
      </c>
    </row>
    <row r="517" spans="1:14" x14ac:dyDescent="0.4">
      <c r="A517" s="1">
        <v>36923</v>
      </c>
      <c r="B517" s="28">
        <v>370.80584157521565</v>
      </c>
      <c r="C517" s="28">
        <f t="shared" si="27"/>
        <v>370.22110125095963</v>
      </c>
      <c r="D517" s="28">
        <f t="shared" si="27"/>
        <v>370.40768595041322</v>
      </c>
      <c r="E517" s="28">
        <f t="shared" si="27"/>
        <v>370.34164769904714</v>
      </c>
      <c r="F517" s="28">
        <f t="shared" si="27"/>
        <v>370.05708485751705</v>
      </c>
      <c r="G517" s="28">
        <f t="shared" si="27"/>
        <v>369.82432529467553</v>
      </c>
      <c r="H517" s="28">
        <f t="shared" si="27"/>
        <v>369.52992638757172</v>
      </c>
      <c r="I517" s="28">
        <f t="shared" si="27"/>
        <v>369.39208485751703</v>
      </c>
      <c r="J517" s="28">
        <f t="shared" si="27"/>
        <v>369.33162037664272</v>
      </c>
      <c r="K517" s="28">
        <f t="shared" si="27"/>
        <v>368.74902474822738</v>
      </c>
      <c r="L517" s="28">
        <f t="shared" si="27"/>
        <v>369.07195276159513</v>
      </c>
      <c r="M517" s="28">
        <f t="shared" si="27"/>
        <v>369.13770424061778</v>
      </c>
      <c r="N517" s="28">
        <f t="shared" si="27"/>
        <v>368.76584157521563</v>
      </c>
    </row>
    <row r="518" spans="1:14" x14ac:dyDescent="0.4">
      <c r="A518" s="1">
        <v>36951</v>
      </c>
      <c r="B518" s="28">
        <v>370.74770424061779</v>
      </c>
      <c r="C518" s="28">
        <f t="shared" si="27"/>
        <v>370.80584157521565</v>
      </c>
      <c r="D518" s="28">
        <f t="shared" si="27"/>
        <v>370.22110125095963</v>
      </c>
      <c r="E518" s="28">
        <f t="shared" si="27"/>
        <v>370.40768595041322</v>
      </c>
      <c r="F518" s="28">
        <f t="shared" si="27"/>
        <v>370.34164769904714</v>
      </c>
      <c r="G518" s="28">
        <f t="shared" si="27"/>
        <v>370.05708485751705</v>
      </c>
      <c r="H518" s="28">
        <f t="shared" si="27"/>
        <v>369.82432529467553</v>
      </c>
      <c r="I518" s="28">
        <f t="shared" si="27"/>
        <v>369.52992638757172</v>
      </c>
      <c r="J518" s="28">
        <f t="shared" si="27"/>
        <v>369.39208485751703</v>
      </c>
      <c r="K518" s="28">
        <f t="shared" si="27"/>
        <v>369.33162037664272</v>
      </c>
      <c r="L518" s="28">
        <f t="shared" si="27"/>
        <v>368.74902474822738</v>
      </c>
      <c r="M518" s="28">
        <f t="shared" si="27"/>
        <v>369.07195276159513</v>
      </c>
      <c r="N518" s="28">
        <f t="shared" si="27"/>
        <v>369.13770424061778</v>
      </c>
    </row>
    <row r="519" spans="1:14" x14ac:dyDescent="0.4">
      <c r="A519" s="1">
        <v>36982</v>
      </c>
      <c r="B519" s="28">
        <v>370.27195276159512</v>
      </c>
      <c r="C519" s="28">
        <f t="shared" si="27"/>
        <v>370.74770424061779</v>
      </c>
      <c r="D519" s="28">
        <f t="shared" si="27"/>
        <v>370.80584157521565</v>
      </c>
      <c r="E519" s="28">
        <f t="shared" si="27"/>
        <v>370.22110125095963</v>
      </c>
      <c r="F519" s="28">
        <f t="shared" si="27"/>
        <v>370.40768595041322</v>
      </c>
      <c r="G519" s="28">
        <f t="shared" si="27"/>
        <v>370.34164769904714</v>
      </c>
      <c r="H519" s="28">
        <f t="shared" si="27"/>
        <v>370.05708485751705</v>
      </c>
      <c r="I519" s="28">
        <f t="shared" si="27"/>
        <v>369.82432529467553</v>
      </c>
      <c r="J519" s="28">
        <f t="shared" si="27"/>
        <v>369.52992638757172</v>
      </c>
      <c r="K519" s="28">
        <f t="shared" si="27"/>
        <v>369.39208485751703</v>
      </c>
      <c r="L519" s="28">
        <f t="shared" si="27"/>
        <v>369.33162037664272</v>
      </c>
      <c r="M519" s="28">
        <f t="shared" si="27"/>
        <v>368.74902474822738</v>
      </c>
      <c r="N519" s="28">
        <f t="shared" si="27"/>
        <v>369.07195276159513</v>
      </c>
    </row>
    <row r="520" spans="1:14" x14ac:dyDescent="0.4">
      <c r="A520" s="1">
        <v>37012</v>
      </c>
      <c r="B520" s="28">
        <v>370.93902474822738</v>
      </c>
      <c r="C520" s="28">
        <f t="shared" si="27"/>
        <v>370.27195276159512</v>
      </c>
      <c r="D520" s="28">
        <f t="shared" si="27"/>
        <v>370.74770424061779</v>
      </c>
      <c r="E520" s="28">
        <f t="shared" si="27"/>
        <v>370.80584157521565</v>
      </c>
      <c r="F520" s="28">
        <f t="shared" si="27"/>
        <v>370.22110125095963</v>
      </c>
      <c r="G520" s="28">
        <f t="shared" si="27"/>
        <v>370.40768595041322</v>
      </c>
      <c r="H520" s="28">
        <f t="shared" si="27"/>
        <v>370.34164769904714</v>
      </c>
      <c r="I520" s="28">
        <f t="shared" si="27"/>
        <v>370.05708485751705</v>
      </c>
      <c r="J520" s="28">
        <f t="shared" si="27"/>
        <v>369.82432529467553</v>
      </c>
      <c r="K520" s="28">
        <f t="shared" si="27"/>
        <v>369.52992638757172</v>
      </c>
      <c r="L520" s="28">
        <f t="shared" si="27"/>
        <v>369.39208485751703</v>
      </c>
      <c r="M520" s="28">
        <f t="shared" si="27"/>
        <v>369.33162037664272</v>
      </c>
      <c r="N520" s="28">
        <f t="shared" si="27"/>
        <v>368.74902474822738</v>
      </c>
    </row>
    <row r="521" spans="1:14" x14ac:dyDescent="0.4">
      <c r="A521" s="1">
        <v>37043</v>
      </c>
      <c r="B521" s="28">
        <v>370.95162037664272</v>
      </c>
      <c r="C521" s="28">
        <f t="shared" si="27"/>
        <v>370.93902474822738</v>
      </c>
      <c r="D521" s="28">
        <f t="shared" si="27"/>
        <v>370.27195276159512</v>
      </c>
      <c r="E521" s="28">
        <f t="shared" si="27"/>
        <v>370.74770424061779</v>
      </c>
      <c r="F521" s="28">
        <f t="shared" si="27"/>
        <v>370.80584157521565</v>
      </c>
      <c r="G521" s="28">
        <f t="shared" si="27"/>
        <v>370.22110125095963</v>
      </c>
      <c r="H521" s="28">
        <f t="shared" si="27"/>
        <v>370.40768595041322</v>
      </c>
      <c r="I521" s="28">
        <f t="shared" si="27"/>
        <v>370.34164769904714</v>
      </c>
      <c r="J521" s="28">
        <f t="shared" si="27"/>
        <v>370.05708485751705</v>
      </c>
      <c r="K521" s="28">
        <f t="shared" si="27"/>
        <v>369.82432529467553</v>
      </c>
      <c r="L521" s="28">
        <f t="shared" si="27"/>
        <v>369.52992638757172</v>
      </c>
      <c r="M521" s="28">
        <f t="shared" si="27"/>
        <v>369.39208485751703</v>
      </c>
      <c r="N521" s="28">
        <f t="shared" si="27"/>
        <v>369.33162037664272</v>
      </c>
    </row>
    <row r="522" spans="1:14" x14ac:dyDescent="0.4">
      <c r="A522" s="1">
        <v>37073</v>
      </c>
      <c r="B522" s="28">
        <v>370.89208485751703</v>
      </c>
      <c r="C522" s="28">
        <f t="shared" si="27"/>
        <v>370.95162037664272</v>
      </c>
      <c r="D522" s="28">
        <f t="shared" si="27"/>
        <v>370.93902474822738</v>
      </c>
      <c r="E522" s="28">
        <f t="shared" si="27"/>
        <v>370.27195276159512</v>
      </c>
      <c r="F522" s="28">
        <f t="shared" si="27"/>
        <v>370.74770424061779</v>
      </c>
      <c r="G522" s="28">
        <f t="shared" si="27"/>
        <v>370.80584157521565</v>
      </c>
      <c r="H522" s="28">
        <f t="shared" si="27"/>
        <v>370.22110125095963</v>
      </c>
      <c r="I522" s="28">
        <f t="shared" si="27"/>
        <v>370.40768595041322</v>
      </c>
      <c r="J522" s="28">
        <f t="shared" si="27"/>
        <v>370.34164769904714</v>
      </c>
      <c r="K522" s="28">
        <f t="shared" si="27"/>
        <v>370.05708485751705</v>
      </c>
      <c r="L522" s="28">
        <f t="shared" si="27"/>
        <v>369.82432529467553</v>
      </c>
      <c r="M522" s="28">
        <f t="shared" si="27"/>
        <v>369.52992638757172</v>
      </c>
      <c r="N522" s="28">
        <f t="shared" si="27"/>
        <v>369.39208485751703</v>
      </c>
    </row>
    <row r="523" spans="1:14" x14ac:dyDescent="0.4">
      <c r="A523" s="1">
        <v>37104</v>
      </c>
      <c r="B523" s="28">
        <v>370.95992638757173</v>
      </c>
      <c r="C523" s="28">
        <f t="shared" ref="C523:N586" si="28">IF(B522=0,"",B522)</f>
        <v>370.89208485751703</v>
      </c>
      <c r="D523" s="28">
        <f t="shared" si="28"/>
        <v>370.95162037664272</v>
      </c>
      <c r="E523" s="28">
        <f t="shared" si="28"/>
        <v>370.93902474822738</v>
      </c>
      <c r="F523" s="28">
        <f t="shared" si="28"/>
        <v>370.27195276159512</v>
      </c>
      <c r="G523" s="28">
        <f t="shared" si="28"/>
        <v>370.74770424061779</v>
      </c>
      <c r="H523" s="28">
        <f t="shared" si="28"/>
        <v>370.80584157521565</v>
      </c>
      <c r="I523" s="28">
        <f t="shared" si="28"/>
        <v>370.22110125095963</v>
      </c>
      <c r="J523" s="28">
        <f t="shared" si="28"/>
        <v>370.40768595041322</v>
      </c>
      <c r="K523" s="28">
        <f t="shared" si="28"/>
        <v>370.34164769904714</v>
      </c>
      <c r="L523" s="28">
        <f t="shared" si="28"/>
        <v>370.05708485751705</v>
      </c>
      <c r="M523" s="28">
        <f t="shared" si="28"/>
        <v>369.82432529467553</v>
      </c>
      <c r="N523" s="28">
        <f t="shared" si="28"/>
        <v>369.52992638757172</v>
      </c>
    </row>
    <row r="524" spans="1:14" x14ac:dyDescent="0.4">
      <c r="A524" s="1">
        <v>37135</v>
      </c>
      <c r="B524" s="28">
        <v>371.16432529467551</v>
      </c>
      <c r="C524" s="28">
        <f t="shared" si="28"/>
        <v>370.95992638757173</v>
      </c>
      <c r="D524" s="28">
        <f t="shared" si="28"/>
        <v>370.89208485751703</v>
      </c>
      <c r="E524" s="28">
        <f t="shared" si="28"/>
        <v>370.95162037664272</v>
      </c>
      <c r="F524" s="28">
        <f t="shared" si="28"/>
        <v>370.93902474822738</v>
      </c>
      <c r="G524" s="28">
        <f t="shared" si="28"/>
        <v>370.27195276159512</v>
      </c>
      <c r="H524" s="28">
        <f t="shared" si="28"/>
        <v>370.74770424061779</v>
      </c>
      <c r="I524" s="28">
        <f t="shared" si="28"/>
        <v>370.80584157521565</v>
      </c>
      <c r="J524" s="28">
        <f t="shared" si="28"/>
        <v>370.22110125095963</v>
      </c>
      <c r="K524" s="28">
        <f t="shared" si="28"/>
        <v>370.40768595041322</v>
      </c>
      <c r="L524" s="28">
        <f t="shared" si="28"/>
        <v>370.34164769904714</v>
      </c>
      <c r="M524" s="28">
        <f t="shared" si="28"/>
        <v>370.05708485751705</v>
      </c>
      <c r="N524" s="28">
        <f t="shared" si="28"/>
        <v>369.82432529467553</v>
      </c>
    </row>
    <row r="525" spans="1:14" x14ac:dyDescent="0.4">
      <c r="A525" s="1">
        <v>37165</v>
      </c>
      <c r="B525" s="28">
        <v>371.41708485751701</v>
      </c>
      <c r="C525" s="28">
        <f t="shared" si="28"/>
        <v>371.16432529467551</v>
      </c>
      <c r="D525" s="28">
        <f t="shared" si="28"/>
        <v>370.95992638757173</v>
      </c>
      <c r="E525" s="28">
        <f t="shared" si="28"/>
        <v>370.89208485751703</v>
      </c>
      <c r="F525" s="28">
        <f t="shared" si="28"/>
        <v>370.95162037664272</v>
      </c>
      <c r="G525" s="28">
        <f t="shared" si="28"/>
        <v>370.93902474822738</v>
      </c>
      <c r="H525" s="28">
        <f t="shared" si="28"/>
        <v>370.27195276159512</v>
      </c>
      <c r="I525" s="28">
        <f t="shared" si="28"/>
        <v>370.74770424061779</v>
      </c>
      <c r="J525" s="28">
        <f t="shared" si="28"/>
        <v>370.80584157521565</v>
      </c>
      <c r="K525" s="28">
        <f t="shared" si="28"/>
        <v>370.22110125095963</v>
      </c>
      <c r="L525" s="28">
        <f t="shared" si="28"/>
        <v>370.40768595041322</v>
      </c>
      <c r="M525" s="28">
        <f t="shared" si="28"/>
        <v>370.34164769904714</v>
      </c>
      <c r="N525" s="28">
        <f t="shared" si="28"/>
        <v>370.05708485751705</v>
      </c>
    </row>
    <row r="526" spans="1:14" x14ac:dyDescent="0.4">
      <c r="A526" s="1">
        <v>37196</v>
      </c>
      <c r="B526" s="28">
        <v>371.73164769904713</v>
      </c>
      <c r="C526" s="28">
        <f t="shared" si="28"/>
        <v>371.41708485751701</v>
      </c>
      <c r="D526" s="28">
        <f t="shared" si="28"/>
        <v>371.16432529467551</v>
      </c>
      <c r="E526" s="28">
        <f t="shared" si="28"/>
        <v>370.95992638757173</v>
      </c>
      <c r="F526" s="28">
        <f t="shared" si="28"/>
        <v>370.89208485751703</v>
      </c>
      <c r="G526" s="28">
        <f t="shared" si="28"/>
        <v>370.95162037664272</v>
      </c>
      <c r="H526" s="28">
        <f t="shared" si="28"/>
        <v>370.93902474822738</v>
      </c>
      <c r="I526" s="28">
        <f t="shared" si="28"/>
        <v>370.27195276159512</v>
      </c>
      <c r="J526" s="28">
        <f t="shared" si="28"/>
        <v>370.74770424061779</v>
      </c>
      <c r="K526" s="28">
        <f t="shared" si="28"/>
        <v>370.80584157521565</v>
      </c>
      <c r="L526" s="28">
        <f t="shared" si="28"/>
        <v>370.22110125095963</v>
      </c>
      <c r="M526" s="28">
        <f t="shared" si="28"/>
        <v>370.40768595041322</v>
      </c>
      <c r="N526" s="28">
        <f t="shared" si="28"/>
        <v>370.34164769904714</v>
      </c>
    </row>
    <row r="527" spans="1:14" x14ac:dyDescent="0.4">
      <c r="A527" s="1">
        <v>37226</v>
      </c>
      <c r="B527" s="28">
        <v>372.12768595041325</v>
      </c>
      <c r="C527" s="28">
        <f t="shared" si="28"/>
        <v>371.73164769904713</v>
      </c>
      <c r="D527" s="28">
        <f t="shared" si="28"/>
        <v>371.41708485751701</v>
      </c>
      <c r="E527" s="28">
        <f t="shared" si="28"/>
        <v>371.16432529467551</v>
      </c>
      <c r="F527" s="28">
        <f t="shared" si="28"/>
        <v>370.95992638757173</v>
      </c>
      <c r="G527" s="28">
        <f t="shared" si="28"/>
        <v>370.89208485751703</v>
      </c>
      <c r="H527" s="28">
        <f t="shared" si="28"/>
        <v>370.95162037664272</v>
      </c>
      <c r="I527" s="28">
        <f t="shared" si="28"/>
        <v>370.93902474822738</v>
      </c>
      <c r="J527" s="28">
        <f t="shared" si="28"/>
        <v>370.27195276159512</v>
      </c>
      <c r="K527" s="28">
        <f t="shared" si="28"/>
        <v>370.74770424061779</v>
      </c>
      <c r="L527" s="28">
        <f t="shared" si="28"/>
        <v>370.80584157521565</v>
      </c>
      <c r="M527" s="28">
        <f t="shared" si="28"/>
        <v>370.22110125095963</v>
      </c>
      <c r="N527" s="28">
        <f t="shared" si="28"/>
        <v>370.40768595041322</v>
      </c>
    </row>
    <row r="528" spans="1:14" x14ac:dyDescent="0.4">
      <c r="A528" s="1">
        <v>37257</v>
      </c>
      <c r="B528" s="28">
        <v>372.38110125095966</v>
      </c>
      <c r="C528" s="28">
        <f t="shared" si="28"/>
        <v>372.12768595041325</v>
      </c>
      <c r="D528" s="28">
        <f t="shared" si="28"/>
        <v>371.73164769904713</v>
      </c>
      <c r="E528" s="28">
        <f t="shared" si="28"/>
        <v>371.41708485751701</v>
      </c>
      <c r="F528" s="28">
        <f t="shared" si="28"/>
        <v>371.16432529467551</v>
      </c>
      <c r="G528" s="28">
        <f t="shared" si="28"/>
        <v>370.95992638757173</v>
      </c>
      <c r="H528" s="28">
        <f t="shared" si="28"/>
        <v>370.89208485751703</v>
      </c>
      <c r="I528" s="28">
        <f t="shared" si="28"/>
        <v>370.95162037664272</v>
      </c>
      <c r="J528" s="28">
        <f t="shared" si="28"/>
        <v>370.93902474822738</v>
      </c>
      <c r="K528" s="28">
        <f t="shared" si="28"/>
        <v>370.27195276159512</v>
      </c>
      <c r="L528" s="28">
        <f t="shared" si="28"/>
        <v>370.74770424061779</v>
      </c>
      <c r="M528" s="28">
        <f t="shared" si="28"/>
        <v>370.80584157521565</v>
      </c>
      <c r="N528" s="28">
        <f t="shared" si="28"/>
        <v>370.22110125095963</v>
      </c>
    </row>
    <row r="529" spans="1:14" x14ac:dyDescent="0.4">
      <c r="A529" s="1">
        <v>37288</v>
      </c>
      <c r="B529" s="28">
        <v>372.38584157521564</v>
      </c>
      <c r="C529" s="28">
        <f t="shared" si="28"/>
        <v>372.38110125095966</v>
      </c>
      <c r="D529" s="28">
        <f t="shared" si="28"/>
        <v>372.12768595041325</v>
      </c>
      <c r="E529" s="28">
        <f t="shared" si="28"/>
        <v>371.73164769904713</v>
      </c>
      <c r="F529" s="28">
        <f t="shared" si="28"/>
        <v>371.41708485751701</v>
      </c>
      <c r="G529" s="28">
        <f t="shared" si="28"/>
        <v>371.16432529467551</v>
      </c>
      <c r="H529" s="28">
        <f t="shared" si="28"/>
        <v>370.95992638757173</v>
      </c>
      <c r="I529" s="28">
        <f t="shared" si="28"/>
        <v>370.89208485751703</v>
      </c>
      <c r="J529" s="28">
        <f t="shared" si="28"/>
        <v>370.95162037664272</v>
      </c>
      <c r="K529" s="28">
        <f t="shared" si="28"/>
        <v>370.93902474822738</v>
      </c>
      <c r="L529" s="28">
        <f t="shared" si="28"/>
        <v>370.27195276159512</v>
      </c>
      <c r="M529" s="28">
        <f t="shared" si="28"/>
        <v>370.74770424061779</v>
      </c>
      <c r="N529" s="28">
        <f t="shared" si="28"/>
        <v>370.80584157521565</v>
      </c>
    </row>
    <row r="530" spans="1:14" x14ac:dyDescent="0.4">
      <c r="A530" s="1">
        <v>37316</v>
      </c>
      <c r="B530" s="28">
        <v>372.14770424061777</v>
      </c>
      <c r="C530" s="28">
        <f t="shared" si="28"/>
        <v>372.38584157521564</v>
      </c>
      <c r="D530" s="28">
        <f t="shared" si="28"/>
        <v>372.38110125095966</v>
      </c>
      <c r="E530" s="28">
        <f t="shared" si="28"/>
        <v>372.12768595041325</v>
      </c>
      <c r="F530" s="28">
        <f t="shared" si="28"/>
        <v>371.73164769904713</v>
      </c>
      <c r="G530" s="28">
        <f t="shared" si="28"/>
        <v>371.41708485751701</v>
      </c>
      <c r="H530" s="28">
        <f t="shared" si="28"/>
        <v>371.16432529467551</v>
      </c>
      <c r="I530" s="28">
        <f t="shared" si="28"/>
        <v>370.95992638757173</v>
      </c>
      <c r="J530" s="28">
        <f t="shared" si="28"/>
        <v>370.89208485751703</v>
      </c>
      <c r="K530" s="28">
        <f t="shared" si="28"/>
        <v>370.95162037664272</v>
      </c>
      <c r="L530" s="28">
        <f t="shared" si="28"/>
        <v>370.93902474822738</v>
      </c>
      <c r="M530" s="28">
        <f t="shared" si="28"/>
        <v>370.27195276159512</v>
      </c>
      <c r="N530" s="28">
        <f t="shared" si="28"/>
        <v>370.74770424061779</v>
      </c>
    </row>
    <row r="531" spans="1:14" x14ac:dyDescent="0.4">
      <c r="A531" s="1">
        <v>37347</v>
      </c>
      <c r="B531" s="28">
        <v>372.26195276159513</v>
      </c>
      <c r="C531" s="28">
        <f t="shared" si="28"/>
        <v>372.14770424061777</v>
      </c>
      <c r="D531" s="28">
        <f t="shared" si="28"/>
        <v>372.38584157521564</v>
      </c>
      <c r="E531" s="28">
        <f t="shared" si="28"/>
        <v>372.38110125095966</v>
      </c>
      <c r="F531" s="28">
        <f t="shared" si="28"/>
        <v>372.12768595041325</v>
      </c>
      <c r="G531" s="28">
        <f t="shared" si="28"/>
        <v>371.73164769904713</v>
      </c>
      <c r="H531" s="28">
        <f t="shared" si="28"/>
        <v>371.41708485751701</v>
      </c>
      <c r="I531" s="28">
        <f t="shared" si="28"/>
        <v>371.16432529467551</v>
      </c>
      <c r="J531" s="28">
        <f t="shared" si="28"/>
        <v>370.95992638757173</v>
      </c>
      <c r="K531" s="28">
        <f t="shared" si="28"/>
        <v>370.89208485751703</v>
      </c>
      <c r="L531" s="28">
        <f t="shared" si="28"/>
        <v>370.95162037664272</v>
      </c>
      <c r="M531" s="28">
        <f t="shared" si="28"/>
        <v>370.93902474822738</v>
      </c>
      <c r="N531" s="28">
        <f t="shared" si="28"/>
        <v>370.27195276159512</v>
      </c>
    </row>
    <row r="532" spans="1:14" x14ac:dyDescent="0.4">
      <c r="A532" s="1">
        <v>37377</v>
      </c>
      <c r="B532" s="28">
        <v>372.46902474822741</v>
      </c>
      <c r="C532" s="28">
        <f t="shared" si="28"/>
        <v>372.26195276159513</v>
      </c>
      <c r="D532" s="28">
        <f t="shared" si="28"/>
        <v>372.14770424061777</v>
      </c>
      <c r="E532" s="28">
        <f t="shared" si="28"/>
        <v>372.38584157521564</v>
      </c>
      <c r="F532" s="28">
        <f t="shared" si="28"/>
        <v>372.38110125095966</v>
      </c>
      <c r="G532" s="28">
        <f t="shared" si="28"/>
        <v>372.12768595041325</v>
      </c>
      <c r="H532" s="28">
        <f t="shared" si="28"/>
        <v>371.73164769904713</v>
      </c>
      <c r="I532" s="28">
        <f t="shared" si="28"/>
        <v>371.41708485751701</v>
      </c>
      <c r="J532" s="28">
        <f t="shared" si="28"/>
        <v>371.16432529467551</v>
      </c>
      <c r="K532" s="28">
        <f t="shared" si="28"/>
        <v>370.95992638757173</v>
      </c>
      <c r="L532" s="28">
        <f t="shared" si="28"/>
        <v>370.89208485751703</v>
      </c>
      <c r="M532" s="28">
        <f t="shared" si="28"/>
        <v>370.95162037664272</v>
      </c>
      <c r="N532" s="28">
        <f t="shared" si="28"/>
        <v>370.93902474822738</v>
      </c>
    </row>
    <row r="533" spans="1:14" x14ac:dyDescent="0.4">
      <c r="A533" s="1">
        <v>37408</v>
      </c>
      <c r="B533" s="28">
        <v>373.0416203766427</v>
      </c>
      <c r="C533" s="28">
        <f t="shared" si="28"/>
        <v>372.46902474822741</v>
      </c>
      <c r="D533" s="28">
        <f t="shared" si="28"/>
        <v>372.26195276159513</v>
      </c>
      <c r="E533" s="28">
        <f t="shared" si="28"/>
        <v>372.14770424061777</v>
      </c>
      <c r="F533" s="28">
        <f t="shared" si="28"/>
        <v>372.38584157521564</v>
      </c>
      <c r="G533" s="28">
        <f t="shared" si="28"/>
        <v>372.38110125095966</v>
      </c>
      <c r="H533" s="28">
        <f t="shared" si="28"/>
        <v>372.12768595041325</v>
      </c>
      <c r="I533" s="28">
        <f t="shared" si="28"/>
        <v>371.73164769904713</v>
      </c>
      <c r="J533" s="28">
        <f t="shared" si="28"/>
        <v>371.41708485751701</v>
      </c>
      <c r="K533" s="28">
        <f t="shared" si="28"/>
        <v>371.16432529467551</v>
      </c>
      <c r="L533" s="28">
        <f t="shared" si="28"/>
        <v>370.95992638757173</v>
      </c>
      <c r="M533" s="28">
        <f t="shared" si="28"/>
        <v>370.89208485751703</v>
      </c>
      <c r="N533" s="28">
        <f t="shared" si="28"/>
        <v>370.95162037664272</v>
      </c>
    </row>
    <row r="534" spans="1:14" x14ac:dyDescent="0.4">
      <c r="A534" s="1">
        <v>37438</v>
      </c>
      <c r="B534" s="28">
        <v>373.29208485751701</v>
      </c>
      <c r="C534" s="28">
        <f t="shared" si="28"/>
        <v>373.0416203766427</v>
      </c>
      <c r="D534" s="28">
        <f t="shared" si="28"/>
        <v>372.46902474822741</v>
      </c>
      <c r="E534" s="28">
        <f t="shared" si="28"/>
        <v>372.26195276159513</v>
      </c>
      <c r="F534" s="28">
        <f t="shared" si="28"/>
        <v>372.14770424061777</v>
      </c>
      <c r="G534" s="28">
        <f t="shared" si="28"/>
        <v>372.38584157521564</v>
      </c>
      <c r="H534" s="28">
        <f t="shared" si="28"/>
        <v>372.38110125095966</v>
      </c>
      <c r="I534" s="28">
        <f t="shared" si="28"/>
        <v>372.12768595041325</v>
      </c>
      <c r="J534" s="28">
        <f t="shared" si="28"/>
        <v>371.73164769904713</v>
      </c>
      <c r="K534" s="28">
        <f t="shared" si="28"/>
        <v>371.41708485751701</v>
      </c>
      <c r="L534" s="28">
        <f t="shared" si="28"/>
        <v>371.16432529467551</v>
      </c>
      <c r="M534" s="28">
        <f t="shared" si="28"/>
        <v>370.95992638757173</v>
      </c>
      <c r="N534" s="28">
        <f t="shared" si="28"/>
        <v>370.89208485751703</v>
      </c>
    </row>
    <row r="535" spans="1:14" x14ac:dyDescent="0.4">
      <c r="A535" s="1">
        <v>37469</v>
      </c>
      <c r="B535" s="28">
        <v>372.88992638757173</v>
      </c>
      <c r="C535" s="28">
        <f t="shared" si="28"/>
        <v>373.29208485751701</v>
      </c>
      <c r="D535" s="28">
        <f t="shared" si="28"/>
        <v>373.0416203766427</v>
      </c>
      <c r="E535" s="28">
        <f t="shared" si="28"/>
        <v>372.46902474822741</v>
      </c>
      <c r="F535" s="28">
        <f t="shared" si="28"/>
        <v>372.26195276159513</v>
      </c>
      <c r="G535" s="28">
        <f t="shared" si="28"/>
        <v>372.14770424061777</v>
      </c>
      <c r="H535" s="28">
        <f t="shared" si="28"/>
        <v>372.38584157521564</v>
      </c>
      <c r="I535" s="28">
        <f t="shared" si="28"/>
        <v>372.38110125095966</v>
      </c>
      <c r="J535" s="28">
        <f t="shared" si="28"/>
        <v>372.12768595041325</v>
      </c>
      <c r="K535" s="28">
        <f t="shared" si="28"/>
        <v>371.73164769904713</v>
      </c>
      <c r="L535" s="28">
        <f t="shared" si="28"/>
        <v>371.41708485751701</v>
      </c>
      <c r="M535" s="28">
        <f t="shared" si="28"/>
        <v>371.16432529467551</v>
      </c>
      <c r="N535" s="28">
        <f t="shared" si="28"/>
        <v>370.95992638757173</v>
      </c>
    </row>
    <row r="536" spans="1:14" x14ac:dyDescent="0.4">
      <c r="A536" s="1">
        <v>37500</v>
      </c>
      <c r="B536" s="28">
        <v>373.90432529467552</v>
      </c>
      <c r="C536" s="28">
        <f t="shared" si="28"/>
        <v>372.88992638757173</v>
      </c>
      <c r="D536" s="28">
        <f t="shared" si="28"/>
        <v>373.29208485751701</v>
      </c>
      <c r="E536" s="28">
        <f t="shared" si="28"/>
        <v>373.0416203766427</v>
      </c>
      <c r="F536" s="28">
        <f t="shared" si="28"/>
        <v>372.46902474822741</v>
      </c>
      <c r="G536" s="28">
        <f t="shared" si="28"/>
        <v>372.26195276159513</v>
      </c>
      <c r="H536" s="28">
        <f t="shared" si="28"/>
        <v>372.14770424061777</v>
      </c>
      <c r="I536" s="28">
        <f t="shared" si="28"/>
        <v>372.38584157521564</v>
      </c>
      <c r="J536" s="28">
        <f t="shared" si="28"/>
        <v>372.38110125095966</v>
      </c>
      <c r="K536" s="28">
        <f t="shared" si="28"/>
        <v>372.12768595041325</v>
      </c>
      <c r="L536" s="28">
        <f t="shared" si="28"/>
        <v>371.73164769904713</v>
      </c>
      <c r="M536" s="28">
        <f t="shared" si="28"/>
        <v>371.41708485751701</v>
      </c>
      <c r="N536" s="28">
        <f t="shared" si="28"/>
        <v>371.16432529467551</v>
      </c>
    </row>
    <row r="537" spans="1:14" x14ac:dyDescent="0.4">
      <c r="A537" s="1">
        <v>37530</v>
      </c>
      <c r="B537" s="28">
        <v>373.57708485751704</v>
      </c>
      <c r="C537" s="28">
        <f t="shared" si="28"/>
        <v>373.90432529467552</v>
      </c>
      <c r="D537" s="28">
        <f t="shared" si="28"/>
        <v>372.88992638757173</v>
      </c>
      <c r="E537" s="28">
        <f t="shared" si="28"/>
        <v>373.29208485751701</v>
      </c>
      <c r="F537" s="28">
        <f t="shared" si="28"/>
        <v>373.0416203766427</v>
      </c>
      <c r="G537" s="28">
        <f t="shared" si="28"/>
        <v>372.46902474822741</v>
      </c>
      <c r="H537" s="28">
        <f t="shared" si="28"/>
        <v>372.26195276159513</v>
      </c>
      <c r="I537" s="28">
        <f t="shared" si="28"/>
        <v>372.14770424061777</v>
      </c>
      <c r="J537" s="28">
        <f t="shared" si="28"/>
        <v>372.38584157521564</v>
      </c>
      <c r="K537" s="28">
        <f t="shared" si="28"/>
        <v>372.38110125095966</v>
      </c>
      <c r="L537" s="28">
        <f t="shared" si="28"/>
        <v>372.12768595041325</v>
      </c>
      <c r="M537" s="28">
        <f t="shared" si="28"/>
        <v>371.73164769904713</v>
      </c>
      <c r="N537" s="28">
        <f t="shared" si="28"/>
        <v>371.41708485751701</v>
      </c>
    </row>
    <row r="538" spans="1:14" x14ac:dyDescent="0.4">
      <c r="A538" s="1">
        <v>37561</v>
      </c>
      <c r="B538" s="28">
        <v>374.13164769904711</v>
      </c>
      <c r="C538" s="28">
        <f t="shared" si="28"/>
        <v>373.57708485751704</v>
      </c>
      <c r="D538" s="28">
        <f t="shared" si="28"/>
        <v>373.90432529467552</v>
      </c>
      <c r="E538" s="28">
        <f t="shared" si="28"/>
        <v>372.88992638757173</v>
      </c>
      <c r="F538" s="28">
        <f t="shared" si="28"/>
        <v>373.29208485751701</v>
      </c>
      <c r="G538" s="28">
        <f t="shared" si="28"/>
        <v>373.0416203766427</v>
      </c>
      <c r="H538" s="28">
        <f t="shared" si="28"/>
        <v>372.46902474822741</v>
      </c>
      <c r="I538" s="28">
        <f t="shared" si="28"/>
        <v>372.26195276159513</v>
      </c>
      <c r="J538" s="28">
        <f t="shared" si="28"/>
        <v>372.14770424061777</v>
      </c>
      <c r="K538" s="28">
        <f t="shared" si="28"/>
        <v>372.38584157521564</v>
      </c>
      <c r="L538" s="28">
        <f t="shared" si="28"/>
        <v>372.38110125095966</v>
      </c>
      <c r="M538" s="28">
        <f t="shared" si="28"/>
        <v>372.12768595041325</v>
      </c>
      <c r="N538" s="28">
        <f t="shared" si="28"/>
        <v>371.73164769904713</v>
      </c>
    </row>
    <row r="539" spans="1:14" x14ac:dyDescent="0.4">
      <c r="A539" s="1">
        <v>37591</v>
      </c>
      <c r="B539" s="28">
        <v>374.66768595041322</v>
      </c>
      <c r="C539" s="28">
        <f t="shared" si="28"/>
        <v>374.13164769904711</v>
      </c>
      <c r="D539" s="28">
        <f t="shared" si="28"/>
        <v>373.57708485751704</v>
      </c>
      <c r="E539" s="28">
        <f t="shared" si="28"/>
        <v>373.90432529467552</v>
      </c>
      <c r="F539" s="28">
        <f t="shared" si="28"/>
        <v>372.88992638757173</v>
      </c>
      <c r="G539" s="28">
        <f t="shared" si="28"/>
        <v>373.29208485751701</v>
      </c>
      <c r="H539" s="28">
        <f t="shared" si="28"/>
        <v>373.0416203766427</v>
      </c>
      <c r="I539" s="28">
        <f t="shared" si="28"/>
        <v>372.46902474822741</v>
      </c>
      <c r="J539" s="28">
        <f t="shared" si="28"/>
        <v>372.26195276159513</v>
      </c>
      <c r="K539" s="28">
        <f t="shared" si="28"/>
        <v>372.14770424061777</v>
      </c>
      <c r="L539" s="28">
        <f t="shared" si="28"/>
        <v>372.38584157521564</v>
      </c>
      <c r="M539" s="28">
        <f t="shared" si="28"/>
        <v>372.38110125095966</v>
      </c>
      <c r="N539" s="28">
        <f t="shared" si="28"/>
        <v>372.12768595041325</v>
      </c>
    </row>
    <row r="540" spans="1:14" x14ac:dyDescent="0.4">
      <c r="A540" s="1">
        <v>37622</v>
      </c>
      <c r="B540" s="28">
        <v>374.62110125095967</v>
      </c>
      <c r="C540" s="28">
        <f t="shared" si="28"/>
        <v>374.66768595041322</v>
      </c>
      <c r="D540" s="28">
        <f t="shared" si="28"/>
        <v>374.13164769904711</v>
      </c>
      <c r="E540" s="28">
        <f t="shared" si="28"/>
        <v>373.57708485751704</v>
      </c>
      <c r="F540" s="28">
        <f t="shared" si="28"/>
        <v>373.90432529467552</v>
      </c>
      <c r="G540" s="28">
        <f t="shared" si="28"/>
        <v>372.88992638757173</v>
      </c>
      <c r="H540" s="28">
        <f t="shared" si="28"/>
        <v>373.29208485751701</v>
      </c>
      <c r="I540" s="28">
        <f t="shared" si="28"/>
        <v>373.0416203766427</v>
      </c>
      <c r="J540" s="28">
        <f t="shared" si="28"/>
        <v>372.46902474822741</v>
      </c>
      <c r="K540" s="28">
        <f t="shared" si="28"/>
        <v>372.26195276159513</v>
      </c>
      <c r="L540" s="28">
        <f t="shared" si="28"/>
        <v>372.14770424061777</v>
      </c>
      <c r="M540" s="28">
        <f t="shared" si="28"/>
        <v>372.38584157521564</v>
      </c>
      <c r="N540" s="28">
        <f t="shared" si="28"/>
        <v>372.38110125095966</v>
      </c>
    </row>
    <row r="541" spans="1:14" x14ac:dyDescent="0.4">
      <c r="A541" s="1">
        <v>37653</v>
      </c>
      <c r="B541" s="28">
        <v>374.92584157521566</v>
      </c>
      <c r="C541" s="28">
        <f t="shared" si="28"/>
        <v>374.62110125095967</v>
      </c>
      <c r="D541" s="28">
        <f t="shared" si="28"/>
        <v>374.66768595041322</v>
      </c>
      <c r="E541" s="28">
        <f t="shared" si="28"/>
        <v>374.13164769904711</v>
      </c>
      <c r="F541" s="28">
        <f t="shared" si="28"/>
        <v>373.57708485751704</v>
      </c>
      <c r="G541" s="28">
        <f t="shared" si="28"/>
        <v>373.90432529467552</v>
      </c>
      <c r="H541" s="28">
        <f t="shared" si="28"/>
        <v>372.88992638757173</v>
      </c>
      <c r="I541" s="28">
        <f t="shared" si="28"/>
        <v>373.29208485751701</v>
      </c>
      <c r="J541" s="28">
        <f t="shared" si="28"/>
        <v>373.0416203766427</v>
      </c>
      <c r="K541" s="28">
        <f t="shared" si="28"/>
        <v>372.46902474822741</v>
      </c>
      <c r="L541" s="28">
        <f t="shared" si="28"/>
        <v>372.26195276159513</v>
      </c>
      <c r="M541" s="28">
        <f t="shared" si="28"/>
        <v>372.14770424061777</v>
      </c>
      <c r="N541" s="28">
        <f t="shared" si="28"/>
        <v>372.38584157521564</v>
      </c>
    </row>
    <row r="542" spans="1:14" x14ac:dyDescent="0.4">
      <c r="A542" s="1">
        <v>37681</v>
      </c>
      <c r="B542" s="28">
        <v>374.7377042406178</v>
      </c>
      <c r="C542" s="28">
        <f t="shared" si="28"/>
        <v>374.92584157521566</v>
      </c>
      <c r="D542" s="28">
        <f t="shared" si="28"/>
        <v>374.62110125095967</v>
      </c>
      <c r="E542" s="28">
        <f t="shared" si="28"/>
        <v>374.66768595041322</v>
      </c>
      <c r="F542" s="28">
        <f t="shared" si="28"/>
        <v>374.13164769904711</v>
      </c>
      <c r="G542" s="28">
        <f t="shared" si="28"/>
        <v>373.57708485751704</v>
      </c>
      <c r="H542" s="28">
        <f t="shared" si="28"/>
        <v>373.90432529467552</v>
      </c>
      <c r="I542" s="28">
        <f t="shared" si="28"/>
        <v>372.88992638757173</v>
      </c>
      <c r="J542" s="28">
        <f t="shared" si="28"/>
        <v>373.29208485751701</v>
      </c>
      <c r="K542" s="28">
        <f t="shared" si="28"/>
        <v>373.0416203766427</v>
      </c>
      <c r="L542" s="28">
        <f t="shared" si="28"/>
        <v>372.46902474822741</v>
      </c>
      <c r="M542" s="28">
        <f t="shared" si="28"/>
        <v>372.26195276159513</v>
      </c>
      <c r="N542" s="28">
        <f t="shared" si="28"/>
        <v>372.14770424061777</v>
      </c>
    </row>
    <row r="543" spans="1:14" x14ac:dyDescent="0.4">
      <c r="A543" s="1">
        <v>37712</v>
      </c>
      <c r="B543" s="28">
        <v>375.06195276159508</v>
      </c>
      <c r="C543" s="28">
        <f t="shared" si="28"/>
        <v>374.7377042406178</v>
      </c>
      <c r="D543" s="28">
        <f t="shared" si="28"/>
        <v>374.92584157521566</v>
      </c>
      <c r="E543" s="28">
        <f t="shared" si="28"/>
        <v>374.62110125095967</v>
      </c>
      <c r="F543" s="28">
        <f t="shared" si="28"/>
        <v>374.66768595041322</v>
      </c>
      <c r="G543" s="28">
        <f t="shared" si="28"/>
        <v>374.13164769904711</v>
      </c>
      <c r="H543" s="28">
        <f t="shared" si="28"/>
        <v>373.57708485751704</v>
      </c>
      <c r="I543" s="28">
        <f t="shared" si="28"/>
        <v>373.90432529467552</v>
      </c>
      <c r="J543" s="28">
        <f t="shared" si="28"/>
        <v>372.88992638757173</v>
      </c>
      <c r="K543" s="28">
        <f t="shared" si="28"/>
        <v>373.29208485751701</v>
      </c>
      <c r="L543" s="28">
        <f t="shared" si="28"/>
        <v>373.0416203766427</v>
      </c>
      <c r="M543" s="28">
        <f t="shared" si="28"/>
        <v>372.46902474822741</v>
      </c>
      <c r="N543" s="28">
        <f t="shared" si="28"/>
        <v>372.26195276159513</v>
      </c>
    </row>
    <row r="544" spans="1:14" x14ac:dyDescent="0.4">
      <c r="A544" s="1">
        <v>37742</v>
      </c>
      <c r="B544" s="28">
        <v>375.26902474822742</v>
      </c>
      <c r="C544" s="28">
        <f t="shared" si="28"/>
        <v>375.06195276159508</v>
      </c>
      <c r="D544" s="28">
        <f t="shared" si="28"/>
        <v>374.7377042406178</v>
      </c>
      <c r="E544" s="28">
        <f t="shared" si="28"/>
        <v>374.92584157521566</v>
      </c>
      <c r="F544" s="28">
        <f t="shared" ref="D544:P559" si="29">IF(E543=0,"",E543)</f>
        <v>374.62110125095967</v>
      </c>
      <c r="G544" s="28">
        <f t="shared" si="29"/>
        <v>374.66768595041322</v>
      </c>
      <c r="H544" s="28">
        <f t="shared" si="29"/>
        <v>374.13164769904711</v>
      </c>
      <c r="I544" s="28">
        <f t="shared" si="29"/>
        <v>373.57708485751704</v>
      </c>
      <c r="J544" s="28">
        <f t="shared" si="29"/>
        <v>373.90432529467552</v>
      </c>
      <c r="K544" s="28">
        <f t="shared" si="29"/>
        <v>372.88992638757173</v>
      </c>
      <c r="L544" s="28">
        <f t="shared" si="29"/>
        <v>373.29208485751701</v>
      </c>
      <c r="M544" s="28">
        <f t="shared" si="29"/>
        <v>373.0416203766427</v>
      </c>
      <c r="N544" s="28">
        <f t="shared" si="29"/>
        <v>372.46902474822741</v>
      </c>
    </row>
    <row r="545" spans="1:14" x14ac:dyDescent="0.4">
      <c r="A545" s="1">
        <v>37773</v>
      </c>
      <c r="B545" s="28">
        <v>375.77162037664272</v>
      </c>
      <c r="C545" s="28">
        <f t="shared" ref="C545:N608" si="30">IF(B544=0,"",B544)</f>
        <v>375.26902474822742</v>
      </c>
      <c r="D545" s="28">
        <f t="shared" si="29"/>
        <v>375.06195276159508</v>
      </c>
      <c r="E545" s="28">
        <f t="shared" si="29"/>
        <v>374.7377042406178</v>
      </c>
      <c r="F545" s="28">
        <f t="shared" si="29"/>
        <v>374.92584157521566</v>
      </c>
      <c r="G545" s="28">
        <f t="shared" si="29"/>
        <v>374.62110125095967</v>
      </c>
      <c r="H545" s="28">
        <f t="shared" si="29"/>
        <v>374.66768595041322</v>
      </c>
      <c r="I545" s="28">
        <f t="shared" si="29"/>
        <v>374.13164769904711</v>
      </c>
      <c r="J545" s="28">
        <f t="shared" si="29"/>
        <v>373.57708485751704</v>
      </c>
      <c r="K545" s="28">
        <f t="shared" si="29"/>
        <v>373.90432529467552</v>
      </c>
      <c r="L545" s="28">
        <f t="shared" si="29"/>
        <v>372.88992638757173</v>
      </c>
      <c r="M545" s="28">
        <f t="shared" si="29"/>
        <v>373.29208485751701</v>
      </c>
      <c r="N545" s="28">
        <f t="shared" si="29"/>
        <v>373.0416203766427</v>
      </c>
    </row>
    <row r="546" spans="1:14" x14ac:dyDescent="0.4">
      <c r="A546" s="1">
        <v>37803</v>
      </c>
      <c r="B546" s="28">
        <v>375.87208485751705</v>
      </c>
      <c r="C546" s="28">
        <f t="shared" si="30"/>
        <v>375.77162037664272</v>
      </c>
      <c r="D546" s="28">
        <f t="shared" si="29"/>
        <v>375.26902474822742</v>
      </c>
      <c r="E546" s="28">
        <f t="shared" si="29"/>
        <v>375.06195276159508</v>
      </c>
      <c r="F546" s="28">
        <f t="shared" si="29"/>
        <v>374.7377042406178</v>
      </c>
      <c r="G546" s="28">
        <f t="shared" si="29"/>
        <v>374.92584157521566</v>
      </c>
      <c r="H546" s="28">
        <f t="shared" si="29"/>
        <v>374.62110125095967</v>
      </c>
      <c r="I546" s="28">
        <f t="shared" si="29"/>
        <v>374.66768595041322</v>
      </c>
      <c r="J546" s="28">
        <f t="shared" si="29"/>
        <v>374.13164769904711</v>
      </c>
      <c r="K546" s="28">
        <f t="shared" si="29"/>
        <v>373.57708485751704</v>
      </c>
      <c r="L546" s="28">
        <f t="shared" si="29"/>
        <v>373.90432529467552</v>
      </c>
      <c r="M546" s="28">
        <f t="shared" si="29"/>
        <v>372.88992638757173</v>
      </c>
      <c r="N546" s="28">
        <f t="shared" si="29"/>
        <v>373.29208485751701</v>
      </c>
    </row>
    <row r="547" spans="1:14" x14ac:dyDescent="0.4">
      <c r="A547" s="1">
        <v>37834</v>
      </c>
      <c r="B547" s="28">
        <v>375.88992638757173</v>
      </c>
      <c r="C547" s="28">
        <f t="shared" si="30"/>
        <v>375.87208485751705</v>
      </c>
      <c r="D547" s="28">
        <f t="shared" si="29"/>
        <v>375.77162037664272</v>
      </c>
      <c r="E547" s="28">
        <f t="shared" si="29"/>
        <v>375.26902474822742</v>
      </c>
      <c r="F547" s="28">
        <f t="shared" si="29"/>
        <v>375.06195276159508</v>
      </c>
      <c r="G547" s="28">
        <f t="shared" si="29"/>
        <v>374.7377042406178</v>
      </c>
      <c r="H547" s="28">
        <f t="shared" si="29"/>
        <v>374.92584157521566</v>
      </c>
      <c r="I547" s="28">
        <f t="shared" si="29"/>
        <v>374.62110125095967</v>
      </c>
      <c r="J547" s="28">
        <f t="shared" si="29"/>
        <v>374.66768595041322</v>
      </c>
      <c r="K547" s="28">
        <f t="shared" si="29"/>
        <v>374.13164769904711</v>
      </c>
      <c r="L547" s="28">
        <f t="shared" si="29"/>
        <v>373.57708485751704</v>
      </c>
      <c r="M547" s="28">
        <f t="shared" si="29"/>
        <v>373.90432529467552</v>
      </c>
      <c r="N547" s="28">
        <f t="shared" si="29"/>
        <v>372.88992638757173</v>
      </c>
    </row>
    <row r="548" spans="1:14" x14ac:dyDescent="0.4">
      <c r="A548" s="1">
        <v>37865</v>
      </c>
      <c r="B548" s="28">
        <v>376.18432529467555</v>
      </c>
      <c r="C548" s="28">
        <f t="shared" si="30"/>
        <v>375.88992638757173</v>
      </c>
      <c r="D548" s="28">
        <f t="shared" si="29"/>
        <v>375.87208485751705</v>
      </c>
      <c r="E548" s="28">
        <f t="shared" si="29"/>
        <v>375.77162037664272</v>
      </c>
      <c r="F548" s="28">
        <f t="shared" si="29"/>
        <v>375.26902474822742</v>
      </c>
      <c r="G548" s="28">
        <f t="shared" si="29"/>
        <v>375.06195276159508</v>
      </c>
      <c r="H548" s="28">
        <f t="shared" si="29"/>
        <v>374.7377042406178</v>
      </c>
      <c r="I548" s="28">
        <f t="shared" si="29"/>
        <v>374.92584157521566</v>
      </c>
      <c r="J548" s="28">
        <f t="shared" si="29"/>
        <v>374.62110125095967</v>
      </c>
      <c r="K548" s="28">
        <f t="shared" si="29"/>
        <v>374.66768595041322</v>
      </c>
      <c r="L548" s="28">
        <f t="shared" si="29"/>
        <v>374.13164769904711</v>
      </c>
      <c r="M548" s="28">
        <f t="shared" si="29"/>
        <v>373.57708485751704</v>
      </c>
      <c r="N548" s="28">
        <f t="shared" si="29"/>
        <v>373.90432529467552</v>
      </c>
    </row>
    <row r="549" spans="1:14" x14ac:dyDescent="0.4">
      <c r="A549" s="1">
        <v>37895</v>
      </c>
      <c r="B549" s="28">
        <v>376.32708485751704</v>
      </c>
      <c r="C549" s="28">
        <f t="shared" si="30"/>
        <v>376.18432529467555</v>
      </c>
      <c r="D549" s="28">
        <f t="shared" si="29"/>
        <v>375.88992638757173</v>
      </c>
      <c r="E549" s="28">
        <f t="shared" si="29"/>
        <v>375.87208485751705</v>
      </c>
      <c r="F549" s="28">
        <f t="shared" si="29"/>
        <v>375.77162037664272</v>
      </c>
      <c r="G549" s="28">
        <f t="shared" si="29"/>
        <v>375.26902474822742</v>
      </c>
      <c r="H549" s="28">
        <f t="shared" si="29"/>
        <v>375.06195276159508</v>
      </c>
      <c r="I549" s="28">
        <f t="shared" si="29"/>
        <v>374.7377042406178</v>
      </c>
      <c r="J549" s="28">
        <f t="shared" si="29"/>
        <v>374.92584157521566</v>
      </c>
      <c r="K549" s="28">
        <f t="shared" si="29"/>
        <v>374.62110125095967</v>
      </c>
      <c r="L549" s="28">
        <f t="shared" si="29"/>
        <v>374.66768595041322</v>
      </c>
      <c r="M549" s="28">
        <f t="shared" si="29"/>
        <v>374.13164769904711</v>
      </c>
      <c r="N549" s="28">
        <f t="shared" si="29"/>
        <v>373.57708485751704</v>
      </c>
    </row>
    <row r="550" spans="1:14" x14ac:dyDescent="0.4">
      <c r="A550" s="1">
        <v>37926</v>
      </c>
      <c r="B550" s="28">
        <v>376.40164769904715</v>
      </c>
      <c r="C550" s="28">
        <f t="shared" si="30"/>
        <v>376.32708485751704</v>
      </c>
      <c r="D550" s="28">
        <f t="shared" si="29"/>
        <v>376.18432529467555</v>
      </c>
      <c r="E550" s="28">
        <f t="shared" si="29"/>
        <v>375.88992638757173</v>
      </c>
      <c r="F550" s="28">
        <f t="shared" si="29"/>
        <v>375.87208485751705</v>
      </c>
      <c r="G550" s="28">
        <f t="shared" si="29"/>
        <v>375.77162037664272</v>
      </c>
      <c r="H550" s="28">
        <f t="shared" si="29"/>
        <v>375.26902474822742</v>
      </c>
      <c r="I550" s="28">
        <f t="shared" si="29"/>
        <v>375.06195276159508</v>
      </c>
      <c r="J550" s="28">
        <f t="shared" si="29"/>
        <v>374.7377042406178</v>
      </c>
      <c r="K550" s="28">
        <f t="shared" si="29"/>
        <v>374.92584157521566</v>
      </c>
      <c r="L550" s="28">
        <f t="shared" si="29"/>
        <v>374.62110125095967</v>
      </c>
      <c r="M550" s="28">
        <f t="shared" si="29"/>
        <v>374.66768595041322</v>
      </c>
      <c r="N550" s="28">
        <f t="shared" si="29"/>
        <v>374.13164769904711</v>
      </c>
    </row>
    <row r="551" spans="1:14" x14ac:dyDescent="0.4">
      <c r="A551" s="1">
        <v>37956</v>
      </c>
      <c r="B551" s="28">
        <v>376.57768595041324</v>
      </c>
      <c r="C551" s="28">
        <f t="shared" si="30"/>
        <v>376.40164769904715</v>
      </c>
      <c r="D551" s="28">
        <f t="shared" si="29"/>
        <v>376.32708485751704</v>
      </c>
      <c r="E551" s="28">
        <f t="shared" si="29"/>
        <v>376.18432529467555</v>
      </c>
      <c r="F551" s="28">
        <f t="shared" si="29"/>
        <v>375.88992638757173</v>
      </c>
      <c r="G551" s="28">
        <f t="shared" si="29"/>
        <v>375.87208485751705</v>
      </c>
      <c r="H551" s="28">
        <f t="shared" si="29"/>
        <v>375.77162037664272</v>
      </c>
      <c r="I551" s="28">
        <f t="shared" si="29"/>
        <v>375.26902474822742</v>
      </c>
      <c r="J551" s="28">
        <f t="shared" si="29"/>
        <v>375.06195276159508</v>
      </c>
      <c r="K551" s="28">
        <f t="shared" si="29"/>
        <v>374.7377042406178</v>
      </c>
      <c r="L551" s="28">
        <f t="shared" si="29"/>
        <v>374.92584157521566</v>
      </c>
      <c r="M551" s="28">
        <f t="shared" si="29"/>
        <v>374.62110125095967</v>
      </c>
      <c r="N551" s="28">
        <f t="shared" si="29"/>
        <v>374.66768595041322</v>
      </c>
    </row>
    <row r="552" spans="1:14" x14ac:dyDescent="0.4">
      <c r="A552" s="1">
        <v>37987</v>
      </c>
      <c r="B552" s="28">
        <v>376.73110125095968</v>
      </c>
      <c r="C552" s="28">
        <f t="shared" si="30"/>
        <v>376.57768595041324</v>
      </c>
      <c r="D552" s="28">
        <f t="shared" si="29"/>
        <v>376.40164769904715</v>
      </c>
      <c r="E552" s="28">
        <f t="shared" si="29"/>
        <v>376.32708485751704</v>
      </c>
      <c r="F552" s="28">
        <f t="shared" si="29"/>
        <v>376.18432529467555</v>
      </c>
      <c r="G552" s="28">
        <f t="shared" si="29"/>
        <v>375.88992638757173</v>
      </c>
      <c r="H552" s="28">
        <f t="shared" si="29"/>
        <v>375.87208485751705</v>
      </c>
      <c r="I552" s="28">
        <f t="shared" si="29"/>
        <v>375.77162037664272</v>
      </c>
      <c r="J552" s="28">
        <f t="shared" si="29"/>
        <v>375.26902474822742</v>
      </c>
      <c r="K552" s="28">
        <f t="shared" si="29"/>
        <v>375.06195276159508</v>
      </c>
      <c r="L552" s="28">
        <f t="shared" si="29"/>
        <v>374.7377042406178</v>
      </c>
      <c r="M552" s="28">
        <f t="shared" si="29"/>
        <v>374.92584157521566</v>
      </c>
      <c r="N552" s="28">
        <f t="shared" si="29"/>
        <v>374.62110125095967</v>
      </c>
    </row>
    <row r="553" spans="1:14" x14ac:dyDescent="0.4">
      <c r="A553" s="1">
        <v>38018</v>
      </c>
      <c r="B553" s="28">
        <v>376.67584157521566</v>
      </c>
      <c r="C553" s="28">
        <f t="shared" si="30"/>
        <v>376.73110125095968</v>
      </c>
      <c r="D553" s="28">
        <f t="shared" si="29"/>
        <v>376.57768595041324</v>
      </c>
      <c r="E553" s="28">
        <f t="shared" si="29"/>
        <v>376.40164769904715</v>
      </c>
      <c r="F553" s="28">
        <f t="shared" si="29"/>
        <v>376.32708485751704</v>
      </c>
      <c r="G553" s="28">
        <f t="shared" si="29"/>
        <v>376.18432529467555</v>
      </c>
      <c r="H553" s="28">
        <f t="shared" si="29"/>
        <v>375.88992638757173</v>
      </c>
      <c r="I553" s="28">
        <f t="shared" si="29"/>
        <v>375.87208485751705</v>
      </c>
      <c r="J553" s="28">
        <f t="shared" si="29"/>
        <v>375.77162037664272</v>
      </c>
      <c r="K553" s="28">
        <f t="shared" si="29"/>
        <v>375.26902474822742</v>
      </c>
      <c r="L553" s="28">
        <f t="shared" si="29"/>
        <v>375.06195276159508</v>
      </c>
      <c r="M553" s="28">
        <f t="shared" si="29"/>
        <v>374.7377042406178</v>
      </c>
      <c r="N553" s="28">
        <f t="shared" si="29"/>
        <v>374.92584157521566</v>
      </c>
    </row>
    <row r="554" spans="1:14" x14ac:dyDescent="0.4">
      <c r="A554" s="1">
        <v>38047</v>
      </c>
      <c r="B554" s="28">
        <v>377.01770424061777</v>
      </c>
      <c r="C554" s="28">
        <f t="shared" si="30"/>
        <v>376.67584157521566</v>
      </c>
      <c r="D554" s="28">
        <f t="shared" si="29"/>
        <v>376.73110125095968</v>
      </c>
      <c r="E554" s="28">
        <f t="shared" si="29"/>
        <v>376.57768595041324</v>
      </c>
      <c r="F554" s="28">
        <f t="shared" si="29"/>
        <v>376.40164769904715</v>
      </c>
      <c r="G554" s="28">
        <f t="shared" si="29"/>
        <v>376.32708485751704</v>
      </c>
      <c r="H554" s="28">
        <f t="shared" si="29"/>
        <v>376.18432529467555</v>
      </c>
      <c r="I554" s="28">
        <f t="shared" si="29"/>
        <v>375.88992638757173</v>
      </c>
      <c r="J554" s="28">
        <f t="shared" si="29"/>
        <v>375.87208485751705</v>
      </c>
      <c r="K554" s="28">
        <f t="shared" si="29"/>
        <v>375.77162037664272</v>
      </c>
      <c r="L554" s="28">
        <f t="shared" si="29"/>
        <v>375.26902474822742</v>
      </c>
      <c r="M554" s="28">
        <f t="shared" si="29"/>
        <v>375.06195276159508</v>
      </c>
      <c r="N554" s="28">
        <f t="shared" si="29"/>
        <v>374.7377042406178</v>
      </c>
    </row>
    <row r="555" spans="1:14" x14ac:dyDescent="0.4">
      <c r="A555" s="1">
        <v>38078</v>
      </c>
      <c r="B555" s="28">
        <v>377.9119527615951</v>
      </c>
      <c r="C555" s="28">
        <f t="shared" si="30"/>
        <v>377.01770424061777</v>
      </c>
      <c r="D555" s="28">
        <f t="shared" si="29"/>
        <v>376.67584157521566</v>
      </c>
      <c r="E555" s="28">
        <f t="shared" si="29"/>
        <v>376.73110125095968</v>
      </c>
      <c r="F555" s="28">
        <f t="shared" si="29"/>
        <v>376.57768595041324</v>
      </c>
      <c r="G555" s="28">
        <f t="shared" si="29"/>
        <v>376.40164769904715</v>
      </c>
      <c r="H555" s="28">
        <f t="shared" si="29"/>
        <v>376.32708485751704</v>
      </c>
      <c r="I555" s="28">
        <f t="shared" si="29"/>
        <v>376.18432529467555</v>
      </c>
      <c r="J555" s="28">
        <f t="shared" si="29"/>
        <v>375.88992638757173</v>
      </c>
      <c r="K555" s="28">
        <f t="shared" si="29"/>
        <v>375.87208485751705</v>
      </c>
      <c r="L555" s="28">
        <f t="shared" si="29"/>
        <v>375.77162037664272</v>
      </c>
      <c r="M555" s="28">
        <f t="shared" si="29"/>
        <v>375.26902474822742</v>
      </c>
      <c r="N555" s="28">
        <f t="shared" si="29"/>
        <v>375.06195276159508</v>
      </c>
    </row>
    <row r="556" spans="1:14" x14ac:dyDescent="0.4">
      <c r="A556" s="1">
        <v>38108</v>
      </c>
      <c r="B556" s="28">
        <v>377.5390247482274</v>
      </c>
      <c r="C556" s="28">
        <f t="shared" si="30"/>
        <v>377.9119527615951</v>
      </c>
      <c r="D556" s="28">
        <f t="shared" si="29"/>
        <v>377.01770424061777</v>
      </c>
      <c r="E556" s="28">
        <f t="shared" si="29"/>
        <v>376.67584157521566</v>
      </c>
      <c r="F556" s="28">
        <f t="shared" si="29"/>
        <v>376.73110125095968</v>
      </c>
      <c r="G556" s="28">
        <f t="shared" si="29"/>
        <v>376.57768595041324</v>
      </c>
      <c r="H556" s="28">
        <f t="shared" si="29"/>
        <v>376.40164769904715</v>
      </c>
      <c r="I556" s="28">
        <f t="shared" si="29"/>
        <v>376.32708485751704</v>
      </c>
      <c r="J556" s="28">
        <f t="shared" si="29"/>
        <v>376.18432529467555</v>
      </c>
      <c r="K556" s="28">
        <f t="shared" si="29"/>
        <v>375.88992638757173</v>
      </c>
      <c r="L556" s="28">
        <f t="shared" si="29"/>
        <v>375.87208485751705</v>
      </c>
      <c r="M556" s="28">
        <f t="shared" si="29"/>
        <v>375.77162037664272</v>
      </c>
      <c r="N556" s="28">
        <f t="shared" si="29"/>
        <v>375.26902474822742</v>
      </c>
    </row>
    <row r="557" spans="1:14" x14ac:dyDescent="0.4">
      <c r="A557" s="1">
        <v>38139</v>
      </c>
      <c r="B557" s="28">
        <v>377.19162037664273</v>
      </c>
      <c r="C557" s="28">
        <f t="shared" si="30"/>
        <v>377.5390247482274</v>
      </c>
      <c r="D557" s="28">
        <f t="shared" si="29"/>
        <v>377.9119527615951</v>
      </c>
      <c r="E557" s="28">
        <f t="shared" si="29"/>
        <v>377.01770424061777</v>
      </c>
      <c r="F557" s="28">
        <f t="shared" si="29"/>
        <v>376.67584157521566</v>
      </c>
      <c r="G557" s="28">
        <f t="shared" si="29"/>
        <v>376.73110125095968</v>
      </c>
      <c r="H557" s="28">
        <f t="shared" si="29"/>
        <v>376.57768595041324</v>
      </c>
      <c r="I557" s="28">
        <f t="shared" si="29"/>
        <v>376.40164769904715</v>
      </c>
      <c r="J557" s="28">
        <f t="shared" si="29"/>
        <v>376.32708485751704</v>
      </c>
      <c r="K557" s="28">
        <f t="shared" si="29"/>
        <v>376.18432529467555</v>
      </c>
      <c r="L557" s="28">
        <f t="shared" si="29"/>
        <v>375.88992638757173</v>
      </c>
      <c r="M557" s="28">
        <f t="shared" si="29"/>
        <v>375.87208485751705</v>
      </c>
      <c r="N557" s="28">
        <f t="shared" si="29"/>
        <v>375.77162037664272</v>
      </c>
    </row>
    <row r="558" spans="1:14" x14ac:dyDescent="0.4">
      <c r="A558" s="1">
        <v>38169</v>
      </c>
      <c r="B558" s="28">
        <v>377.03208485751702</v>
      </c>
      <c r="C558" s="28">
        <f t="shared" si="30"/>
        <v>377.19162037664273</v>
      </c>
      <c r="D558" s="28">
        <f t="shared" si="29"/>
        <v>377.5390247482274</v>
      </c>
      <c r="E558" s="28">
        <f t="shared" si="29"/>
        <v>377.9119527615951</v>
      </c>
      <c r="F558" s="28">
        <f t="shared" si="29"/>
        <v>377.01770424061777</v>
      </c>
      <c r="G558" s="28">
        <f t="shared" si="29"/>
        <v>376.67584157521566</v>
      </c>
      <c r="H558" s="28">
        <f t="shared" si="29"/>
        <v>376.73110125095968</v>
      </c>
      <c r="I558" s="28">
        <f t="shared" si="29"/>
        <v>376.57768595041324</v>
      </c>
      <c r="J558" s="28">
        <f t="shared" si="29"/>
        <v>376.40164769904715</v>
      </c>
      <c r="K558" s="28">
        <f t="shared" si="29"/>
        <v>376.32708485751704</v>
      </c>
      <c r="L558" s="28">
        <f t="shared" si="29"/>
        <v>376.18432529467555</v>
      </c>
      <c r="M558" s="28">
        <f t="shared" si="29"/>
        <v>375.88992638757173</v>
      </c>
      <c r="N558" s="28">
        <f t="shared" si="29"/>
        <v>375.87208485751705</v>
      </c>
    </row>
    <row r="559" spans="1:14" x14ac:dyDescent="0.4">
      <c r="A559" s="1">
        <v>38200</v>
      </c>
      <c r="B559" s="28">
        <v>377.2399263875717</v>
      </c>
      <c r="C559" s="28">
        <f t="shared" si="30"/>
        <v>377.03208485751702</v>
      </c>
      <c r="D559" s="28">
        <f t="shared" si="29"/>
        <v>377.19162037664273</v>
      </c>
      <c r="E559" s="28">
        <f t="shared" si="29"/>
        <v>377.5390247482274</v>
      </c>
      <c r="F559" s="28">
        <f t="shared" si="29"/>
        <v>377.9119527615951</v>
      </c>
      <c r="G559" s="28">
        <f t="shared" si="29"/>
        <v>377.01770424061777</v>
      </c>
      <c r="H559" s="28">
        <f t="shared" si="29"/>
        <v>376.67584157521566</v>
      </c>
      <c r="I559" s="28">
        <f t="shared" si="29"/>
        <v>376.73110125095968</v>
      </c>
      <c r="J559" s="28">
        <f t="shared" si="29"/>
        <v>376.57768595041324</v>
      </c>
      <c r="K559" s="28">
        <f t="shared" si="29"/>
        <v>376.40164769904715</v>
      </c>
      <c r="L559" s="28">
        <f t="shared" si="29"/>
        <v>376.32708485751704</v>
      </c>
      <c r="M559" s="28">
        <f t="shared" si="29"/>
        <v>376.18432529467555</v>
      </c>
      <c r="N559" s="28">
        <f t="shared" si="29"/>
        <v>375.88992638757173</v>
      </c>
    </row>
    <row r="560" spans="1:14" x14ac:dyDescent="0.4">
      <c r="A560" s="1">
        <v>38231</v>
      </c>
      <c r="B560" s="28">
        <v>377.25432529467554</v>
      </c>
      <c r="C560" s="28">
        <f t="shared" si="30"/>
        <v>377.2399263875717</v>
      </c>
      <c r="D560" s="28">
        <f t="shared" si="30"/>
        <v>377.03208485751702</v>
      </c>
      <c r="E560" s="28">
        <f t="shared" si="30"/>
        <v>377.19162037664273</v>
      </c>
      <c r="F560" s="28">
        <f t="shared" si="30"/>
        <v>377.5390247482274</v>
      </c>
      <c r="G560" s="28">
        <f t="shared" si="30"/>
        <v>377.9119527615951</v>
      </c>
      <c r="H560" s="28">
        <f t="shared" si="30"/>
        <v>377.01770424061777</v>
      </c>
      <c r="I560" s="28">
        <f t="shared" si="30"/>
        <v>376.67584157521566</v>
      </c>
      <c r="J560" s="28">
        <f t="shared" si="30"/>
        <v>376.73110125095968</v>
      </c>
      <c r="K560" s="28">
        <f t="shared" si="30"/>
        <v>376.57768595041324</v>
      </c>
      <c r="L560" s="28">
        <f t="shared" si="30"/>
        <v>376.40164769904715</v>
      </c>
      <c r="M560" s="28">
        <f t="shared" si="30"/>
        <v>376.32708485751704</v>
      </c>
      <c r="N560" s="28">
        <f t="shared" si="30"/>
        <v>376.18432529467555</v>
      </c>
    </row>
    <row r="561" spans="1:14" x14ac:dyDescent="0.4">
      <c r="A561" s="1">
        <v>38261</v>
      </c>
      <c r="B561" s="28">
        <v>377.54708485751706</v>
      </c>
      <c r="C561" s="28">
        <f t="shared" si="30"/>
        <v>377.25432529467554</v>
      </c>
      <c r="D561" s="28">
        <f t="shared" si="30"/>
        <v>377.2399263875717</v>
      </c>
      <c r="E561" s="28">
        <f t="shared" si="30"/>
        <v>377.03208485751702</v>
      </c>
      <c r="F561" s="28">
        <f t="shared" si="30"/>
        <v>377.19162037664273</v>
      </c>
      <c r="G561" s="28">
        <f t="shared" si="30"/>
        <v>377.5390247482274</v>
      </c>
      <c r="H561" s="28">
        <f t="shared" si="30"/>
        <v>377.9119527615951</v>
      </c>
      <c r="I561" s="28">
        <f t="shared" si="30"/>
        <v>377.01770424061777</v>
      </c>
      <c r="J561" s="28">
        <f t="shared" si="30"/>
        <v>376.67584157521566</v>
      </c>
      <c r="K561" s="28">
        <f t="shared" si="30"/>
        <v>376.73110125095968</v>
      </c>
      <c r="L561" s="28">
        <f t="shared" si="30"/>
        <v>376.57768595041324</v>
      </c>
      <c r="M561" s="28">
        <f t="shared" si="30"/>
        <v>376.40164769904715</v>
      </c>
      <c r="N561" s="28">
        <f t="shared" si="30"/>
        <v>376.32708485751704</v>
      </c>
    </row>
    <row r="562" spans="1:14" x14ac:dyDescent="0.4">
      <c r="A562" s="1">
        <v>38292</v>
      </c>
      <c r="B562" s="28">
        <v>377.8916476990471</v>
      </c>
      <c r="C562" s="28">
        <f t="shared" si="30"/>
        <v>377.54708485751706</v>
      </c>
      <c r="D562" s="28">
        <f t="shared" si="30"/>
        <v>377.25432529467554</v>
      </c>
      <c r="E562" s="28">
        <f t="shared" si="30"/>
        <v>377.2399263875717</v>
      </c>
      <c r="F562" s="28">
        <f t="shared" si="30"/>
        <v>377.03208485751702</v>
      </c>
      <c r="G562" s="28">
        <f t="shared" si="30"/>
        <v>377.19162037664273</v>
      </c>
      <c r="H562" s="28">
        <f t="shared" si="30"/>
        <v>377.5390247482274</v>
      </c>
      <c r="I562" s="28">
        <f t="shared" si="30"/>
        <v>377.9119527615951</v>
      </c>
      <c r="J562" s="28">
        <f t="shared" si="30"/>
        <v>377.01770424061777</v>
      </c>
      <c r="K562" s="28">
        <f t="shared" si="30"/>
        <v>376.67584157521566</v>
      </c>
      <c r="L562" s="28">
        <f t="shared" si="30"/>
        <v>376.73110125095968</v>
      </c>
      <c r="M562" s="28">
        <f t="shared" si="30"/>
        <v>376.57768595041324</v>
      </c>
      <c r="N562" s="28">
        <f t="shared" si="30"/>
        <v>376.40164769904715</v>
      </c>
    </row>
    <row r="563" spans="1:14" x14ac:dyDescent="0.4">
      <c r="A563" s="1">
        <v>38322</v>
      </c>
      <c r="B563" s="28">
        <v>378.32768595041324</v>
      </c>
      <c r="C563" s="28">
        <f t="shared" si="30"/>
        <v>377.8916476990471</v>
      </c>
      <c r="D563" s="28">
        <f t="shared" si="30"/>
        <v>377.54708485751706</v>
      </c>
      <c r="E563" s="28">
        <f t="shared" si="30"/>
        <v>377.25432529467554</v>
      </c>
      <c r="F563" s="28">
        <f t="shared" si="30"/>
        <v>377.2399263875717</v>
      </c>
      <c r="G563" s="28">
        <f t="shared" si="30"/>
        <v>377.03208485751702</v>
      </c>
      <c r="H563" s="28">
        <f t="shared" si="30"/>
        <v>377.19162037664273</v>
      </c>
      <c r="I563" s="28">
        <f t="shared" si="30"/>
        <v>377.5390247482274</v>
      </c>
      <c r="J563" s="28">
        <f t="shared" si="30"/>
        <v>377.9119527615951</v>
      </c>
      <c r="K563" s="28">
        <f t="shared" si="30"/>
        <v>377.01770424061777</v>
      </c>
      <c r="L563" s="28">
        <f t="shared" si="30"/>
        <v>376.67584157521566</v>
      </c>
      <c r="M563" s="28">
        <f t="shared" si="30"/>
        <v>376.73110125095968</v>
      </c>
      <c r="N563" s="28">
        <f t="shared" si="30"/>
        <v>376.57768595041324</v>
      </c>
    </row>
    <row r="564" spans="1:14" x14ac:dyDescent="0.4">
      <c r="A564" s="1">
        <v>38353</v>
      </c>
      <c r="B564" s="28">
        <v>378.28110125095964</v>
      </c>
      <c r="C564" s="28">
        <f t="shared" si="30"/>
        <v>378.32768595041324</v>
      </c>
      <c r="D564" s="28">
        <f t="shared" si="30"/>
        <v>377.8916476990471</v>
      </c>
      <c r="E564" s="28">
        <f t="shared" si="30"/>
        <v>377.54708485751706</v>
      </c>
      <c r="F564" s="28">
        <f t="shared" si="30"/>
        <v>377.25432529467554</v>
      </c>
      <c r="G564" s="28">
        <f t="shared" si="30"/>
        <v>377.2399263875717</v>
      </c>
      <c r="H564" s="28">
        <f t="shared" si="30"/>
        <v>377.03208485751702</v>
      </c>
      <c r="I564" s="28">
        <f t="shared" si="30"/>
        <v>377.19162037664273</v>
      </c>
      <c r="J564" s="28">
        <f t="shared" si="30"/>
        <v>377.5390247482274</v>
      </c>
      <c r="K564" s="28">
        <f t="shared" si="30"/>
        <v>377.9119527615951</v>
      </c>
      <c r="L564" s="28">
        <f t="shared" si="30"/>
        <v>377.01770424061777</v>
      </c>
      <c r="M564" s="28">
        <f t="shared" si="30"/>
        <v>376.67584157521566</v>
      </c>
      <c r="N564" s="28">
        <f t="shared" si="30"/>
        <v>376.73110125095968</v>
      </c>
    </row>
    <row r="565" spans="1:14" x14ac:dyDescent="0.4">
      <c r="A565" s="1">
        <v>38384</v>
      </c>
      <c r="B565" s="28">
        <v>378.91584157521567</v>
      </c>
      <c r="C565" s="28">
        <f t="shared" si="30"/>
        <v>378.28110125095964</v>
      </c>
      <c r="D565" s="28">
        <f t="shared" si="30"/>
        <v>378.32768595041324</v>
      </c>
      <c r="E565" s="28">
        <f t="shared" si="30"/>
        <v>377.8916476990471</v>
      </c>
      <c r="F565" s="28">
        <f t="shared" si="30"/>
        <v>377.54708485751706</v>
      </c>
      <c r="G565" s="28">
        <f t="shared" si="30"/>
        <v>377.25432529467554</v>
      </c>
      <c r="H565" s="28">
        <f t="shared" si="30"/>
        <v>377.2399263875717</v>
      </c>
      <c r="I565" s="28">
        <f t="shared" si="30"/>
        <v>377.03208485751702</v>
      </c>
      <c r="J565" s="28">
        <f t="shared" si="30"/>
        <v>377.19162037664273</v>
      </c>
      <c r="K565" s="28">
        <f t="shared" si="30"/>
        <v>377.5390247482274</v>
      </c>
      <c r="L565" s="28">
        <f t="shared" si="30"/>
        <v>377.9119527615951</v>
      </c>
      <c r="M565" s="28">
        <f t="shared" si="30"/>
        <v>377.01770424061777</v>
      </c>
      <c r="N565" s="28">
        <f t="shared" si="30"/>
        <v>376.67584157521566</v>
      </c>
    </row>
    <row r="566" spans="1:14" x14ac:dyDescent="0.4">
      <c r="A566" s="1">
        <v>38412</v>
      </c>
      <c r="B566" s="28">
        <v>378.70770424061777</v>
      </c>
      <c r="C566" s="28">
        <f t="shared" si="30"/>
        <v>378.91584157521567</v>
      </c>
      <c r="D566" s="28">
        <f t="shared" si="30"/>
        <v>378.28110125095964</v>
      </c>
      <c r="E566" s="28">
        <f t="shared" si="30"/>
        <v>378.32768595041324</v>
      </c>
      <c r="F566" s="28">
        <f t="shared" si="30"/>
        <v>377.8916476990471</v>
      </c>
      <c r="G566" s="28">
        <f t="shared" si="30"/>
        <v>377.54708485751706</v>
      </c>
      <c r="H566" s="28">
        <f t="shared" si="30"/>
        <v>377.25432529467554</v>
      </c>
      <c r="I566" s="28">
        <f t="shared" si="30"/>
        <v>377.2399263875717</v>
      </c>
      <c r="J566" s="28">
        <f t="shared" si="30"/>
        <v>377.03208485751702</v>
      </c>
      <c r="K566" s="28">
        <f t="shared" si="30"/>
        <v>377.19162037664273</v>
      </c>
      <c r="L566" s="28">
        <f t="shared" si="30"/>
        <v>377.5390247482274</v>
      </c>
      <c r="M566" s="28">
        <f t="shared" si="30"/>
        <v>377.9119527615951</v>
      </c>
      <c r="N566" s="28">
        <f t="shared" si="30"/>
        <v>377.01770424061777</v>
      </c>
    </row>
    <row r="567" spans="1:14" x14ac:dyDescent="0.4">
      <c r="A567" s="1">
        <v>38443</v>
      </c>
      <c r="B567" s="28">
        <v>379.46195276159511</v>
      </c>
      <c r="C567" s="28">
        <f t="shared" si="30"/>
        <v>378.70770424061777</v>
      </c>
      <c r="D567" s="28">
        <f t="shared" si="30"/>
        <v>378.91584157521567</v>
      </c>
      <c r="E567" s="28">
        <f t="shared" si="30"/>
        <v>378.28110125095964</v>
      </c>
      <c r="F567" s="28">
        <f t="shared" si="30"/>
        <v>378.32768595041324</v>
      </c>
      <c r="G567" s="28">
        <f t="shared" si="30"/>
        <v>377.8916476990471</v>
      </c>
      <c r="H567" s="28">
        <f t="shared" si="30"/>
        <v>377.54708485751706</v>
      </c>
      <c r="I567" s="28">
        <f t="shared" si="30"/>
        <v>377.25432529467554</v>
      </c>
      <c r="J567" s="28">
        <f t="shared" si="30"/>
        <v>377.2399263875717</v>
      </c>
      <c r="K567" s="28">
        <f t="shared" si="30"/>
        <v>377.03208485751702</v>
      </c>
      <c r="L567" s="28">
        <f t="shared" si="30"/>
        <v>377.19162037664273</v>
      </c>
      <c r="M567" s="28">
        <f t="shared" si="30"/>
        <v>377.5390247482274</v>
      </c>
      <c r="N567" s="28">
        <f t="shared" si="30"/>
        <v>377.9119527615951</v>
      </c>
    </row>
    <row r="568" spans="1:14" x14ac:dyDescent="0.4">
      <c r="A568" s="1">
        <v>38473</v>
      </c>
      <c r="B568" s="28">
        <v>379.15902474822741</v>
      </c>
      <c r="C568" s="28">
        <f t="shared" si="30"/>
        <v>379.46195276159511</v>
      </c>
      <c r="D568" s="28">
        <f t="shared" si="30"/>
        <v>378.70770424061777</v>
      </c>
      <c r="E568" s="28">
        <f t="shared" si="30"/>
        <v>378.91584157521567</v>
      </c>
      <c r="F568" s="28">
        <f t="shared" si="30"/>
        <v>378.28110125095964</v>
      </c>
      <c r="G568" s="28">
        <f t="shared" si="30"/>
        <v>378.32768595041324</v>
      </c>
      <c r="H568" s="28">
        <f t="shared" si="30"/>
        <v>377.8916476990471</v>
      </c>
      <c r="I568" s="28">
        <f t="shared" si="30"/>
        <v>377.54708485751706</v>
      </c>
      <c r="J568" s="28">
        <f t="shared" si="30"/>
        <v>377.25432529467554</v>
      </c>
      <c r="K568" s="28">
        <f t="shared" si="30"/>
        <v>377.2399263875717</v>
      </c>
      <c r="L568" s="28">
        <f t="shared" si="30"/>
        <v>377.03208485751702</v>
      </c>
      <c r="M568" s="28">
        <f t="shared" si="30"/>
        <v>377.19162037664273</v>
      </c>
      <c r="N568" s="28">
        <f t="shared" si="30"/>
        <v>377.5390247482274</v>
      </c>
    </row>
    <row r="569" spans="1:14" x14ac:dyDescent="0.4">
      <c r="A569" s="1">
        <v>38504</v>
      </c>
      <c r="B569" s="28">
        <v>379.7216203766427</v>
      </c>
      <c r="C569" s="28">
        <f t="shared" si="30"/>
        <v>379.15902474822741</v>
      </c>
      <c r="D569" s="28">
        <f t="shared" si="30"/>
        <v>379.46195276159511</v>
      </c>
      <c r="E569" s="28">
        <f t="shared" si="30"/>
        <v>378.70770424061777</v>
      </c>
      <c r="F569" s="28">
        <f t="shared" si="30"/>
        <v>378.91584157521567</v>
      </c>
      <c r="G569" s="28">
        <f t="shared" si="30"/>
        <v>378.28110125095964</v>
      </c>
      <c r="H569" s="28">
        <f t="shared" si="30"/>
        <v>378.32768595041324</v>
      </c>
      <c r="I569" s="28">
        <f t="shared" si="30"/>
        <v>377.8916476990471</v>
      </c>
      <c r="J569" s="28">
        <f t="shared" si="30"/>
        <v>377.54708485751706</v>
      </c>
      <c r="K569" s="28">
        <f t="shared" si="30"/>
        <v>377.25432529467554</v>
      </c>
      <c r="L569" s="28">
        <f t="shared" si="30"/>
        <v>377.2399263875717</v>
      </c>
      <c r="M569" s="28">
        <f t="shared" si="30"/>
        <v>377.03208485751702</v>
      </c>
      <c r="N569" s="28">
        <f t="shared" si="30"/>
        <v>377.19162037664273</v>
      </c>
    </row>
    <row r="570" spans="1:14" x14ac:dyDescent="0.4">
      <c r="A570" s="1">
        <v>38534</v>
      </c>
      <c r="B570" s="28">
        <v>379.93208485751705</v>
      </c>
      <c r="C570" s="28">
        <f t="shared" si="30"/>
        <v>379.7216203766427</v>
      </c>
      <c r="D570" s="28">
        <f t="shared" si="30"/>
        <v>379.15902474822741</v>
      </c>
      <c r="E570" s="28">
        <f t="shared" si="30"/>
        <v>379.46195276159511</v>
      </c>
      <c r="F570" s="28">
        <f t="shared" si="30"/>
        <v>378.70770424061777</v>
      </c>
      <c r="G570" s="28">
        <f t="shared" si="30"/>
        <v>378.91584157521567</v>
      </c>
      <c r="H570" s="28">
        <f t="shared" si="30"/>
        <v>378.28110125095964</v>
      </c>
      <c r="I570" s="28">
        <f t="shared" si="30"/>
        <v>378.32768595041324</v>
      </c>
      <c r="J570" s="28">
        <f t="shared" si="30"/>
        <v>377.8916476990471</v>
      </c>
      <c r="K570" s="28">
        <f t="shared" si="30"/>
        <v>377.54708485751706</v>
      </c>
      <c r="L570" s="28">
        <f t="shared" si="30"/>
        <v>377.25432529467554</v>
      </c>
      <c r="M570" s="28">
        <f t="shared" si="30"/>
        <v>377.2399263875717</v>
      </c>
      <c r="N570" s="28">
        <f t="shared" si="30"/>
        <v>377.03208485751702</v>
      </c>
    </row>
    <row r="571" spans="1:14" x14ac:dyDescent="0.4">
      <c r="A571" s="1">
        <v>38565</v>
      </c>
      <c r="B571" s="28">
        <v>380.07992638757173</v>
      </c>
      <c r="C571" s="28">
        <f t="shared" si="30"/>
        <v>379.93208485751705</v>
      </c>
      <c r="D571" s="28">
        <f t="shared" si="30"/>
        <v>379.7216203766427</v>
      </c>
      <c r="E571" s="28">
        <f t="shared" si="30"/>
        <v>379.15902474822741</v>
      </c>
      <c r="F571" s="28">
        <f t="shared" si="30"/>
        <v>379.46195276159511</v>
      </c>
      <c r="G571" s="28">
        <f t="shared" si="30"/>
        <v>378.70770424061777</v>
      </c>
      <c r="H571" s="28">
        <f t="shared" si="30"/>
        <v>378.91584157521567</v>
      </c>
      <c r="I571" s="28">
        <f t="shared" si="30"/>
        <v>378.28110125095964</v>
      </c>
      <c r="J571" s="28">
        <f t="shared" si="30"/>
        <v>378.32768595041324</v>
      </c>
      <c r="K571" s="28">
        <f t="shared" si="30"/>
        <v>377.8916476990471</v>
      </c>
      <c r="L571" s="28">
        <f t="shared" si="30"/>
        <v>377.54708485751706</v>
      </c>
      <c r="M571" s="28">
        <f t="shared" si="30"/>
        <v>377.25432529467554</v>
      </c>
      <c r="N571" s="28">
        <f t="shared" si="30"/>
        <v>377.2399263875717</v>
      </c>
    </row>
    <row r="572" spans="1:14" x14ac:dyDescent="0.4">
      <c r="A572" s="1">
        <v>38596</v>
      </c>
      <c r="B572" s="28">
        <v>379.62432529467554</v>
      </c>
      <c r="C572" s="28">
        <f t="shared" si="30"/>
        <v>380.07992638757173</v>
      </c>
      <c r="D572" s="28">
        <f t="shared" si="30"/>
        <v>379.93208485751705</v>
      </c>
      <c r="E572" s="28">
        <f t="shared" si="30"/>
        <v>379.7216203766427</v>
      </c>
      <c r="F572" s="28">
        <f t="shared" si="30"/>
        <v>379.15902474822741</v>
      </c>
      <c r="G572" s="28">
        <f t="shared" si="30"/>
        <v>379.46195276159511</v>
      </c>
      <c r="H572" s="28">
        <f t="shared" si="30"/>
        <v>378.70770424061777</v>
      </c>
      <c r="I572" s="28">
        <f t="shared" si="30"/>
        <v>378.91584157521567</v>
      </c>
      <c r="J572" s="28">
        <f t="shared" si="30"/>
        <v>378.28110125095964</v>
      </c>
      <c r="K572" s="28">
        <f t="shared" si="30"/>
        <v>378.32768595041324</v>
      </c>
      <c r="L572" s="28">
        <f t="shared" si="30"/>
        <v>377.8916476990471</v>
      </c>
      <c r="M572" s="28">
        <f t="shared" si="30"/>
        <v>377.54708485751706</v>
      </c>
      <c r="N572" s="28">
        <f t="shared" si="30"/>
        <v>377.25432529467554</v>
      </c>
    </row>
    <row r="573" spans="1:14" x14ac:dyDescent="0.4">
      <c r="A573" s="1">
        <v>38626</v>
      </c>
      <c r="B573" s="28">
        <v>380.12708485751705</v>
      </c>
      <c r="C573" s="28">
        <f t="shared" si="30"/>
        <v>379.62432529467554</v>
      </c>
      <c r="D573" s="28">
        <f t="shared" si="30"/>
        <v>380.07992638757173</v>
      </c>
      <c r="E573" s="28">
        <f t="shared" si="30"/>
        <v>379.93208485751705</v>
      </c>
      <c r="F573" s="28">
        <f t="shared" si="30"/>
        <v>379.7216203766427</v>
      </c>
      <c r="G573" s="28">
        <f t="shared" si="30"/>
        <v>379.15902474822741</v>
      </c>
      <c r="H573" s="28">
        <f t="shared" si="30"/>
        <v>379.46195276159511</v>
      </c>
      <c r="I573" s="28">
        <f t="shared" si="30"/>
        <v>378.70770424061777</v>
      </c>
      <c r="J573" s="28">
        <f t="shared" si="30"/>
        <v>378.91584157521567</v>
      </c>
      <c r="K573" s="28">
        <f t="shared" si="30"/>
        <v>378.28110125095964</v>
      </c>
      <c r="L573" s="28">
        <f t="shared" si="30"/>
        <v>378.32768595041324</v>
      </c>
      <c r="M573" s="28">
        <f t="shared" si="30"/>
        <v>377.8916476990471</v>
      </c>
      <c r="N573" s="28">
        <f t="shared" si="30"/>
        <v>377.54708485751706</v>
      </c>
    </row>
    <row r="574" spans="1:14" x14ac:dyDescent="0.4">
      <c r="A574" s="1">
        <v>38657</v>
      </c>
      <c r="B574" s="28">
        <v>380.36164769904713</v>
      </c>
      <c r="C574" s="28">
        <f t="shared" si="30"/>
        <v>380.12708485751705</v>
      </c>
      <c r="D574" s="28">
        <f t="shared" si="30"/>
        <v>379.62432529467554</v>
      </c>
      <c r="E574" s="28">
        <f t="shared" si="30"/>
        <v>380.07992638757173</v>
      </c>
      <c r="F574" s="28">
        <f t="shared" si="30"/>
        <v>379.93208485751705</v>
      </c>
      <c r="G574" s="28">
        <f t="shared" si="30"/>
        <v>379.7216203766427</v>
      </c>
      <c r="H574" s="28">
        <f t="shared" si="30"/>
        <v>379.15902474822741</v>
      </c>
      <c r="I574" s="28">
        <f t="shared" si="30"/>
        <v>379.46195276159511</v>
      </c>
      <c r="J574" s="28">
        <f t="shared" si="30"/>
        <v>378.70770424061777</v>
      </c>
      <c r="K574" s="28">
        <f t="shared" si="30"/>
        <v>378.91584157521567</v>
      </c>
      <c r="L574" s="28">
        <f t="shared" si="30"/>
        <v>378.28110125095964</v>
      </c>
      <c r="M574" s="28">
        <f t="shared" si="30"/>
        <v>378.32768595041324</v>
      </c>
      <c r="N574" s="28">
        <f t="shared" si="30"/>
        <v>377.8916476990471</v>
      </c>
    </row>
    <row r="575" spans="1:14" x14ac:dyDescent="0.4">
      <c r="A575" s="1">
        <v>38687</v>
      </c>
      <c r="B575" s="28">
        <v>380.84768595041322</v>
      </c>
      <c r="C575" s="28">
        <f t="shared" si="30"/>
        <v>380.36164769904713</v>
      </c>
      <c r="D575" s="28">
        <f t="shared" si="30"/>
        <v>380.12708485751705</v>
      </c>
      <c r="E575" s="28">
        <f t="shared" si="30"/>
        <v>379.62432529467554</v>
      </c>
      <c r="F575" s="28">
        <f t="shared" si="30"/>
        <v>380.07992638757173</v>
      </c>
      <c r="G575" s="28">
        <f t="shared" si="30"/>
        <v>379.93208485751705</v>
      </c>
      <c r="H575" s="28">
        <f t="shared" si="30"/>
        <v>379.7216203766427</v>
      </c>
      <c r="I575" s="28">
        <f t="shared" si="30"/>
        <v>379.15902474822741</v>
      </c>
      <c r="J575" s="28">
        <f t="shared" si="30"/>
        <v>379.46195276159511</v>
      </c>
      <c r="K575" s="28">
        <f t="shared" si="30"/>
        <v>378.70770424061777</v>
      </c>
      <c r="L575" s="28">
        <f t="shared" si="30"/>
        <v>378.91584157521567</v>
      </c>
      <c r="M575" s="28">
        <f t="shared" si="30"/>
        <v>378.28110125095964</v>
      </c>
      <c r="N575" s="28">
        <f t="shared" si="30"/>
        <v>378.32768595041324</v>
      </c>
    </row>
    <row r="576" spans="1:14" x14ac:dyDescent="0.4">
      <c r="A576" s="1">
        <v>38718</v>
      </c>
      <c r="B576" s="28">
        <v>381.31110125095967</v>
      </c>
      <c r="C576" s="28">
        <f t="shared" si="30"/>
        <v>380.84768595041322</v>
      </c>
      <c r="D576" s="28">
        <f t="shared" si="30"/>
        <v>380.36164769904713</v>
      </c>
      <c r="E576" s="28">
        <f t="shared" si="30"/>
        <v>380.12708485751705</v>
      </c>
      <c r="F576" s="28">
        <f t="shared" si="30"/>
        <v>379.62432529467554</v>
      </c>
      <c r="G576" s="28">
        <f t="shared" si="30"/>
        <v>380.07992638757173</v>
      </c>
      <c r="H576" s="28">
        <f t="shared" si="30"/>
        <v>379.93208485751705</v>
      </c>
      <c r="I576" s="28">
        <f t="shared" si="30"/>
        <v>379.7216203766427</v>
      </c>
      <c r="J576" s="28">
        <f t="shared" si="30"/>
        <v>379.15902474822741</v>
      </c>
      <c r="K576" s="28">
        <f t="shared" si="30"/>
        <v>379.46195276159511</v>
      </c>
      <c r="L576" s="28">
        <f t="shared" si="30"/>
        <v>378.70770424061777</v>
      </c>
      <c r="M576" s="28">
        <f t="shared" si="30"/>
        <v>378.91584157521567</v>
      </c>
      <c r="N576" s="28">
        <f t="shared" si="30"/>
        <v>378.28110125095964</v>
      </c>
    </row>
    <row r="577" spans="1:14" x14ac:dyDescent="0.4">
      <c r="A577" s="1">
        <v>38749</v>
      </c>
      <c r="B577" s="28">
        <v>381.32584157521563</v>
      </c>
      <c r="C577" s="28">
        <f t="shared" si="30"/>
        <v>381.31110125095967</v>
      </c>
      <c r="D577" s="28">
        <f t="shared" si="30"/>
        <v>380.84768595041322</v>
      </c>
      <c r="E577" s="28">
        <f t="shared" si="30"/>
        <v>380.36164769904713</v>
      </c>
      <c r="F577" s="28">
        <f t="shared" si="30"/>
        <v>380.12708485751705</v>
      </c>
      <c r="G577" s="28">
        <f t="shared" si="30"/>
        <v>379.62432529467554</v>
      </c>
      <c r="H577" s="28">
        <f t="shared" si="30"/>
        <v>380.07992638757173</v>
      </c>
      <c r="I577" s="28">
        <f t="shared" si="30"/>
        <v>379.93208485751705</v>
      </c>
      <c r="J577" s="28">
        <f t="shared" si="30"/>
        <v>379.7216203766427</v>
      </c>
      <c r="K577" s="28">
        <f t="shared" si="30"/>
        <v>379.15902474822741</v>
      </c>
      <c r="L577" s="28">
        <f t="shared" si="30"/>
        <v>379.46195276159511</v>
      </c>
      <c r="M577" s="28">
        <f t="shared" si="30"/>
        <v>378.70770424061777</v>
      </c>
      <c r="N577" s="28">
        <f t="shared" si="30"/>
        <v>378.91584157521567</v>
      </c>
    </row>
    <row r="578" spans="1:14" x14ac:dyDescent="0.4">
      <c r="A578" s="1">
        <v>38777</v>
      </c>
      <c r="B578" s="28">
        <v>381.18770424061779</v>
      </c>
      <c r="C578" s="28">
        <f t="shared" si="30"/>
        <v>381.32584157521563</v>
      </c>
      <c r="D578" s="28">
        <f t="shared" si="30"/>
        <v>381.31110125095967</v>
      </c>
      <c r="E578" s="28">
        <f t="shared" si="30"/>
        <v>380.84768595041322</v>
      </c>
      <c r="F578" s="28">
        <f t="shared" si="30"/>
        <v>380.36164769904713</v>
      </c>
      <c r="G578" s="28">
        <f t="shared" si="30"/>
        <v>380.12708485751705</v>
      </c>
      <c r="H578" s="28">
        <f t="shared" si="30"/>
        <v>379.62432529467554</v>
      </c>
      <c r="I578" s="28">
        <f t="shared" si="30"/>
        <v>380.07992638757173</v>
      </c>
      <c r="J578" s="28">
        <f t="shared" si="30"/>
        <v>379.93208485751705</v>
      </c>
      <c r="K578" s="28">
        <f t="shared" si="30"/>
        <v>379.7216203766427</v>
      </c>
      <c r="L578" s="28">
        <f t="shared" si="30"/>
        <v>379.15902474822741</v>
      </c>
      <c r="M578" s="28">
        <f t="shared" si="30"/>
        <v>379.46195276159511</v>
      </c>
      <c r="N578" s="28">
        <f t="shared" si="30"/>
        <v>378.70770424061777</v>
      </c>
    </row>
    <row r="579" spans="1:14" x14ac:dyDescent="0.4">
      <c r="A579" s="1">
        <v>38808</v>
      </c>
      <c r="B579" s="28">
        <v>381.77195276159512</v>
      </c>
      <c r="C579" s="28">
        <f t="shared" si="30"/>
        <v>381.18770424061779</v>
      </c>
      <c r="D579" s="28">
        <f t="shared" si="30"/>
        <v>381.32584157521563</v>
      </c>
      <c r="E579" s="28">
        <f t="shared" si="30"/>
        <v>381.31110125095967</v>
      </c>
      <c r="F579" s="28">
        <f t="shared" si="30"/>
        <v>380.84768595041322</v>
      </c>
      <c r="G579" s="28">
        <f t="shared" si="30"/>
        <v>380.36164769904713</v>
      </c>
      <c r="H579" s="28">
        <f t="shared" si="30"/>
        <v>380.12708485751705</v>
      </c>
      <c r="I579" s="28">
        <f t="shared" si="30"/>
        <v>379.62432529467554</v>
      </c>
      <c r="J579" s="28">
        <f t="shared" si="30"/>
        <v>380.07992638757173</v>
      </c>
      <c r="K579" s="28">
        <f t="shared" si="30"/>
        <v>379.93208485751705</v>
      </c>
      <c r="L579" s="28">
        <f t="shared" si="30"/>
        <v>379.7216203766427</v>
      </c>
      <c r="M579" s="28">
        <f t="shared" si="30"/>
        <v>379.15902474822741</v>
      </c>
      <c r="N579" s="28">
        <f t="shared" si="30"/>
        <v>379.46195276159511</v>
      </c>
    </row>
    <row r="580" spans="1:14" x14ac:dyDescent="0.4">
      <c r="A580" s="1">
        <v>38838</v>
      </c>
      <c r="B580" s="28">
        <v>381.83902474822742</v>
      </c>
      <c r="C580" s="28">
        <f t="shared" ref="C580:N643" si="31">IF(B579=0,"",B579)</f>
        <v>381.77195276159512</v>
      </c>
      <c r="D580" s="28">
        <f t="shared" si="31"/>
        <v>381.18770424061779</v>
      </c>
      <c r="E580" s="28">
        <f t="shared" si="31"/>
        <v>381.32584157521563</v>
      </c>
      <c r="F580" s="28">
        <f t="shared" si="31"/>
        <v>381.31110125095967</v>
      </c>
      <c r="G580" s="28">
        <f t="shared" si="31"/>
        <v>380.84768595041322</v>
      </c>
      <c r="H580" s="28">
        <f t="shared" si="31"/>
        <v>380.36164769904713</v>
      </c>
      <c r="I580" s="28">
        <f t="shared" si="31"/>
        <v>380.12708485751705</v>
      </c>
      <c r="J580" s="28">
        <f t="shared" si="31"/>
        <v>379.62432529467554</v>
      </c>
      <c r="K580" s="28">
        <f t="shared" si="31"/>
        <v>380.07992638757173</v>
      </c>
      <c r="L580" s="28">
        <f t="shared" si="31"/>
        <v>379.93208485751705</v>
      </c>
      <c r="M580" s="28">
        <f t="shared" si="31"/>
        <v>379.7216203766427</v>
      </c>
      <c r="N580" s="28">
        <f t="shared" si="31"/>
        <v>379.15902474822741</v>
      </c>
    </row>
    <row r="581" spans="1:14" x14ac:dyDescent="0.4">
      <c r="A581" s="1">
        <v>38869</v>
      </c>
      <c r="B581" s="28">
        <v>381.67162037664269</v>
      </c>
      <c r="C581" s="28">
        <f t="shared" si="31"/>
        <v>381.83902474822742</v>
      </c>
      <c r="D581" s="28">
        <f t="shared" si="31"/>
        <v>381.77195276159512</v>
      </c>
      <c r="E581" s="28">
        <f t="shared" si="31"/>
        <v>381.18770424061779</v>
      </c>
      <c r="F581" s="28">
        <f t="shared" si="31"/>
        <v>381.32584157521563</v>
      </c>
      <c r="G581" s="28">
        <f t="shared" si="31"/>
        <v>381.31110125095967</v>
      </c>
      <c r="H581" s="28">
        <f t="shared" si="31"/>
        <v>380.84768595041322</v>
      </c>
      <c r="I581" s="28">
        <f t="shared" si="31"/>
        <v>380.36164769904713</v>
      </c>
      <c r="J581" s="28">
        <f t="shared" si="31"/>
        <v>380.12708485751705</v>
      </c>
      <c r="K581" s="28">
        <f t="shared" si="31"/>
        <v>379.62432529467554</v>
      </c>
      <c r="L581" s="28">
        <f t="shared" si="31"/>
        <v>380.07992638757173</v>
      </c>
      <c r="M581" s="28">
        <f t="shared" si="31"/>
        <v>379.93208485751705</v>
      </c>
      <c r="N581" s="28">
        <f t="shared" si="31"/>
        <v>379.7216203766427</v>
      </c>
    </row>
    <row r="582" spans="1:14" x14ac:dyDescent="0.4">
      <c r="A582" s="1">
        <v>38899</v>
      </c>
      <c r="B582" s="28">
        <v>381.552084857517</v>
      </c>
      <c r="C582" s="28">
        <f t="shared" si="31"/>
        <v>381.67162037664269</v>
      </c>
      <c r="D582" s="28">
        <f t="shared" si="31"/>
        <v>381.83902474822742</v>
      </c>
      <c r="E582" s="28">
        <f t="shared" si="31"/>
        <v>381.77195276159512</v>
      </c>
      <c r="F582" s="28">
        <f t="shared" si="31"/>
        <v>381.18770424061779</v>
      </c>
      <c r="G582" s="28">
        <f t="shared" si="31"/>
        <v>381.32584157521563</v>
      </c>
      <c r="H582" s="28">
        <f t="shared" si="31"/>
        <v>381.31110125095967</v>
      </c>
      <c r="I582" s="28">
        <f t="shared" si="31"/>
        <v>380.84768595041322</v>
      </c>
      <c r="J582" s="28">
        <f t="shared" si="31"/>
        <v>380.36164769904713</v>
      </c>
      <c r="K582" s="28">
        <f t="shared" si="31"/>
        <v>380.12708485751705</v>
      </c>
      <c r="L582" s="28">
        <f t="shared" si="31"/>
        <v>379.62432529467554</v>
      </c>
      <c r="M582" s="28">
        <f t="shared" si="31"/>
        <v>380.07992638757173</v>
      </c>
      <c r="N582" s="28">
        <f t="shared" si="31"/>
        <v>379.93208485751705</v>
      </c>
    </row>
    <row r="583" spans="1:14" x14ac:dyDescent="0.4">
      <c r="A583" s="1">
        <v>38930</v>
      </c>
      <c r="B583" s="28">
        <v>381.88992638757173</v>
      </c>
      <c r="C583" s="28">
        <f t="shared" si="31"/>
        <v>381.552084857517</v>
      </c>
      <c r="D583" s="28">
        <f t="shared" si="31"/>
        <v>381.67162037664269</v>
      </c>
      <c r="E583" s="28">
        <f t="shared" si="31"/>
        <v>381.83902474822742</v>
      </c>
      <c r="F583" s="28">
        <f t="shared" si="31"/>
        <v>381.77195276159512</v>
      </c>
      <c r="G583" s="28">
        <f t="shared" si="31"/>
        <v>381.18770424061779</v>
      </c>
      <c r="H583" s="28">
        <f t="shared" si="31"/>
        <v>381.32584157521563</v>
      </c>
      <c r="I583" s="28">
        <f t="shared" si="31"/>
        <v>381.31110125095967</v>
      </c>
      <c r="J583" s="28">
        <f t="shared" si="31"/>
        <v>380.84768595041322</v>
      </c>
      <c r="K583" s="28">
        <f t="shared" si="31"/>
        <v>380.36164769904713</v>
      </c>
      <c r="L583" s="28">
        <f t="shared" si="31"/>
        <v>380.12708485751705</v>
      </c>
      <c r="M583" s="28">
        <f t="shared" si="31"/>
        <v>379.62432529467554</v>
      </c>
      <c r="N583" s="28">
        <f t="shared" si="31"/>
        <v>380.07992638757173</v>
      </c>
    </row>
    <row r="584" spans="1:14" x14ac:dyDescent="0.4">
      <c r="A584" s="1">
        <v>38961</v>
      </c>
      <c r="B584" s="28">
        <v>382.01432529467553</v>
      </c>
      <c r="C584" s="28">
        <f t="shared" si="31"/>
        <v>381.88992638757173</v>
      </c>
      <c r="D584" s="28">
        <f t="shared" si="31"/>
        <v>381.552084857517</v>
      </c>
      <c r="E584" s="28">
        <f t="shared" si="31"/>
        <v>381.67162037664269</v>
      </c>
      <c r="F584" s="28">
        <f t="shared" si="31"/>
        <v>381.83902474822742</v>
      </c>
      <c r="G584" s="28">
        <f t="shared" si="31"/>
        <v>381.77195276159512</v>
      </c>
      <c r="H584" s="28">
        <f t="shared" si="31"/>
        <v>381.18770424061779</v>
      </c>
      <c r="I584" s="28">
        <f t="shared" si="31"/>
        <v>381.32584157521563</v>
      </c>
      <c r="J584" s="28">
        <f t="shared" si="31"/>
        <v>381.31110125095967</v>
      </c>
      <c r="K584" s="28">
        <f t="shared" si="31"/>
        <v>380.84768595041322</v>
      </c>
      <c r="L584" s="28">
        <f t="shared" si="31"/>
        <v>380.36164769904713</v>
      </c>
      <c r="M584" s="28">
        <f t="shared" si="31"/>
        <v>380.12708485751705</v>
      </c>
      <c r="N584" s="28">
        <f t="shared" si="31"/>
        <v>379.62432529467554</v>
      </c>
    </row>
    <row r="585" spans="1:14" x14ac:dyDescent="0.4">
      <c r="A585" s="1">
        <v>38991</v>
      </c>
      <c r="B585" s="28">
        <v>382.38708485751704</v>
      </c>
      <c r="C585" s="28">
        <f t="shared" si="31"/>
        <v>382.01432529467553</v>
      </c>
      <c r="D585" s="28">
        <f t="shared" si="31"/>
        <v>381.88992638757173</v>
      </c>
      <c r="E585" s="28">
        <f t="shared" si="31"/>
        <v>381.552084857517</v>
      </c>
      <c r="F585" s="28">
        <f t="shared" si="31"/>
        <v>381.67162037664269</v>
      </c>
      <c r="G585" s="28">
        <f t="shared" si="31"/>
        <v>381.83902474822742</v>
      </c>
      <c r="H585" s="28">
        <f t="shared" si="31"/>
        <v>381.77195276159512</v>
      </c>
      <c r="I585" s="28">
        <f t="shared" si="31"/>
        <v>381.18770424061779</v>
      </c>
      <c r="J585" s="28">
        <f t="shared" si="31"/>
        <v>381.32584157521563</v>
      </c>
      <c r="K585" s="28">
        <f t="shared" si="31"/>
        <v>381.31110125095967</v>
      </c>
      <c r="L585" s="28">
        <f t="shared" si="31"/>
        <v>380.84768595041322</v>
      </c>
      <c r="M585" s="28">
        <f t="shared" si="31"/>
        <v>380.36164769904713</v>
      </c>
      <c r="N585" s="28">
        <f t="shared" si="31"/>
        <v>380.12708485751705</v>
      </c>
    </row>
    <row r="586" spans="1:14" x14ac:dyDescent="0.4">
      <c r="A586" s="1">
        <v>39022</v>
      </c>
      <c r="B586" s="28">
        <v>382.19164769904711</v>
      </c>
      <c r="C586" s="28">
        <f t="shared" si="31"/>
        <v>382.38708485751704</v>
      </c>
      <c r="D586" s="28">
        <f t="shared" si="31"/>
        <v>382.01432529467553</v>
      </c>
      <c r="E586" s="28">
        <f t="shared" si="31"/>
        <v>381.88992638757173</v>
      </c>
      <c r="F586" s="28">
        <f t="shared" si="31"/>
        <v>381.552084857517</v>
      </c>
      <c r="G586" s="28">
        <f t="shared" si="31"/>
        <v>381.67162037664269</v>
      </c>
      <c r="H586" s="28">
        <f t="shared" si="31"/>
        <v>381.83902474822742</v>
      </c>
      <c r="I586" s="28">
        <f t="shared" si="31"/>
        <v>381.77195276159512</v>
      </c>
      <c r="J586" s="28">
        <f t="shared" si="31"/>
        <v>381.18770424061779</v>
      </c>
      <c r="K586" s="28">
        <f t="shared" si="31"/>
        <v>381.32584157521563</v>
      </c>
      <c r="L586" s="28">
        <f t="shared" si="31"/>
        <v>381.31110125095967</v>
      </c>
      <c r="M586" s="28">
        <f t="shared" si="31"/>
        <v>380.84768595041322</v>
      </c>
      <c r="N586" s="28">
        <f t="shared" si="31"/>
        <v>380.36164769904713</v>
      </c>
    </row>
    <row r="587" spans="1:14" x14ac:dyDescent="0.4">
      <c r="A587" s="1">
        <v>39052</v>
      </c>
      <c r="B587" s="28">
        <v>382.54768595041327</v>
      </c>
      <c r="C587" s="28">
        <f t="shared" si="31"/>
        <v>382.19164769904711</v>
      </c>
      <c r="D587" s="28">
        <f t="shared" si="31"/>
        <v>382.38708485751704</v>
      </c>
      <c r="E587" s="28">
        <f t="shared" si="31"/>
        <v>382.01432529467553</v>
      </c>
      <c r="F587" s="28">
        <f t="shared" si="31"/>
        <v>381.88992638757173</v>
      </c>
      <c r="G587" s="28">
        <f t="shared" si="31"/>
        <v>381.552084857517</v>
      </c>
      <c r="H587" s="28">
        <f t="shared" si="31"/>
        <v>381.67162037664269</v>
      </c>
      <c r="I587" s="28">
        <f t="shared" si="31"/>
        <v>381.83902474822742</v>
      </c>
      <c r="J587" s="28">
        <f t="shared" si="31"/>
        <v>381.77195276159512</v>
      </c>
      <c r="K587" s="28">
        <f t="shared" si="31"/>
        <v>381.18770424061779</v>
      </c>
      <c r="L587" s="28">
        <f t="shared" si="31"/>
        <v>381.32584157521563</v>
      </c>
      <c r="M587" s="28">
        <f t="shared" si="31"/>
        <v>381.31110125095967</v>
      </c>
      <c r="N587" s="28">
        <f t="shared" si="31"/>
        <v>380.84768595041322</v>
      </c>
    </row>
    <row r="588" spans="1:14" x14ac:dyDescent="0.4">
      <c r="A588" s="1">
        <v>39083</v>
      </c>
      <c r="B588" s="28">
        <v>382.52110125095965</v>
      </c>
      <c r="C588" s="28">
        <f t="shared" si="31"/>
        <v>382.54768595041327</v>
      </c>
      <c r="D588" s="28">
        <f t="shared" si="31"/>
        <v>382.19164769904711</v>
      </c>
      <c r="E588" s="28">
        <f t="shared" si="31"/>
        <v>382.38708485751704</v>
      </c>
      <c r="F588" s="28">
        <f t="shared" si="31"/>
        <v>382.01432529467553</v>
      </c>
      <c r="G588" s="28">
        <f t="shared" si="31"/>
        <v>381.88992638757173</v>
      </c>
      <c r="H588" s="28">
        <f t="shared" si="31"/>
        <v>381.552084857517</v>
      </c>
      <c r="I588" s="28">
        <f t="shared" si="31"/>
        <v>381.67162037664269</v>
      </c>
      <c r="J588" s="28">
        <f t="shared" si="31"/>
        <v>381.83902474822742</v>
      </c>
      <c r="K588" s="28">
        <f t="shared" si="31"/>
        <v>381.77195276159512</v>
      </c>
      <c r="L588" s="28">
        <f t="shared" si="31"/>
        <v>381.18770424061779</v>
      </c>
      <c r="M588" s="28">
        <f t="shared" si="31"/>
        <v>381.32584157521563</v>
      </c>
      <c r="N588" s="28">
        <f t="shared" si="31"/>
        <v>381.31110125095967</v>
      </c>
    </row>
    <row r="589" spans="1:14" x14ac:dyDescent="0.4">
      <c r="A589" s="1">
        <v>39114</v>
      </c>
      <c r="B589" s="28">
        <v>383.01584157521563</v>
      </c>
      <c r="C589" s="28">
        <f t="shared" si="31"/>
        <v>382.52110125095965</v>
      </c>
      <c r="D589" s="28">
        <f t="shared" si="31"/>
        <v>382.54768595041327</v>
      </c>
      <c r="E589" s="28">
        <f t="shared" si="31"/>
        <v>382.19164769904711</v>
      </c>
      <c r="F589" s="28">
        <f t="shared" si="31"/>
        <v>382.38708485751704</v>
      </c>
      <c r="G589" s="28">
        <f t="shared" si="31"/>
        <v>382.01432529467553</v>
      </c>
      <c r="H589" s="28">
        <f t="shared" si="31"/>
        <v>381.88992638757173</v>
      </c>
      <c r="I589" s="28">
        <f t="shared" si="31"/>
        <v>381.552084857517</v>
      </c>
      <c r="J589" s="28">
        <f t="shared" si="31"/>
        <v>381.67162037664269</v>
      </c>
      <c r="K589" s="28">
        <f t="shared" si="31"/>
        <v>381.83902474822742</v>
      </c>
      <c r="L589" s="28">
        <f t="shared" si="31"/>
        <v>381.77195276159512</v>
      </c>
      <c r="M589" s="28">
        <f t="shared" si="31"/>
        <v>381.18770424061779</v>
      </c>
      <c r="N589" s="28">
        <f t="shared" si="31"/>
        <v>381.32584157521563</v>
      </c>
    </row>
    <row r="590" spans="1:14" x14ac:dyDescent="0.4">
      <c r="A590" s="1">
        <v>39142</v>
      </c>
      <c r="B590" s="28">
        <v>382.96770424061776</v>
      </c>
      <c r="C590" s="28">
        <f t="shared" si="31"/>
        <v>383.01584157521563</v>
      </c>
      <c r="D590" s="28">
        <f t="shared" si="31"/>
        <v>382.52110125095965</v>
      </c>
      <c r="E590" s="28">
        <f t="shared" si="31"/>
        <v>382.54768595041327</v>
      </c>
      <c r="F590" s="28">
        <f t="shared" si="31"/>
        <v>382.19164769904711</v>
      </c>
      <c r="G590" s="28">
        <f t="shared" si="31"/>
        <v>382.38708485751704</v>
      </c>
      <c r="H590" s="28">
        <f t="shared" si="31"/>
        <v>382.01432529467553</v>
      </c>
      <c r="I590" s="28">
        <f t="shared" si="31"/>
        <v>381.88992638757173</v>
      </c>
      <c r="J590" s="28">
        <f t="shared" si="31"/>
        <v>381.552084857517</v>
      </c>
      <c r="K590" s="28">
        <f t="shared" si="31"/>
        <v>381.67162037664269</v>
      </c>
      <c r="L590" s="28">
        <f t="shared" si="31"/>
        <v>381.83902474822742</v>
      </c>
      <c r="M590" s="28">
        <f t="shared" si="31"/>
        <v>381.77195276159512</v>
      </c>
      <c r="N590" s="28">
        <f t="shared" si="31"/>
        <v>381.18770424061779</v>
      </c>
    </row>
    <row r="591" spans="1:14" x14ac:dyDescent="0.4">
      <c r="A591" s="1">
        <v>39173</v>
      </c>
      <c r="B591" s="28">
        <v>383.64195276159512</v>
      </c>
      <c r="C591" s="28">
        <f t="shared" si="31"/>
        <v>382.96770424061776</v>
      </c>
      <c r="D591" s="28">
        <f t="shared" si="31"/>
        <v>383.01584157521563</v>
      </c>
      <c r="E591" s="28">
        <f t="shared" si="31"/>
        <v>382.52110125095965</v>
      </c>
      <c r="F591" s="28">
        <f t="shared" si="31"/>
        <v>382.54768595041327</v>
      </c>
      <c r="G591" s="28">
        <f t="shared" si="31"/>
        <v>382.19164769904711</v>
      </c>
      <c r="H591" s="28">
        <f t="shared" si="31"/>
        <v>382.38708485751704</v>
      </c>
      <c r="I591" s="28">
        <f t="shared" si="31"/>
        <v>382.01432529467553</v>
      </c>
      <c r="J591" s="28">
        <f t="shared" si="31"/>
        <v>381.88992638757173</v>
      </c>
      <c r="K591" s="28">
        <f t="shared" si="31"/>
        <v>381.552084857517</v>
      </c>
      <c r="L591" s="28">
        <f t="shared" si="31"/>
        <v>381.67162037664269</v>
      </c>
      <c r="M591" s="28">
        <f t="shared" si="31"/>
        <v>381.83902474822742</v>
      </c>
      <c r="N591" s="28">
        <f t="shared" si="31"/>
        <v>381.77195276159512</v>
      </c>
    </row>
    <row r="592" spans="1:14" x14ac:dyDescent="0.4">
      <c r="A592" s="1">
        <v>39203</v>
      </c>
      <c r="B592" s="28">
        <v>383.32902474822743</v>
      </c>
      <c r="C592" s="28">
        <f t="shared" si="31"/>
        <v>383.64195276159512</v>
      </c>
      <c r="D592" s="28">
        <f t="shared" si="31"/>
        <v>382.96770424061776</v>
      </c>
      <c r="E592" s="28">
        <f t="shared" si="31"/>
        <v>383.01584157521563</v>
      </c>
      <c r="F592" s="28">
        <f t="shared" si="31"/>
        <v>382.52110125095965</v>
      </c>
      <c r="G592" s="28">
        <f t="shared" si="31"/>
        <v>382.54768595041327</v>
      </c>
      <c r="H592" s="28">
        <f t="shared" si="31"/>
        <v>382.19164769904711</v>
      </c>
      <c r="I592" s="28">
        <f t="shared" si="31"/>
        <v>382.38708485751704</v>
      </c>
      <c r="J592" s="28">
        <f t="shared" si="31"/>
        <v>382.01432529467553</v>
      </c>
      <c r="K592" s="28">
        <f t="shared" si="31"/>
        <v>381.88992638757173</v>
      </c>
      <c r="L592" s="28">
        <f t="shared" si="31"/>
        <v>381.552084857517</v>
      </c>
      <c r="M592" s="28">
        <f t="shared" si="31"/>
        <v>381.67162037664269</v>
      </c>
      <c r="N592" s="28">
        <f t="shared" si="31"/>
        <v>381.83902474822742</v>
      </c>
    </row>
    <row r="593" spans="1:14" x14ac:dyDescent="0.4">
      <c r="A593" s="1">
        <v>39234</v>
      </c>
      <c r="B593" s="28">
        <v>383.51162037664272</v>
      </c>
      <c r="C593" s="28">
        <f t="shared" si="31"/>
        <v>383.32902474822743</v>
      </c>
      <c r="D593" s="28">
        <f t="shared" si="31"/>
        <v>383.64195276159512</v>
      </c>
      <c r="E593" s="28">
        <f t="shared" si="31"/>
        <v>382.96770424061776</v>
      </c>
      <c r="F593" s="28">
        <f t="shared" si="31"/>
        <v>383.01584157521563</v>
      </c>
      <c r="G593" s="28">
        <f t="shared" si="31"/>
        <v>382.52110125095965</v>
      </c>
      <c r="H593" s="28">
        <f t="shared" si="31"/>
        <v>382.54768595041327</v>
      </c>
      <c r="I593" s="28">
        <f t="shared" si="31"/>
        <v>382.19164769904711</v>
      </c>
      <c r="J593" s="28">
        <f t="shared" si="31"/>
        <v>382.38708485751704</v>
      </c>
      <c r="K593" s="28">
        <f t="shared" si="31"/>
        <v>382.01432529467553</v>
      </c>
      <c r="L593" s="28">
        <f t="shared" si="31"/>
        <v>381.88992638757173</v>
      </c>
      <c r="M593" s="28">
        <f t="shared" si="31"/>
        <v>381.552084857517</v>
      </c>
      <c r="N593" s="28">
        <f t="shared" si="31"/>
        <v>381.67162037664269</v>
      </c>
    </row>
    <row r="594" spans="1:14" x14ac:dyDescent="0.4">
      <c r="A594" s="1">
        <v>39264</v>
      </c>
      <c r="B594" s="28">
        <v>383.71208485751703</v>
      </c>
      <c r="C594" s="28">
        <f t="shared" si="31"/>
        <v>383.51162037664272</v>
      </c>
      <c r="D594" s="28">
        <f t="shared" si="31"/>
        <v>383.32902474822743</v>
      </c>
      <c r="E594" s="28">
        <f t="shared" si="31"/>
        <v>383.64195276159512</v>
      </c>
      <c r="F594" s="28">
        <f t="shared" si="31"/>
        <v>382.96770424061776</v>
      </c>
      <c r="G594" s="28">
        <f t="shared" si="31"/>
        <v>383.01584157521563</v>
      </c>
      <c r="H594" s="28">
        <f t="shared" si="31"/>
        <v>382.52110125095965</v>
      </c>
      <c r="I594" s="28">
        <f t="shared" si="31"/>
        <v>382.54768595041327</v>
      </c>
      <c r="J594" s="28">
        <f t="shared" si="31"/>
        <v>382.19164769904711</v>
      </c>
      <c r="K594" s="28">
        <f t="shared" si="31"/>
        <v>382.38708485751704</v>
      </c>
      <c r="L594" s="28">
        <f t="shared" si="31"/>
        <v>382.01432529467553</v>
      </c>
      <c r="M594" s="28">
        <f t="shared" si="31"/>
        <v>381.88992638757173</v>
      </c>
      <c r="N594" s="28">
        <f t="shared" si="31"/>
        <v>381.552084857517</v>
      </c>
    </row>
    <row r="595" spans="1:14" x14ac:dyDescent="0.4">
      <c r="A595" s="1">
        <v>39295</v>
      </c>
      <c r="B595" s="28">
        <v>383.24992638757169</v>
      </c>
      <c r="C595" s="28">
        <f t="shared" si="31"/>
        <v>383.71208485751703</v>
      </c>
      <c r="D595" s="28">
        <f t="shared" si="31"/>
        <v>383.51162037664272</v>
      </c>
      <c r="E595" s="28">
        <f t="shared" si="31"/>
        <v>383.32902474822743</v>
      </c>
      <c r="F595" s="28">
        <f t="shared" si="31"/>
        <v>383.64195276159512</v>
      </c>
      <c r="G595" s="28">
        <f t="shared" si="31"/>
        <v>382.96770424061776</v>
      </c>
      <c r="H595" s="28">
        <f t="shared" si="31"/>
        <v>383.01584157521563</v>
      </c>
      <c r="I595" s="28">
        <f t="shared" si="31"/>
        <v>382.52110125095965</v>
      </c>
      <c r="J595" s="28">
        <f t="shared" si="31"/>
        <v>382.54768595041327</v>
      </c>
      <c r="K595" s="28">
        <f t="shared" si="31"/>
        <v>382.19164769904711</v>
      </c>
      <c r="L595" s="28">
        <f t="shared" si="31"/>
        <v>382.38708485751704</v>
      </c>
      <c r="M595" s="28">
        <f t="shared" si="31"/>
        <v>382.01432529467553</v>
      </c>
      <c r="N595" s="28">
        <f t="shared" si="31"/>
        <v>381.88992638757173</v>
      </c>
    </row>
    <row r="596" spans="1:14" x14ac:dyDescent="0.4">
      <c r="A596" s="1">
        <v>39326</v>
      </c>
      <c r="B596" s="28">
        <v>384.06432529467554</v>
      </c>
      <c r="C596" s="28">
        <f t="shared" si="31"/>
        <v>383.24992638757169</v>
      </c>
      <c r="D596" s="28">
        <f t="shared" si="31"/>
        <v>383.71208485751703</v>
      </c>
      <c r="E596" s="28">
        <f t="shared" si="31"/>
        <v>383.51162037664272</v>
      </c>
      <c r="F596" s="28">
        <f t="shared" si="31"/>
        <v>383.32902474822743</v>
      </c>
      <c r="G596" s="28">
        <f t="shared" si="31"/>
        <v>383.64195276159512</v>
      </c>
      <c r="H596" s="28">
        <f t="shared" si="31"/>
        <v>382.96770424061776</v>
      </c>
      <c r="I596" s="28">
        <f t="shared" si="31"/>
        <v>383.01584157521563</v>
      </c>
      <c r="J596" s="28">
        <f t="shared" si="31"/>
        <v>382.52110125095965</v>
      </c>
      <c r="K596" s="28">
        <f t="shared" si="31"/>
        <v>382.54768595041327</v>
      </c>
      <c r="L596" s="28">
        <f t="shared" si="31"/>
        <v>382.19164769904711</v>
      </c>
      <c r="M596" s="28">
        <f t="shared" si="31"/>
        <v>382.38708485751704</v>
      </c>
      <c r="N596" s="28">
        <f t="shared" si="31"/>
        <v>382.01432529467553</v>
      </c>
    </row>
    <row r="597" spans="1:14" x14ac:dyDescent="0.4">
      <c r="A597" s="1">
        <v>39356</v>
      </c>
      <c r="B597" s="28">
        <v>384.18708485751705</v>
      </c>
      <c r="C597" s="28">
        <f t="shared" si="31"/>
        <v>384.06432529467554</v>
      </c>
      <c r="D597" s="28">
        <f t="shared" si="31"/>
        <v>383.24992638757169</v>
      </c>
      <c r="E597" s="28">
        <f t="shared" si="31"/>
        <v>383.71208485751703</v>
      </c>
      <c r="F597" s="28">
        <f t="shared" si="31"/>
        <v>383.51162037664272</v>
      </c>
      <c r="G597" s="28">
        <f t="shared" si="31"/>
        <v>383.32902474822743</v>
      </c>
      <c r="H597" s="28">
        <f t="shared" si="31"/>
        <v>383.64195276159512</v>
      </c>
      <c r="I597" s="28">
        <f t="shared" si="31"/>
        <v>382.96770424061776</v>
      </c>
      <c r="J597" s="28">
        <f t="shared" si="31"/>
        <v>383.01584157521563</v>
      </c>
      <c r="K597" s="28">
        <f t="shared" si="31"/>
        <v>382.52110125095965</v>
      </c>
      <c r="L597" s="28">
        <f t="shared" si="31"/>
        <v>382.54768595041327</v>
      </c>
      <c r="M597" s="28">
        <f t="shared" si="31"/>
        <v>382.19164769904711</v>
      </c>
      <c r="N597" s="28">
        <f t="shared" si="31"/>
        <v>382.38708485751704</v>
      </c>
    </row>
    <row r="598" spans="1:14" x14ac:dyDescent="0.4">
      <c r="A598" s="1">
        <v>39387</v>
      </c>
      <c r="B598" s="28">
        <v>384.41164769904714</v>
      </c>
      <c r="C598" s="28">
        <f t="shared" si="31"/>
        <v>384.18708485751705</v>
      </c>
      <c r="D598" s="28">
        <f t="shared" si="31"/>
        <v>384.06432529467554</v>
      </c>
      <c r="E598" s="28">
        <f t="shared" si="31"/>
        <v>383.24992638757169</v>
      </c>
      <c r="F598" s="28">
        <f t="shared" si="31"/>
        <v>383.71208485751703</v>
      </c>
      <c r="G598" s="28">
        <f t="shared" si="31"/>
        <v>383.51162037664272</v>
      </c>
      <c r="H598" s="28">
        <f t="shared" si="31"/>
        <v>383.32902474822743</v>
      </c>
      <c r="I598" s="28">
        <f t="shared" si="31"/>
        <v>383.64195276159512</v>
      </c>
      <c r="J598" s="28">
        <f t="shared" si="31"/>
        <v>382.96770424061776</v>
      </c>
      <c r="K598" s="28">
        <f t="shared" si="31"/>
        <v>383.01584157521563</v>
      </c>
      <c r="L598" s="28">
        <f t="shared" si="31"/>
        <v>382.52110125095965</v>
      </c>
      <c r="M598" s="28">
        <f t="shared" si="31"/>
        <v>382.54768595041327</v>
      </c>
      <c r="N598" s="28">
        <f t="shared" si="31"/>
        <v>382.19164769904711</v>
      </c>
    </row>
    <row r="599" spans="1:14" x14ac:dyDescent="0.4">
      <c r="A599" s="1">
        <v>39417</v>
      </c>
      <c r="B599" s="28">
        <v>384.49768595041326</v>
      </c>
      <c r="C599" s="28">
        <f t="shared" si="31"/>
        <v>384.41164769904714</v>
      </c>
      <c r="D599" s="28">
        <f t="shared" si="31"/>
        <v>384.18708485751705</v>
      </c>
      <c r="E599" s="28">
        <f t="shared" si="31"/>
        <v>384.06432529467554</v>
      </c>
      <c r="F599" s="28">
        <f t="shared" si="31"/>
        <v>383.24992638757169</v>
      </c>
      <c r="G599" s="28">
        <f t="shared" si="31"/>
        <v>383.71208485751703</v>
      </c>
      <c r="H599" s="28">
        <f t="shared" si="31"/>
        <v>383.51162037664272</v>
      </c>
      <c r="I599" s="28">
        <f t="shared" si="31"/>
        <v>383.32902474822743</v>
      </c>
      <c r="J599" s="28">
        <f t="shared" si="31"/>
        <v>383.64195276159512</v>
      </c>
      <c r="K599" s="28">
        <f t="shared" si="31"/>
        <v>382.96770424061776</v>
      </c>
      <c r="L599" s="28">
        <f t="shared" si="31"/>
        <v>383.01584157521563</v>
      </c>
      <c r="M599" s="28">
        <f t="shared" si="31"/>
        <v>382.52110125095965</v>
      </c>
      <c r="N599" s="28">
        <f t="shared" si="31"/>
        <v>382.54768595041327</v>
      </c>
    </row>
    <row r="600" spans="1:14" x14ac:dyDescent="0.4">
      <c r="A600" s="1">
        <v>39448</v>
      </c>
      <c r="B600" s="28">
        <v>385.01110125095965</v>
      </c>
      <c r="C600" s="28">
        <f t="shared" si="31"/>
        <v>384.49768595041326</v>
      </c>
      <c r="D600" s="28">
        <f t="shared" si="31"/>
        <v>384.41164769904714</v>
      </c>
      <c r="E600" s="28">
        <f t="shared" si="31"/>
        <v>384.18708485751705</v>
      </c>
      <c r="F600" s="28">
        <f t="shared" si="31"/>
        <v>384.06432529467554</v>
      </c>
      <c r="G600" s="28">
        <f t="shared" si="31"/>
        <v>383.24992638757169</v>
      </c>
      <c r="H600" s="28">
        <f t="shared" si="31"/>
        <v>383.71208485751703</v>
      </c>
      <c r="I600" s="28">
        <f t="shared" si="31"/>
        <v>383.51162037664272</v>
      </c>
      <c r="J600" s="28">
        <f t="shared" si="31"/>
        <v>383.32902474822743</v>
      </c>
      <c r="K600" s="28">
        <f t="shared" si="31"/>
        <v>383.64195276159512</v>
      </c>
      <c r="L600" s="28">
        <f t="shared" si="31"/>
        <v>382.96770424061776</v>
      </c>
      <c r="M600" s="28">
        <f t="shared" si="31"/>
        <v>383.01584157521563</v>
      </c>
      <c r="N600" s="28">
        <f t="shared" si="31"/>
        <v>382.52110125095965</v>
      </c>
    </row>
    <row r="601" spans="1:14" x14ac:dyDescent="0.4">
      <c r="A601" s="1">
        <v>39479</v>
      </c>
      <c r="B601" s="28">
        <v>385.14584157521563</v>
      </c>
      <c r="C601" s="28">
        <f t="shared" si="31"/>
        <v>385.01110125095965</v>
      </c>
      <c r="D601" s="28">
        <f t="shared" si="31"/>
        <v>384.49768595041326</v>
      </c>
      <c r="E601" s="28">
        <f t="shared" si="31"/>
        <v>384.41164769904714</v>
      </c>
      <c r="F601" s="28">
        <f t="shared" ref="D601:P616" si="32">IF(E600=0,"",E600)</f>
        <v>384.18708485751705</v>
      </c>
      <c r="G601" s="28">
        <f t="shared" si="32"/>
        <v>384.06432529467554</v>
      </c>
      <c r="H601" s="28">
        <f t="shared" si="32"/>
        <v>383.24992638757169</v>
      </c>
      <c r="I601" s="28">
        <f t="shared" si="32"/>
        <v>383.71208485751703</v>
      </c>
      <c r="J601" s="28">
        <f t="shared" si="32"/>
        <v>383.51162037664272</v>
      </c>
      <c r="K601" s="28">
        <f t="shared" si="32"/>
        <v>383.32902474822743</v>
      </c>
      <c r="L601" s="28">
        <f t="shared" si="32"/>
        <v>383.64195276159512</v>
      </c>
      <c r="M601" s="28">
        <f t="shared" si="32"/>
        <v>382.96770424061776</v>
      </c>
      <c r="N601" s="28">
        <f t="shared" si="32"/>
        <v>383.01584157521563</v>
      </c>
    </row>
    <row r="602" spans="1:14" x14ac:dyDescent="0.4">
      <c r="A602" s="1">
        <v>39508</v>
      </c>
      <c r="B602" s="28">
        <v>384.45770424061777</v>
      </c>
      <c r="C602" s="28">
        <f t="shared" ref="C602:N665" si="33">IF(B601=0,"",B601)</f>
        <v>385.14584157521563</v>
      </c>
      <c r="D602" s="28">
        <f t="shared" si="32"/>
        <v>385.01110125095965</v>
      </c>
      <c r="E602" s="28">
        <f t="shared" si="32"/>
        <v>384.49768595041326</v>
      </c>
      <c r="F602" s="28">
        <f t="shared" si="32"/>
        <v>384.41164769904714</v>
      </c>
      <c r="G602" s="28">
        <f t="shared" si="32"/>
        <v>384.18708485751705</v>
      </c>
      <c r="H602" s="28">
        <f t="shared" si="32"/>
        <v>384.06432529467554</v>
      </c>
      <c r="I602" s="28">
        <f t="shared" si="32"/>
        <v>383.24992638757169</v>
      </c>
      <c r="J602" s="28">
        <f t="shared" si="32"/>
        <v>383.71208485751703</v>
      </c>
      <c r="K602" s="28">
        <f t="shared" si="32"/>
        <v>383.51162037664272</v>
      </c>
      <c r="L602" s="28">
        <f t="shared" si="32"/>
        <v>383.32902474822743</v>
      </c>
      <c r="M602" s="28">
        <f t="shared" si="32"/>
        <v>383.64195276159512</v>
      </c>
      <c r="N602" s="28">
        <f t="shared" si="32"/>
        <v>382.96770424061776</v>
      </c>
    </row>
    <row r="603" spans="1:14" x14ac:dyDescent="0.4">
      <c r="A603" s="1">
        <v>39539</v>
      </c>
      <c r="B603" s="28">
        <v>384.18195276159508</v>
      </c>
      <c r="C603" s="28">
        <f t="shared" si="33"/>
        <v>384.45770424061777</v>
      </c>
      <c r="D603" s="28">
        <f t="shared" si="32"/>
        <v>385.14584157521563</v>
      </c>
      <c r="E603" s="28">
        <f t="shared" si="32"/>
        <v>385.01110125095965</v>
      </c>
      <c r="F603" s="28">
        <f t="shared" si="32"/>
        <v>384.49768595041326</v>
      </c>
      <c r="G603" s="28">
        <f t="shared" si="32"/>
        <v>384.41164769904714</v>
      </c>
      <c r="H603" s="28">
        <f t="shared" si="32"/>
        <v>384.18708485751705</v>
      </c>
      <c r="I603" s="28">
        <f t="shared" si="32"/>
        <v>384.06432529467554</v>
      </c>
      <c r="J603" s="28">
        <f t="shared" si="32"/>
        <v>383.24992638757169</v>
      </c>
      <c r="K603" s="28">
        <f t="shared" si="32"/>
        <v>383.71208485751703</v>
      </c>
      <c r="L603" s="28">
        <f t="shared" si="32"/>
        <v>383.51162037664272</v>
      </c>
      <c r="M603" s="28">
        <f t="shared" si="32"/>
        <v>383.32902474822743</v>
      </c>
      <c r="N603" s="28">
        <f t="shared" si="32"/>
        <v>383.64195276159512</v>
      </c>
    </row>
    <row r="604" spans="1:14" x14ac:dyDescent="0.4">
      <c r="A604" s="1">
        <v>39569</v>
      </c>
      <c r="B604" s="28">
        <v>385.42902474822739</v>
      </c>
      <c r="C604" s="28">
        <f t="shared" si="33"/>
        <v>384.18195276159508</v>
      </c>
      <c r="D604" s="28">
        <f t="shared" si="32"/>
        <v>384.45770424061777</v>
      </c>
      <c r="E604" s="28">
        <f t="shared" si="32"/>
        <v>385.14584157521563</v>
      </c>
      <c r="F604" s="28">
        <f t="shared" si="32"/>
        <v>385.01110125095965</v>
      </c>
      <c r="G604" s="28">
        <f t="shared" si="32"/>
        <v>384.49768595041326</v>
      </c>
      <c r="H604" s="28">
        <f t="shared" si="32"/>
        <v>384.41164769904714</v>
      </c>
      <c r="I604" s="28">
        <f t="shared" si="32"/>
        <v>384.18708485751705</v>
      </c>
      <c r="J604" s="28">
        <f t="shared" si="32"/>
        <v>384.06432529467554</v>
      </c>
      <c r="K604" s="28">
        <f t="shared" si="32"/>
        <v>383.24992638757169</v>
      </c>
      <c r="L604" s="28">
        <f t="shared" si="32"/>
        <v>383.71208485751703</v>
      </c>
      <c r="M604" s="28">
        <f t="shared" si="32"/>
        <v>383.51162037664272</v>
      </c>
      <c r="N604" s="28">
        <f t="shared" si="32"/>
        <v>383.32902474822743</v>
      </c>
    </row>
    <row r="605" spans="1:14" x14ac:dyDescent="0.4">
      <c r="A605" s="1">
        <v>39600</v>
      </c>
      <c r="B605" s="28">
        <v>385.69162037664273</v>
      </c>
      <c r="C605" s="28">
        <f t="shared" si="33"/>
        <v>385.42902474822739</v>
      </c>
      <c r="D605" s="28">
        <f t="shared" si="32"/>
        <v>384.18195276159508</v>
      </c>
      <c r="E605" s="28">
        <f t="shared" si="32"/>
        <v>384.45770424061777</v>
      </c>
      <c r="F605" s="28">
        <f t="shared" si="32"/>
        <v>385.14584157521563</v>
      </c>
      <c r="G605" s="28">
        <f t="shared" si="32"/>
        <v>385.01110125095965</v>
      </c>
      <c r="H605" s="28">
        <f t="shared" si="32"/>
        <v>384.49768595041326</v>
      </c>
      <c r="I605" s="28">
        <f t="shared" si="32"/>
        <v>384.41164769904714</v>
      </c>
      <c r="J605" s="28">
        <f t="shared" si="32"/>
        <v>384.18708485751705</v>
      </c>
      <c r="K605" s="28">
        <f t="shared" si="32"/>
        <v>384.06432529467554</v>
      </c>
      <c r="L605" s="28">
        <f t="shared" si="32"/>
        <v>383.24992638757169</v>
      </c>
      <c r="M605" s="28">
        <f t="shared" si="32"/>
        <v>383.71208485751703</v>
      </c>
      <c r="N605" s="28">
        <f t="shared" si="32"/>
        <v>383.51162037664272</v>
      </c>
    </row>
    <row r="606" spans="1:14" x14ac:dyDescent="0.4">
      <c r="A606" s="1">
        <v>39630</v>
      </c>
      <c r="B606" s="28">
        <v>385.52208485751703</v>
      </c>
      <c r="C606" s="28">
        <f t="shared" si="33"/>
        <v>385.69162037664273</v>
      </c>
      <c r="D606" s="28">
        <f t="shared" si="32"/>
        <v>385.42902474822739</v>
      </c>
      <c r="E606" s="28">
        <f t="shared" si="32"/>
        <v>384.18195276159508</v>
      </c>
      <c r="F606" s="28">
        <f t="shared" si="32"/>
        <v>384.45770424061777</v>
      </c>
      <c r="G606" s="28">
        <f t="shared" si="32"/>
        <v>385.14584157521563</v>
      </c>
      <c r="H606" s="28">
        <f t="shared" si="32"/>
        <v>385.01110125095965</v>
      </c>
      <c r="I606" s="28">
        <f t="shared" si="32"/>
        <v>384.49768595041326</v>
      </c>
      <c r="J606" s="28">
        <f t="shared" si="32"/>
        <v>384.41164769904714</v>
      </c>
      <c r="K606" s="28">
        <f t="shared" si="32"/>
        <v>384.18708485751705</v>
      </c>
      <c r="L606" s="28">
        <f t="shared" si="32"/>
        <v>384.06432529467554</v>
      </c>
      <c r="M606" s="28">
        <f t="shared" si="32"/>
        <v>383.24992638757169</v>
      </c>
      <c r="N606" s="28">
        <f t="shared" si="32"/>
        <v>383.71208485751703</v>
      </c>
    </row>
    <row r="607" spans="1:14" x14ac:dyDescent="0.4">
      <c r="A607" s="1">
        <v>39661</v>
      </c>
      <c r="B607" s="28">
        <v>385.4899263875717</v>
      </c>
      <c r="C607" s="28">
        <f t="shared" si="33"/>
        <v>385.52208485751703</v>
      </c>
      <c r="D607" s="28">
        <f t="shared" si="32"/>
        <v>385.69162037664273</v>
      </c>
      <c r="E607" s="28">
        <f t="shared" si="32"/>
        <v>385.42902474822739</v>
      </c>
      <c r="F607" s="28">
        <f t="shared" si="32"/>
        <v>384.18195276159508</v>
      </c>
      <c r="G607" s="28">
        <f t="shared" si="32"/>
        <v>384.45770424061777</v>
      </c>
      <c r="H607" s="28">
        <f t="shared" si="32"/>
        <v>385.14584157521563</v>
      </c>
      <c r="I607" s="28">
        <f t="shared" si="32"/>
        <v>385.01110125095965</v>
      </c>
      <c r="J607" s="28">
        <f t="shared" si="32"/>
        <v>384.49768595041326</v>
      </c>
      <c r="K607" s="28">
        <f t="shared" si="32"/>
        <v>384.41164769904714</v>
      </c>
      <c r="L607" s="28">
        <f t="shared" si="32"/>
        <v>384.18708485751705</v>
      </c>
      <c r="M607" s="28">
        <f t="shared" si="32"/>
        <v>384.06432529467554</v>
      </c>
      <c r="N607" s="28">
        <f t="shared" si="32"/>
        <v>383.24992638757169</v>
      </c>
    </row>
    <row r="608" spans="1:14" x14ac:dyDescent="0.4">
      <c r="A608" s="1">
        <v>39692</v>
      </c>
      <c r="B608" s="28">
        <v>386.2943252946755</v>
      </c>
      <c r="C608" s="28">
        <f t="shared" si="33"/>
        <v>385.4899263875717</v>
      </c>
      <c r="D608" s="28">
        <f t="shared" si="32"/>
        <v>385.52208485751703</v>
      </c>
      <c r="E608" s="28">
        <f t="shared" si="32"/>
        <v>385.69162037664273</v>
      </c>
      <c r="F608" s="28">
        <f t="shared" si="32"/>
        <v>385.42902474822739</v>
      </c>
      <c r="G608" s="28">
        <f t="shared" si="32"/>
        <v>384.18195276159508</v>
      </c>
      <c r="H608" s="28">
        <f t="shared" si="32"/>
        <v>384.45770424061777</v>
      </c>
      <c r="I608" s="28">
        <f t="shared" si="32"/>
        <v>385.14584157521563</v>
      </c>
      <c r="J608" s="28">
        <f t="shared" si="32"/>
        <v>385.01110125095965</v>
      </c>
      <c r="K608" s="28">
        <f t="shared" si="32"/>
        <v>384.49768595041326</v>
      </c>
      <c r="L608" s="28">
        <f t="shared" si="32"/>
        <v>384.41164769904714</v>
      </c>
      <c r="M608" s="28">
        <f t="shared" si="32"/>
        <v>384.18708485751705</v>
      </c>
      <c r="N608" s="28">
        <f t="shared" si="32"/>
        <v>384.06432529467554</v>
      </c>
    </row>
    <row r="609" spans="1:14" x14ac:dyDescent="0.4">
      <c r="A609" s="1">
        <v>39722</v>
      </c>
      <c r="B609" s="28">
        <v>386.10708485751701</v>
      </c>
      <c r="C609" s="28">
        <f t="shared" si="33"/>
        <v>386.2943252946755</v>
      </c>
      <c r="D609" s="28">
        <f t="shared" si="32"/>
        <v>385.4899263875717</v>
      </c>
      <c r="E609" s="28">
        <f t="shared" si="32"/>
        <v>385.52208485751703</v>
      </c>
      <c r="F609" s="28">
        <f t="shared" si="32"/>
        <v>385.69162037664273</v>
      </c>
      <c r="G609" s="28">
        <f t="shared" si="32"/>
        <v>385.42902474822739</v>
      </c>
      <c r="H609" s="28">
        <f t="shared" si="32"/>
        <v>384.18195276159508</v>
      </c>
      <c r="I609" s="28">
        <f t="shared" si="32"/>
        <v>384.45770424061777</v>
      </c>
      <c r="J609" s="28">
        <f t="shared" si="32"/>
        <v>385.14584157521563</v>
      </c>
      <c r="K609" s="28">
        <f t="shared" si="32"/>
        <v>385.01110125095965</v>
      </c>
      <c r="L609" s="28">
        <f t="shared" si="32"/>
        <v>384.49768595041326</v>
      </c>
      <c r="M609" s="28">
        <f t="shared" si="32"/>
        <v>384.41164769904714</v>
      </c>
      <c r="N609" s="28">
        <f t="shared" si="32"/>
        <v>384.18708485751705</v>
      </c>
    </row>
    <row r="610" spans="1:14" x14ac:dyDescent="0.4">
      <c r="A610" s="1">
        <v>39753</v>
      </c>
      <c r="B610" s="28">
        <v>386.06164769904711</v>
      </c>
      <c r="C610" s="28">
        <f t="shared" si="33"/>
        <v>386.10708485751701</v>
      </c>
      <c r="D610" s="28">
        <f t="shared" si="32"/>
        <v>386.2943252946755</v>
      </c>
      <c r="E610" s="28">
        <f t="shared" si="32"/>
        <v>385.4899263875717</v>
      </c>
      <c r="F610" s="28">
        <f t="shared" si="32"/>
        <v>385.52208485751703</v>
      </c>
      <c r="G610" s="28">
        <f t="shared" si="32"/>
        <v>385.69162037664273</v>
      </c>
      <c r="H610" s="28">
        <f t="shared" si="32"/>
        <v>385.42902474822739</v>
      </c>
      <c r="I610" s="28">
        <f t="shared" si="32"/>
        <v>384.18195276159508</v>
      </c>
      <c r="J610" s="28">
        <f t="shared" si="32"/>
        <v>384.45770424061777</v>
      </c>
      <c r="K610" s="28">
        <f t="shared" si="32"/>
        <v>385.14584157521563</v>
      </c>
      <c r="L610" s="28">
        <f t="shared" si="32"/>
        <v>385.01110125095965</v>
      </c>
      <c r="M610" s="28">
        <f t="shared" si="32"/>
        <v>384.49768595041326</v>
      </c>
      <c r="N610" s="28">
        <f t="shared" si="32"/>
        <v>384.41164769904714</v>
      </c>
    </row>
    <row r="611" spans="1:14" x14ac:dyDescent="0.4">
      <c r="A611" s="1">
        <v>39783</v>
      </c>
      <c r="B611" s="28">
        <v>385.99768595041326</v>
      </c>
      <c r="C611" s="28">
        <f t="shared" si="33"/>
        <v>386.06164769904711</v>
      </c>
      <c r="D611" s="28">
        <f t="shared" si="32"/>
        <v>386.10708485751701</v>
      </c>
      <c r="E611" s="28">
        <f t="shared" si="32"/>
        <v>386.2943252946755</v>
      </c>
      <c r="F611" s="28">
        <f t="shared" si="32"/>
        <v>385.4899263875717</v>
      </c>
      <c r="G611" s="28">
        <f t="shared" si="32"/>
        <v>385.52208485751703</v>
      </c>
      <c r="H611" s="28">
        <f t="shared" si="32"/>
        <v>385.69162037664273</v>
      </c>
      <c r="I611" s="28">
        <f t="shared" si="32"/>
        <v>385.42902474822739</v>
      </c>
      <c r="J611" s="28">
        <f t="shared" si="32"/>
        <v>384.18195276159508</v>
      </c>
      <c r="K611" s="28">
        <f t="shared" si="32"/>
        <v>384.45770424061777</v>
      </c>
      <c r="L611" s="28">
        <f t="shared" si="32"/>
        <v>385.14584157521563</v>
      </c>
      <c r="M611" s="28">
        <f t="shared" si="32"/>
        <v>385.01110125095965</v>
      </c>
      <c r="N611" s="28">
        <f t="shared" si="32"/>
        <v>384.49768595041326</v>
      </c>
    </row>
    <row r="612" spans="1:14" x14ac:dyDescent="0.4">
      <c r="A612" s="1">
        <v>39814</v>
      </c>
      <c r="B612" s="28">
        <v>386.59110125095964</v>
      </c>
      <c r="C612" s="28">
        <f t="shared" si="33"/>
        <v>385.99768595041326</v>
      </c>
      <c r="D612" s="28">
        <f t="shared" si="32"/>
        <v>386.06164769904711</v>
      </c>
      <c r="E612" s="28">
        <f t="shared" si="32"/>
        <v>386.10708485751701</v>
      </c>
      <c r="F612" s="28">
        <f t="shared" si="32"/>
        <v>386.2943252946755</v>
      </c>
      <c r="G612" s="28">
        <f t="shared" si="32"/>
        <v>385.4899263875717</v>
      </c>
      <c r="H612" s="28">
        <f t="shared" si="32"/>
        <v>385.52208485751703</v>
      </c>
      <c r="I612" s="28">
        <f t="shared" si="32"/>
        <v>385.69162037664273</v>
      </c>
      <c r="J612" s="28">
        <f t="shared" si="32"/>
        <v>385.42902474822739</v>
      </c>
      <c r="K612" s="28">
        <f t="shared" si="32"/>
        <v>384.18195276159508</v>
      </c>
      <c r="L612" s="28">
        <f t="shared" si="32"/>
        <v>384.45770424061777</v>
      </c>
      <c r="M612" s="28">
        <f t="shared" si="32"/>
        <v>385.14584157521563</v>
      </c>
      <c r="N612" s="28">
        <f t="shared" si="32"/>
        <v>385.01110125095965</v>
      </c>
    </row>
    <row r="613" spans="1:14" x14ac:dyDescent="0.4">
      <c r="A613" s="1">
        <v>39845</v>
      </c>
      <c r="B613" s="28">
        <v>386.42584157521566</v>
      </c>
      <c r="C613" s="28">
        <f t="shared" si="33"/>
        <v>386.59110125095964</v>
      </c>
      <c r="D613" s="28">
        <f t="shared" si="32"/>
        <v>385.99768595041326</v>
      </c>
      <c r="E613" s="28">
        <f t="shared" si="32"/>
        <v>386.06164769904711</v>
      </c>
      <c r="F613" s="28">
        <f t="shared" si="32"/>
        <v>386.10708485751701</v>
      </c>
      <c r="G613" s="28">
        <f t="shared" si="32"/>
        <v>386.2943252946755</v>
      </c>
      <c r="H613" s="28">
        <f t="shared" si="32"/>
        <v>385.4899263875717</v>
      </c>
      <c r="I613" s="28">
        <f t="shared" si="32"/>
        <v>385.52208485751703</v>
      </c>
      <c r="J613" s="28">
        <f t="shared" si="32"/>
        <v>385.69162037664273</v>
      </c>
      <c r="K613" s="28">
        <f t="shared" si="32"/>
        <v>385.42902474822739</v>
      </c>
      <c r="L613" s="28">
        <f t="shared" si="32"/>
        <v>384.18195276159508</v>
      </c>
      <c r="M613" s="28">
        <f t="shared" si="32"/>
        <v>384.45770424061777</v>
      </c>
      <c r="N613" s="28">
        <f t="shared" si="32"/>
        <v>385.14584157521563</v>
      </c>
    </row>
    <row r="614" spans="1:14" x14ac:dyDescent="0.4">
      <c r="A614" s="1">
        <v>39873</v>
      </c>
      <c r="B614" s="28">
        <v>387.14770424061777</v>
      </c>
      <c r="C614" s="28">
        <f t="shared" si="33"/>
        <v>386.42584157521566</v>
      </c>
      <c r="D614" s="28">
        <f t="shared" si="32"/>
        <v>386.59110125095964</v>
      </c>
      <c r="E614" s="28">
        <f t="shared" si="32"/>
        <v>385.99768595041326</v>
      </c>
      <c r="F614" s="28">
        <f t="shared" si="32"/>
        <v>386.06164769904711</v>
      </c>
      <c r="G614" s="28">
        <f t="shared" si="32"/>
        <v>386.10708485751701</v>
      </c>
      <c r="H614" s="28">
        <f t="shared" si="32"/>
        <v>386.2943252946755</v>
      </c>
      <c r="I614" s="28">
        <f t="shared" si="32"/>
        <v>385.4899263875717</v>
      </c>
      <c r="J614" s="28">
        <f t="shared" si="32"/>
        <v>385.52208485751703</v>
      </c>
      <c r="K614" s="28">
        <f t="shared" si="32"/>
        <v>385.69162037664273</v>
      </c>
      <c r="L614" s="28">
        <f t="shared" si="32"/>
        <v>385.42902474822739</v>
      </c>
      <c r="M614" s="28">
        <f t="shared" si="32"/>
        <v>384.18195276159508</v>
      </c>
      <c r="N614" s="28">
        <f t="shared" si="32"/>
        <v>384.45770424061777</v>
      </c>
    </row>
    <row r="615" spans="1:14" x14ac:dyDescent="0.4">
      <c r="A615" s="1">
        <v>39904</v>
      </c>
      <c r="B615" s="28">
        <v>386.9819527615951</v>
      </c>
      <c r="C615" s="28">
        <f t="shared" si="33"/>
        <v>387.14770424061777</v>
      </c>
      <c r="D615" s="28">
        <f t="shared" si="32"/>
        <v>386.42584157521566</v>
      </c>
      <c r="E615" s="28">
        <f t="shared" si="32"/>
        <v>386.59110125095964</v>
      </c>
      <c r="F615" s="28">
        <f t="shared" si="32"/>
        <v>385.99768595041326</v>
      </c>
      <c r="G615" s="28">
        <f t="shared" si="32"/>
        <v>386.06164769904711</v>
      </c>
      <c r="H615" s="28">
        <f t="shared" si="32"/>
        <v>386.10708485751701</v>
      </c>
      <c r="I615" s="28">
        <f t="shared" si="32"/>
        <v>386.2943252946755</v>
      </c>
      <c r="J615" s="28">
        <f t="shared" si="32"/>
        <v>385.4899263875717</v>
      </c>
      <c r="K615" s="28">
        <f t="shared" si="32"/>
        <v>385.52208485751703</v>
      </c>
      <c r="L615" s="28">
        <f t="shared" si="32"/>
        <v>385.69162037664273</v>
      </c>
      <c r="M615" s="28">
        <f t="shared" si="32"/>
        <v>385.42902474822739</v>
      </c>
      <c r="N615" s="28">
        <f t="shared" si="32"/>
        <v>384.18195276159508</v>
      </c>
    </row>
    <row r="616" spans="1:14" x14ac:dyDescent="0.4">
      <c r="A616" s="1">
        <v>39934</v>
      </c>
      <c r="B616" s="28">
        <v>387.08902474822742</v>
      </c>
      <c r="C616" s="28">
        <f t="shared" si="33"/>
        <v>386.9819527615951</v>
      </c>
      <c r="D616" s="28">
        <f t="shared" si="32"/>
        <v>387.14770424061777</v>
      </c>
      <c r="E616" s="28">
        <f t="shared" si="32"/>
        <v>386.42584157521566</v>
      </c>
      <c r="F616" s="28">
        <f t="shared" si="32"/>
        <v>386.59110125095964</v>
      </c>
      <c r="G616" s="28">
        <f t="shared" si="32"/>
        <v>385.99768595041326</v>
      </c>
      <c r="H616" s="28">
        <f t="shared" si="32"/>
        <v>386.06164769904711</v>
      </c>
      <c r="I616" s="28">
        <f t="shared" si="32"/>
        <v>386.10708485751701</v>
      </c>
      <c r="J616" s="28">
        <f t="shared" si="32"/>
        <v>386.2943252946755</v>
      </c>
      <c r="K616" s="28">
        <f t="shared" si="32"/>
        <v>385.4899263875717</v>
      </c>
      <c r="L616" s="28">
        <f t="shared" si="32"/>
        <v>385.52208485751703</v>
      </c>
      <c r="M616" s="28">
        <f t="shared" si="32"/>
        <v>385.69162037664273</v>
      </c>
      <c r="N616" s="28">
        <f t="shared" si="32"/>
        <v>385.42902474822739</v>
      </c>
    </row>
    <row r="617" spans="1:14" x14ac:dyDescent="0.4">
      <c r="A617" s="1">
        <v>39965</v>
      </c>
      <c r="B617" s="28">
        <v>387.26162037664272</v>
      </c>
      <c r="C617" s="28">
        <f t="shared" si="33"/>
        <v>387.08902474822742</v>
      </c>
      <c r="D617" s="28">
        <f t="shared" si="33"/>
        <v>386.9819527615951</v>
      </c>
      <c r="E617" s="28">
        <f t="shared" si="33"/>
        <v>387.14770424061777</v>
      </c>
      <c r="F617" s="28">
        <f t="shared" si="33"/>
        <v>386.42584157521566</v>
      </c>
      <c r="G617" s="28">
        <f t="shared" si="33"/>
        <v>386.59110125095964</v>
      </c>
      <c r="H617" s="28">
        <f t="shared" si="33"/>
        <v>385.99768595041326</v>
      </c>
      <c r="I617" s="28">
        <f t="shared" si="33"/>
        <v>386.06164769904711</v>
      </c>
      <c r="J617" s="28">
        <f t="shared" si="33"/>
        <v>386.10708485751701</v>
      </c>
      <c r="K617" s="28">
        <f t="shared" si="33"/>
        <v>386.2943252946755</v>
      </c>
      <c r="L617" s="28">
        <f t="shared" si="33"/>
        <v>385.4899263875717</v>
      </c>
      <c r="M617" s="28">
        <f t="shared" si="33"/>
        <v>385.52208485751703</v>
      </c>
      <c r="N617" s="28">
        <f t="shared" si="33"/>
        <v>385.69162037664273</v>
      </c>
    </row>
    <row r="618" spans="1:14" x14ac:dyDescent="0.4">
      <c r="A618" s="1">
        <v>39995</v>
      </c>
      <c r="B618" s="28">
        <v>387.34208485751702</v>
      </c>
      <c r="C618" s="28">
        <f t="shared" si="33"/>
        <v>387.26162037664272</v>
      </c>
      <c r="D618" s="28">
        <f t="shared" si="33"/>
        <v>387.08902474822742</v>
      </c>
      <c r="E618" s="28">
        <f t="shared" si="33"/>
        <v>386.9819527615951</v>
      </c>
      <c r="F618" s="28">
        <f t="shared" si="33"/>
        <v>387.14770424061777</v>
      </c>
      <c r="G618" s="28">
        <f t="shared" si="33"/>
        <v>386.42584157521566</v>
      </c>
      <c r="H618" s="28">
        <f t="shared" si="33"/>
        <v>386.59110125095964</v>
      </c>
      <c r="I618" s="28">
        <f t="shared" si="33"/>
        <v>385.99768595041326</v>
      </c>
      <c r="J618" s="28">
        <f t="shared" si="33"/>
        <v>386.06164769904711</v>
      </c>
      <c r="K618" s="28">
        <f t="shared" si="33"/>
        <v>386.10708485751701</v>
      </c>
      <c r="L618" s="28">
        <f t="shared" si="33"/>
        <v>386.2943252946755</v>
      </c>
      <c r="M618" s="28">
        <f t="shared" si="33"/>
        <v>385.4899263875717</v>
      </c>
      <c r="N618" s="28">
        <f t="shared" si="33"/>
        <v>385.52208485751703</v>
      </c>
    </row>
    <row r="619" spans="1:14" x14ac:dyDescent="0.4">
      <c r="A619" s="1">
        <v>40026</v>
      </c>
      <c r="B619" s="28">
        <v>387.4899263875717</v>
      </c>
      <c r="C619" s="28">
        <f t="shared" si="33"/>
        <v>387.34208485751702</v>
      </c>
      <c r="D619" s="28">
        <f t="shared" si="33"/>
        <v>387.26162037664272</v>
      </c>
      <c r="E619" s="28">
        <f t="shared" si="33"/>
        <v>387.08902474822742</v>
      </c>
      <c r="F619" s="28">
        <f t="shared" si="33"/>
        <v>386.9819527615951</v>
      </c>
      <c r="G619" s="28">
        <f t="shared" si="33"/>
        <v>387.14770424061777</v>
      </c>
      <c r="H619" s="28">
        <f t="shared" si="33"/>
        <v>386.42584157521566</v>
      </c>
      <c r="I619" s="28">
        <f t="shared" si="33"/>
        <v>386.59110125095964</v>
      </c>
      <c r="J619" s="28">
        <f t="shared" si="33"/>
        <v>385.99768595041326</v>
      </c>
      <c r="K619" s="28">
        <f t="shared" si="33"/>
        <v>386.06164769904711</v>
      </c>
      <c r="L619" s="28">
        <f t="shared" si="33"/>
        <v>386.10708485751701</v>
      </c>
      <c r="M619" s="28">
        <f t="shared" si="33"/>
        <v>386.2943252946755</v>
      </c>
      <c r="N619" s="28">
        <f t="shared" si="33"/>
        <v>385.4899263875717</v>
      </c>
    </row>
    <row r="620" spans="1:14" x14ac:dyDescent="0.4">
      <c r="A620" s="1">
        <v>40057</v>
      </c>
      <c r="B620" s="28">
        <v>387.8543252946755</v>
      </c>
      <c r="C620" s="28">
        <f t="shared" si="33"/>
        <v>387.4899263875717</v>
      </c>
      <c r="D620" s="28">
        <f t="shared" si="33"/>
        <v>387.34208485751702</v>
      </c>
      <c r="E620" s="28">
        <f t="shared" si="33"/>
        <v>387.26162037664272</v>
      </c>
      <c r="F620" s="28">
        <f t="shared" si="33"/>
        <v>387.08902474822742</v>
      </c>
      <c r="G620" s="28">
        <f t="shared" si="33"/>
        <v>386.9819527615951</v>
      </c>
      <c r="H620" s="28">
        <f t="shared" si="33"/>
        <v>387.14770424061777</v>
      </c>
      <c r="I620" s="28">
        <f t="shared" si="33"/>
        <v>386.42584157521566</v>
      </c>
      <c r="J620" s="28">
        <f t="shared" si="33"/>
        <v>386.59110125095964</v>
      </c>
      <c r="K620" s="28">
        <f t="shared" si="33"/>
        <v>385.99768595041326</v>
      </c>
      <c r="L620" s="28">
        <f t="shared" si="33"/>
        <v>386.06164769904711</v>
      </c>
      <c r="M620" s="28">
        <f t="shared" si="33"/>
        <v>386.10708485751701</v>
      </c>
      <c r="N620" s="28">
        <f t="shared" si="33"/>
        <v>386.2943252946755</v>
      </c>
    </row>
    <row r="621" spans="1:14" x14ac:dyDescent="0.4">
      <c r="A621" s="1">
        <v>40087</v>
      </c>
      <c r="B621" s="28">
        <v>387.65708485751702</v>
      </c>
      <c r="C621" s="28">
        <f t="shared" si="33"/>
        <v>387.8543252946755</v>
      </c>
      <c r="D621" s="28">
        <f t="shared" si="33"/>
        <v>387.4899263875717</v>
      </c>
      <c r="E621" s="28">
        <f t="shared" si="33"/>
        <v>387.34208485751702</v>
      </c>
      <c r="F621" s="28">
        <f t="shared" si="33"/>
        <v>387.26162037664272</v>
      </c>
      <c r="G621" s="28">
        <f t="shared" si="33"/>
        <v>387.08902474822742</v>
      </c>
      <c r="H621" s="28">
        <f t="shared" si="33"/>
        <v>386.9819527615951</v>
      </c>
      <c r="I621" s="28">
        <f t="shared" si="33"/>
        <v>387.14770424061777</v>
      </c>
      <c r="J621" s="28">
        <f t="shared" si="33"/>
        <v>386.42584157521566</v>
      </c>
      <c r="K621" s="28">
        <f t="shared" si="33"/>
        <v>386.59110125095964</v>
      </c>
      <c r="L621" s="28">
        <f t="shared" si="33"/>
        <v>385.99768595041326</v>
      </c>
      <c r="M621" s="28">
        <f t="shared" si="33"/>
        <v>386.06164769904711</v>
      </c>
      <c r="N621" s="28">
        <f t="shared" si="33"/>
        <v>386.10708485751701</v>
      </c>
    </row>
    <row r="622" spans="1:14" x14ac:dyDescent="0.4">
      <c r="A622" s="1">
        <v>40118</v>
      </c>
      <c r="B622" s="28">
        <v>388.10164769904713</v>
      </c>
      <c r="C622" s="28">
        <f t="shared" si="33"/>
        <v>387.65708485751702</v>
      </c>
      <c r="D622" s="28">
        <f t="shared" si="33"/>
        <v>387.8543252946755</v>
      </c>
      <c r="E622" s="28">
        <f t="shared" si="33"/>
        <v>387.4899263875717</v>
      </c>
      <c r="F622" s="28">
        <f t="shared" si="33"/>
        <v>387.34208485751702</v>
      </c>
      <c r="G622" s="28">
        <f t="shared" si="33"/>
        <v>387.26162037664272</v>
      </c>
      <c r="H622" s="28">
        <f t="shared" si="33"/>
        <v>387.08902474822742</v>
      </c>
      <c r="I622" s="28">
        <f t="shared" si="33"/>
        <v>386.9819527615951</v>
      </c>
      <c r="J622" s="28">
        <f t="shared" si="33"/>
        <v>387.14770424061777</v>
      </c>
      <c r="K622" s="28">
        <f t="shared" si="33"/>
        <v>386.42584157521566</v>
      </c>
      <c r="L622" s="28">
        <f t="shared" si="33"/>
        <v>386.59110125095964</v>
      </c>
      <c r="M622" s="28">
        <f t="shared" si="33"/>
        <v>385.99768595041326</v>
      </c>
      <c r="N622" s="28">
        <f t="shared" si="33"/>
        <v>386.06164769904711</v>
      </c>
    </row>
    <row r="623" spans="1:14" x14ac:dyDescent="0.4">
      <c r="A623" s="1">
        <v>40148</v>
      </c>
      <c r="B623" s="28">
        <v>388.37768595041325</v>
      </c>
      <c r="C623" s="28">
        <f t="shared" si="33"/>
        <v>388.10164769904713</v>
      </c>
      <c r="D623" s="28">
        <f t="shared" si="33"/>
        <v>387.65708485751702</v>
      </c>
      <c r="E623" s="28">
        <f t="shared" si="33"/>
        <v>387.8543252946755</v>
      </c>
      <c r="F623" s="28">
        <f t="shared" si="33"/>
        <v>387.4899263875717</v>
      </c>
      <c r="G623" s="28">
        <f t="shared" si="33"/>
        <v>387.34208485751702</v>
      </c>
      <c r="H623" s="28">
        <f t="shared" si="33"/>
        <v>387.26162037664272</v>
      </c>
      <c r="I623" s="28">
        <f t="shared" si="33"/>
        <v>387.08902474822742</v>
      </c>
      <c r="J623" s="28">
        <f t="shared" si="33"/>
        <v>386.9819527615951</v>
      </c>
      <c r="K623" s="28">
        <f t="shared" si="33"/>
        <v>387.14770424061777</v>
      </c>
      <c r="L623" s="28">
        <f t="shared" si="33"/>
        <v>386.42584157521566</v>
      </c>
      <c r="M623" s="28">
        <f t="shared" si="33"/>
        <v>386.59110125095964</v>
      </c>
      <c r="N623" s="28">
        <f t="shared" si="33"/>
        <v>385.99768595041326</v>
      </c>
    </row>
    <row r="624" spans="1:14" x14ac:dyDescent="0.4">
      <c r="A624" s="1">
        <v>40179</v>
      </c>
      <c r="B624" s="28">
        <v>388.49110125095967</v>
      </c>
      <c r="C624" s="28">
        <f t="shared" si="33"/>
        <v>388.37768595041325</v>
      </c>
      <c r="D624" s="28">
        <f t="shared" si="33"/>
        <v>388.10164769904713</v>
      </c>
      <c r="E624" s="28">
        <f t="shared" si="33"/>
        <v>387.65708485751702</v>
      </c>
      <c r="F624" s="28">
        <f t="shared" si="33"/>
        <v>387.8543252946755</v>
      </c>
      <c r="G624" s="28">
        <f t="shared" si="33"/>
        <v>387.4899263875717</v>
      </c>
      <c r="H624" s="28">
        <f t="shared" si="33"/>
        <v>387.34208485751702</v>
      </c>
      <c r="I624" s="28">
        <f t="shared" si="33"/>
        <v>387.26162037664272</v>
      </c>
      <c r="J624" s="28">
        <f t="shared" si="33"/>
        <v>387.08902474822742</v>
      </c>
      <c r="K624" s="28">
        <f t="shared" si="33"/>
        <v>386.9819527615951</v>
      </c>
      <c r="L624" s="28">
        <f t="shared" si="33"/>
        <v>387.14770424061777</v>
      </c>
      <c r="M624" s="28">
        <f t="shared" si="33"/>
        <v>386.42584157521566</v>
      </c>
      <c r="N624" s="28">
        <f t="shared" si="33"/>
        <v>386.59110125095964</v>
      </c>
    </row>
    <row r="625" spans="1:14" x14ac:dyDescent="0.4">
      <c r="A625" s="1">
        <v>40210</v>
      </c>
      <c r="B625" s="28">
        <v>389.38584157521564</v>
      </c>
      <c r="C625" s="28">
        <f t="shared" si="33"/>
        <v>388.49110125095967</v>
      </c>
      <c r="D625" s="28">
        <f t="shared" si="33"/>
        <v>388.37768595041325</v>
      </c>
      <c r="E625" s="28">
        <f t="shared" si="33"/>
        <v>388.10164769904713</v>
      </c>
      <c r="F625" s="28">
        <f t="shared" si="33"/>
        <v>387.65708485751702</v>
      </c>
      <c r="G625" s="28">
        <f t="shared" si="33"/>
        <v>387.8543252946755</v>
      </c>
      <c r="H625" s="28">
        <f t="shared" si="33"/>
        <v>387.4899263875717</v>
      </c>
      <c r="I625" s="28">
        <f t="shared" si="33"/>
        <v>387.34208485751702</v>
      </c>
      <c r="J625" s="28">
        <f t="shared" si="33"/>
        <v>387.26162037664272</v>
      </c>
      <c r="K625" s="28">
        <f t="shared" si="33"/>
        <v>387.08902474822742</v>
      </c>
      <c r="L625" s="28">
        <f t="shared" si="33"/>
        <v>386.9819527615951</v>
      </c>
      <c r="M625" s="28">
        <f t="shared" si="33"/>
        <v>387.14770424061777</v>
      </c>
      <c r="N625" s="28">
        <f t="shared" si="33"/>
        <v>386.42584157521566</v>
      </c>
    </row>
    <row r="626" spans="1:14" x14ac:dyDescent="0.4">
      <c r="A626" s="1">
        <v>40238</v>
      </c>
      <c r="B626" s="28">
        <v>389.63770424061778</v>
      </c>
      <c r="C626" s="28">
        <f t="shared" si="33"/>
        <v>389.38584157521564</v>
      </c>
      <c r="D626" s="28">
        <f t="shared" si="33"/>
        <v>388.49110125095967</v>
      </c>
      <c r="E626" s="28">
        <f t="shared" si="33"/>
        <v>388.37768595041325</v>
      </c>
      <c r="F626" s="28">
        <f t="shared" si="33"/>
        <v>388.10164769904713</v>
      </c>
      <c r="G626" s="28">
        <f t="shared" si="33"/>
        <v>387.65708485751702</v>
      </c>
      <c r="H626" s="28">
        <f t="shared" si="33"/>
        <v>387.8543252946755</v>
      </c>
      <c r="I626" s="28">
        <f t="shared" si="33"/>
        <v>387.4899263875717</v>
      </c>
      <c r="J626" s="28">
        <f t="shared" si="33"/>
        <v>387.34208485751702</v>
      </c>
      <c r="K626" s="28">
        <f t="shared" si="33"/>
        <v>387.26162037664272</v>
      </c>
      <c r="L626" s="28">
        <f t="shared" si="33"/>
        <v>387.08902474822742</v>
      </c>
      <c r="M626" s="28">
        <f t="shared" si="33"/>
        <v>386.9819527615951</v>
      </c>
      <c r="N626" s="28">
        <f t="shared" si="33"/>
        <v>387.14770424061777</v>
      </c>
    </row>
    <row r="627" spans="1:14" x14ac:dyDescent="0.4">
      <c r="A627" s="1">
        <v>40269</v>
      </c>
      <c r="B627" s="28">
        <v>389.7919527615951</v>
      </c>
      <c r="C627" s="28">
        <f t="shared" si="33"/>
        <v>389.63770424061778</v>
      </c>
      <c r="D627" s="28">
        <f t="shared" si="33"/>
        <v>389.38584157521564</v>
      </c>
      <c r="E627" s="28">
        <f t="shared" si="33"/>
        <v>388.49110125095967</v>
      </c>
      <c r="F627" s="28">
        <f t="shared" si="33"/>
        <v>388.37768595041325</v>
      </c>
      <c r="G627" s="28">
        <f t="shared" si="33"/>
        <v>388.10164769904713</v>
      </c>
      <c r="H627" s="28">
        <f t="shared" si="33"/>
        <v>387.65708485751702</v>
      </c>
      <c r="I627" s="28">
        <f t="shared" si="33"/>
        <v>387.8543252946755</v>
      </c>
      <c r="J627" s="28">
        <f t="shared" si="33"/>
        <v>387.4899263875717</v>
      </c>
      <c r="K627" s="28">
        <f t="shared" si="33"/>
        <v>387.34208485751702</v>
      </c>
      <c r="L627" s="28">
        <f t="shared" si="33"/>
        <v>387.26162037664272</v>
      </c>
      <c r="M627" s="28">
        <f t="shared" si="33"/>
        <v>387.08902474822742</v>
      </c>
      <c r="N627" s="28">
        <f t="shared" si="33"/>
        <v>386.9819527615951</v>
      </c>
    </row>
    <row r="628" spans="1:14" x14ac:dyDescent="0.4">
      <c r="A628" s="1">
        <v>40299</v>
      </c>
      <c r="B628" s="28">
        <v>390.13902474822743</v>
      </c>
      <c r="C628" s="28">
        <f t="shared" si="33"/>
        <v>389.7919527615951</v>
      </c>
      <c r="D628" s="28">
        <f t="shared" si="33"/>
        <v>389.63770424061778</v>
      </c>
      <c r="E628" s="28">
        <f t="shared" si="33"/>
        <v>389.38584157521564</v>
      </c>
      <c r="F628" s="28">
        <f t="shared" si="33"/>
        <v>388.49110125095967</v>
      </c>
      <c r="G628" s="28">
        <f t="shared" si="33"/>
        <v>388.37768595041325</v>
      </c>
      <c r="H628" s="28">
        <f t="shared" si="33"/>
        <v>388.10164769904713</v>
      </c>
      <c r="I628" s="28">
        <f t="shared" si="33"/>
        <v>387.65708485751702</v>
      </c>
      <c r="J628" s="28">
        <f t="shared" si="33"/>
        <v>387.8543252946755</v>
      </c>
      <c r="K628" s="28">
        <f t="shared" si="33"/>
        <v>387.4899263875717</v>
      </c>
      <c r="L628" s="28">
        <f t="shared" si="33"/>
        <v>387.34208485751702</v>
      </c>
      <c r="M628" s="28">
        <f t="shared" si="33"/>
        <v>387.26162037664272</v>
      </c>
      <c r="N628" s="28">
        <f t="shared" si="33"/>
        <v>387.08902474822742</v>
      </c>
    </row>
    <row r="629" spans="1:14" x14ac:dyDescent="0.4">
      <c r="A629" s="1">
        <v>40330</v>
      </c>
      <c r="B629" s="28">
        <v>389.88162037664273</v>
      </c>
      <c r="C629" s="28">
        <f t="shared" si="33"/>
        <v>390.13902474822743</v>
      </c>
      <c r="D629" s="28">
        <f t="shared" si="33"/>
        <v>389.7919527615951</v>
      </c>
      <c r="E629" s="28">
        <f t="shared" si="33"/>
        <v>389.63770424061778</v>
      </c>
      <c r="F629" s="28">
        <f t="shared" si="33"/>
        <v>389.38584157521564</v>
      </c>
      <c r="G629" s="28">
        <f t="shared" si="33"/>
        <v>388.49110125095967</v>
      </c>
      <c r="H629" s="28">
        <f t="shared" si="33"/>
        <v>388.37768595041325</v>
      </c>
      <c r="I629" s="28">
        <f t="shared" si="33"/>
        <v>388.10164769904713</v>
      </c>
      <c r="J629" s="28">
        <f t="shared" si="33"/>
        <v>387.65708485751702</v>
      </c>
      <c r="K629" s="28">
        <f t="shared" si="33"/>
        <v>387.8543252946755</v>
      </c>
      <c r="L629" s="28">
        <f t="shared" si="33"/>
        <v>387.4899263875717</v>
      </c>
      <c r="M629" s="28">
        <f t="shared" si="33"/>
        <v>387.34208485751702</v>
      </c>
      <c r="N629" s="28">
        <f t="shared" si="33"/>
        <v>387.26162037664272</v>
      </c>
    </row>
    <row r="630" spans="1:14" x14ac:dyDescent="0.4">
      <c r="A630" s="1">
        <v>40360</v>
      </c>
      <c r="B630" s="28">
        <v>389.60208485751701</v>
      </c>
      <c r="C630" s="28">
        <f t="shared" si="33"/>
        <v>389.88162037664273</v>
      </c>
      <c r="D630" s="28">
        <f t="shared" si="33"/>
        <v>390.13902474822743</v>
      </c>
      <c r="E630" s="28">
        <f t="shared" si="33"/>
        <v>389.7919527615951</v>
      </c>
      <c r="F630" s="28">
        <f t="shared" si="33"/>
        <v>389.63770424061778</v>
      </c>
      <c r="G630" s="28">
        <f t="shared" si="33"/>
        <v>389.38584157521564</v>
      </c>
      <c r="H630" s="28">
        <f t="shared" si="33"/>
        <v>388.49110125095967</v>
      </c>
      <c r="I630" s="28">
        <f t="shared" si="33"/>
        <v>388.37768595041325</v>
      </c>
      <c r="J630" s="28">
        <f t="shared" si="33"/>
        <v>388.10164769904713</v>
      </c>
      <c r="K630" s="28">
        <f t="shared" si="33"/>
        <v>387.65708485751702</v>
      </c>
      <c r="L630" s="28">
        <f t="shared" si="33"/>
        <v>387.8543252946755</v>
      </c>
      <c r="M630" s="28">
        <f t="shared" si="33"/>
        <v>387.4899263875717</v>
      </c>
      <c r="N630" s="28">
        <f t="shared" si="33"/>
        <v>387.34208485751702</v>
      </c>
    </row>
    <row r="631" spans="1:14" x14ac:dyDescent="0.4">
      <c r="A631" s="1">
        <v>40391</v>
      </c>
      <c r="B631" s="28">
        <v>389.9299263875717</v>
      </c>
      <c r="C631" s="28">
        <f t="shared" si="33"/>
        <v>389.60208485751701</v>
      </c>
      <c r="D631" s="28">
        <f t="shared" si="33"/>
        <v>389.88162037664273</v>
      </c>
      <c r="E631" s="28">
        <f t="shared" si="33"/>
        <v>390.13902474822743</v>
      </c>
      <c r="F631" s="28">
        <f t="shared" si="33"/>
        <v>389.7919527615951</v>
      </c>
      <c r="G631" s="28">
        <f t="shared" si="33"/>
        <v>389.63770424061778</v>
      </c>
      <c r="H631" s="28">
        <f t="shared" si="33"/>
        <v>389.38584157521564</v>
      </c>
      <c r="I631" s="28">
        <f t="shared" si="33"/>
        <v>388.49110125095967</v>
      </c>
      <c r="J631" s="28">
        <f t="shared" si="33"/>
        <v>388.37768595041325</v>
      </c>
      <c r="K631" s="28">
        <f t="shared" si="33"/>
        <v>388.10164769904713</v>
      </c>
      <c r="L631" s="28">
        <f t="shared" si="33"/>
        <v>387.65708485751702</v>
      </c>
      <c r="M631" s="28">
        <f t="shared" si="33"/>
        <v>387.8543252946755</v>
      </c>
      <c r="N631" s="28">
        <f t="shared" si="33"/>
        <v>387.4899263875717</v>
      </c>
    </row>
    <row r="632" spans="1:14" x14ac:dyDescent="0.4">
      <c r="A632" s="1">
        <v>40422</v>
      </c>
      <c r="B632" s="28">
        <v>390.0443252946755</v>
      </c>
      <c r="C632" s="28">
        <f t="shared" si="33"/>
        <v>389.9299263875717</v>
      </c>
      <c r="D632" s="28">
        <f t="shared" si="33"/>
        <v>389.60208485751701</v>
      </c>
      <c r="E632" s="28">
        <f t="shared" si="33"/>
        <v>389.88162037664273</v>
      </c>
      <c r="F632" s="28">
        <f t="shared" si="33"/>
        <v>390.13902474822743</v>
      </c>
      <c r="G632" s="28">
        <f t="shared" si="33"/>
        <v>389.7919527615951</v>
      </c>
      <c r="H632" s="28">
        <f t="shared" si="33"/>
        <v>389.63770424061778</v>
      </c>
      <c r="I632" s="28">
        <f t="shared" si="33"/>
        <v>389.38584157521564</v>
      </c>
      <c r="J632" s="28">
        <f t="shared" si="33"/>
        <v>388.49110125095967</v>
      </c>
      <c r="K632" s="28">
        <f t="shared" si="33"/>
        <v>388.37768595041325</v>
      </c>
      <c r="L632" s="28">
        <f t="shared" si="33"/>
        <v>388.10164769904713</v>
      </c>
      <c r="M632" s="28">
        <f t="shared" si="33"/>
        <v>387.65708485751702</v>
      </c>
      <c r="N632" s="28">
        <f t="shared" si="33"/>
        <v>387.8543252946755</v>
      </c>
    </row>
    <row r="633" spans="1:14" x14ac:dyDescent="0.4">
      <c r="A633" s="1">
        <v>40452</v>
      </c>
      <c r="B633" s="28">
        <v>390.48708485751706</v>
      </c>
      <c r="C633" s="28">
        <f t="shared" si="33"/>
        <v>390.0443252946755</v>
      </c>
      <c r="D633" s="28">
        <f t="shared" si="33"/>
        <v>389.9299263875717</v>
      </c>
      <c r="E633" s="28">
        <f t="shared" si="33"/>
        <v>389.60208485751701</v>
      </c>
      <c r="F633" s="28">
        <f t="shared" si="33"/>
        <v>389.88162037664273</v>
      </c>
      <c r="G633" s="28">
        <f t="shared" si="33"/>
        <v>390.13902474822743</v>
      </c>
      <c r="H633" s="28">
        <f t="shared" si="33"/>
        <v>389.7919527615951</v>
      </c>
      <c r="I633" s="28">
        <f t="shared" si="33"/>
        <v>389.63770424061778</v>
      </c>
      <c r="J633" s="28">
        <f t="shared" si="33"/>
        <v>389.38584157521564</v>
      </c>
      <c r="K633" s="28">
        <f t="shared" si="33"/>
        <v>388.49110125095967</v>
      </c>
      <c r="L633" s="28">
        <f t="shared" si="33"/>
        <v>388.37768595041325</v>
      </c>
      <c r="M633" s="28">
        <f t="shared" si="33"/>
        <v>388.10164769904713</v>
      </c>
      <c r="N633" s="28">
        <f t="shared" si="33"/>
        <v>387.65708485751702</v>
      </c>
    </row>
    <row r="634" spans="1:14" x14ac:dyDescent="0.4">
      <c r="A634" s="1">
        <v>40483</v>
      </c>
      <c r="B634" s="28">
        <v>390.72164769904714</v>
      </c>
      <c r="C634" s="28">
        <f t="shared" si="33"/>
        <v>390.48708485751706</v>
      </c>
      <c r="D634" s="28">
        <f t="shared" si="33"/>
        <v>390.0443252946755</v>
      </c>
      <c r="E634" s="28">
        <f t="shared" si="33"/>
        <v>389.9299263875717</v>
      </c>
      <c r="F634" s="28">
        <f t="shared" si="33"/>
        <v>389.60208485751701</v>
      </c>
      <c r="G634" s="28">
        <f t="shared" si="33"/>
        <v>389.88162037664273</v>
      </c>
      <c r="H634" s="28">
        <f t="shared" si="33"/>
        <v>390.13902474822743</v>
      </c>
      <c r="I634" s="28">
        <f t="shared" si="33"/>
        <v>389.7919527615951</v>
      </c>
      <c r="J634" s="28">
        <f t="shared" si="33"/>
        <v>389.63770424061778</v>
      </c>
      <c r="K634" s="28">
        <f t="shared" si="33"/>
        <v>389.38584157521564</v>
      </c>
      <c r="L634" s="28">
        <f t="shared" si="33"/>
        <v>388.49110125095967</v>
      </c>
      <c r="M634" s="28">
        <f t="shared" si="33"/>
        <v>388.37768595041325</v>
      </c>
      <c r="N634" s="28">
        <f t="shared" si="33"/>
        <v>388.10164769904713</v>
      </c>
    </row>
    <row r="635" spans="1:14" x14ac:dyDescent="0.4">
      <c r="A635" s="1">
        <v>40513</v>
      </c>
      <c r="B635" s="28">
        <v>390.69768595041324</v>
      </c>
      <c r="C635" s="28">
        <f t="shared" si="33"/>
        <v>390.72164769904714</v>
      </c>
      <c r="D635" s="28">
        <f t="shared" si="33"/>
        <v>390.48708485751706</v>
      </c>
      <c r="E635" s="28">
        <f t="shared" si="33"/>
        <v>390.0443252946755</v>
      </c>
      <c r="F635" s="28">
        <f t="shared" si="33"/>
        <v>389.9299263875717</v>
      </c>
      <c r="G635" s="28">
        <f t="shared" si="33"/>
        <v>389.60208485751701</v>
      </c>
      <c r="H635" s="28">
        <f t="shared" si="33"/>
        <v>389.88162037664273</v>
      </c>
      <c r="I635" s="28">
        <f t="shared" si="33"/>
        <v>390.13902474822743</v>
      </c>
      <c r="J635" s="28">
        <f t="shared" si="33"/>
        <v>389.7919527615951</v>
      </c>
      <c r="K635" s="28">
        <f t="shared" si="33"/>
        <v>389.63770424061778</v>
      </c>
      <c r="L635" s="28">
        <f t="shared" si="33"/>
        <v>389.38584157521564</v>
      </c>
      <c r="M635" s="28">
        <f t="shared" si="33"/>
        <v>388.49110125095967</v>
      </c>
      <c r="N635" s="28">
        <f t="shared" si="33"/>
        <v>388.37768595041325</v>
      </c>
    </row>
    <row r="636" spans="1:14" x14ac:dyDescent="0.4">
      <c r="A636" s="1">
        <v>40544</v>
      </c>
      <c r="B636" s="28">
        <v>391.24110125095967</v>
      </c>
      <c r="C636" s="28">
        <f t="shared" si="33"/>
        <v>390.69768595041324</v>
      </c>
      <c r="D636" s="28">
        <f t="shared" si="33"/>
        <v>390.72164769904714</v>
      </c>
      <c r="E636" s="28">
        <f t="shared" si="33"/>
        <v>390.48708485751706</v>
      </c>
      <c r="F636" s="28">
        <f t="shared" si="33"/>
        <v>390.0443252946755</v>
      </c>
      <c r="G636" s="28">
        <f t="shared" si="33"/>
        <v>389.9299263875717</v>
      </c>
      <c r="H636" s="28">
        <f t="shared" si="33"/>
        <v>389.60208485751701</v>
      </c>
      <c r="I636" s="28">
        <f t="shared" si="33"/>
        <v>389.88162037664273</v>
      </c>
      <c r="J636" s="28">
        <f t="shared" si="33"/>
        <v>390.13902474822743</v>
      </c>
      <c r="K636" s="28">
        <f t="shared" si="33"/>
        <v>389.7919527615951</v>
      </c>
      <c r="L636" s="28">
        <f t="shared" si="33"/>
        <v>389.63770424061778</v>
      </c>
      <c r="M636" s="28">
        <f t="shared" si="33"/>
        <v>389.38584157521564</v>
      </c>
      <c r="N636" s="28">
        <f t="shared" si="33"/>
        <v>388.49110125095967</v>
      </c>
    </row>
    <row r="637" spans="1:14" x14ac:dyDescent="0.4">
      <c r="A637" s="1">
        <v>40575</v>
      </c>
      <c r="B637" s="28">
        <v>391.22584157521567</v>
      </c>
      <c r="C637" s="28">
        <f t="shared" ref="C637:N700" si="34">IF(B636=0,"",B636)</f>
        <v>391.24110125095967</v>
      </c>
      <c r="D637" s="28">
        <f t="shared" si="34"/>
        <v>390.69768595041324</v>
      </c>
      <c r="E637" s="28">
        <f t="shared" si="34"/>
        <v>390.72164769904714</v>
      </c>
      <c r="F637" s="28">
        <f t="shared" si="34"/>
        <v>390.48708485751706</v>
      </c>
      <c r="G637" s="28">
        <f t="shared" si="34"/>
        <v>390.0443252946755</v>
      </c>
      <c r="H637" s="28">
        <f t="shared" si="34"/>
        <v>389.9299263875717</v>
      </c>
      <c r="I637" s="28">
        <f t="shared" si="34"/>
        <v>389.60208485751701</v>
      </c>
      <c r="J637" s="28">
        <f t="shared" si="34"/>
        <v>389.88162037664273</v>
      </c>
      <c r="K637" s="28">
        <f t="shared" si="34"/>
        <v>390.13902474822743</v>
      </c>
      <c r="L637" s="28">
        <f t="shared" si="34"/>
        <v>389.7919527615951</v>
      </c>
      <c r="M637" s="28">
        <f t="shared" si="34"/>
        <v>389.63770424061778</v>
      </c>
      <c r="N637" s="28">
        <f t="shared" si="34"/>
        <v>389.38584157521564</v>
      </c>
    </row>
    <row r="638" spans="1:14" x14ac:dyDescent="0.4">
      <c r="A638" s="1">
        <v>40603</v>
      </c>
      <c r="B638" s="28">
        <v>391.07770424061778</v>
      </c>
      <c r="C638" s="28">
        <f t="shared" si="34"/>
        <v>391.22584157521567</v>
      </c>
      <c r="D638" s="28">
        <f t="shared" si="34"/>
        <v>391.24110125095967</v>
      </c>
      <c r="E638" s="28">
        <f t="shared" si="34"/>
        <v>390.69768595041324</v>
      </c>
      <c r="F638" s="28">
        <f t="shared" si="34"/>
        <v>390.72164769904714</v>
      </c>
      <c r="G638" s="28">
        <f t="shared" si="34"/>
        <v>390.48708485751706</v>
      </c>
      <c r="H638" s="28">
        <f t="shared" si="34"/>
        <v>390.0443252946755</v>
      </c>
      <c r="I638" s="28">
        <f t="shared" si="34"/>
        <v>389.9299263875717</v>
      </c>
      <c r="J638" s="28">
        <f t="shared" si="34"/>
        <v>389.60208485751701</v>
      </c>
      <c r="K638" s="28">
        <f t="shared" si="34"/>
        <v>389.88162037664273</v>
      </c>
      <c r="L638" s="28">
        <f t="shared" si="34"/>
        <v>390.13902474822743</v>
      </c>
      <c r="M638" s="28">
        <f t="shared" si="34"/>
        <v>389.7919527615951</v>
      </c>
      <c r="N638" s="28">
        <f t="shared" si="34"/>
        <v>389.63770424061778</v>
      </c>
    </row>
    <row r="639" spans="1:14" x14ac:dyDescent="0.4">
      <c r="A639" s="1">
        <v>40634</v>
      </c>
      <c r="B639" s="28">
        <v>390.78195276159511</v>
      </c>
      <c r="C639" s="28">
        <f t="shared" si="34"/>
        <v>391.07770424061778</v>
      </c>
      <c r="D639" s="28">
        <f t="shared" si="34"/>
        <v>391.22584157521567</v>
      </c>
      <c r="E639" s="28">
        <f t="shared" si="34"/>
        <v>391.24110125095967</v>
      </c>
      <c r="F639" s="28">
        <f t="shared" si="34"/>
        <v>390.69768595041324</v>
      </c>
      <c r="G639" s="28">
        <f t="shared" si="34"/>
        <v>390.72164769904714</v>
      </c>
      <c r="H639" s="28">
        <f t="shared" si="34"/>
        <v>390.48708485751706</v>
      </c>
      <c r="I639" s="28">
        <f t="shared" si="34"/>
        <v>390.0443252946755</v>
      </c>
      <c r="J639" s="28">
        <f t="shared" si="34"/>
        <v>389.9299263875717</v>
      </c>
      <c r="K639" s="28">
        <f t="shared" si="34"/>
        <v>389.60208485751701</v>
      </c>
      <c r="L639" s="28">
        <f t="shared" si="34"/>
        <v>389.88162037664273</v>
      </c>
      <c r="M639" s="28">
        <f t="shared" si="34"/>
        <v>390.13902474822743</v>
      </c>
      <c r="N639" s="28">
        <f t="shared" si="34"/>
        <v>389.7919527615951</v>
      </c>
    </row>
    <row r="640" spans="1:14" x14ac:dyDescent="0.4">
      <c r="A640" s="1">
        <v>40664</v>
      </c>
      <c r="B640" s="28">
        <v>391.19902474822737</v>
      </c>
      <c r="C640" s="28">
        <f t="shared" si="34"/>
        <v>390.78195276159511</v>
      </c>
      <c r="D640" s="28">
        <f t="shared" si="34"/>
        <v>391.07770424061778</v>
      </c>
      <c r="E640" s="28">
        <f t="shared" si="34"/>
        <v>391.22584157521567</v>
      </c>
      <c r="F640" s="28">
        <f t="shared" si="34"/>
        <v>391.24110125095967</v>
      </c>
      <c r="G640" s="28">
        <f t="shared" si="34"/>
        <v>390.69768595041324</v>
      </c>
      <c r="H640" s="28">
        <f t="shared" si="34"/>
        <v>390.72164769904714</v>
      </c>
      <c r="I640" s="28">
        <f t="shared" si="34"/>
        <v>390.48708485751706</v>
      </c>
      <c r="J640" s="28">
        <f t="shared" si="34"/>
        <v>390.0443252946755</v>
      </c>
      <c r="K640" s="28">
        <f t="shared" si="34"/>
        <v>389.9299263875717</v>
      </c>
      <c r="L640" s="28">
        <f t="shared" si="34"/>
        <v>389.60208485751701</v>
      </c>
      <c r="M640" s="28">
        <f t="shared" si="34"/>
        <v>389.88162037664273</v>
      </c>
      <c r="N640" s="28">
        <f t="shared" si="34"/>
        <v>390.13902474822743</v>
      </c>
    </row>
    <row r="641" spans="1:14" x14ac:dyDescent="0.4">
      <c r="A641" s="1">
        <v>40695</v>
      </c>
      <c r="B641" s="28">
        <v>391.33162037664272</v>
      </c>
      <c r="C641" s="28">
        <f t="shared" si="34"/>
        <v>391.19902474822737</v>
      </c>
      <c r="D641" s="28">
        <f t="shared" si="34"/>
        <v>390.78195276159511</v>
      </c>
      <c r="E641" s="28">
        <f t="shared" si="34"/>
        <v>391.07770424061778</v>
      </c>
      <c r="F641" s="28">
        <f t="shared" si="34"/>
        <v>391.22584157521567</v>
      </c>
      <c r="G641" s="28">
        <f t="shared" si="34"/>
        <v>391.24110125095967</v>
      </c>
      <c r="H641" s="28">
        <f t="shared" si="34"/>
        <v>390.69768595041324</v>
      </c>
      <c r="I641" s="28">
        <f t="shared" si="34"/>
        <v>390.72164769904714</v>
      </c>
      <c r="J641" s="28">
        <f t="shared" si="34"/>
        <v>390.48708485751706</v>
      </c>
      <c r="K641" s="28">
        <f t="shared" si="34"/>
        <v>390.0443252946755</v>
      </c>
      <c r="L641" s="28">
        <f t="shared" si="34"/>
        <v>389.9299263875717</v>
      </c>
      <c r="M641" s="28">
        <f t="shared" si="34"/>
        <v>389.60208485751701</v>
      </c>
      <c r="N641" s="28">
        <f t="shared" si="34"/>
        <v>389.88162037664273</v>
      </c>
    </row>
    <row r="642" spans="1:14" x14ac:dyDescent="0.4">
      <c r="A642" s="1">
        <v>40725</v>
      </c>
      <c r="B642" s="28">
        <v>391.862084857517</v>
      </c>
      <c r="C642" s="28">
        <f t="shared" si="34"/>
        <v>391.33162037664272</v>
      </c>
      <c r="D642" s="28">
        <f t="shared" si="34"/>
        <v>391.19902474822737</v>
      </c>
      <c r="E642" s="28">
        <f t="shared" si="34"/>
        <v>390.78195276159511</v>
      </c>
      <c r="F642" s="28">
        <f t="shared" si="34"/>
        <v>391.07770424061778</v>
      </c>
      <c r="G642" s="28">
        <f t="shared" si="34"/>
        <v>391.22584157521567</v>
      </c>
      <c r="H642" s="28">
        <f t="shared" si="34"/>
        <v>391.24110125095967</v>
      </c>
      <c r="I642" s="28">
        <f t="shared" si="34"/>
        <v>390.69768595041324</v>
      </c>
      <c r="J642" s="28">
        <f t="shared" si="34"/>
        <v>390.72164769904714</v>
      </c>
      <c r="K642" s="28">
        <f t="shared" si="34"/>
        <v>390.48708485751706</v>
      </c>
      <c r="L642" s="28">
        <f t="shared" si="34"/>
        <v>390.0443252946755</v>
      </c>
      <c r="M642" s="28">
        <f t="shared" si="34"/>
        <v>389.9299263875717</v>
      </c>
      <c r="N642" s="28">
        <f t="shared" si="34"/>
        <v>389.60208485751701</v>
      </c>
    </row>
    <row r="643" spans="1:14" x14ac:dyDescent="0.4">
      <c r="A643" s="1">
        <v>40756</v>
      </c>
      <c r="B643" s="28">
        <v>391.6199263875717</v>
      </c>
      <c r="C643" s="28">
        <f t="shared" si="34"/>
        <v>391.862084857517</v>
      </c>
      <c r="D643" s="28">
        <f t="shared" si="34"/>
        <v>391.33162037664272</v>
      </c>
      <c r="E643" s="28">
        <f t="shared" si="34"/>
        <v>391.19902474822737</v>
      </c>
      <c r="F643" s="28">
        <f t="shared" si="34"/>
        <v>390.78195276159511</v>
      </c>
      <c r="G643" s="28">
        <f t="shared" si="34"/>
        <v>391.07770424061778</v>
      </c>
      <c r="H643" s="28">
        <f t="shared" si="34"/>
        <v>391.22584157521567</v>
      </c>
      <c r="I643" s="28">
        <f t="shared" si="34"/>
        <v>391.24110125095967</v>
      </c>
      <c r="J643" s="28">
        <f t="shared" si="34"/>
        <v>390.69768595041324</v>
      </c>
      <c r="K643" s="28">
        <f t="shared" si="34"/>
        <v>390.72164769904714</v>
      </c>
      <c r="L643" s="28">
        <f t="shared" si="34"/>
        <v>390.48708485751706</v>
      </c>
      <c r="M643" s="28">
        <f t="shared" si="34"/>
        <v>390.0443252946755</v>
      </c>
      <c r="N643" s="28">
        <f t="shared" si="34"/>
        <v>389.9299263875717</v>
      </c>
    </row>
    <row r="644" spans="1:14" x14ac:dyDescent="0.4">
      <c r="A644" s="1">
        <v>40787</v>
      </c>
      <c r="B644" s="28">
        <v>392.20432529467553</v>
      </c>
      <c r="C644" s="28">
        <f t="shared" si="34"/>
        <v>391.6199263875717</v>
      </c>
      <c r="D644" s="28">
        <f t="shared" si="34"/>
        <v>391.862084857517</v>
      </c>
      <c r="E644" s="28">
        <f t="shared" si="34"/>
        <v>391.33162037664272</v>
      </c>
      <c r="F644" s="28">
        <f t="shared" si="34"/>
        <v>391.19902474822737</v>
      </c>
      <c r="G644" s="28">
        <f t="shared" si="34"/>
        <v>390.78195276159511</v>
      </c>
      <c r="H644" s="28">
        <f t="shared" si="34"/>
        <v>391.07770424061778</v>
      </c>
      <c r="I644" s="28">
        <f t="shared" si="34"/>
        <v>391.22584157521567</v>
      </c>
      <c r="J644" s="28">
        <f t="shared" si="34"/>
        <v>391.24110125095967</v>
      </c>
      <c r="K644" s="28">
        <f t="shared" si="34"/>
        <v>390.69768595041324</v>
      </c>
      <c r="L644" s="28">
        <f t="shared" si="34"/>
        <v>390.72164769904714</v>
      </c>
      <c r="M644" s="28">
        <f t="shared" si="34"/>
        <v>390.48708485751706</v>
      </c>
      <c r="N644" s="28">
        <f t="shared" si="34"/>
        <v>390.0443252946755</v>
      </c>
    </row>
    <row r="645" spans="1:14" x14ac:dyDescent="0.4">
      <c r="A645" s="1">
        <v>40817</v>
      </c>
      <c r="B645" s="28">
        <v>392.25708485751704</v>
      </c>
      <c r="C645" s="28">
        <f t="shared" si="34"/>
        <v>392.20432529467553</v>
      </c>
      <c r="D645" s="28">
        <f t="shared" si="34"/>
        <v>391.6199263875717</v>
      </c>
      <c r="E645" s="28">
        <f t="shared" si="34"/>
        <v>391.862084857517</v>
      </c>
      <c r="F645" s="28">
        <f t="shared" si="34"/>
        <v>391.33162037664272</v>
      </c>
      <c r="G645" s="28">
        <f t="shared" si="34"/>
        <v>391.19902474822737</v>
      </c>
      <c r="H645" s="28">
        <f t="shared" si="34"/>
        <v>390.78195276159511</v>
      </c>
      <c r="I645" s="28">
        <f t="shared" si="34"/>
        <v>391.07770424061778</v>
      </c>
      <c r="J645" s="28">
        <f t="shared" si="34"/>
        <v>391.22584157521567</v>
      </c>
      <c r="K645" s="28">
        <f t="shared" si="34"/>
        <v>391.24110125095967</v>
      </c>
      <c r="L645" s="28">
        <f t="shared" si="34"/>
        <v>390.69768595041324</v>
      </c>
      <c r="M645" s="28">
        <f t="shared" si="34"/>
        <v>390.72164769904714</v>
      </c>
      <c r="N645" s="28">
        <f t="shared" si="34"/>
        <v>390.48708485751706</v>
      </c>
    </row>
    <row r="646" spans="1:14" x14ac:dyDescent="0.4">
      <c r="A646" s="1">
        <v>40848</v>
      </c>
      <c r="B646" s="28">
        <v>392.29164769904713</v>
      </c>
      <c r="C646" s="28">
        <f t="shared" si="34"/>
        <v>392.25708485751704</v>
      </c>
      <c r="D646" s="28">
        <f t="shared" si="34"/>
        <v>392.20432529467553</v>
      </c>
      <c r="E646" s="28">
        <f t="shared" si="34"/>
        <v>391.6199263875717</v>
      </c>
      <c r="F646" s="28">
        <f t="shared" si="34"/>
        <v>391.862084857517</v>
      </c>
      <c r="G646" s="28">
        <f t="shared" si="34"/>
        <v>391.33162037664272</v>
      </c>
      <c r="H646" s="28">
        <f t="shared" si="34"/>
        <v>391.19902474822737</v>
      </c>
      <c r="I646" s="28">
        <f t="shared" si="34"/>
        <v>390.78195276159511</v>
      </c>
      <c r="J646" s="28">
        <f t="shared" si="34"/>
        <v>391.07770424061778</v>
      </c>
      <c r="K646" s="28">
        <f t="shared" si="34"/>
        <v>391.22584157521567</v>
      </c>
      <c r="L646" s="28">
        <f t="shared" si="34"/>
        <v>391.24110125095967</v>
      </c>
      <c r="M646" s="28">
        <f t="shared" si="34"/>
        <v>390.69768595041324</v>
      </c>
      <c r="N646" s="28">
        <f t="shared" si="34"/>
        <v>390.72164769904714</v>
      </c>
    </row>
    <row r="647" spans="1:14" x14ac:dyDescent="0.4">
      <c r="A647" s="1">
        <v>40878</v>
      </c>
      <c r="B647" s="28">
        <v>392.68768595041325</v>
      </c>
      <c r="C647" s="28">
        <f t="shared" si="34"/>
        <v>392.29164769904713</v>
      </c>
      <c r="D647" s="28">
        <f t="shared" si="34"/>
        <v>392.25708485751704</v>
      </c>
      <c r="E647" s="28">
        <f t="shared" si="34"/>
        <v>392.20432529467553</v>
      </c>
      <c r="F647" s="28">
        <f t="shared" si="34"/>
        <v>391.6199263875717</v>
      </c>
      <c r="G647" s="28">
        <f t="shared" si="34"/>
        <v>391.862084857517</v>
      </c>
      <c r="H647" s="28">
        <f t="shared" si="34"/>
        <v>391.33162037664272</v>
      </c>
      <c r="I647" s="28">
        <f t="shared" si="34"/>
        <v>391.19902474822737</v>
      </c>
      <c r="J647" s="28">
        <f t="shared" si="34"/>
        <v>390.78195276159511</v>
      </c>
      <c r="K647" s="28">
        <f t="shared" si="34"/>
        <v>391.07770424061778</v>
      </c>
      <c r="L647" s="28">
        <f t="shared" si="34"/>
        <v>391.22584157521567</v>
      </c>
      <c r="M647" s="28">
        <f t="shared" si="34"/>
        <v>391.24110125095967</v>
      </c>
      <c r="N647" s="28">
        <f t="shared" si="34"/>
        <v>390.69768595041324</v>
      </c>
    </row>
    <row r="648" spans="1:14" x14ac:dyDescent="0.4">
      <c r="A648" s="1">
        <v>40909</v>
      </c>
      <c r="B648" s="28">
        <v>393.01110125095965</v>
      </c>
      <c r="C648" s="28">
        <f t="shared" si="34"/>
        <v>392.68768595041325</v>
      </c>
      <c r="D648" s="28">
        <f t="shared" si="34"/>
        <v>392.29164769904713</v>
      </c>
      <c r="E648" s="28">
        <f t="shared" si="34"/>
        <v>392.25708485751704</v>
      </c>
      <c r="F648" s="28">
        <f t="shared" si="34"/>
        <v>392.20432529467553</v>
      </c>
      <c r="G648" s="28">
        <f t="shared" si="34"/>
        <v>391.6199263875717</v>
      </c>
      <c r="H648" s="28">
        <f t="shared" si="34"/>
        <v>391.862084857517</v>
      </c>
      <c r="I648" s="28">
        <f t="shared" si="34"/>
        <v>391.33162037664272</v>
      </c>
      <c r="J648" s="28">
        <f t="shared" si="34"/>
        <v>391.19902474822737</v>
      </c>
      <c r="K648" s="28">
        <f t="shared" si="34"/>
        <v>390.78195276159511</v>
      </c>
      <c r="L648" s="28">
        <f t="shared" si="34"/>
        <v>391.07770424061778</v>
      </c>
      <c r="M648" s="28">
        <f t="shared" si="34"/>
        <v>391.22584157521567</v>
      </c>
      <c r="N648" s="28">
        <f t="shared" si="34"/>
        <v>391.24110125095967</v>
      </c>
    </row>
    <row r="649" spans="1:14" x14ac:dyDescent="0.4">
      <c r="A649" s="1">
        <v>40940</v>
      </c>
      <c r="B649" s="28">
        <v>392.65584157521567</v>
      </c>
      <c r="C649" s="28">
        <f t="shared" si="34"/>
        <v>393.01110125095965</v>
      </c>
      <c r="D649" s="28">
        <f t="shared" si="34"/>
        <v>392.68768595041325</v>
      </c>
      <c r="E649" s="28">
        <f t="shared" si="34"/>
        <v>392.29164769904713</v>
      </c>
      <c r="F649" s="28">
        <f t="shared" si="34"/>
        <v>392.25708485751704</v>
      </c>
      <c r="G649" s="28">
        <f t="shared" si="34"/>
        <v>392.20432529467553</v>
      </c>
      <c r="H649" s="28">
        <f t="shared" si="34"/>
        <v>391.6199263875717</v>
      </c>
      <c r="I649" s="28">
        <f t="shared" si="34"/>
        <v>391.862084857517</v>
      </c>
      <c r="J649" s="28">
        <f t="shared" si="34"/>
        <v>391.33162037664272</v>
      </c>
      <c r="K649" s="28">
        <f t="shared" si="34"/>
        <v>391.19902474822737</v>
      </c>
      <c r="L649" s="28">
        <f t="shared" si="34"/>
        <v>390.78195276159511</v>
      </c>
      <c r="M649" s="28">
        <f t="shared" si="34"/>
        <v>391.07770424061778</v>
      </c>
      <c r="N649" s="28">
        <f t="shared" si="34"/>
        <v>391.22584157521567</v>
      </c>
    </row>
    <row r="650" spans="1:14" x14ac:dyDescent="0.4">
      <c r="A650" s="1">
        <v>40969</v>
      </c>
      <c r="B650" s="28">
        <v>392.9877042406178</v>
      </c>
      <c r="C650" s="28">
        <f t="shared" si="34"/>
        <v>392.65584157521567</v>
      </c>
      <c r="D650" s="28">
        <f t="shared" si="34"/>
        <v>393.01110125095965</v>
      </c>
      <c r="E650" s="28">
        <f t="shared" si="34"/>
        <v>392.68768595041325</v>
      </c>
      <c r="F650" s="28">
        <f t="shared" si="34"/>
        <v>392.29164769904713</v>
      </c>
      <c r="G650" s="28">
        <f t="shared" si="34"/>
        <v>392.25708485751704</v>
      </c>
      <c r="H650" s="28">
        <f t="shared" si="34"/>
        <v>392.20432529467553</v>
      </c>
      <c r="I650" s="28">
        <f t="shared" si="34"/>
        <v>391.6199263875717</v>
      </c>
      <c r="J650" s="28">
        <f t="shared" si="34"/>
        <v>391.862084857517</v>
      </c>
      <c r="K650" s="28">
        <f t="shared" si="34"/>
        <v>391.33162037664272</v>
      </c>
      <c r="L650" s="28">
        <f t="shared" si="34"/>
        <v>391.19902474822737</v>
      </c>
      <c r="M650" s="28">
        <f t="shared" si="34"/>
        <v>390.78195276159511</v>
      </c>
      <c r="N650" s="28">
        <f t="shared" si="34"/>
        <v>391.07770424061778</v>
      </c>
    </row>
    <row r="651" spans="1:14" x14ac:dyDescent="0.4">
      <c r="A651" s="1">
        <v>41000</v>
      </c>
      <c r="B651" s="28">
        <v>393.84195276159511</v>
      </c>
      <c r="C651" s="28">
        <f t="shared" si="34"/>
        <v>392.9877042406178</v>
      </c>
      <c r="D651" s="28">
        <f t="shared" si="34"/>
        <v>392.65584157521567</v>
      </c>
      <c r="E651" s="28">
        <f t="shared" si="34"/>
        <v>393.01110125095965</v>
      </c>
      <c r="F651" s="28">
        <f t="shared" si="34"/>
        <v>392.68768595041325</v>
      </c>
      <c r="G651" s="28">
        <f t="shared" si="34"/>
        <v>392.29164769904713</v>
      </c>
      <c r="H651" s="28">
        <f t="shared" si="34"/>
        <v>392.25708485751704</v>
      </c>
      <c r="I651" s="28">
        <f t="shared" si="34"/>
        <v>392.20432529467553</v>
      </c>
      <c r="J651" s="28">
        <f t="shared" si="34"/>
        <v>391.6199263875717</v>
      </c>
      <c r="K651" s="28">
        <f t="shared" si="34"/>
        <v>391.862084857517</v>
      </c>
      <c r="L651" s="28">
        <f t="shared" si="34"/>
        <v>391.33162037664272</v>
      </c>
      <c r="M651" s="28">
        <f t="shared" si="34"/>
        <v>391.19902474822737</v>
      </c>
      <c r="N651" s="28">
        <f t="shared" si="34"/>
        <v>390.78195276159511</v>
      </c>
    </row>
    <row r="652" spans="1:14" x14ac:dyDescent="0.4">
      <c r="A652" s="1">
        <v>41030</v>
      </c>
      <c r="B652" s="28">
        <v>393.7890247482274</v>
      </c>
      <c r="C652" s="28">
        <f t="shared" si="34"/>
        <v>393.84195276159511</v>
      </c>
      <c r="D652" s="28">
        <f t="shared" si="34"/>
        <v>392.9877042406178</v>
      </c>
      <c r="E652" s="28">
        <f t="shared" si="34"/>
        <v>392.65584157521567</v>
      </c>
      <c r="F652" s="28">
        <f t="shared" si="34"/>
        <v>393.01110125095965</v>
      </c>
      <c r="G652" s="28">
        <f t="shared" si="34"/>
        <v>392.68768595041325</v>
      </c>
      <c r="H652" s="28">
        <f t="shared" si="34"/>
        <v>392.29164769904713</v>
      </c>
      <c r="I652" s="28">
        <f t="shared" si="34"/>
        <v>392.25708485751704</v>
      </c>
      <c r="J652" s="28">
        <f t="shared" si="34"/>
        <v>392.20432529467553</v>
      </c>
      <c r="K652" s="28">
        <f t="shared" si="34"/>
        <v>391.6199263875717</v>
      </c>
      <c r="L652" s="28">
        <f t="shared" si="34"/>
        <v>391.862084857517</v>
      </c>
      <c r="M652" s="28">
        <f t="shared" si="34"/>
        <v>391.33162037664272</v>
      </c>
      <c r="N652" s="28">
        <f t="shared" si="34"/>
        <v>391.19902474822737</v>
      </c>
    </row>
    <row r="653" spans="1:14" x14ac:dyDescent="0.4">
      <c r="A653" s="1">
        <v>41061</v>
      </c>
      <c r="B653" s="28">
        <v>393.52162037664272</v>
      </c>
      <c r="C653" s="28">
        <f t="shared" si="34"/>
        <v>393.7890247482274</v>
      </c>
      <c r="D653" s="28">
        <f t="shared" si="34"/>
        <v>393.84195276159511</v>
      </c>
      <c r="E653" s="28">
        <f t="shared" si="34"/>
        <v>392.9877042406178</v>
      </c>
      <c r="F653" s="28">
        <f t="shared" si="34"/>
        <v>392.65584157521567</v>
      </c>
      <c r="G653" s="28">
        <f t="shared" si="34"/>
        <v>393.01110125095965</v>
      </c>
      <c r="H653" s="28">
        <f t="shared" si="34"/>
        <v>392.68768595041325</v>
      </c>
      <c r="I653" s="28">
        <f t="shared" si="34"/>
        <v>392.29164769904713</v>
      </c>
      <c r="J653" s="28">
        <f t="shared" si="34"/>
        <v>392.25708485751704</v>
      </c>
      <c r="K653" s="28">
        <f t="shared" si="34"/>
        <v>392.20432529467553</v>
      </c>
      <c r="L653" s="28">
        <f t="shared" si="34"/>
        <v>391.6199263875717</v>
      </c>
      <c r="M653" s="28">
        <f t="shared" si="34"/>
        <v>391.862084857517</v>
      </c>
      <c r="N653" s="28">
        <f t="shared" si="34"/>
        <v>391.33162037664272</v>
      </c>
    </row>
    <row r="654" spans="1:14" x14ac:dyDescent="0.4">
      <c r="A654" s="1">
        <v>41091</v>
      </c>
      <c r="B654" s="28">
        <v>393.79208485751701</v>
      </c>
      <c r="C654" s="28">
        <f t="shared" si="34"/>
        <v>393.52162037664272</v>
      </c>
      <c r="D654" s="28">
        <f t="shared" si="34"/>
        <v>393.7890247482274</v>
      </c>
      <c r="E654" s="28">
        <f t="shared" si="34"/>
        <v>393.84195276159511</v>
      </c>
      <c r="F654" s="28">
        <f t="shared" si="34"/>
        <v>392.9877042406178</v>
      </c>
      <c r="G654" s="28">
        <f t="shared" si="34"/>
        <v>392.65584157521567</v>
      </c>
      <c r="H654" s="28">
        <f t="shared" si="34"/>
        <v>393.01110125095965</v>
      </c>
      <c r="I654" s="28">
        <f t="shared" si="34"/>
        <v>392.68768595041325</v>
      </c>
      <c r="J654" s="28">
        <f t="shared" si="34"/>
        <v>392.29164769904713</v>
      </c>
      <c r="K654" s="28">
        <f t="shared" si="34"/>
        <v>392.25708485751704</v>
      </c>
      <c r="L654" s="28">
        <f t="shared" si="34"/>
        <v>392.20432529467553</v>
      </c>
      <c r="M654" s="28">
        <f t="shared" si="34"/>
        <v>391.6199263875717</v>
      </c>
      <c r="N654" s="28">
        <f t="shared" si="34"/>
        <v>391.862084857517</v>
      </c>
    </row>
    <row r="655" spans="1:14" x14ac:dyDescent="0.4">
      <c r="A655" s="1">
        <v>41122</v>
      </c>
      <c r="B655" s="28">
        <v>393.94992638757174</v>
      </c>
      <c r="C655" s="28">
        <f t="shared" si="34"/>
        <v>393.79208485751701</v>
      </c>
      <c r="D655" s="28">
        <f t="shared" si="34"/>
        <v>393.52162037664272</v>
      </c>
      <c r="E655" s="28">
        <f t="shared" si="34"/>
        <v>393.7890247482274</v>
      </c>
      <c r="F655" s="28">
        <f t="shared" si="34"/>
        <v>393.84195276159511</v>
      </c>
      <c r="G655" s="28">
        <f t="shared" si="34"/>
        <v>392.9877042406178</v>
      </c>
      <c r="H655" s="28">
        <f t="shared" si="34"/>
        <v>392.65584157521567</v>
      </c>
      <c r="I655" s="28">
        <f t="shared" si="34"/>
        <v>393.01110125095965</v>
      </c>
      <c r="J655" s="28">
        <f t="shared" si="34"/>
        <v>392.68768595041325</v>
      </c>
      <c r="K655" s="28">
        <f t="shared" si="34"/>
        <v>392.29164769904713</v>
      </c>
      <c r="L655" s="28">
        <f t="shared" si="34"/>
        <v>392.25708485751704</v>
      </c>
      <c r="M655" s="28">
        <f t="shared" si="34"/>
        <v>392.20432529467553</v>
      </c>
      <c r="N655" s="28">
        <f t="shared" si="34"/>
        <v>391.6199263875717</v>
      </c>
    </row>
    <row r="656" spans="1:14" x14ac:dyDescent="0.4">
      <c r="A656" s="1">
        <v>41153</v>
      </c>
      <c r="B656" s="28">
        <v>394.33432529467552</v>
      </c>
      <c r="C656" s="28">
        <f t="shared" si="34"/>
        <v>393.94992638757174</v>
      </c>
      <c r="D656" s="28">
        <f t="shared" si="34"/>
        <v>393.79208485751701</v>
      </c>
      <c r="E656" s="28">
        <f t="shared" si="34"/>
        <v>393.52162037664272</v>
      </c>
      <c r="F656" s="28">
        <f t="shared" si="34"/>
        <v>393.7890247482274</v>
      </c>
      <c r="G656" s="28">
        <f t="shared" si="34"/>
        <v>393.84195276159511</v>
      </c>
      <c r="H656" s="28">
        <f t="shared" si="34"/>
        <v>392.9877042406178</v>
      </c>
      <c r="I656" s="28">
        <f t="shared" si="34"/>
        <v>392.65584157521567</v>
      </c>
      <c r="J656" s="28">
        <f t="shared" si="34"/>
        <v>393.01110125095965</v>
      </c>
      <c r="K656" s="28">
        <f t="shared" si="34"/>
        <v>392.68768595041325</v>
      </c>
      <c r="L656" s="28">
        <f t="shared" si="34"/>
        <v>392.29164769904713</v>
      </c>
      <c r="M656" s="28">
        <f t="shared" si="34"/>
        <v>392.25708485751704</v>
      </c>
      <c r="N656" s="28">
        <f t="shared" si="34"/>
        <v>392.20432529467553</v>
      </c>
    </row>
    <row r="657" spans="1:14" x14ac:dyDescent="0.4">
      <c r="A657" s="1">
        <v>41183</v>
      </c>
      <c r="B657" s="28">
        <v>394.33708485751703</v>
      </c>
      <c r="C657" s="28">
        <f t="shared" si="34"/>
        <v>394.33432529467552</v>
      </c>
      <c r="D657" s="28">
        <f t="shared" si="34"/>
        <v>393.94992638757174</v>
      </c>
      <c r="E657" s="28">
        <f t="shared" si="34"/>
        <v>393.79208485751701</v>
      </c>
      <c r="F657" s="28">
        <f t="shared" si="34"/>
        <v>393.52162037664272</v>
      </c>
      <c r="G657" s="28">
        <f t="shared" si="34"/>
        <v>393.7890247482274</v>
      </c>
      <c r="H657" s="28">
        <f t="shared" si="34"/>
        <v>393.84195276159511</v>
      </c>
      <c r="I657" s="28">
        <f t="shared" si="34"/>
        <v>392.9877042406178</v>
      </c>
      <c r="J657" s="28">
        <f t="shared" si="34"/>
        <v>392.65584157521567</v>
      </c>
      <c r="K657" s="28">
        <f t="shared" si="34"/>
        <v>393.01110125095965</v>
      </c>
      <c r="L657" s="28">
        <f t="shared" si="34"/>
        <v>392.68768595041325</v>
      </c>
      <c r="M657" s="28">
        <f t="shared" si="34"/>
        <v>392.29164769904713</v>
      </c>
      <c r="N657" s="28">
        <f t="shared" si="34"/>
        <v>392.25708485751704</v>
      </c>
    </row>
    <row r="658" spans="1:14" x14ac:dyDescent="0.4">
      <c r="A658" s="1">
        <v>41214</v>
      </c>
      <c r="B658" s="28">
        <v>395.00164769904711</v>
      </c>
      <c r="C658" s="28">
        <f t="shared" si="34"/>
        <v>394.33708485751703</v>
      </c>
      <c r="D658" s="28">
        <f t="shared" si="34"/>
        <v>394.33432529467552</v>
      </c>
      <c r="E658" s="28">
        <f t="shared" si="34"/>
        <v>393.94992638757174</v>
      </c>
      <c r="F658" s="28">
        <f t="shared" ref="C658:Q721" si="35">IF(E657=0,"",E657)</f>
        <v>393.79208485751701</v>
      </c>
      <c r="G658" s="28">
        <f t="shared" si="35"/>
        <v>393.52162037664272</v>
      </c>
      <c r="H658" s="28">
        <f t="shared" si="35"/>
        <v>393.7890247482274</v>
      </c>
      <c r="I658" s="28">
        <f t="shared" si="35"/>
        <v>393.84195276159511</v>
      </c>
      <c r="J658" s="28">
        <f t="shared" si="35"/>
        <v>392.9877042406178</v>
      </c>
      <c r="K658" s="28">
        <f t="shared" si="35"/>
        <v>392.65584157521567</v>
      </c>
      <c r="L658" s="28">
        <f t="shared" si="35"/>
        <v>393.01110125095965</v>
      </c>
      <c r="M658" s="28">
        <f t="shared" si="35"/>
        <v>392.68768595041325</v>
      </c>
      <c r="N658" s="28">
        <f t="shared" si="35"/>
        <v>392.29164769904713</v>
      </c>
    </row>
    <row r="659" spans="1:14" x14ac:dyDescent="0.4">
      <c r="A659" s="1">
        <v>41244</v>
      </c>
      <c r="B659" s="28">
        <v>395.21768595041323</v>
      </c>
      <c r="C659" s="28">
        <f t="shared" si="35"/>
        <v>395.00164769904711</v>
      </c>
      <c r="D659" s="28">
        <f t="shared" si="35"/>
        <v>394.33708485751703</v>
      </c>
      <c r="E659" s="28">
        <f t="shared" si="35"/>
        <v>394.33432529467552</v>
      </c>
      <c r="F659" s="28">
        <f t="shared" si="35"/>
        <v>393.94992638757174</v>
      </c>
      <c r="G659" s="28">
        <f t="shared" si="35"/>
        <v>393.79208485751701</v>
      </c>
      <c r="H659" s="28">
        <f t="shared" si="35"/>
        <v>393.52162037664272</v>
      </c>
      <c r="I659" s="28">
        <f t="shared" si="35"/>
        <v>393.7890247482274</v>
      </c>
      <c r="J659" s="28">
        <f t="shared" si="35"/>
        <v>393.84195276159511</v>
      </c>
      <c r="K659" s="28">
        <f t="shared" si="35"/>
        <v>392.9877042406178</v>
      </c>
      <c r="L659" s="28">
        <f t="shared" si="35"/>
        <v>392.65584157521567</v>
      </c>
      <c r="M659" s="28">
        <f t="shared" si="35"/>
        <v>393.01110125095965</v>
      </c>
      <c r="N659" s="28">
        <f t="shared" si="35"/>
        <v>392.68768595041325</v>
      </c>
    </row>
    <row r="660" spans="1:14" x14ac:dyDescent="0.4">
      <c r="A660" s="1">
        <v>41275</v>
      </c>
      <c r="B660" s="28">
        <v>395.55110125095968</v>
      </c>
      <c r="C660" s="28">
        <f t="shared" si="35"/>
        <v>395.21768595041323</v>
      </c>
      <c r="D660" s="28">
        <f t="shared" si="35"/>
        <v>395.00164769904711</v>
      </c>
      <c r="E660" s="28">
        <f t="shared" si="35"/>
        <v>394.33708485751703</v>
      </c>
      <c r="F660" s="28">
        <f t="shared" si="35"/>
        <v>394.33432529467552</v>
      </c>
      <c r="G660" s="28">
        <f t="shared" si="35"/>
        <v>393.94992638757174</v>
      </c>
      <c r="H660" s="28">
        <f t="shared" si="35"/>
        <v>393.79208485751701</v>
      </c>
      <c r="I660" s="28">
        <f t="shared" si="35"/>
        <v>393.52162037664272</v>
      </c>
      <c r="J660" s="28">
        <f t="shared" si="35"/>
        <v>393.7890247482274</v>
      </c>
      <c r="K660" s="28">
        <f t="shared" si="35"/>
        <v>393.84195276159511</v>
      </c>
      <c r="L660" s="28">
        <f t="shared" si="35"/>
        <v>392.9877042406178</v>
      </c>
      <c r="M660" s="28">
        <f t="shared" si="35"/>
        <v>392.65584157521567</v>
      </c>
      <c r="N660" s="28">
        <f t="shared" si="35"/>
        <v>393.01110125095965</v>
      </c>
    </row>
    <row r="661" spans="1:14" x14ac:dyDescent="0.4">
      <c r="A661" s="1">
        <v>41306</v>
      </c>
      <c r="B661" s="28">
        <v>396.15584157521567</v>
      </c>
      <c r="C661" s="28">
        <f t="shared" si="35"/>
        <v>395.55110125095968</v>
      </c>
      <c r="D661" s="28">
        <f t="shared" si="35"/>
        <v>395.21768595041323</v>
      </c>
      <c r="E661" s="28">
        <f t="shared" si="35"/>
        <v>395.00164769904711</v>
      </c>
      <c r="F661" s="28">
        <f t="shared" si="35"/>
        <v>394.33708485751703</v>
      </c>
      <c r="G661" s="28">
        <f t="shared" si="35"/>
        <v>394.33432529467552</v>
      </c>
      <c r="H661" s="28">
        <f t="shared" si="35"/>
        <v>393.94992638757174</v>
      </c>
      <c r="I661" s="28">
        <f t="shared" si="35"/>
        <v>393.79208485751701</v>
      </c>
      <c r="J661" s="28">
        <f t="shared" si="35"/>
        <v>393.52162037664272</v>
      </c>
      <c r="K661" s="28">
        <f t="shared" si="35"/>
        <v>393.7890247482274</v>
      </c>
      <c r="L661" s="28">
        <f t="shared" si="35"/>
        <v>393.84195276159511</v>
      </c>
      <c r="M661" s="28">
        <f t="shared" si="35"/>
        <v>392.9877042406178</v>
      </c>
      <c r="N661" s="28">
        <f t="shared" si="35"/>
        <v>392.65584157521567</v>
      </c>
    </row>
    <row r="662" spans="1:14" x14ac:dyDescent="0.4">
      <c r="A662" s="1">
        <v>41334</v>
      </c>
      <c r="B662" s="28">
        <v>395.88770424061778</v>
      </c>
      <c r="C662" s="28">
        <f t="shared" si="35"/>
        <v>396.15584157521567</v>
      </c>
      <c r="D662" s="28">
        <f t="shared" si="35"/>
        <v>395.55110125095968</v>
      </c>
      <c r="E662" s="28">
        <f t="shared" si="35"/>
        <v>395.21768595041323</v>
      </c>
      <c r="F662" s="28">
        <f t="shared" si="35"/>
        <v>395.00164769904711</v>
      </c>
      <c r="G662" s="28">
        <f t="shared" si="35"/>
        <v>394.33708485751703</v>
      </c>
      <c r="H662" s="28">
        <f t="shared" si="35"/>
        <v>394.33432529467552</v>
      </c>
      <c r="I662" s="28">
        <f t="shared" si="35"/>
        <v>393.94992638757174</v>
      </c>
      <c r="J662" s="28">
        <f t="shared" si="35"/>
        <v>393.79208485751701</v>
      </c>
      <c r="K662" s="28">
        <f t="shared" si="35"/>
        <v>393.52162037664272</v>
      </c>
      <c r="L662" s="28">
        <f t="shared" si="35"/>
        <v>393.7890247482274</v>
      </c>
      <c r="M662" s="28">
        <f t="shared" si="35"/>
        <v>393.84195276159511</v>
      </c>
      <c r="N662" s="28">
        <f t="shared" si="35"/>
        <v>392.9877042406178</v>
      </c>
    </row>
    <row r="663" spans="1:14" x14ac:dyDescent="0.4">
      <c r="A663" s="1">
        <v>41365</v>
      </c>
      <c r="B663" s="28">
        <v>395.76195276159513</v>
      </c>
      <c r="C663" s="28">
        <f t="shared" si="35"/>
        <v>395.88770424061778</v>
      </c>
      <c r="D663" s="28">
        <f t="shared" si="35"/>
        <v>396.15584157521567</v>
      </c>
      <c r="E663" s="28">
        <f t="shared" si="35"/>
        <v>395.55110125095968</v>
      </c>
      <c r="F663" s="28">
        <f t="shared" si="35"/>
        <v>395.21768595041323</v>
      </c>
      <c r="G663" s="28">
        <f t="shared" si="35"/>
        <v>395.00164769904711</v>
      </c>
      <c r="H663" s="28">
        <f t="shared" si="35"/>
        <v>394.33708485751703</v>
      </c>
      <c r="I663" s="28">
        <f t="shared" si="35"/>
        <v>394.33432529467552</v>
      </c>
      <c r="J663" s="28">
        <f t="shared" si="35"/>
        <v>393.94992638757174</v>
      </c>
      <c r="K663" s="28">
        <f t="shared" si="35"/>
        <v>393.79208485751701</v>
      </c>
      <c r="L663" s="28">
        <f t="shared" si="35"/>
        <v>393.52162037664272</v>
      </c>
      <c r="M663" s="28">
        <f t="shared" si="35"/>
        <v>393.7890247482274</v>
      </c>
      <c r="N663" s="28">
        <f t="shared" si="35"/>
        <v>393.84195276159511</v>
      </c>
    </row>
    <row r="664" spans="1:14" x14ac:dyDescent="0.4">
      <c r="A664" s="1">
        <v>41395</v>
      </c>
      <c r="B664" s="28">
        <v>396.89902474822742</v>
      </c>
      <c r="C664" s="28">
        <f t="shared" si="35"/>
        <v>395.76195276159513</v>
      </c>
      <c r="D664" s="28">
        <f t="shared" si="35"/>
        <v>395.88770424061778</v>
      </c>
      <c r="E664" s="28">
        <f t="shared" si="35"/>
        <v>396.15584157521567</v>
      </c>
      <c r="F664" s="28">
        <f t="shared" si="35"/>
        <v>395.55110125095968</v>
      </c>
      <c r="G664" s="28">
        <f t="shared" si="35"/>
        <v>395.21768595041323</v>
      </c>
      <c r="H664" s="28">
        <f t="shared" si="35"/>
        <v>395.00164769904711</v>
      </c>
      <c r="I664" s="28">
        <f t="shared" si="35"/>
        <v>394.33708485751703</v>
      </c>
      <c r="J664" s="28">
        <f t="shared" si="35"/>
        <v>394.33432529467552</v>
      </c>
      <c r="K664" s="28">
        <f t="shared" si="35"/>
        <v>393.94992638757174</v>
      </c>
      <c r="L664" s="28">
        <f t="shared" si="35"/>
        <v>393.79208485751701</v>
      </c>
      <c r="M664" s="28">
        <f t="shared" si="35"/>
        <v>393.52162037664272</v>
      </c>
      <c r="N664" s="28">
        <f t="shared" si="35"/>
        <v>393.7890247482274</v>
      </c>
    </row>
    <row r="665" spans="1:14" x14ac:dyDescent="0.4">
      <c r="A665" s="1">
        <v>41426</v>
      </c>
      <c r="B665" s="28">
        <v>396.51162037664272</v>
      </c>
      <c r="C665" s="28">
        <f t="shared" si="35"/>
        <v>396.89902474822742</v>
      </c>
      <c r="D665" s="28">
        <f t="shared" si="35"/>
        <v>395.76195276159513</v>
      </c>
      <c r="E665" s="28">
        <f t="shared" si="35"/>
        <v>395.88770424061778</v>
      </c>
      <c r="F665" s="28">
        <f t="shared" si="35"/>
        <v>396.15584157521567</v>
      </c>
      <c r="G665" s="28">
        <f t="shared" si="35"/>
        <v>395.55110125095968</v>
      </c>
      <c r="H665" s="28">
        <f t="shared" si="35"/>
        <v>395.21768595041323</v>
      </c>
      <c r="I665" s="28">
        <f t="shared" si="35"/>
        <v>395.00164769904711</v>
      </c>
      <c r="J665" s="28">
        <f t="shared" si="35"/>
        <v>394.33708485751703</v>
      </c>
      <c r="K665" s="28">
        <f t="shared" si="35"/>
        <v>394.33432529467552</v>
      </c>
      <c r="L665" s="28">
        <f t="shared" si="35"/>
        <v>393.94992638757174</v>
      </c>
      <c r="M665" s="28">
        <f t="shared" si="35"/>
        <v>393.79208485751701</v>
      </c>
      <c r="N665" s="28">
        <f t="shared" si="35"/>
        <v>393.52162037664272</v>
      </c>
    </row>
    <row r="666" spans="1:14" x14ac:dyDescent="0.4">
      <c r="A666" s="1">
        <v>41456</v>
      </c>
      <c r="B666" s="28">
        <v>396.64208485751703</v>
      </c>
      <c r="C666" s="28">
        <f t="shared" si="35"/>
        <v>396.51162037664272</v>
      </c>
      <c r="D666" s="28">
        <f t="shared" si="35"/>
        <v>396.89902474822742</v>
      </c>
      <c r="E666" s="28">
        <f t="shared" si="35"/>
        <v>395.76195276159513</v>
      </c>
      <c r="F666" s="28">
        <f t="shared" si="35"/>
        <v>395.88770424061778</v>
      </c>
      <c r="G666" s="28">
        <f t="shared" si="35"/>
        <v>396.15584157521567</v>
      </c>
      <c r="H666" s="28">
        <f t="shared" si="35"/>
        <v>395.55110125095968</v>
      </c>
      <c r="I666" s="28">
        <f t="shared" si="35"/>
        <v>395.21768595041323</v>
      </c>
      <c r="J666" s="28">
        <f t="shared" si="35"/>
        <v>395.00164769904711</v>
      </c>
      <c r="K666" s="28">
        <f t="shared" si="35"/>
        <v>394.33708485751703</v>
      </c>
      <c r="L666" s="28">
        <f t="shared" si="35"/>
        <v>394.33432529467552</v>
      </c>
      <c r="M666" s="28">
        <f t="shared" si="35"/>
        <v>393.94992638757174</v>
      </c>
      <c r="N666" s="28">
        <f t="shared" si="35"/>
        <v>393.79208485751701</v>
      </c>
    </row>
    <row r="667" spans="1:14" x14ac:dyDescent="0.4">
      <c r="A667" s="1">
        <v>41487</v>
      </c>
      <c r="B667" s="28">
        <v>396.81992638757174</v>
      </c>
      <c r="C667" s="28">
        <f t="shared" si="35"/>
        <v>396.64208485751703</v>
      </c>
      <c r="D667" s="28">
        <f t="shared" si="35"/>
        <v>396.51162037664272</v>
      </c>
      <c r="E667" s="28">
        <f t="shared" si="35"/>
        <v>396.89902474822742</v>
      </c>
      <c r="F667" s="28">
        <f t="shared" si="35"/>
        <v>395.76195276159513</v>
      </c>
      <c r="G667" s="28">
        <f t="shared" si="35"/>
        <v>395.88770424061778</v>
      </c>
      <c r="H667" s="28">
        <f t="shared" si="35"/>
        <v>396.15584157521567</v>
      </c>
      <c r="I667" s="28">
        <f t="shared" si="35"/>
        <v>395.55110125095968</v>
      </c>
      <c r="J667" s="28">
        <f t="shared" si="35"/>
        <v>395.21768595041323</v>
      </c>
      <c r="K667" s="28">
        <f t="shared" si="35"/>
        <v>395.00164769904711</v>
      </c>
      <c r="L667" s="28">
        <f t="shared" si="35"/>
        <v>394.33708485751703</v>
      </c>
      <c r="M667" s="28">
        <f t="shared" si="35"/>
        <v>394.33432529467552</v>
      </c>
      <c r="N667" s="28">
        <f t="shared" si="35"/>
        <v>393.94992638757174</v>
      </c>
    </row>
    <row r="668" spans="1:14" x14ac:dyDescent="0.4">
      <c r="A668" s="1">
        <v>41518</v>
      </c>
      <c r="B668" s="28">
        <v>396.59432529467551</v>
      </c>
      <c r="C668" s="28">
        <f t="shared" si="35"/>
        <v>396.81992638757174</v>
      </c>
      <c r="D668" s="28">
        <f t="shared" si="35"/>
        <v>396.64208485751703</v>
      </c>
      <c r="E668" s="28">
        <f t="shared" si="35"/>
        <v>396.51162037664272</v>
      </c>
      <c r="F668" s="28">
        <f t="shared" si="35"/>
        <v>396.89902474822742</v>
      </c>
      <c r="G668" s="28">
        <f t="shared" si="35"/>
        <v>395.76195276159513</v>
      </c>
      <c r="H668" s="28">
        <f t="shared" si="35"/>
        <v>395.88770424061778</v>
      </c>
      <c r="I668" s="28">
        <f t="shared" si="35"/>
        <v>396.15584157521567</v>
      </c>
      <c r="J668" s="28">
        <f t="shared" si="35"/>
        <v>395.55110125095968</v>
      </c>
      <c r="K668" s="28">
        <f t="shared" si="35"/>
        <v>395.21768595041323</v>
      </c>
      <c r="L668" s="28">
        <f t="shared" si="35"/>
        <v>395.00164769904711</v>
      </c>
      <c r="M668" s="28">
        <f t="shared" si="35"/>
        <v>394.33708485751703</v>
      </c>
      <c r="N668" s="28">
        <f t="shared" si="35"/>
        <v>394.33432529467552</v>
      </c>
    </row>
    <row r="669" spans="1:14" x14ac:dyDescent="0.4">
      <c r="A669" s="1">
        <v>41548</v>
      </c>
      <c r="B669" s="28">
        <v>397.02708485751702</v>
      </c>
      <c r="C669" s="28">
        <f t="shared" si="35"/>
        <v>396.59432529467551</v>
      </c>
      <c r="D669" s="28">
        <f t="shared" si="35"/>
        <v>396.81992638757174</v>
      </c>
      <c r="E669" s="28">
        <f t="shared" si="35"/>
        <v>396.64208485751703</v>
      </c>
      <c r="F669" s="28">
        <f t="shared" si="35"/>
        <v>396.51162037664272</v>
      </c>
      <c r="G669" s="28">
        <f t="shared" si="35"/>
        <v>396.89902474822742</v>
      </c>
      <c r="H669" s="28">
        <f t="shared" si="35"/>
        <v>395.76195276159513</v>
      </c>
      <c r="I669" s="28">
        <f t="shared" si="35"/>
        <v>395.88770424061778</v>
      </c>
      <c r="J669" s="28">
        <f t="shared" si="35"/>
        <v>396.15584157521567</v>
      </c>
      <c r="K669" s="28">
        <f t="shared" si="35"/>
        <v>395.55110125095968</v>
      </c>
      <c r="L669" s="28">
        <f t="shared" si="35"/>
        <v>395.21768595041323</v>
      </c>
      <c r="M669" s="28">
        <f t="shared" si="35"/>
        <v>395.00164769904711</v>
      </c>
      <c r="N669" s="28">
        <f t="shared" si="35"/>
        <v>394.33708485751703</v>
      </c>
    </row>
    <row r="670" spans="1:14" x14ac:dyDescent="0.4">
      <c r="A670" s="1">
        <v>41579</v>
      </c>
      <c r="B670" s="28">
        <v>397.24164769904712</v>
      </c>
      <c r="C670" s="28">
        <f t="shared" si="35"/>
        <v>397.02708485751702</v>
      </c>
      <c r="D670" s="28">
        <f t="shared" si="35"/>
        <v>396.59432529467551</v>
      </c>
      <c r="E670" s="28">
        <f t="shared" si="35"/>
        <v>396.81992638757174</v>
      </c>
      <c r="F670" s="28">
        <f t="shared" si="35"/>
        <v>396.64208485751703</v>
      </c>
      <c r="G670" s="28">
        <f t="shared" si="35"/>
        <v>396.51162037664272</v>
      </c>
      <c r="H670" s="28">
        <f t="shared" si="35"/>
        <v>396.89902474822742</v>
      </c>
      <c r="I670" s="28">
        <f t="shared" si="35"/>
        <v>395.76195276159513</v>
      </c>
      <c r="J670" s="28">
        <f t="shared" si="35"/>
        <v>395.88770424061778</v>
      </c>
      <c r="K670" s="28">
        <f t="shared" si="35"/>
        <v>396.15584157521567</v>
      </c>
      <c r="L670" s="28">
        <f t="shared" si="35"/>
        <v>395.55110125095968</v>
      </c>
      <c r="M670" s="28">
        <f t="shared" si="35"/>
        <v>395.21768595041323</v>
      </c>
      <c r="N670" s="28">
        <f t="shared" si="35"/>
        <v>395.00164769904711</v>
      </c>
    </row>
    <row r="671" spans="1:14" x14ac:dyDescent="0.4">
      <c r="A671" s="1">
        <v>41609</v>
      </c>
      <c r="B671" s="28">
        <v>397.70768595041324</v>
      </c>
      <c r="C671" s="28">
        <f t="shared" si="35"/>
        <v>397.24164769904712</v>
      </c>
      <c r="D671" s="28">
        <f t="shared" si="35"/>
        <v>397.02708485751702</v>
      </c>
      <c r="E671" s="28">
        <f t="shared" si="35"/>
        <v>396.59432529467551</v>
      </c>
      <c r="F671" s="28">
        <f t="shared" si="35"/>
        <v>396.81992638757174</v>
      </c>
      <c r="G671" s="28">
        <f t="shared" si="35"/>
        <v>396.64208485751703</v>
      </c>
      <c r="H671" s="28">
        <f t="shared" si="35"/>
        <v>396.51162037664272</v>
      </c>
      <c r="I671" s="28">
        <f t="shared" si="35"/>
        <v>396.89902474822742</v>
      </c>
      <c r="J671" s="28">
        <f t="shared" si="35"/>
        <v>395.76195276159513</v>
      </c>
      <c r="K671" s="28">
        <f t="shared" si="35"/>
        <v>395.88770424061778</v>
      </c>
      <c r="L671" s="28">
        <f t="shared" si="35"/>
        <v>396.15584157521567</v>
      </c>
      <c r="M671" s="28">
        <f t="shared" si="35"/>
        <v>395.55110125095968</v>
      </c>
      <c r="N671" s="28">
        <f t="shared" si="35"/>
        <v>395.21768595041323</v>
      </c>
    </row>
    <row r="672" spans="1:14" x14ac:dyDescent="0.4">
      <c r="A672" s="1">
        <v>41640</v>
      </c>
      <c r="B672" s="28">
        <v>397.87110125095967</v>
      </c>
      <c r="C672" s="28">
        <f t="shared" si="35"/>
        <v>397.70768595041324</v>
      </c>
      <c r="D672" s="28">
        <f t="shared" si="35"/>
        <v>397.24164769904712</v>
      </c>
      <c r="E672" s="28">
        <f t="shared" si="35"/>
        <v>397.02708485751702</v>
      </c>
      <c r="F672" s="28">
        <f t="shared" si="35"/>
        <v>396.59432529467551</v>
      </c>
      <c r="G672" s="28">
        <f t="shared" si="35"/>
        <v>396.81992638757174</v>
      </c>
      <c r="H672" s="28">
        <f t="shared" si="35"/>
        <v>396.64208485751703</v>
      </c>
      <c r="I672" s="28">
        <f t="shared" si="35"/>
        <v>396.51162037664272</v>
      </c>
      <c r="J672" s="28">
        <f t="shared" si="35"/>
        <v>396.89902474822742</v>
      </c>
      <c r="K672" s="28">
        <f t="shared" si="35"/>
        <v>395.76195276159513</v>
      </c>
      <c r="L672" s="28">
        <f t="shared" si="35"/>
        <v>395.88770424061778</v>
      </c>
      <c r="M672" s="28">
        <f t="shared" si="35"/>
        <v>396.15584157521567</v>
      </c>
      <c r="N672" s="28">
        <f t="shared" si="35"/>
        <v>395.55110125095968</v>
      </c>
    </row>
    <row r="673" spans="1:14" x14ac:dyDescent="0.4">
      <c r="A673" s="1">
        <v>41671</v>
      </c>
      <c r="B673" s="28">
        <v>397.40584157521567</v>
      </c>
      <c r="C673" s="28">
        <f t="shared" si="35"/>
        <v>397.87110125095967</v>
      </c>
      <c r="D673" s="28">
        <f t="shared" si="35"/>
        <v>397.70768595041324</v>
      </c>
      <c r="E673" s="28">
        <f t="shared" si="35"/>
        <v>397.24164769904712</v>
      </c>
      <c r="F673" s="28">
        <f t="shared" si="35"/>
        <v>397.02708485751702</v>
      </c>
      <c r="G673" s="28">
        <f t="shared" si="35"/>
        <v>396.59432529467551</v>
      </c>
      <c r="H673" s="28">
        <f t="shared" si="35"/>
        <v>396.81992638757174</v>
      </c>
      <c r="I673" s="28">
        <f t="shared" si="35"/>
        <v>396.64208485751703</v>
      </c>
      <c r="J673" s="28">
        <f t="shared" si="35"/>
        <v>396.51162037664272</v>
      </c>
      <c r="K673" s="28">
        <f t="shared" si="35"/>
        <v>396.89902474822742</v>
      </c>
      <c r="L673" s="28">
        <f t="shared" si="35"/>
        <v>395.76195276159513</v>
      </c>
      <c r="M673" s="28">
        <f t="shared" si="35"/>
        <v>395.88770424061778</v>
      </c>
      <c r="N673" s="28">
        <f t="shared" si="35"/>
        <v>396.15584157521567</v>
      </c>
    </row>
    <row r="674" spans="1:14" x14ac:dyDescent="0.4">
      <c r="A674" s="1">
        <v>41699</v>
      </c>
      <c r="B674" s="28">
        <v>398.09770424061782</v>
      </c>
      <c r="C674" s="28">
        <f t="shared" si="35"/>
        <v>397.40584157521567</v>
      </c>
      <c r="D674" s="28">
        <f t="shared" si="35"/>
        <v>397.87110125095967</v>
      </c>
      <c r="E674" s="28">
        <f t="shared" si="35"/>
        <v>397.70768595041324</v>
      </c>
      <c r="F674" s="28">
        <f t="shared" si="35"/>
        <v>397.24164769904712</v>
      </c>
      <c r="G674" s="28">
        <f t="shared" si="35"/>
        <v>397.02708485751702</v>
      </c>
      <c r="H674" s="28">
        <f t="shared" si="35"/>
        <v>396.59432529467551</v>
      </c>
      <c r="I674" s="28">
        <f t="shared" si="35"/>
        <v>396.81992638757174</v>
      </c>
      <c r="J674" s="28">
        <f t="shared" si="35"/>
        <v>396.64208485751703</v>
      </c>
      <c r="K674" s="28">
        <f t="shared" si="35"/>
        <v>396.51162037664272</v>
      </c>
      <c r="L674" s="28">
        <f t="shared" si="35"/>
        <v>396.89902474822742</v>
      </c>
      <c r="M674" s="28">
        <f t="shared" si="35"/>
        <v>395.76195276159513</v>
      </c>
      <c r="N674" s="28">
        <f t="shared" si="35"/>
        <v>395.88770424061778</v>
      </c>
    </row>
    <row r="675" spans="1:14" x14ac:dyDescent="0.4">
      <c r="A675" s="1">
        <v>41730</v>
      </c>
      <c r="B675" s="28">
        <v>398.74195276159509</v>
      </c>
      <c r="C675" s="28">
        <f t="shared" si="35"/>
        <v>398.09770424061782</v>
      </c>
      <c r="D675" s="28">
        <f t="shared" si="35"/>
        <v>397.40584157521567</v>
      </c>
      <c r="E675" s="28">
        <f t="shared" si="35"/>
        <v>397.87110125095967</v>
      </c>
      <c r="F675" s="28">
        <f t="shared" si="35"/>
        <v>397.70768595041324</v>
      </c>
      <c r="G675" s="28">
        <f t="shared" si="35"/>
        <v>397.24164769904712</v>
      </c>
      <c r="H675" s="28">
        <f t="shared" si="35"/>
        <v>397.02708485751702</v>
      </c>
      <c r="I675" s="28">
        <f t="shared" si="35"/>
        <v>396.59432529467551</v>
      </c>
      <c r="J675" s="28">
        <f t="shared" si="35"/>
        <v>396.81992638757174</v>
      </c>
      <c r="K675" s="28">
        <f t="shared" si="35"/>
        <v>396.64208485751703</v>
      </c>
      <c r="L675" s="28">
        <f t="shared" si="35"/>
        <v>396.51162037664272</v>
      </c>
      <c r="M675" s="28">
        <f t="shared" si="35"/>
        <v>396.89902474822742</v>
      </c>
      <c r="N675" s="28">
        <f t="shared" si="35"/>
        <v>395.76195276159513</v>
      </c>
    </row>
    <row r="676" spans="1:14" x14ac:dyDescent="0.4">
      <c r="A676" s="1">
        <v>41760</v>
      </c>
      <c r="B676" s="28">
        <v>398.7990247482274</v>
      </c>
      <c r="C676" s="28">
        <f t="shared" si="35"/>
        <v>398.74195276159509</v>
      </c>
      <c r="D676" s="28">
        <f t="shared" si="35"/>
        <v>398.09770424061782</v>
      </c>
      <c r="E676" s="28">
        <f t="shared" si="35"/>
        <v>397.40584157521567</v>
      </c>
      <c r="F676" s="28">
        <f t="shared" si="35"/>
        <v>397.87110125095967</v>
      </c>
      <c r="G676" s="28">
        <f t="shared" si="35"/>
        <v>397.70768595041324</v>
      </c>
      <c r="H676" s="28">
        <f t="shared" si="35"/>
        <v>397.24164769904712</v>
      </c>
      <c r="I676" s="28">
        <f t="shared" si="35"/>
        <v>397.02708485751702</v>
      </c>
      <c r="J676" s="28">
        <f t="shared" si="35"/>
        <v>396.59432529467551</v>
      </c>
      <c r="K676" s="28">
        <f t="shared" si="35"/>
        <v>396.81992638757174</v>
      </c>
      <c r="L676" s="28">
        <f t="shared" si="35"/>
        <v>396.64208485751703</v>
      </c>
      <c r="M676" s="28">
        <f t="shared" si="35"/>
        <v>396.51162037664272</v>
      </c>
      <c r="N676" s="28">
        <f t="shared" si="35"/>
        <v>396.89902474822742</v>
      </c>
    </row>
    <row r="677" spans="1:14" x14ac:dyDescent="0.4">
      <c r="A677" s="1">
        <v>41791</v>
      </c>
      <c r="B677" s="28">
        <v>398.95162037664272</v>
      </c>
      <c r="C677" s="28">
        <f t="shared" si="35"/>
        <v>398.7990247482274</v>
      </c>
      <c r="D677" s="28">
        <f t="shared" si="35"/>
        <v>398.74195276159509</v>
      </c>
      <c r="E677" s="28">
        <f t="shared" si="35"/>
        <v>398.09770424061782</v>
      </c>
      <c r="F677" s="28">
        <f t="shared" si="35"/>
        <v>397.40584157521567</v>
      </c>
      <c r="G677" s="28">
        <f t="shared" si="35"/>
        <v>397.87110125095967</v>
      </c>
      <c r="H677" s="28">
        <f t="shared" si="35"/>
        <v>397.70768595041324</v>
      </c>
      <c r="I677" s="28">
        <f t="shared" si="35"/>
        <v>397.24164769904712</v>
      </c>
      <c r="J677" s="28">
        <f t="shared" si="35"/>
        <v>397.02708485751702</v>
      </c>
      <c r="K677" s="28">
        <f t="shared" si="35"/>
        <v>396.59432529467551</v>
      </c>
      <c r="L677" s="28">
        <f t="shared" si="35"/>
        <v>396.81992638757174</v>
      </c>
      <c r="M677" s="28">
        <f t="shared" si="35"/>
        <v>396.64208485751703</v>
      </c>
      <c r="N677" s="28">
        <f t="shared" si="35"/>
        <v>396.51162037664272</v>
      </c>
    </row>
    <row r="678" spans="1:14" x14ac:dyDescent="0.4">
      <c r="A678" s="1">
        <v>41821</v>
      </c>
      <c r="B678" s="28">
        <v>398.34208485751702</v>
      </c>
      <c r="C678" s="28">
        <f t="shared" si="35"/>
        <v>398.95162037664272</v>
      </c>
      <c r="D678" s="28">
        <f t="shared" si="35"/>
        <v>398.7990247482274</v>
      </c>
      <c r="E678" s="28">
        <f t="shared" si="35"/>
        <v>398.74195276159509</v>
      </c>
      <c r="F678" s="28">
        <f t="shared" si="35"/>
        <v>398.09770424061782</v>
      </c>
      <c r="G678" s="28">
        <f t="shared" si="35"/>
        <v>397.40584157521567</v>
      </c>
      <c r="H678" s="28">
        <f t="shared" si="35"/>
        <v>397.87110125095967</v>
      </c>
      <c r="I678" s="28">
        <f t="shared" si="35"/>
        <v>397.70768595041324</v>
      </c>
      <c r="J678" s="28">
        <f t="shared" si="35"/>
        <v>397.24164769904712</v>
      </c>
      <c r="K678" s="28">
        <f t="shared" si="35"/>
        <v>397.02708485751702</v>
      </c>
      <c r="L678" s="28">
        <f t="shared" si="35"/>
        <v>396.59432529467551</v>
      </c>
      <c r="M678" s="28">
        <f t="shared" si="35"/>
        <v>396.81992638757174</v>
      </c>
      <c r="N678" s="28">
        <f t="shared" si="35"/>
        <v>396.64208485751703</v>
      </c>
    </row>
    <row r="679" spans="1:14" x14ac:dyDescent="0.4">
      <c r="A679" s="1">
        <v>41852</v>
      </c>
      <c r="B679" s="28">
        <v>398.6199263875717</v>
      </c>
      <c r="C679" s="28">
        <f t="shared" si="35"/>
        <v>398.34208485751702</v>
      </c>
      <c r="D679" s="28">
        <f t="shared" si="35"/>
        <v>398.95162037664272</v>
      </c>
      <c r="E679" s="28">
        <f t="shared" si="35"/>
        <v>398.7990247482274</v>
      </c>
      <c r="F679" s="28">
        <f t="shared" si="35"/>
        <v>398.74195276159509</v>
      </c>
      <c r="G679" s="28">
        <f t="shared" si="35"/>
        <v>398.09770424061782</v>
      </c>
      <c r="H679" s="28">
        <f t="shared" si="35"/>
        <v>397.40584157521567</v>
      </c>
      <c r="I679" s="28">
        <f t="shared" ref="D679:S694" si="36">IF(H678=0,"",H678)</f>
        <v>397.87110125095967</v>
      </c>
      <c r="J679" s="28">
        <f t="shared" si="36"/>
        <v>397.70768595041324</v>
      </c>
      <c r="K679" s="28">
        <f t="shared" si="36"/>
        <v>397.24164769904712</v>
      </c>
      <c r="L679" s="28">
        <f t="shared" si="36"/>
        <v>397.02708485751702</v>
      </c>
      <c r="M679" s="28">
        <f t="shared" si="36"/>
        <v>396.59432529467551</v>
      </c>
      <c r="N679" s="28">
        <f t="shared" si="36"/>
        <v>396.81992638757174</v>
      </c>
    </row>
    <row r="680" spans="1:14" x14ac:dyDescent="0.4">
      <c r="A680" s="1">
        <v>41883</v>
      </c>
      <c r="B680" s="28">
        <v>398.6043252946755</v>
      </c>
      <c r="C680" s="28">
        <f t="shared" ref="C680:N743" si="37">IF(B679=0,"",B679)</f>
        <v>398.6199263875717</v>
      </c>
      <c r="D680" s="28">
        <f t="shared" si="36"/>
        <v>398.34208485751702</v>
      </c>
      <c r="E680" s="28">
        <f t="shared" si="36"/>
        <v>398.95162037664272</v>
      </c>
      <c r="F680" s="28">
        <f t="shared" si="36"/>
        <v>398.7990247482274</v>
      </c>
      <c r="G680" s="28">
        <f t="shared" si="36"/>
        <v>398.74195276159509</v>
      </c>
      <c r="H680" s="28">
        <f t="shared" si="36"/>
        <v>398.09770424061782</v>
      </c>
      <c r="I680" s="28">
        <f t="shared" si="36"/>
        <v>397.40584157521567</v>
      </c>
      <c r="J680" s="28">
        <f t="shared" si="36"/>
        <v>397.87110125095967</v>
      </c>
      <c r="K680" s="28">
        <f t="shared" si="36"/>
        <v>397.70768595041324</v>
      </c>
      <c r="L680" s="28">
        <f t="shared" si="36"/>
        <v>397.24164769904712</v>
      </c>
      <c r="M680" s="28">
        <f t="shared" si="36"/>
        <v>397.02708485751702</v>
      </c>
      <c r="N680" s="28">
        <f t="shared" si="36"/>
        <v>396.59432529467551</v>
      </c>
    </row>
    <row r="681" spans="1:14" x14ac:dyDescent="0.4">
      <c r="A681" s="1">
        <v>41913</v>
      </c>
      <c r="B681" s="28">
        <v>398.97708485751701</v>
      </c>
      <c r="C681" s="28">
        <f t="shared" si="37"/>
        <v>398.6043252946755</v>
      </c>
      <c r="D681" s="28">
        <f t="shared" si="36"/>
        <v>398.6199263875717</v>
      </c>
      <c r="E681" s="28">
        <f t="shared" si="36"/>
        <v>398.34208485751702</v>
      </c>
      <c r="F681" s="28">
        <f t="shared" si="36"/>
        <v>398.95162037664272</v>
      </c>
      <c r="G681" s="28">
        <f t="shared" si="36"/>
        <v>398.7990247482274</v>
      </c>
      <c r="H681" s="28">
        <f t="shared" si="36"/>
        <v>398.74195276159509</v>
      </c>
      <c r="I681" s="28">
        <f t="shared" si="36"/>
        <v>398.09770424061782</v>
      </c>
      <c r="J681" s="28">
        <f t="shared" si="36"/>
        <v>397.40584157521567</v>
      </c>
      <c r="K681" s="28">
        <f t="shared" si="36"/>
        <v>397.87110125095967</v>
      </c>
      <c r="L681" s="28">
        <f t="shared" si="36"/>
        <v>397.70768595041324</v>
      </c>
      <c r="M681" s="28">
        <f t="shared" si="36"/>
        <v>397.24164769904712</v>
      </c>
      <c r="N681" s="28">
        <f t="shared" si="36"/>
        <v>397.02708485751702</v>
      </c>
    </row>
    <row r="682" spans="1:14" x14ac:dyDescent="0.4">
      <c r="A682" s="1">
        <v>41944</v>
      </c>
      <c r="B682" s="28">
        <v>399.28164769904714</v>
      </c>
      <c r="C682" s="28">
        <f t="shared" si="37"/>
        <v>398.97708485751701</v>
      </c>
      <c r="D682" s="28">
        <f t="shared" si="36"/>
        <v>398.6043252946755</v>
      </c>
      <c r="E682" s="28">
        <f t="shared" si="36"/>
        <v>398.6199263875717</v>
      </c>
      <c r="F682" s="28">
        <f t="shared" si="36"/>
        <v>398.34208485751702</v>
      </c>
      <c r="G682" s="28">
        <f t="shared" si="36"/>
        <v>398.95162037664272</v>
      </c>
      <c r="H682" s="28">
        <f t="shared" si="36"/>
        <v>398.7990247482274</v>
      </c>
      <c r="I682" s="28">
        <f t="shared" si="36"/>
        <v>398.74195276159509</v>
      </c>
      <c r="J682" s="28">
        <f t="shared" si="36"/>
        <v>398.09770424061782</v>
      </c>
      <c r="K682" s="28">
        <f t="shared" si="36"/>
        <v>397.40584157521567</v>
      </c>
      <c r="L682" s="28">
        <f t="shared" si="36"/>
        <v>397.87110125095967</v>
      </c>
      <c r="M682" s="28">
        <f t="shared" si="36"/>
        <v>397.70768595041324</v>
      </c>
      <c r="N682" s="28">
        <f t="shared" si="36"/>
        <v>397.24164769904712</v>
      </c>
    </row>
    <row r="683" spans="1:14" x14ac:dyDescent="0.4">
      <c r="A683" s="1">
        <v>41974</v>
      </c>
      <c r="B683" s="28">
        <v>399.67768595041326</v>
      </c>
      <c r="C683" s="28">
        <f t="shared" si="37"/>
        <v>399.28164769904714</v>
      </c>
      <c r="D683" s="28">
        <f t="shared" si="36"/>
        <v>398.97708485751701</v>
      </c>
      <c r="E683" s="28">
        <f t="shared" si="36"/>
        <v>398.6043252946755</v>
      </c>
      <c r="F683" s="28">
        <f t="shared" si="36"/>
        <v>398.6199263875717</v>
      </c>
      <c r="G683" s="28">
        <f t="shared" si="36"/>
        <v>398.34208485751702</v>
      </c>
      <c r="H683" s="28">
        <f t="shared" si="36"/>
        <v>398.95162037664272</v>
      </c>
      <c r="I683" s="28">
        <f t="shared" si="36"/>
        <v>398.7990247482274</v>
      </c>
      <c r="J683" s="28">
        <f t="shared" si="36"/>
        <v>398.74195276159509</v>
      </c>
      <c r="K683" s="28">
        <f t="shared" si="36"/>
        <v>398.09770424061782</v>
      </c>
      <c r="L683" s="28">
        <f t="shared" si="36"/>
        <v>397.40584157521567</v>
      </c>
      <c r="M683" s="28">
        <f t="shared" si="36"/>
        <v>397.87110125095967</v>
      </c>
      <c r="N683" s="28">
        <f t="shared" si="36"/>
        <v>397.70768595041324</v>
      </c>
    </row>
    <row r="684" spans="1:14" x14ac:dyDescent="0.4">
      <c r="A684" s="1">
        <v>42005</v>
      </c>
      <c r="B684" s="28">
        <v>399.79110125095968</v>
      </c>
      <c r="C684" s="28">
        <f t="shared" si="37"/>
        <v>399.67768595041326</v>
      </c>
      <c r="D684" s="28">
        <f t="shared" si="36"/>
        <v>399.28164769904714</v>
      </c>
      <c r="E684" s="28">
        <f t="shared" si="36"/>
        <v>398.97708485751701</v>
      </c>
      <c r="F684" s="28">
        <f t="shared" si="36"/>
        <v>398.6043252946755</v>
      </c>
      <c r="G684" s="28">
        <f t="shared" si="36"/>
        <v>398.6199263875717</v>
      </c>
      <c r="H684" s="28">
        <f t="shared" si="36"/>
        <v>398.34208485751702</v>
      </c>
      <c r="I684" s="28">
        <f t="shared" si="36"/>
        <v>398.95162037664272</v>
      </c>
      <c r="J684" s="28">
        <f t="shared" si="36"/>
        <v>398.7990247482274</v>
      </c>
      <c r="K684" s="28">
        <f t="shared" si="36"/>
        <v>398.74195276159509</v>
      </c>
      <c r="L684" s="28">
        <f t="shared" si="36"/>
        <v>398.09770424061782</v>
      </c>
      <c r="M684" s="28">
        <f t="shared" si="36"/>
        <v>397.40584157521567</v>
      </c>
      <c r="N684" s="28">
        <f t="shared" si="36"/>
        <v>397.87110125095967</v>
      </c>
    </row>
    <row r="685" spans="1:14" x14ac:dyDescent="0.4">
      <c r="A685" s="1">
        <v>42036</v>
      </c>
      <c r="B685" s="28">
        <v>399.61584157521565</v>
      </c>
      <c r="C685" s="28">
        <f t="shared" si="37"/>
        <v>399.79110125095968</v>
      </c>
      <c r="D685" s="28">
        <f t="shared" si="36"/>
        <v>399.67768595041326</v>
      </c>
      <c r="E685" s="28">
        <f t="shared" si="36"/>
        <v>399.28164769904714</v>
      </c>
      <c r="F685" s="28">
        <f t="shared" si="36"/>
        <v>398.97708485751701</v>
      </c>
      <c r="G685" s="28">
        <f t="shared" si="36"/>
        <v>398.6043252946755</v>
      </c>
      <c r="H685" s="28">
        <f t="shared" si="36"/>
        <v>398.6199263875717</v>
      </c>
      <c r="I685" s="28">
        <f t="shared" si="36"/>
        <v>398.34208485751702</v>
      </c>
      <c r="J685" s="28">
        <f t="shared" si="36"/>
        <v>398.95162037664272</v>
      </c>
      <c r="K685" s="28">
        <f t="shared" si="36"/>
        <v>398.7990247482274</v>
      </c>
      <c r="L685" s="28">
        <f t="shared" si="36"/>
        <v>398.74195276159509</v>
      </c>
      <c r="M685" s="28">
        <f t="shared" si="36"/>
        <v>398.09770424061782</v>
      </c>
      <c r="N685" s="28">
        <f t="shared" si="36"/>
        <v>397.40584157521567</v>
      </c>
    </row>
    <row r="686" spans="1:14" x14ac:dyDescent="0.4">
      <c r="A686" s="1">
        <v>42064</v>
      </c>
      <c r="B686" s="28">
        <v>400.13770424061778</v>
      </c>
      <c r="C686" s="28">
        <f t="shared" si="37"/>
        <v>399.61584157521565</v>
      </c>
      <c r="D686" s="28">
        <f t="shared" si="36"/>
        <v>399.79110125095968</v>
      </c>
      <c r="E686" s="28">
        <f t="shared" si="36"/>
        <v>399.67768595041326</v>
      </c>
      <c r="F686" s="28">
        <f t="shared" si="36"/>
        <v>399.28164769904714</v>
      </c>
      <c r="G686" s="28">
        <f t="shared" si="36"/>
        <v>398.97708485751701</v>
      </c>
      <c r="H686" s="28">
        <f t="shared" si="36"/>
        <v>398.6043252946755</v>
      </c>
      <c r="I686" s="28">
        <f t="shared" si="36"/>
        <v>398.6199263875717</v>
      </c>
      <c r="J686" s="28">
        <f t="shared" si="36"/>
        <v>398.34208485751702</v>
      </c>
      <c r="K686" s="28">
        <f t="shared" si="36"/>
        <v>398.95162037664272</v>
      </c>
      <c r="L686" s="28">
        <f t="shared" si="36"/>
        <v>398.7990247482274</v>
      </c>
      <c r="M686" s="28">
        <f t="shared" si="36"/>
        <v>398.74195276159509</v>
      </c>
      <c r="N686" s="28">
        <f t="shared" si="36"/>
        <v>398.09770424061782</v>
      </c>
    </row>
    <row r="687" spans="1:14" x14ac:dyDescent="0.4">
      <c r="A687" s="1">
        <v>42095</v>
      </c>
      <c r="B687" s="28">
        <v>400.86195276159509</v>
      </c>
      <c r="C687" s="28">
        <f t="shared" si="37"/>
        <v>400.13770424061778</v>
      </c>
      <c r="D687" s="28">
        <f t="shared" si="36"/>
        <v>399.61584157521565</v>
      </c>
      <c r="E687" s="28">
        <f t="shared" si="36"/>
        <v>399.79110125095968</v>
      </c>
      <c r="F687" s="28">
        <f t="shared" si="36"/>
        <v>399.67768595041326</v>
      </c>
      <c r="G687" s="28">
        <f t="shared" si="36"/>
        <v>399.28164769904714</v>
      </c>
      <c r="H687" s="28">
        <f t="shared" si="36"/>
        <v>398.97708485751701</v>
      </c>
      <c r="I687" s="28">
        <f t="shared" si="36"/>
        <v>398.6043252946755</v>
      </c>
      <c r="J687" s="28">
        <f t="shared" si="36"/>
        <v>398.6199263875717</v>
      </c>
      <c r="K687" s="28">
        <f t="shared" si="36"/>
        <v>398.34208485751702</v>
      </c>
      <c r="L687" s="28">
        <f t="shared" si="36"/>
        <v>398.95162037664272</v>
      </c>
      <c r="M687" s="28">
        <f t="shared" si="36"/>
        <v>398.7990247482274</v>
      </c>
      <c r="N687" s="28">
        <f t="shared" si="36"/>
        <v>398.74195276159509</v>
      </c>
    </row>
    <row r="688" spans="1:14" x14ac:dyDescent="0.4">
      <c r="A688" s="1">
        <v>42125</v>
      </c>
      <c r="B688" s="28">
        <v>401.01902474822742</v>
      </c>
      <c r="C688" s="28">
        <f t="shared" si="37"/>
        <v>400.86195276159509</v>
      </c>
      <c r="D688" s="28">
        <f t="shared" si="36"/>
        <v>400.13770424061778</v>
      </c>
      <c r="E688" s="28">
        <f t="shared" si="36"/>
        <v>399.61584157521565</v>
      </c>
      <c r="F688" s="28">
        <f t="shared" si="36"/>
        <v>399.79110125095968</v>
      </c>
      <c r="G688" s="28">
        <f t="shared" si="36"/>
        <v>399.67768595041326</v>
      </c>
      <c r="H688" s="28">
        <f t="shared" si="36"/>
        <v>399.28164769904714</v>
      </c>
      <c r="I688" s="28">
        <f t="shared" si="36"/>
        <v>398.97708485751701</v>
      </c>
      <c r="J688" s="28">
        <f t="shared" si="36"/>
        <v>398.6043252946755</v>
      </c>
      <c r="K688" s="28">
        <f t="shared" si="36"/>
        <v>398.6199263875717</v>
      </c>
      <c r="L688" s="28">
        <f t="shared" si="36"/>
        <v>398.34208485751702</v>
      </c>
      <c r="M688" s="28">
        <f t="shared" si="36"/>
        <v>398.95162037664272</v>
      </c>
      <c r="N688" s="28">
        <f t="shared" si="36"/>
        <v>398.7990247482274</v>
      </c>
    </row>
    <row r="689" spans="1:14" x14ac:dyDescent="0.4">
      <c r="A689" s="1">
        <v>42156</v>
      </c>
      <c r="B689" s="28">
        <v>400.52162037664272</v>
      </c>
      <c r="C689" s="28">
        <f t="shared" si="37"/>
        <v>401.01902474822742</v>
      </c>
      <c r="D689" s="28">
        <f t="shared" si="36"/>
        <v>400.86195276159509</v>
      </c>
      <c r="E689" s="28">
        <f t="shared" si="36"/>
        <v>400.13770424061778</v>
      </c>
      <c r="F689" s="28">
        <f t="shared" si="36"/>
        <v>399.61584157521565</v>
      </c>
      <c r="G689" s="28">
        <f t="shared" si="36"/>
        <v>399.79110125095968</v>
      </c>
      <c r="H689" s="28">
        <f t="shared" si="36"/>
        <v>399.67768595041326</v>
      </c>
      <c r="I689" s="28">
        <f t="shared" si="36"/>
        <v>399.28164769904714</v>
      </c>
      <c r="J689" s="28">
        <f t="shared" si="36"/>
        <v>398.97708485751701</v>
      </c>
      <c r="K689" s="28">
        <f t="shared" si="36"/>
        <v>398.6043252946755</v>
      </c>
      <c r="L689" s="28">
        <f t="shared" si="36"/>
        <v>398.6199263875717</v>
      </c>
      <c r="M689" s="28">
        <f t="shared" si="36"/>
        <v>398.34208485751702</v>
      </c>
      <c r="N689" s="28">
        <f t="shared" si="36"/>
        <v>398.95162037664272</v>
      </c>
    </row>
    <row r="690" spans="1:14" x14ac:dyDescent="0.4">
      <c r="A690" s="1">
        <v>42186</v>
      </c>
      <c r="B690" s="28">
        <v>400.88208485751704</v>
      </c>
      <c r="C690" s="28">
        <f t="shared" si="37"/>
        <v>400.52162037664272</v>
      </c>
      <c r="D690" s="28">
        <f t="shared" si="36"/>
        <v>401.01902474822742</v>
      </c>
      <c r="E690" s="28">
        <f t="shared" si="36"/>
        <v>400.86195276159509</v>
      </c>
      <c r="F690" s="28">
        <f t="shared" si="36"/>
        <v>400.13770424061778</v>
      </c>
      <c r="G690" s="28">
        <f t="shared" si="36"/>
        <v>399.61584157521565</v>
      </c>
      <c r="H690" s="28">
        <f t="shared" si="36"/>
        <v>399.79110125095968</v>
      </c>
      <c r="I690" s="28">
        <f t="shared" si="36"/>
        <v>399.67768595041326</v>
      </c>
      <c r="J690" s="28">
        <f t="shared" si="36"/>
        <v>399.28164769904714</v>
      </c>
      <c r="K690" s="28">
        <f t="shared" si="36"/>
        <v>398.97708485751701</v>
      </c>
      <c r="L690" s="28">
        <f t="shared" si="36"/>
        <v>398.6043252946755</v>
      </c>
      <c r="M690" s="28">
        <f t="shared" si="36"/>
        <v>398.6199263875717</v>
      </c>
      <c r="N690" s="28">
        <f t="shared" si="36"/>
        <v>398.34208485751702</v>
      </c>
    </row>
    <row r="691" spans="1:14" x14ac:dyDescent="0.4">
      <c r="A691" s="1">
        <v>42217</v>
      </c>
      <c r="B691" s="28">
        <v>400.40992638757172</v>
      </c>
      <c r="C691" s="28">
        <f t="shared" si="37"/>
        <v>400.88208485751704</v>
      </c>
      <c r="D691" s="28">
        <f t="shared" si="36"/>
        <v>400.52162037664272</v>
      </c>
      <c r="E691" s="28">
        <f t="shared" si="36"/>
        <v>401.01902474822742</v>
      </c>
      <c r="F691" s="28">
        <f t="shared" si="36"/>
        <v>400.86195276159509</v>
      </c>
      <c r="G691" s="28">
        <f t="shared" si="36"/>
        <v>400.13770424061778</v>
      </c>
      <c r="H691" s="28">
        <f t="shared" si="36"/>
        <v>399.61584157521565</v>
      </c>
      <c r="I691" s="28">
        <f t="shared" si="36"/>
        <v>399.79110125095968</v>
      </c>
      <c r="J691" s="28">
        <f t="shared" si="36"/>
        <v>399.67768595041326</v>
      </c>
      <c r="K691" s="28">
        <f t="shared" si="36"/>
        <v>399.28164769904714</v>
      </c>
      <c r="L691" s="28">
        <f t="shared" si="36"/>
        <v>398.97708485751701</v>
      </c>
      <c r="M691" s="28">
        <f t="shared" si="36"/>
        <v>398.6043252946755</v>
      </c>
      <c r="N691" s="28">
        <f t="shared" si="36"/>
        <v>398.6199263875717</v>
      </c>
    </row>
    <row r="692" spans="1:14" x14ac:dyDescent="0.4">
      <c r="A692" s="1">
        <v>42248</v>
      </c>
      <c r="B692" s="28">
        <v>400.70432529467553</v>
      </c>
      <c r="C692" s="28">
        <f t="shared" si="37"/>
        <v>400.40992638757172</v>
      </c>
      <c r="D692" s="28">
        <f t="shared" si="36"/>
        <v>400.88208485751704</v>
      </c>
      <c r="E692" s="28">
        <f t="shared" si="36"/>
        <v>400.52162037664272</v>
      </c>
      <c r="F692" s="28">
        <f t="shared" si="36"/>
        <v>401.01902474822742</v>
      </c>
      <c r="G692" s="28">
        <f t="shared" si="36"/>
        <v>400.86195276159509</v>
      </c>
      <c r="H692" s="28">
        <f t="shared" si="36"/>
        <v>400.13770424061778</v>
      </c>
      <c r="I692" s="28">
        <f t="shared" si="36"/>
        <v>399.61584157521565</v>
      </c>
      <c r="J692" s="28">
        <f t="shared" si="36"/>
        <v>399.79110125095968</v>
      </c>
      <c r="K692" s="28">
        <f t="shared" si="36"/>
        <v>399.67768595041326</v>
      </c>
      <c r="L692" s="28">
        <f t="shared" si="36"/>
        <v>399.28164769904714</v>
      </c>
      <c r="M692" s="28">
        <f t="shared" si="36"/>
        <v>398.97708485751701</v>
      </c>
      <c r="N692" s="28">
        <f t="shared" si="36"/>
        <v>398.6043252946755</v>
      </c>
    </row>
    <row r="693" spans="1:14" x14ac:dyDescent="0.4">
      <c r="A693" s="1">
        <v>42278</v>
      </c>
      <c r="B693" s="28">
        <v>401.60708485751701</v>
      </c>
      <c r="C693" s="28">
        <f t="shared" si="37"/>
        <v>400.70432529467553</v>
      </c>
      <c r="D693" s="28">
        <f t="shared" si="36"/>
        <v>400.40992638757172</v>
      </c>
      <c r="E693" s="28">
        <f t="shared" si="36"/>
        <v>400.88208485751704</v>
      </c>
      <c r="F693" s="28">
        <f t="shared" si="36"/>
        <v>400.52162037664272</v>
      </c>
      <c r="G693" s="28">
        <f t="shared" si="36"/>
        <v>401.01902474822742</v>
      </c>
      <c r="H693" s="28">
        <f t="shared" si="36"/>
        <v>400.86195276159509</v>
      </c>
      <c r="I693" s="28">
        <f t="shared" si="36"/>
        <v>400.13770424061778</v>
      </c>
      <c r="J693" s="28">
        <f t="shared" si="36"/>
        <v>399.61584157521565</v>
      </c>
      <c r="K693" s="28">
        <f t="shared" si="36"/>
        <v>399.79110125095968</v>
      </c>
      <c r="L693" s="28">
        <f t="shared" si="36"/>
        <v>399.67768595041326</v>
      </c>
      <c r="M693" s="28">
        <f t="shared" si="36"/>
        <v>399.28164769904714</v>
      </c>
      <c r="N693" s="28">
        <f t="shared" si="36"/>
        <v>398.97708485751701</v>
      </c>
    </row>
    <row r="694" spans="1:14" x14ac:dyDescent="0.4">
      <c r="A694" s="1">
        <v>42309</v>
      </c>
      <c r="B694" s="28">
        <v>402.29164769904713</v>
      </c>
      <c r="C694" s="28">
        <f t="shared" si="37"/>
        <v>401.60708485751701</v>
      </c>
      <c r="D694" s="28">
        <f t="shared" si="36"/>
        <v>400.70432529467553</v>
      </c>
      <c r="E694" s="28">
        <f t="shared" si="36"/>
        <v>400.40992638757172</v>
      </c>
      <c r="F694" s="28">
        <f t="shared" si="36"/>
        <v>400.88208485751704</v>
      </c>
      <c r="G694" s="28">
        <f t="shared" si="36"/>
        <v>400.52162037664272</v>
      </c>
      <c r="H694" s="28">
        <f t="shared" si="36"/>
        <v>401.01902474822742</v>
      </c>
      <c r="I694" s="28">
        <f t="shared" si="36"/>
        <v>400.86195276159509</v>
      </c>
      <c r="J694" s="28">
        <f t="shared" si="36"/>
        <v>400.13770424061778</v>
      </c>
      <c r="K694" s="28">
        <f t="shared" si="36"/>
        <v>399.61584157521565</v>
      </c>
      <c r="L694" s="28">
        <f t="shared" si="36"/>
        <v>399.79110125095968</v>
      </c>
      <c r="M694" s="28">
        <f t="shared" si="36"/>
        <v>399.67768595041326</v>
      </c>
      <c r="N694" s="28">
        <f t="shared" si="36"/>
        <v>399.28164769904714</v>
      </c>
    </row>
    <row r="695" spans="1:14" x14ac:dyDescent="0.4">
      <c r="A695" s="1">
        <v>42339</v>
      </c>
      <c r="B695" s="28">
        <v>402.77768595041323</v>
      </c>
      <c r="C695" s="28">
        <f t="shared" si="37"/>
        <v>402.29164769904713</v>
      </c>
      <c r="D695" s="28">
        <f t="shared" si="37"/>
        <v>401.60708485751701</v>
      </c>
      <c r="E695" s="28">
        <f t="shared" si="37"/>
        <v>400.70432529467553</v>
      </c>
      <c r="F695" s="28">
        <f t="shared" si="37"/>
        <v>400.40992638757172</v>
      </c>
      <c r="G695" s="28">
        <f t="shared" si="37"/>
        <v>400.88208485751704</v>
      </c>
      <c r="H695" s="28">
        <f t="shared" si="37"/>
        <v>400.52162037664272</v>
      </c>
      <c r="I695" s="28">
        <f t="shared" si="37"/>
        <v>401.01902474822742</v>
      </c>
      <c r="J695" s="28">
        <f t="shared" si="37"/>
        <v>400.86195276159509</v>
      </c>
      <c r="K695" s="28">
        <f t="shared" si="37"/>
        <v>400.13770424061778</v>
      </c>
      <c r="L695" s="28">
        <f t="shared" si="37"/>
        <v>399.61584157521565</v>
      </c>
      <c r="M695" s="28">
        <f t="shared" si="37"/>
        <v>399.79110125095968</v>
      </c>
      <c r="N695" s="28">
        <f t="shared" si="37"/>
        <v>399.67768595041326</v>
      </c>
    </row>
    <row r="696" spans="1:14" x14ac:dyDescent="0.4">
      <c r="A696" s="1">
        <v>42370</v>
      </c>
      <c r="B696" s="28">
        <v>402.59110125095964</v>
      </c>
      <c r="C696" s="28">
        <f t="shared" si="37"/>
        <v>402.77768595041323</v>
      </c>
      <c r="D696" s="28">
        <f t="shared" si="37"/>
        <v>402.29164769904713</v>
      </c>
      <c r="E696" s="28">
        <f t="shared" si="37"/>
        <v>401.60708485751701</v>
      </c>
      <c r="F696" s="28">
        <f t="shared" si="37"/>
        <v>400.70432529467553</v>
      </c>
      <c r="G696" s="28">
        <f t="shared" si="37"/>
        <v>400.40992638757172</v>
      </c>
      <c r="H696" s="28">
        <f t="shared" si="37"/>
        <v>400.88208485751704</v>
      </c>
      <c r="I696" s="28">
        <f t="shared" si="37"/>
        <v>400.52162037664272</v>
      </c>
      <c r="J696" s="28">
        <f t="shared" si="37"/>
        <v>401.01902474822742</v>
      </c>
      <c r="K696" s="28">
        <f t="shared" si="37"/>
        <v>400.86195276159509</v>
      </c>
      <c r="L696" s="28">
        <f t="shared" si="37"/>
        <v>400.13770424061778</v>
      </c>
      <c r="M696" s="28">
        <f t="shared" si="37"/>
        <v>399.61584157521565</v>
      </c>
      <c r="N696" s="28">
        <f t="shared" si="37"/>
        <v>399.79110125095968</v>
      </c>
    </row>
    <row r="697" spans="1:14" x14ac:dyDescent="0.4">
      <c r="A697" s="1">
        <v>42401</v>
      </c>
      <c r="B697" s="28">
        <v>403.46584157521568</v>
      </c>
      <c r="C697" s="28">
        <f t="shared" si="37"/>
        <v>402.59110125095964</v>
      </c>
      <c r="D697" s="28">
        <f t="shared" si="37"/>
        <v>402.77768595041323</v>
      </c>
      <c r="E697" s="28">
        <f t="shared" si="37"/>
        <v>402.29164769904713</v>
      </c>
      <c r="F697" s="28">
        <f t="shared" si="37"/>
        <v>401.60708485751701</v>
      </c>
      <c r="G697" s="28">
        <f t="shared" si="37"/>
        <v>400.70432529467553</v>
      </c>
      <c r="H697" s="28">
        <f t="shared" si="37"/>
        <v>400.40992638757172</v>
      </c>
      <c r="I697" s="28">
        <f t="shared" si="37"/>
        <v>400.88208485751704</v>
      </c>
      <c r="J697" s="28">
        <f t="shared" si="37"/>
        <v>400.52162037664272</v>
      </c>
      <c r="K697" s="28">
        <f t="shared" si="37"/>
        <v>401.01902474822742</v>
      </c>
      <c r="L697" s="28">
        <f t="shared" si="37"/>
        <v>400.86195276159509</v>
      </c>
      <c r="M697" s="28">
        <f t="shared" si="37"/>
        <v>400.13770424061778</v>
      </c>
      <c r="N697" s="28">
        <f t="shared" si="37"/>
        <v>399.61584157521565</v>
      </c>
    </row>
    <row r="698" spans="1:14" x14ac:dyDescent="0.4">
      <c r="A698" s="1">
        <v>42430</v>
      </c>
      <c r="B698" s="28">
        <v>403.47770424061781</v>
      </c>
      <c r="C698" s="28">
        <f t="shared" si="37"/>
        <v>403.46584157521568</v>
      </c>
      <c r="D698" s="28">
        <f t="shared" si="37"/>
        <v>402.59110125095964</v>
      </c>
      <c r="E698" s="28">
        <f t="shared" si="37"/>
        <v>402.77768595041323</v>
      </c>
      <c r="F698" s="28">
        <f t="shared" si="37"/>
        <v>402.29164769904713</v>
      </c>
      <c r="G698" s="28">
        <f t="shared" si="37"/>
        <v>401.60708485751701</v>
      </c>
      <c r="H698" s="28">
        <f t="shared" si="37"/>
        <v>400.70432529467553</v>
      </c>
      <c r="I698" s="28">
        <f t="shared" si="37"/>
        <v>400.40992638757172</v>
      </c>
      <c r="J698" s="28">
        <f t="shared" si="37"/>
        <v>400.88208485751704</v>
      </c>
      <c r="K698" s="28">
        <f t="shared" si="37"/>
        <v>400.52162037664272</v>
      </c>
      <c r="L698" s="28">
        <f t="shared" si="37"/>
        <v>401.01902474822742</v>
      </c>
      <c r="M698" s="28">
        <f t="shared" si="37"/>
        <v>400.86195276159509</v>
      </c>
      <c r="N698" s="28">
        <f t="shared" si="37"/>
        <v>400.13770424061778</v>
      </c>
    </row>
    <row r="699" spans="1:14" x14ac:dyDescent="0.4">
      <c r="A699" s="1">
        <v>42461</v>
      </c>
      <c r="B699" s="28">
        <v>404.9819527615951</v>
      </c>
      <c r="C699" s="28">
        <f t="shared" si="37"/>
        <v>403.47770424061781</v>
      </c>
      <c r="D699" s="28">
        <f t="shared" si="37"/>
        <v>403.46584157521568</v>
      </c>
      <c r="E699" s="28">
        <f t="shared" si="37"/>
        <v>402.59110125095964</v>
      </c>
      <c r="F699" s="28">
        <f t="shared" si="37"/>
        <v>402.77768595041323</v>
      </c>
      <c r="G699" s="28">
        <f t="shared" si="37"/>
        <v>402.29164769904713</v>
      </c>
      <c r="H699" s="28">
        <f t="shared" si="37"/>
        <v>401.60708485751701</v>
      </c>
      <c r="I699" s="28">
        <f t="shared" si="37"/>
        <v>400.70432529467553</v>
      </c>
      <c r="J699" s="28">
        <f t="shared" si="37"/>
        <v>400.40992638757172</v>
      </c>
      <c r="K699" s="28">
        <f t="shared" si="37"/>
        <v>400.88208485751704</v>
      </c>
      <c r="L699" s="28">
        <f t="shared" si="37"/>
        <v>400.52162037664272</v>
      </c>
      <c r="M699" s="28">
        <f t="shared" si="37"/>
        <v>401.01902474822742</v>
      </c>
      <c r="N699" s="28">
        <f t="shared" si="37"/>
        <v>400.86195276159509</v>
      </c>
    </row>
    <row r="700" spans="1:14" x14ac:dyDescent="0.4">
      <c r="A700" s="1">
        <v>42491</v>
      </c>
      <c r="B700" s="28">
        <v>404.57902474822743</v>
      </c>
      <c r="C700" s="28">
        <f t="shared" si="37"/>
        <v>404.9819527615951</v>
      </c>
      <c r="D700" s="28">
        <f t="shared" si="37"/>
        <v>403.47770424061781</v>
      </c>
      <c r="E700" s="28">
        <f t="shared" si="37"/>
        <v>403.46584157521568</v>
      </c>
      <c r="F700" s="28">
        <f t="shared" si="37"/>
        <v>402.59110125095964</v>
      </c>
      <c r="G700" s="28">
        <f t="shared" si="37"/>
        <v>402.77768595041323</v>
      </c>
      <c r="H700" s="28">
        <f t="shared" si="37"/>
        <v>402.29164769904713</v>
      </c>
      <c r="I700" s="28">
        <f t="shared" si="37"/>
        <v>401.60708485751701</v>
      </c>
      <c r="J700" s="28">
        <f t="shared" si="37"/>
        <v>400.70432529467553</v>
      </c>
      <c r="K700" s="28">
        <f t="shared" si="37"/>
        <v>400.40992638757172</v>
      </c>
      <c r="L700" s="28">
        <f t="shared" si="37"/>
        <v>400.88208485751704</v>
      </c>
      <c r="M700" s="28">
        <f t="shared" si="37"/>
        <v>400.52162037664272</v>
      </c>
      <c r="N700" s="28">
        <f t="shared" si="37"/>
        <v>401.01902474822742</v>
      </c>
    </row>
    <row r="701" spans="1:14" x14ac:dyDescent="0.4">
      <c r="A701" s="1">
        <v>42522</v>
      </c>
      <c r="B701" s="28">
        <v>404.64162037664272</v>
      </c>
      <c r="C701" s="28">
        <f t="shared" si="37"/>
        <v>404.57902474822743</v>
      </c>
      <c r="D701" s="28">
        <f t="shared" si="37"/>
        <v>404.9819527615951</v>
      </c>
      <c r="E701" s="28">
        <f t="shared" si="37"/>
        <v>403.47770424061781</v>
      </c>
      <c r="F701" s="28">
        <f t="shared" si="37"/>
        <v>403.46584157521568</v>
      </c>
      <c r="G701" s="28">
        <f t="shared" si="37"/>
        <v>402.59110125095964</v>
      </c>
      <c r="H701" s="28">
        <f t="shared" si="37"/>
        <v>402.77768595041323</v>
      </c>
      <c r="I701" s="28">
        <f t="shared" si="37"/>
        <v>402.29164769904713</v>
      </c>
      <c r="J701" s="28">
        <f t="shared" si="37"/>
        <v>401.60708485751701</v>
      </c>
      <c r="K701" s="28">
        <f t="shared" si="37"/>
        <v>400.70432529467553</v>
      </c>
      <c r="L701" s="28">
        <f t="shared" si="37"/>
        <v>400.40992638757172</v>
      </c>
      <c r="M701" s="28">
        <f t="shared" si="37"/>
        <v>400.88208485751704</v>
      </c>
      <c r="N701" s="28">
        <f t="shared" si="37"/>
        <v>400.52162037664272</v>
      </c>
    </row>
    <row r="702" spans="1:14" x14ac:dyDescent="0.4">
      <c r="A702" s="1">
        <v>42552</v>
      </c>
      <c r="B702" s="28">
        <v>403.77208485751703</v>
      </c>
      <c r="C702" s="28">
        <f t="shared" si="37"/>
        <v>404.64162037664272</v>
      </c>
      <c r="D702" s="28">
        <f t="shared" si="37"/>
        <v>404.57902474822743</v>
      </c>
      <c r="E702" s="28">
        <f t="shared" si="37"/>
        <v>404.9819527615951</v>
      </c>
      <c r="F702" s="28">
        <f t="shared" si="37"/>
        <v>403.47770424061781</v>
      </c>
      <c r="G702" s="28">
        <f t="shared" si="37"/>
        <v>403.46584157521568</v>
      </c>
      <c r="H702" s="28">
        <f t="shared" si="37"/>
        <v>402.59110125095964</v>
      </c>
      <c r="I702" s="28">
        <f t="shared" si="37"/>
        <v>402.77768595041323</v>
      </c>
      <c r="J702" s="28">
        <f t="shared" si="37"/>
        <v>402.29164769904713</v>
      </c>
      <c r="K702" s="28">
        <f t="shared" si="37"/>
        <v>401.60708485751701</v>
      </c>
      <c r="L702" s="28">
        <f t="shared" si="37"/>
        <v>400.70432529467553</v>
      </c>
      <c r="M702" s="28">
        <f t="shared" si="37"/>
        <v>400.40992638757172</v>
      </c>
      <c r="N702" s="28">
        <f t="shared" si="37"/>
        <v>400.88208485751704</v>
      </c>
    </row>
    <row r="703" spans="1:14" x14ac:dyDescent="0.4">
      <c r="A703" s="1">
        <v>42583</v>
      </c>
      <c r="B703" s="28">
        <v>403.64992638757172</v>
      </c>
      <c r="C703" s="28">
        <f t="shared" si="37"/>
        <v>403.77208485751703</v>
      </c>
      <c r="D703" s="28">
        <f t="shared" si="37"/>
        <v>404.64162037664272</v>
      </c>
      <c r="E703" s="28">
        <f t="shared" si="37"/>
        <v>404.57902474822743</v>
      </c>
      <c r="F703" s="28">
        <f t="shared" si="37"/>
        <v>404.9819527615951</v>
      </c>
      <c r="G703" s="28">
        <f t="shared" si="37"/>
        <v>403.47770424061781</v>
      </c>
      <c r="H703" s="28">
        <f t="shared" si="37"/>
        <v>403.46584157521568</v>
      </c>
      <c r="I703" s="28">
        <f t="shared" si="37"/>
        <v>402.59110125095964</v>
      </c>
      <c r="J703" s="28">
        <f t="shared" si="37"/>
        <v>402.77768595041323</v>
      </c>
      <c r="K703" s="28">
        <f t="shared" si="37"/>
        <v>402.29164769904713</v>
      </c>
      <c r="L703" s="28">
        <f t="shared" si="37"/>
        <v>401.60708485751701</v>
      </c>
      <c r="M703" s="28">
        <f t="shared" si="37"/>
        <v>400.70432529467553</v>
      </c>
      <c r="N703" s="28">
        <f t="shared" si="37"/>
        <v>400.40992638757172</v>
      </c>
    </row>
    <row r="704" spans="1:14" x14ac:dyDescent="0.4">
      <c r="A704" s="1">
        <v>42614</v>
      </c>
      <c r="B704" s="28">
        <v>404.21432529467552</v>
      </c>
      <c r="C704" s="28">
        <f t="shared" si="37"/>
        <v>403.64992638757172</v>
      </c>
      <c r="D704" s="28">
        <f t="shared" si="37"/>
        <v>403.77208485751703</v>
      </c>
      <c r="E704" s="28">
        <f t="shared" si="37"/>
        <v>404.64162037664272</v>
      </c>
      <c r="F704" s="28">
        <f t="shared" si="37"/>
        <v>404.57902474822743</v>
      </c>
      <c r="G704" s="28">
        <f t="shared" si="37"/>
        <v>404.9819527615951</v>
      </c>
      <c r="H704" s="28">
        <f t="shared" si="37"/>
        <v>403.47770424061781</v>
      </c>
      <c r="I704" s="28">
        <f t="shared" si="37"/>
        <v>403.46584157521568</v>
      </c>
      <c r="J704" s="28">
        <f t="shared" si="37"/>
        <v>402.59110125095964</v>
      </c>
      <c r="K704" s="28">
        <f t="shared" si="37"/>
        <v>402.77768595041323</v>
      </c>
      <c r="L704" s="28">
        <f t="shared" si="37"/>
        <v>402.29164769904713</v>
      </c>
      <c r="M704" s="28">
        <f t="shared" si="37"/>
        <v>401.60708485751701</v>
      </c>
      <c r="N704" s="28">
        <f t="shared" si="37"/>
        <v>400.70432529467553</v>
      </c>
    </row>
    <row r="705" spans="1:14" x14ac:dyDescent="0.4">
      <c r="A705" s="1">
        <v>42644</v>
      </c>
      <c r="B705" s="28">
        <v>404.82708485751704</v>
      </c>
      <c r="C705" s="28">
        <f t="shared" si="37"/>
        <v>404.21432529467552</v>
      </c>
      <c r="D705" s="28">
        <f t="shared" si="37"/>
        <v>403.64992638757172</v>
      </c>
      <c r="E705" s="28">
        <f t="shared" si="37"/>
        <v>403.77208485751703</v>
      </c>
      <c r="F705" s="28">
        <f t="shared" si="37"/>
        <v>404.64162037664272</v>
      </c>
      <c r="G705" s="28">
        <f t="shared" si="37"/>
        <v>404.57902474822743</v>
      </c>
      <c r="H705" s="28">
        <f t="shared" si="37"/>
        <v>404.9819527615951</v>
      </c>
      <c r="I705" s="28">
        <f t="shared" si="37"/>
        <v>403.47770424061781</v>
      </c>
      <c r="J705" s="28">
        <f t="shared" si="37"/>
        <v>403.46584157521568</v>
      </c>
      <c r="K705" s="28">
        <f t="shared" si="37"/>
        <v>402.59110125095964</v>
      </c>
      <c r="L705" s="28">
        <f t="shared" si="37"/>
        <v>402.77768595041323</v>
      </c>
      <c r="M705" s="28">
        <f t="shared" si="37"/>
        <v>402.29164769904713</v>
      </c>
      <c r="N705" s="28">
        <f t="shared" si="37"/>
        <v>401.60708485751701</v>
      </c>
    </row>
    <row r="706" spans="1:14" x14ac:dyDescent="0.4">
      <c r="A706" s="1">
        <v>42675</v>
      </c>
      <c r="B706" s="28">
        <v>405.69164769904711</v>
      </c>
      <c r="C706" s="28">
        <f t="shared" si="37"/>
        <v>404.82708485751704</v>
      </c>
      <c r="D706" s="28">
        <f t="shared" si="37"/>
        <v>404.21432529467552</v>
      </c>
      <c r="E706" s="28">
        <f t="shared" si="37"/>
        <v>403.64992638757172</v>
      </c>
      <c r="F706" s="28">
        <f t="shared" si="37"/>
        <v>403.77208485751703</v>
      </c>
      <c r="G706" s="28">
        <f t="shared" si="37"/>
        <v>404.64162037664272</v>
      </c>
      <c r="H706" s="28">
        <f t="shared" si="37"/>
        <v>404.57902474822743</v>
      </c>
      <c r="I706" s="28">
        <f t="shared" si="37"/>
        <v>404.9819527615951</v>
      </c>
      <c r="J706" s="28">
        <f t="shared" si="37"/>
        <v>403.47770424061781</v>
      </c>
      <c r="K706" s="28">
        <f t="shared" si="37"/>
        <v>403.46584157521568</v>
      </c>
      <c r="L706" s="28">
        <f t="shared" si="37"/>
        <v>402.59110125095964</v>
      </c>
      <c r="M706" s="28">
        <f t="shared" si="37"/>
        <v>402.77768595041323</v>
      </c>
      <c r="N706" s="28">
        <f t="shared" si="37"/>
        <v>402.29164769904713</v>
      </c>
    </row>
    <row r="707" spans="1:14" x14ac:dyDescent="0.4">
      <c r="A707" s="1">
        <v>42705</v>
      </c>
      <c r="B707" s="28">
        <v>405.43768595041325</v>
      </c>
      <c r="C707" s="28">
        <f t="shared" si="37"/>
        <v>405.69164769904711</v>
      </c>
      <c r="D707" s="28">
        <f t="shared" si="37"/>
        <v>404.82708485751704</v>
      </c>
      <c r="E707" s="28">
        <f t="shared" si="37"/>
        <v>404.21432529467552</v>
      </c>
      <c r="F707" s="28">
        <f t="shared" si="37"/>
        <v>403.64992638757172</v>
      </c>
      <c r="G707" s="28">
        <f t="shared" si="37"/>
        <v>403.77208485751703</v>
      </c>
      <c r="H707" s="28">
        <f t="shared" si="37"/>
        <v>404.64162037664272</v>
      </c>
      <c r="I707" s="28">
        <f t="shared" si="37"/>
        <v>404.57902474822743</v>
      </c>
      <c r="J707" s="28">
        <f t="shared" si="37"/>
        <v>404.9819527615951</v>
      </c>
      <c r="K707" s="28">
        <f t="shared" si="37"/>
        <v>403.47770424061781</v>
      </c>
      <c r="L707" s="28">
        <f t="shared" si="37"/>
        <v>403.46584157521568</v>
      </c>
      <c r="M707" s="28">
        <f t="shared" si="37"/>
        <v>402.59110125095964</v>
      </c>
      <c r="N707" s="28">
        <f t="shared" si="37"/>
        <v>402.77768595041323</v>
      </c>
    </row>
    <row r="708" spans="1:14" x14ac:dyDescent="0.4">
      <c r="A708" s="1">
        <v>42736</v>
      </c>
      <c r="B708" s="28">
        <v>406.01110125095965</v>
      </c>
      <c r="C708" s="28">
        <f t="shared" si="37"/>
        <v>405.43768595041325</v>
      </c>
      <c r="D708" s="28">
        <f t="shared" si="37"/>
        <v>405.69164769904711</v>
      </c>
      <c r="E708" s="28">
        <f t="shared" si="37"/>
        <v>404.82708485751704</v>
      </c>
      <c r="F708" s="28">
        <f t="shared" si="37"/>
        <v>404.21432529467552</v>
      </c>
      <c r="G708" s="28">
        <f t="shared" si="37"/>
        <v>403.64992638757172</v>
      </c>
      <c r="H708" s="28">
        <f t="shared" si="37"/>
        <v>403.77208485751703</v>
      </c>
      <c r="I708" s="28">
        <f t="shared" si="37"/>
        <v>404.64162037664272</v>
      </c>
      <c r="J708" s="28">
        <f t="shared" si="37"/>
        <v>404.57902474822743</v>
      </c>
      <c r="K708" s="28">
        <f t="shared" si="37"/>
        <v>404.9819527615951</v>
      </c>
      <c r="L708" s="28">
        <f t="shared" si="37"/>
        <v>403.47770424061781</v>
      </c>
      <c r="M708" s="28">
        <f t="shared" si="37"/>
        <v>403.46584157521568</v>
      </c>
      <c r="N708" s="28">
        <f t="shared" si="37"/>
        <v>402.59110125095964</v>
      </c>
    </row>
    <row r="709" spans="1:14" x14ac:dyDescent="0.4">
      <c r="A709" s="1">
        <v>42767</v>
      </c>
      <c r="B709" s="28">
        <v>405.94584157521564</v>
      </c>
      <c r="C709" s="28">
        <f t="shared" si="37"/>
        <v>406.01110125095965</v>
      </c>
      <c r="D709" s="28">
        <f t="shared" si="37"/>
        <v>405.43768595041325</v>
      </c>
      <c r="E709" s="28">
        <f t="shared" si="37"/>
        <v>405.69164769904711</v>
      </c>
      <c r="F709" s="28">
        <f t="shared" si="37"/>
        <v>404.82708485751704</v>
      </c>
      <c r="G709" s="28">
        <f t="shared" si="37"/>
        <v>404.21432529467552</v>
      </c>
      <c r="H709" s="28">
        <f t="shared" si="37"/>
        <v>403.64992638757172</v>
      </c>
      <c r="I709" s="28">
        <f t="shared" si="37"/>
        <v>403.77208485751703</v>
      </c>
      <c r="J709" s="28">
        <f t="shared" si="37"/>
        <v>404.64162037664272</v>
      </c>
      <c r="K709" s="28">
        <f t="shared" si="37"/>
        <v>404.57902474822743</v>
      </c>
      <c r="L709" s="28">
        <f t="shared" si="37"/>
        <v>404.9819527615951</v>
      </c>
      <c r="M709" s="28">
        <f t="shared" si="37"/>
        <v>403.47770424061781</v>
      </c>
      <c r="N709" s="28">
        <f t="shared" si="37"/>
        <v>403.46584157521568</v>
      </c>
    </row>
    <row r="710" spans="1:14" x14ac:dyDescent="0.4">
      <c r="A710" s="1">
        <v>42795</v>
      </c>
      <c r="B710" s="28">
        <v>405.6777042406178</v>
      </c>
      <c r="C710" s="28">
        <f t="shared" si="37"/>
        <v>405.94584157521564</v>
      </c>
      <c r="D710" s="28">
        <f t="shared" si="37"/>
        <v>406.01110125095965</v>
      </c>
      <c r="E710" s="28">
        <f t="shared" si="37"/>
        <v>405.43768595041325</v>
      </c>
      <c r="F710" s="28">
        <f t="shared" si="37"/>
        <v>405.69164769904711</v>
      </c>
      <c r="G710" s="28">
        <f t="shared" si="37"/>
        <v>404.82708485751704</v>
      </c>
      <c r="H710" s="28">
        <f t="shared" si="37"/>
        <v>404.21432529467552</v>
      </c>
      <c r="I710" s="28">
        <f t="shared" si="37"/>
        <v>403.64992638757172</v>
      </c>
      <c r="J710" s="28">
        <f t="shared" si="37"/>
        <v>403.77208485751703</v>
      </c>
      <c r="K710" s="28">
        <f t="shared" si="37"/>
        <v>404.64162037664272</v>
      </c>
      <c r="L710" s="28">
        <f t="shared" si="37"/>
        <v>404.57902474822743</v>
      </c>
      <c r="M710" s="28">
        <f t="shared" si="37"/>
        <v>404.9819527615951</v>
      </c>
      <c r="N710" s="28">
        <f t="shared" si="37"/>
        <v>403.47770424061781</v>
      </c>
    </row>
    <row r="711" spans="1:14" x14ac:dyDescent="0.4">
      <c r="A711" s="1">
        <v>42826</v>
      </c>
      <c r="B711" s="28">
        <v>406.36195276159509</v>
      </c>
      <c r="C711" s="28">
        <f t="shared" si="37"/>
        <v>405.6777042406178</v>
      </c>
      <c r="D711" s="28">
        <f t="shared" si="37"/>
        <v>405.94584157521564</v>
      </c>
      <c r="E711" s="28">
        <f t="shared" si="37"/>
        <v>406.01110125095965</v>
      </c>
      <c r="F711" s="28">
        <f t="shared" si="37"/>
        <v>405.43768595041325</v>
      </c>
      <c r="G711" s="28">
        <f t="shared" si="37"/>
        <v>405.69164769904711</v>
      </c>
      <c r="H711" s="28">
        <f t="shared" si="37"/>
        <v>404.82708485751704</v>
      </c>
      <c r="I711" s="28">
        <f t="shared" si="37"/>
        <v>404.21432529467552</v>
      </c>
      <c r="J711" s="28">
        <f t="shared" si="37"/>
        <v>403.64992638757172</v>
      </c>
      <c r="K711" s="28">
        <f t="shared" si="37"/>
        <v>403.77208485751703</v>
      </c>
      <c r="L711" s="28">
        <f t="shared" si="37"/>
        <v>404.64162037664272</v>
      </c>
      <c r="M711" s="28">
        <f t="shared" si="37"/>
        <v>404.57902474822743</v>
      </c>
      <c r="N711" s="28">
        <f t="shared" si="37"/>
        <v>404.9819527615951</v>
      </c>
    </row>
    <row r="712" spans="1:14" x14ac:dyDescent="0.4">
      <c r="A712" s="1">
        <v>42856</v>
      </c>
      <c r="B712" s="28">
        <v>406.82902474822743</v>
      </c>
      <c r="C712" s="28">
        <f t="shared" si="37"/>
        <v>406.36195276159509</v>
      </c>
      <c r="D712" s="28">
        <f t="shared" si="37"/>
        <v>405.6777042406178</v>
      </c>
      <c r="E712" s="28">
        <f t="shared" si="37"/>
        <v>405.94584157521564</v>
      </c>
      <c r="F712" s="28">
        <f t="shared" si="37"/>
        <v>406.01110125095965</v>
      </c>
      <c r="G712" s="28">
        <f t="shared" si="37"/>
        <v>405.43768595041325</v>
      </c>
      <c r="H712" s="28">
        <f t="shared" si="37"/>
        <v>405.69164769904711</v>
      </c>
      <c r="I712" s="28">
        <f t="shared" si="37"/>
        <v>404.82708485751704</v>
      </c>
      <c r="J712" s="28">
        <f t="shared" si="37"/>
        <v>404.21432529467552</v>
      </c>
      <c r="K712" s="28">
        <f t="shared" si="37"/>
        <v>403.64992638757172</v>
      </c>
      <c r="L712" s="28">
        <f t="shared" si="37"/>
        <v>403.77208485751703</v>
      </c>
      <c r="M712" s="28">
        <f t="shared" si="37"/>
        <v>404.64162037664272</v>
      </c>
      <c r="N712" s="28">
        <f t="shared" si="37"/>
        <v>404.57902474822743</v>
      </c>
    </row>
    <row r="713" spans="1:14" x14ac:dyDescent="0.4">
      <c r="A713" s="1">
        <v>42887</v>
      </c>
      <c r="B713" s="28">
        <v>406.76162037664272</v>
      </c>
      <c r="C713" s="28">
        <f t="shared" si="37"/>
        <v>406.82902474822743</v>
      </c>
      <c r="D713" s="28">
        <f t="shared" si="37"/>
        <v>406.36195276159509</v>
      </c>
      <c r="E713" s="28">
        <f t="shared" si="37"/>
        <v>405.6777042406178</v>
      </c>
      <c r="F713" s="28">
        <f t="shared" si="37"/>
        <v>405.94584157521564</v>
      </c>
      <c r="G713" s="28">
        <f t="shared" si="37"/>
        <v>406.01110125095965</v>
      </c>
      <c r="H713" s="28">
        <f t="shared" si="37"/>
        <v>405.43768595041325</v>
      </c>
      <c r="I713" s="28">
        <f t="shared" si="37"/>
        <v>405.69164769904711</v>
      </c>
      <c r="J713" s="28">
        <f t="shared" si="37"/>
        <v>404.82708485751704</v>
      </c>
      <c r="K713" s="28">
        <f t="shared" si="37"/>
        <v>404.21432529467552</v>
      </c>
      <c r="L713" s="28">
        <f t="shared" si="37"/>
        <v>403.64992638757172</v>
      </c>
      <c r="M713" s="28">
        <f t="shared" si="37"/>
        <v>403.77208485751703</v>
      </c>
      <c r="N713" s="28">
        <f t="shared" si="37"/>
        <v>404.64162037664272</v>
      </c>
    </row>
    <row r="714" spans="1:14" x14ac:dyDescent="0.4">
      <c r="A714" s="1">
        <v>42917</v>
      </c>
      <c r="B714" s="28">
        <v>406.47208485751702</v>
      </c>
      <c r="C714" s="28">
        <f t="shared" si="37"/>
        <v>406.76162037664272</v>
      </c>
      <c r="D714" s="28">
        <f t="shared" si="37"/>
        <v>406.82902474822743</v>
      </c>
      <c r="E714" s="28">
        <f t="shared" si="37"/>
        <v>406.36195276159509</v>
      </c>
      <c r="F714" s="28">
        <f t="shared" si="37"/>
        <v>405.6777042406178</v>
      </c>
      <c r="G714" s="28">
        <f t="shared" si="37"/>
        <v>405.94584157521564</v>
      </c>
      <c r="H714" s="28">
        <f t="shared" si="37"/>
        <v>406.01110125095965</v>
      </c>
      <c r="I714" s="28">
        <f t="shared" si="37"/>
        <v>405.43768595041325</v>
      </c>
      <c r="J714" s="28">
        <f t="shared" si="37"/>
        <v>405.69164769904711</v>
      </c>
      <c r="K714" s="28">
        <f t="shared" si="37"/>
        <v>404.82708485751704</v>
      </c>
      <c r="L714" s="28">
        <f t="shared" si="37"/>
        <v>404.21432529467552</v>
      </c>
      <c r="M714" s="28">
        <f t="shared" si="37"/>
        <v>403.64992638757172</v>
      </c>
      <c r="N714" s="28">
        <f t="shared" si="37"/>
        <v>403.77208485751703</v>
      </c>
    </row>
    <row r="715" spans="1:14" x14ac:dyDescent="0.4">
      <c r="A715" s="1">
        <v>42948</v>
      </c>
      <c r="B715" s="28">
        <v>406.64992638757172</v>
      </c>
      <c r="C715" s="28">
        <f t="shared" ref="C715:N754" si="38">IF(B714=0,"",B714)</f>
        <v>406.47208485751702</v>
      </c>
      <c r="D715" s="28">
        <f t="shared" si="38"/>
        <v>406.76162037664272</v>
      </c>
      <c r="E715" s="28">
        <f t="shared" si="38"/>
        <v>406.82902474822743</v>
      </c>
      <c r="F715" s="28">
        <f t="shared" si="38"/>
        <v>406.36195276159509</v>
      </c>
      <c r="G715" s="28">
        <f t="shared" si="38"/>
        <v>405.6777042406178</v>
      </c>
      <c r="H715" s="28">
        <f t="shared" si="38"/>
        <v>405.94584157521564</v>
      </c>
      <c r="I715" s="28">
        <f t="shared" si="38"/>
        <v>406.01110125095965</v>
      </c>
      <c r="J715" s="28">
        <f t="shared" si="38"/>
        <v>405.43768595041325</v>
      </c>
      <c r="K715" s="28">
        <f t="shared" si="38"/>
        <v>405.69164769904711</v>
      </c>
      <c r="L715" s="28">
        <f t="shared" si="38"/>
        <v>404.82708485751704</v>
      </c>
      <c r="M715" s="28">
        <f t="shared" si="38"/>
        <v>404.21432529467552</v>
      </c>
      <c r="N715" s="28">
        <f t="shared" si="38"/>
        <v>403.64992638757172</v>
      </c>
    </row>
    <row r="716" spans="1:14" x14ac:dyDescent="0.4">
      <c r="A716" s="1">
        <v>42979</v>
      </c>
      <c r="B716" s="28">
        <v>406.47432529467551</v>
      </c>
      <c r="C716" s="28">
        <f t="shared" si="38"/>
        <v>406.64992638757172</v>
      </c>
      <c r="D716" s="28">
        <f t="shared" si="38"/>
        <v>406.47208485751702</v>
      </c>
      <c r="E716" s="28">
        <f t="shared" si="38"/>
        <v>406.76162037664272</v>
      </c>
      <c r="F716" s="28">
        <f t="shared" si="38"/>
        <v>406.82902474822743</v>
      </c>
      <c r="G716" s="28">
        <f t="shared" si="38"/>
        <v>406.36195276159509</v>
      </c>
      <c r="H716" s="28">
        <f t="shared" si="38"/>
        <v>405.6777042406178</v>
      </c>
      <c r="I716" s="28">
        <f t="shared" si="38"/>
        <v>405.94584157521564</v>
      </c>
      <c r="J716" s="28">
        <f t="shared" si="38"/>
        <v>406.01110125095965</v>
      </c>
      <c r="K716" s="28">
        <f t="shared" si="38"/>
        <v>405.43768595041325</v>
      </c>
      <c r="L716" s="28">
        <f t="shared" si="38"/>
        <v>405.69164769904711</v>
      </c>
      <c r="M716" s="28">
        <f t="shared" si="38"/>
        <v>404.82708485751704</v>
      </c>
      <c r="N716" s="28">
        <f t="shared" si="38"/>
        <v>404.21432529467552</v>
      </c>
    </row>
    <row r="717" spans="1:14" x14ac:dyDescent="0.4">
      <c r="A717" s="1">
        <v>43009</v>
      </c>
      <c r="B717" s="28">
        <v>406.96708485751702</v>
      </c>
      <c r="C717" s="28">
        <f t="shared" si="38"/>
        <v>406.47432529467551</v>
      </c>
      <c r="D717" s="28">
        <f t="shared" si="38"/>
        <v>406.64992638757172</v>
      </c>
      <c r="E717" s="28">
        <f t="shared" si="38"/>
        <v>406.47208485751702</v>
      </c>
      <c r="F717" s="28">
        <f t="shared" si="38"/>
        <v>406.76162037664272</v>
      </c>
      <c r="G717" s="28">
        <f t="shared" si="38"/>
        <v>406.82902474822743</v>
      </c>
      <c r="H717" s="28">
        <f t="shared" si="38"/>
        <v>406.36195276159509</v>
      </c>
      <c r="I717" s="28">
        <f t="shared" si="38"/>
        <v>405.6777042406178</v>
      </c>
      <c r="J717" s="28">
        <f t="shared" si="38"/>
        <v>405.94584157521564</v>
      </c>
      <c r="K717" s="28">
        <f t="shared" si="38"/>
        <v>406.01110125095965</v>
      </c>
      <c r="L717" s="28">
        <f t="shared" si="38"/>
        <v>405.43768595041325</v>
      </c>
      <c r="M717" s="28">
        <f t="shared" si="38"/>
        <v>405.69164769904711</v>
      </c>
      <c r="N717" s="28">
        <f t="shared" si="38"/>
        <v>404.82708485751704</v>
      </c>
    </row>
    <row r="718" spans="1:14" x14ac:dyDescent="0.4">
      <c r="A718" s="1">
        <v>43040</v>
      </c>
      <c r="B718" s="28">
        <v>407.22164769904714</v>
      </c>
      <c r="C718" s="28">
        <f t="shared" si="38"/>
        <v>406.96708485751702</v>
      </c>
      <c r="D718" s="28">
        <f t="shared" si="38"/>
        <v>406.47432529467551</v>
      </c>
      <c r="E718" s="28">
        <f t="shared" si="38"/>
        <v>406.64992638757172</v>
      </c>
      <c r="F718" s="28">
        <f t="shared" si="38"/>
        <v>406.47208485751702</v>
      </c>
      <c r="G718" s="28">
        <f t="shared" si="38"/>
        <v>406.76162037664272</v>
      </c>
      <c r="H718" s="28">
        <f t="shared" si="38"/>
        <v>406.82902474822743</v>
      </c>
      <c r="I718" s="28">
        <f t="shared" si="38"/>
        <v>406.36195276159509</v>
      </c>
      <c r="J718" s="28">
        <f t="shared" si="38"/>
        <v>405.6777042406178</v>
      </c>
      <c r="K718" s="28">
        <f t="shared" si="38"/>
        <v>405.94584157521564</v>
      </c>
      <c r="L718" s="28">
        <f t="shared" si="38"/>
        <v>406.01110125095965</v>
      </c>
      <c r="M718" s="28">
        <f t="shared" si="38"/>
        <v>405.43768595041325</v>
      </c>
      <c r="N718" s="28">
        <f t="shared" si="38"/>
        <v>405.69164769904711</v>
      </c>
    </row>
    <row r="719" spans="1:14" x14ac:dyDescent="0.4">
      <c r="A719" s="1">
        <v>43070</v>
      </c>
      <c r="B719" s="28">
        <v>407.63768595041324</v>
      </c>
      <c r="C719" s="28">
        <f t="shared" si="38"/>
        <v>407.22164769904714</v>
      </c>
      <c r="D719" s="28">
        <f t="shared" si="38"/>
        <v>406.96708485751702</v>
      </c>
      <c r="E719" s="28">
        <f t="shared" si="38"/>
        <v>406.47432529467551</v>
      </c>
      <c r="F719" s="28">
        <f t="shared" si="38"/>
        <v>406.64992638757172</v>
      </c>
      <c r="G719" s="28">
        <f t="shared" si="38"/>
        <v>406.47208485751702</v>
      </c>
      <c r="H719" s="28">
        <f t="shared" si="38"/>
        <v>406.76162037664272</v>
      </c>
      <c r="I719" s="28">
        <f t="shared" si="38"/>
        <v>406.82902474822743</v>
      </c>
      <c r="J719" s="28">
        <f t="shared" si="38"/>
        <v>406.36195276159509</v>
      </c>
      <c r="K719" s="28">
        <f t="shared" si="38"/>
        <v>405.6777042406178</v>
      </c>
      <c r="L719" s="28">
        <f t="shared" si="38"/>
        <v>405.94584157521564</v>
      </c>
      <c r="M719" s="28">
        <f t="shared" si="38"/>
        <v>406.01110125095965</v>
      </c>
      <c r="N719" s="28">
        <f t="shared" si="38"/>
        <v>405.43768595041325</v>
      </c>
    </row>
    <row r="720" spans="1:14" x14ac:dyDescent="0.4">
      <c r="A720" s="1">
        <v>43101</v>
      </c>
      <c r="B720" s="28">
        <v>407.99110125095967</v>
      </c>
      <c r="C720" s="28">
        <f t="shared" si="38"/>
        <v>407.63768595041324</v>
      </c>
      <c r="D720" s="28">
        <f t="shared" si="38"/>
        <v>407.22164769904714</v>
      </c>
      <c r="E720" s="28">
        <f t="shared" si="38"/>
        <v>406.96708485751702</v>
      </c>
      <c r="F720" s="28">
        <f t="shared" si="38"/>
        <v>406.47432529467551</v>
      </c>
      <c r="G720" s="28">
        <f t="shared" si="38"/>
        <v>406.64992638757172</v>
      </c>
      <c r="H720" s="28">
        <f t="shared" si="38"/>
        <v>406.47208485751702</v>
      </c>
      <c r="I720" s="28">
        <f t="shared" si="38"/>
        <v>406.76162037664272</v>
      </c>
      <c r="J720" s="28">
        <f t="shared" si="38"/>
        <v>406.82902474822743</v>
      </c>
      <c r="K720" s="28">
        <f t="shared" si="38"/>
        <v>406.36195276159509</v>
      </c>
      <c r="L720" s="28">
        <f t="shared" si="38"/>
        <v>405.6777042406178</v>
      </c>
      <c r="M720" s="28">
        <f t="shared" si="38"/>
        <v>405.94584157521564</v>
      </c>
      <c r="N720" s="28">
        <f t="shared" si="38"/>
        <v>406.01110125095965</v>
      </c>
    </row>
    <row r="721" spans="1:14" x14ac:dyDescent="0.4">
      <c r="A721" s="1">
        <v>43132</v>
      </c>
      <c r="B721" s="28">
        <v>407.64584157521563</v>
      </c>
      <c r="C721" s="28">
        <f t="shared" si="38"/>
        <v>407.99110125095967</v>
      </c>
      <c r="D721" s="28">
        <f t="shared" si="38"/>
        <v>407.63768595041324</v>
      </c>
      <c r="E721" s="28">
        <f t="shared" si="38"/>
        <v>407.22164769904714</v>
      </c>
      <c r="F721" s="28">
        <f t="shared" si="38"/>
        <v>406.96708485751702</v>
      </c>
      <c r="G721" s="28">
        <f t="shared" si="38"/>
        <v>406.47432529467551</v>
      </c>
      <c r="H721" s="28">
        <f t="shared" si="38"/>
        <v>406.64992638757172</v>
      </c>
      <c r="I721" s="28">
        <f t="shared" si="38"/>
        <v>406.47208485751702</v>
      </c>
      <c r="J721" s="28">
        <f t="shared" si="38"/>
        <v>406.76162037664272</v>
      </c>
      <c r="K721" s="28">
        <f t="shared" si="38"/>
        <v>406.82902474822743</v>
      </c>
      <c r="L721" s="28">
        <f t="shared" si="38"/>
        <v>406.36195276159509</v>
      </c>
      <c r="M721" s="28">
        <f t="shared" si="38"/>
        <v>405.6777042406178</v>
      </c>
      <c r="N721" s="28">
        <f t="shared" si="38"/>
        <v>405.94584157521564</v>
      </c>
    </row>
    <row r="722" spans="1:14" x14ac:dyDescent="0.4">
      <c r="A722" s="1">
        <v>43160</v>
      </c>
      <c r="B722" s="28">
        <v>407.87770424061779</v>
      </c>
      <c r="C722" s="28">
        <f t="shared" si="38"/>
        <v>407.64584157521563</v>
      </c>
      <c r="D722" s="28">
        <f t="shared" si="38"/>
        <v>407.99110125095967</v>
      </c>
      <c r="E722" s="28">
        <f t="shared" si="38"/>
        <v>407.63768595041324</v>
      </c>
      <c r="F722" s="28">
        <f t="shared" si="38"/>
        <v>407.22164769904714</v>
      </c>
      <c r="G722" s="28">
        <f t="shared" si="38"/>
        <v>406.96708485751702</v>
      </c>
      <c r="H722" s="28">
        <f t="shared" si="38"/>
        <v>406.47432529467551</v>
      </c>
      <c r="I722" s="28">
        <f t="shared" si="38"/>
        <v>406.64992638757172</v>
      </c>
      <c r="J722" s="28">
        <f t="shared" si="38"/>
        <v>406.47208485751702</v>
      </c>
      <c r="K722" s="28">
        <f t="shared" si="38"/>
        <v>406.76162037664272</v>
      </c>
      <c r="L722" s="28">
        <f t="shared" si="38"/>
        <v>406.82902474822743</v>
      </c>
      <c r="M722" s="28">
        <f t="shared" si="38"/>
        <v>406.36195276159509</v>
      </c>
      <c r="N722" s="28">
        <f t="shared" si="38"/>
        <v>405.6777042406178</v>
      </c>
    </row>
    <row r="723" spans="1:14" x14ac:dyDescent="0.4">
      <c r="A723" s="1">
        <v>43191</v>
      </c>
      <c r="B723" s="28">
        <v>407.71195276159511</v>
      </c>
      <c r="C723" s="28">
        <f t="shared" si="38"/>
        <v>407.87770424061779</v>
      </c>
      <c r="D723" s="28">
        <f t="shared" si="38"/>
        <v>407.64584157521563</v>
      </c>
      <c r="E723" s="28">
        <f t="shared" si="38"/>
        <v>407.99110125095967</v>
      </c>
      <c r="F723" s="28">
        <f t="shared" si="38"/>
        <v>407.63768595041324</v>
      </c>
      <c r="G723" s="28">
        <f t="shared" si="38"/>
        <v>407.22164769904714</v>
      </c>
      <c r="H723" s="28">
        <f t="shared" si="38"/>
        <v>406.96708485751702</v>
      </c>
      <c r="I723" s="28">
        <f t="shared" si="38"/>
        <v>406.47432529467551</v>
      </c>
      <c r="J723" s="28">
        <f t="shared" si="38"/>
        <v>406.64992638757172</v>
      </c>
      <c r="K723" s="28">
        <f t="shared" si="38"/>
        <v>406.47208485751702</v>
      </c>
      <c r="L723" s="28">
        <f t="shared" si="38"/>
        <v>406.76162037664272</v>
      </c>
      <c r="M723" s="28">
        <f t="shared" si="38"/>
        <v>406.82902474822743</v>
      </c>
      <c r="N723" s="28">
        <f t="shared" si="38"/>
        <v>406.36195276159509</v>
      </c>
    </row>
    <row r="724" spans="1:14" x14ac:dyDescent="0.4">
      <c r="A724" s="1">
        <v>43221</v>
      </c>
      <c r="B724" s="28">
        <v>408.21902474822741</v>
      </c>
      <c r="C724" s="28">
        <f t="shared" si="38"/>
        <v>407.71195276159511</v>
      </c>
      <c r="D724" s="28">
        <f t="shared" si="38"/>
        <v>407.87770424061779</v>
      </c>
      <c r="E724" s="28">
        <f t="shared" si="38"/>
        <v>407.64584157521563</v>
      </c>
      <c r="F724" s="28">
        <f t="shared" si="38"/>
        <v>407.99110125095967</v>
      </c>
      <c r="G724" s="28">
        <f t="shared" si="38"/>
        <v>407.63768595041324</v>
      </c>
      <c r="H724" s="28">
        <f t="shared" si="38"/>
        <v>407.22164769904714</v>
      </c>
      <c r="I724" s="28">
        <f t="shared" si="38"/>
        <v>406.96708485751702</v>
      </c>
      <c r="J724" s="28">
        <f t="shared" si="38"/>
        <v>406.47432529467551</v>
      </c>
      <c r="K724" s="28">
        <f t="shared" si="38"/>
        <v>406.64992638757172</v>
      </c>
      <c r="L724" s="28">
        <f t="shared" si="38"/>
        <v>406.47208485751702</v>
      </c>
      <c r="M724" s="28">
        <f t="shared" si="38"/>
        <v>406.76162037664272</v>
      </c>
      <c r="N724" s="28">
        <f t="shared" si="38"/>
        <v>406.82902474822743</v>
      </c>
    </row>
    <row r="725" spans="1:14" x14ac:dyDescent="0.4">
      <c r="A725" s="1">
        <v>43252</v>
      </c>
      <c r="B725" s="28">
        <v>408.52162037664272</v>
      </c>
      <c r="C725" s="28">
        <f t="shared" si="38"/>
        <v>408.21902474822741</v>
      </c>
      <c r="D725" s="28">
        <f t="shared" si="38"/>
        <v>407.71195276159511</v>
      </c>
      <c r="E725" s="28">
        <f t="shared" si="38"/>
        <v>407.87770424061779</v>
      </c>
      <c r="F725" s="28">
        <f t="shared" si="38"/>
        <v>407.64584157521563</v>
      </c>
      <c r="G725" s="28">
        <f t="shared" si="38"/>
        <v>407.99110125095967</v>
      </c>
      <c r="H725" s="28">
        <f t="shared" si="38"/>
        <v>407.63768595041324</v>
      </c>
      <c r="I725" s="28">
        <f t="shared" si="38"/>
        <v>407.22164769904714</v>
      </c>
      <c r="J725" s="28">
        <f t="shared" si="38"/>
        <v>406.96708485751702</v>
      </c>
      <c r="K725" s="28">
        <f t="shared" si="38"/>
        <v>406.47432529467551</v>
      </c>
      <c r="L725" s="28">
        <f t="shared" si="38"/>
        <v>406.64992638757172</v>
      </c>
      <c r="M725" s="28">
        <f t="shared" si="38"/>
        <v>406.47208485751702</v>
      </c>
      <c r="N725" s="28">
        <f t="shared" si="38"/>
        <v>406.76162037664272</v>
      </c>
    </row>
    <row r="726" spans="1:14" x14ac:dyDescent="0.4">
      <c r="A726" s="1">
        <v>43282</v>
      </c>
      <c r="B726" s="28">
        <v>408.17208485751701</v>
      </c>
      <c r="C726" s="28">
        <f t="shared" si="38"/>
        <v>408.52162037664272</v>
      </c>
      <c r="D726" s="28">
        <f t="shared" si="38"/>
        <v>408.21902474822741</v>
      </c>
      <c r="E726" s="28">
        <f t="shared" si="38"/>
        <v>407.71195276159511</v>
      </c>
      <c r="F726" s="28">
        <f t="shared" si="38"/>
        <v>407.87770424061779</v>
      </c>
      <c r="G726" s="28">
        <f t="shared" si="38"/>
        <v>407.64584157521563</v>
      </c>
      <c r="H726" s="28">
        <f t="shared" si="38"/>
        <v>407.99110125095967</v>
      </c>
      <c r="I726" s="28">
        <f t="shared" si="38"/>
        <v>407.63768595041324</v>
      </c>
      <c r="J726" s="28">
        <f t="shared" si="38"/>
        <v>407.22164769904714</v>
      </c>
      <c r="K726" s="28">
        <f t="shared" si="38"/>
        <v>406.96708485751702</v>
      </c>
      <c r="L726" s="28">
        <f t="shared" si="38"/>
        <v>406.47432529467551</v>
      </c>
      <c r="M726" s="28">
        <f t="shared" si="38"/>
        <v>406.64992638757172</v>
      </c>
      <c r="N726" s="28">
        <f t="shared" si="38"/>
        <v>406.47208485751702</v>
      </c>
    </row>
    <row r="727" spans="1:14" x14ac:dyDescent="0.4">
      <c r="A727" s="1">
        <v>43313</v>
      </c>
      <c r="B727" s="28">
        <v>408.50992638757174</v>
      </c>
      <c r="C727" s="28">
        <f t="shared" si="38"/>
        <v>408.17208485751701</v>
      </c>
      <c r="D727" s="28">
        <f t="shared" si="38"/>
        <v>408.52162037664272</v>
      </c>
      <c r="E727" s="28">
        <f t="shared" si="38"/>
        <v>408.21902474822741</v>
      </c>
      <c r="F727" s="28">
        <f t="shared" si="38"/>
        <v>407.71195276159511</v>
      </c>
      <c r="G727" s="28">
        <f t="shared" si="38"/>
        <v>407.87770424061779</v>
      </c>
      <c r="H727" s="28">
        <f t="shared" si="38"/>
        <v>407.64584157521563</v>
      </c>
      <c r="I727" s="28">
        <f t="shared" si="38"/>
        <v>407.99110125095967</v>
      </c>
      <c r="J727" s="28">
        <f t="shared" si="38"/>
        <v>407.63768595041324</v>
      </c>
      <c r="K727" s="28">
        <f t="shared" si="38"/>
        <v>407.22164769904714</v>
      </c>
      <c r="L727" s="28">
        <f t="shared" si="38"/>
        <v>406.96708485751702</v>
      </c>
      <c r="M727" s="28">
        <f t="shared" si="38"/>
        <v>406.47432529467551</v>
      </c>
      <c r="N727" s="28">
        <f t="shared" si="38"/>
        <v>406.64992638757172</v>
      </c>
    </row>
    <row r="728" spans="1:14" x14ac:dyDescent="0.4">
      <c r="A728" s="1">
        <v>43344</v>
      </c>
      <c r="B728" s="28">
        <v>408.7943252946755</v>
      </c>
      <c r="C728" s="28">
        <f t="shared" si="38"/>
        <v>408.50992638757174</v>
      </c>
      <c r="D728" s="28">
        <f t="shared" si="38"/>
        <v>408.17208485751701</v>
      </c>
      <c r="E728" s="28">
        <f t="shared" si="38"/>
        <v>408.52162037664272</v>
      </c>
      <c r="F728" s="28">
        <f t="shared" si="38"/>
        <v>408.21902474822741</v>
      </c>
      <c r="G728" s="28">
        <f t="shared" si="38"/>
        <v>407.71195276159511</v>
      </c>
      <c r="H728" s="28">
        <f t="shared" si="38"/>
        <v>407.87770424061779</v>
      </c>
      <c r="I728" s="28">
        <f t="shared" si="38"/>
        <v>407.64584157521563</v>
      </c>
      <c r="J728" s="28">
        <f t="shared" si="38"/>
        <v>407.99110125095967</v>
      </c>
      <c r="K728" s="28">
        <f t="shared" si="38"/>
        <v>407.63768595041324</v>
      </c>
      <c r="L728" s="28">
        <f t="shared" si="38"/>
        <v>407.22164769904714</v>
      </c>
      <c r="M728" s="28">
        <f t="shared" si="38"/>
        <v>406.96708485751702</v>
      </c>
      <c r="N728" s="28">
        <f t="shared" si="38"/>
        <v>406.47432529467551</v>
      </c>
    </row>
    <row r="729" spans="1:14" x14ac:dyDescent="0.4">
      <c r="A729" s="1">
        <v>43374</v>
      </c>
      <c r="B729" s="28">
        <v>409.31708485751705</v>
      </c>
      <c r="C729" s="28">
        <f t="shared" si="38"/>
        <v>408.7943252946755</v>
      </c>
      <c r="D729" s="28">
        <f t="shared" si="38"/>
        <v>408.50992638757174</v>
      </c>
      <c r="E729" s="28">
        <f t="shared" si="38"/>
        <v>408.17208485751701</v>
      </c>
      <c r="F729" s="28">
        <f t="shared" si="38"/>
        <v>408.52162037664272</v>
      </c>
      <c r="G729" s="28">
        <f t="shared" si="38"/>
        <v>408.21902474822741</v>
      </c>
      <c r="H729" s="28">
        <f t="shared" si="38"/>
        <v>407.71195276159511</v>
      </c>
      <c r="I729" s="28">
        <f t="shared" si="38"/>
        <v>407.87770424061779</v>
      </c>
      <c r="J729" s="28">
        <f t="shared" si="38"/>
        <v>407.64584157521563</v>
      </c>
      <c r="K729" s="28">
        <f t="shared" si="38"/>
        <v>407.99110125095967</v>
      </c>
      <c r="L729" s="28">
        <f t="shared" si="38"/>
        <v>407.63768595041324</v>
      </c>
      <c r="M729" s="28">
        <f t="shared" si="38"/>
        <v>407.22164769904714</v>
      </c>
      <c r="N729" s="28">
        <f t="shared" si="38"/>
        <v>406.96708485751702</v>
      </c>
    </row>
    <row r="730" spans="1:14" x14ac:dyDescent="0.4">
      <c r="A730" s="1">
        <v>43405</v>
      </c>
      <c r="B730" s="28">
        <v>410.17164769904713</v>
      </c>
      <c r="C730" s="28">
        <f t="shared" si="38"/>
        <v>409.31708485751705</v>
      </c>
      <c r="D730" s="28">
        <f t="shared" si="38"/>
        <v>408.7943252946755</v>
      </c>
      <c r="E730" s="28">
        <f t="shared" si="38"/>
        <v>408.50992638757174</v>
      </c>
      <c r="F730" s="28">
        <f t="shared" si="38"/>
        <v>408.17208485751701</v>
      </c>
      <c r="G730" s="28">
        <f t="shared" si="38"/>
        <v>408.52162037664272</v>
      </c>
      <c r="H730" s="28">
        <f t="shared" si="38"/>
        <v>408.21902474822741</v>
      </c>
      <c r="I730" s="28">
        <f t="shared" si="38"/>
        <v>407.71195276159511</v>
      </c>
      <c r="J730" s="28">
        <f t="shared" si="38"/>
        <v>407.87770424061779</v>
      </c>
      <c r="K730" s="28">
        <f t="shared" si="38"/>
        <v>407.64584157521563</v>
      </c>
      <c r="L730" s="28">
        <f t="shared" si="38"/>
        <v>407.99110125095967</v>
      </c>
      <c r="M730" s="28">
        <f t="shared" si="38"/>
        <v>407.63768595041324</v>
      </c>
      <c r="N730" s="28">
        <f t="shared" si="38"/>
        <v>407.22164769904714</v>
      </c>
    </row>
    <row r="731" spans="1:14" x14ac:dyDescent="0.4">
      <c r="A731" s="1">
        <v>43435</v>
      </c>
      <c r="B731" s="28">
        <v>410.11768595041326</v>
      </c>
      <c r="C731" s="28">
        <f t="shared" si="38"/>
        <v>410.17164769904713</v>
      </c>
      <c r="D731" s="28">
        <f t="shared" si="38"/>
        <v>409.31708485751705</v>
      </c>
      <c r="E731" s="28">
        <f t="shared" si="38"/>
        <v>408.7943252946755</v>
      </c>
      <c r="F731" s="28">
        <f t="shared" si="38"/>
        <v>408.50992638757174</v>
      </c>
      <c r="G731" s="28">
        <f t="shared" si="38"/>
        <v>408.17208485751701</v>
      </c>
      <c r="H731" s="28">
        <f t="shared" si="38"/>
        <v>408.52162037664272</v>
      </c>
      <c r="I731" s="28">
        <f t="shared" si="38"/>
        <v>408.21902474822741</v>
      </c>
      <c r="J731" s="28">
        <f t="shared" si="38"/>
        <v>407.71195276159511</v>
      </c>
      <c r="K731" s="28">
        <f t="shared" si="38"/>
        <v>407.87770424061779</v>
      </c>
      <c r="L731" s="28">
        <f t="shared" si="38"/>
        <v>407.64584157521563</v>
      </c>
      <c r="M731" s="28">
        <f t="shared" si="38"/>
        <v>407.99110125095967</v>
      </c>
      <c r="N731" s="28">
        <f t="shared" si="38"/>
        <v>407.63768595041324</v>
      </c>
    </row>
    <row r="732" spans="1:14" x14ac:dyDescent="0.4">
      <c r="A732" s="1">
        <v>43466</v>
      </c>
      <c r="B732" s="28">
        <v>410.86110125095968</v>
      </c>
      <c r="C732" s="28">
        <f t="shared" si="38"/>
        <v>410.11768595041326</v>
      </c>
      <c r="D732" s="28">
        <f t="shared" si="38"/>
        <v>410.17164769904713</v>
      </c>
      <c r="E732" s="28">
        <f t="shared" si="38"/>
        <v>409.31708485751705</v>
      </c>
      <c r="F732" s="28">
        <f t="shared" si="38"/>
        <v>408.7943252946755</v>
      </c>
      <c r="G732" s="28">
        <f t="shared" si="38"/>
        <v>408.50992638757174</v>
      </c>
      <c r="H732" s="28">
        <f t="shared" si="38"/>
        <v>408.17208485751701</v>
      </c>
      <c r="I732" s="28">
        <f t="shared" si="38"/>
        <v>408.52162037664272</v>
      </c>
      <c r="J732" s="28">
        <f t="shared" si="38"/>
        <v>408.21902474822741</v>
      </c>
      <c r="K732" s="28">
        <f t="shared" si="38"/>
        <v>407.71195276159511</v>
      </c>
      <c r="L732" s="28">
        <f t="shared" si="38"/>
        <v>407.87770424061779</v>
      </c>
      <c r="M732" s="28">
        <f t="shared" si="38"/>
        <v>407.64584157521563</v>
      </c>
      <c r="N732" s="28">
        <f t="shared" si="38"/>
        <v>407.99110125095967</v>
      </c>
    </row>
    <row r="733" spans="1:14" x14ac:dyDescent="0.4">
      <c r="A733" s="1">
        <v>43497</v>
      </c>
      <c r="B733" s="28">
        <v>410.96584157521568</v>
      </c>
      <c r="C733" s="28">
        <f t="shared" si="38"/>
        <v>410.86110125095968</v>
      </c>
      <c r="D733" s="28">
        <f t="shared" si="38"/>
        <v>410.11768595041326</v>
      </c>
      <c r="E733" s="28">
        <f t="shared" si="38"/>
        <v>410.17164769904713</v>
      </c>
      <c r="F733" s="28">
        <f t="shared" si="38"/>
        <v>409.31708485751705</v>
      </c>
      <c r="G733" s="28">
        <f t="shared" si="38"/>
        <v>408.7943252946755</v>
      </c>
      <c r="H733" s="28">
        <f t="shared" si="38"/>
        <v>408.50992638757174</v>
      </c>
      <c r="I733" s="28">
        <f t="shared" si="38"/>
        <v>408.17208485751701</v>
      </c>
      <c r="J733" s="28">
        <f t="shared" si="38"/>
        <v>408.52162037664272</v>
      </c>
      <c r="K733" s="28">
        <f t="shared" si="38"/>
        <v>408.21902474822741</v>
      </c>
      <c r="L733" s="28">
        <f t="shared" si="38"/>
        <v>407.71195276159511</v>
      </c>
      <c r="M733" s="28">
        <f t="shared" si="38"/>
        <v>407.87770424061779</v>
      </c>
      <c r="N733" s="28">
        <f t="shared" si="38"/>
        <v>407.64584157521563</v>
      </c>
    </row>
    <row r="734" spans="1:14" x14ac:dyDescent="0.4">
      <c r="A734" s="1">
        <v>43525</v>
      </c>
      <c r="B734" s="28">
        <v>410.62770424061779</v>
      </c>
      <c r="C734" s="28">
        <f t="shared" si="38"/>
        <v>410.96584157521568</v>
      </c>
      <c r="D734" s="28">
        <f t="shared" si="38"/>
        <v>410.86110125095968</v>
      </c>
      <c r="E734" s="28">
        <f t="shared" si="38"/>
        <v>410.11768595041326</v>
      </c>
      <c r="F734" s="28">
        <f t="shared" si="38"/>
        <v>410.17164769904713</v>
      </c>
      <c r="G734" s="28">
        <f t="shared" si="38"/>
        <v>409.31708485751705</v>
      </c>
      <c r="H734" s="28">
        <f t="shared" si="38"/>
        <v>408.7943252946755</v>
      </c>
      <c r="I734" s="28">
        <f t="shared" si="38"/>
        <v>408.50992638757174</v>
      </c>
      <c r="J734" s="28">
        <f t="shared" si="38"/>
        <v>408.17208485751701</v>
      </c>
      <c r="K734" s="28">
        <f t="shared" si="38"/>
        <v>408.52162037664272</v>
      </c>
      <c r="L734" s="28">
        <f t="shared" si="38"/>
        <v>408.21902474822741</v>
      </c>
      <c r="M734" s="28">
        <f t="shared" si="38"/>
        <v>407.71195276159511</v>
      </c>
      <c r="N734" s="28">
        <f t="shared" si="38"/>
        <v>407.87770424061779</v>
      </c>
    </row>
    <row r="735" spans="1:14" x14ac:dyDescent="0.4">
      <c r="A735" s="1">
        <v>43556</v>
      </c>
      <c r="B735" s="28">
        <v>410.93195276159508</v>
      </c>
      <c r="C735" s="28">
        <f t="shared" si="38"/>
        <v>410.62770424061779</v>
      </c>
      <c r="D735" s="28">
        <f t="shared" si="38"/>
        <v>410.96584157521568</v>
      </c>
      <c r="E735" s="28">
        <f t="shared" si="38"/>
        <v>410.86110125095968</v>
      </c>
      <c r="F735" s="28">
        <f t="shared" si="38"/>
        <v>410.11768595041326</v>
      </c>
      <c r="G735" s="28">
        <f t="shared" si="38"/>
        <v>410.17164769904713</v>
      </c>
      <c r="H735" s="28">
        <f t="shared" si="38"/>
        <v>409.31708485751705</v>
      </c>
      <c r="I735" s="28">
        <f t="shared" si="38"/>
        <v>408.7943252946755</v>
      </c>
      <c r="J735" s="28">
        <f t="shared" si="38"/>
        <v>408.50992638757174</v>
      </c>
      <c r="K735" s="28">
        <f t="shared" si="38"/>
        <v>408.17208485751701</v>
      </c>
      <c r="L735" s="28">
        <f t="shared" si="38"/>
        <v>408.52162037664272</v>
      </c>
      <c r="M735" s="28">
        <f t="shared" si="38"/>
        <v>408.21902474822741</v>
      </c>
      <c r="N735" s="28">
        <f t="shared" si="38"/>
        <v>407.71195276159511</v>
      </c>
    </row>
    <row r="736" spans="1:14" x14ac:dyDescent="0.4">
      <c r="A736" s="1">
        <v>43586</v>
      </c>
      <c r="B736" s="28">
        <v>411.74902474822738</v>
      </c>
      <c r="C736" s="28">
        <f t="shared" si="38"/>
        <v>410.93195276159508</v>
      </c>
      <c r="D736" s="28">
        <f t="shared" si="38"/>
        <v>410.62770424061779</v>
      </c>
      <c r="E736" s="28">
        <f t="shared" si="38"/>
        <v>410.96584157521568</v>
      </c>
      <c r="F736" s="28">
        <f t="shared" ref="D736:P751" si="39">IF(E735=0,"",E735)</f>
        <v>410.86110125095968</v>
      </c>
      <c r="G736" s="28">
        <f t="shared" si="39"/>
        <v>410.11768595041326</v>
      </c>
      <c r="H736" s="28">
        <f t="shared" si="39"/>
        <v>410.17164769904713</v>
      </c>
      <c r="I736" s="28">
        <f t="shared" si="39"/>
        <v>409.31708485751705</v>
      </c>
      <c r="J736" s="28">
        <f t="shared" si="39"/>
        <v>408.7943252946755</v>
      </c>
      <c r="K736" s="28">
        <f t="shared" si="39"/>
        <v>408.50992638757174</v>
      </c>
      <c r="L736" s="28">
        <f t="shared" si="39"/>
        <v>408.17208485751701</v>
      </c>
      <c r="M736" s="28">
        <f t="shared" si="39"/>
        <v>408.52162037664272</v>
      </c>
      <c r="N736" s="28">
        <f t="shared" si="39"/>
        <v>408.21902474822741</v>
      </c>
    </row>
    <row r="737" spans="1:14" x14ac:dyDescent="0.4">
      <c r="A737" s="1">
        <v>43617</v>
      </c>
      <c r="B737" s="28">
        <v>411.6016203766427</v>
      </c>
      <c r="C737" s="28">
        <f t="shared" ref="C737:N776" si="40">IF(B736=0,"",B736)</f>
        <v>411.74902474822738</v>
      </c>
      <c r="D737" s="28">
        <f t="shared" si="39"/>
        <v>410.93195276159508</v>
      </c>
      <c r="E737" s="28">
        <f t="shared" si="39"/>
        <v>410.62770424061779</v>
      </c>
      <c r="F737" s="28">
        <f t="shared" si="39"/>
        <v>410.96584157521568</v>
      </c>
      <c r="G737" s="28">
        <f t="shared" si="39"/>
        <v>410.86110125095968</v>
      </c>
      <c r="H737" s="28">
        <f t="shared" si="39"/>
        <v>410.11768595041326</v>
      </c>
      <c r="I737" s="28">
        <f t="shared" si="39"/>
        <v>410.17164769904713</v>
      </c>
      <c r="J737" s="28">
        <f t="shared" si="39"/>
        <v>409.31708485751705</v>
      </c>
      <c r="K737" s="28">
        <f t="shared" si="39"/>
        <v>408.7943252946755</v>
      </c>
      <c r="L737" s="28">
        <f t="shared" si="39"/>
        <v>408.50992638757174</v>
      </c>
      <c r="M737" s="28">
        <f t="shared" si="39"/>
        <v>408.17208485751701</v>
      </c>
      <c r="N737" s="28">
        <f t="shared" si="39"/>
        <v>408.52162037664272</v>
      </c>
    </row>
    <row r="738" spans="1:14" x14ac:dyDescent="0.4">
      <c r="A738" s="1">
        <v>43647</v>
      </c>
      <c r="B738" s="28">
        <v>411.12208485751705</v>
      </c>
      <c r="C738" s="28">
        <f t="shared" si="40"/>
        <v>411.6016203766427</v>
      </c>
      <c r="D738" s="28">
        <f t="shared" si="39"/>
        <v>411.74902474822738</v>
      </c>
      <c r="E738" s="28">
        <f t="shared" si="39"/>
        <v>410.93195276159508</v>
      </c>
      <c r="F738" s="28">
        <f t="shared" si="39"/>
        <v>410.62770424061779</v>
      </c>
      <c r="G738" s="28">
        <f t="shared" si="39"/>
        <v>410.96584157521568</v>
      </c>
      <c r="H738" s="28">
        <f t="shared" si="39"/>
        <v>410.86110125095968</v>
      </c>
      <c r="I738" s="28">
        <f t="shared" si="39"/>
        <v>410.11768595041326</v>
      </c>
      <c r="J738" s="28">
        <f t="shared" si="39"/>
        <v>410.17164769904713</v>
      </c>
      <c r="K738" s="28">
        <f t="shared" si="39"/>
        <v>409.31708485751705</v>
      </c>
      <c r="L738" s="28">
        <f t="shared" si="39"/>
        <v>408.7943252946755</v>
      </c>
      <c r="M738" s="28">
        <f t="shared" si="39"/>
        <v>408.50992638757174</v>
      </c>
      <c r="N738" s="28">
        <f t="shared" si="39"/>
        <v>408.17208485751701</v>
      </c>
    </row>
    <row r="739" spans="1:14" x14ac:dyDescent="0.4">
      <c r="A739" s="1">
        <v>43678</v>
      </c>
      <c r="B739" s="28">
        <v>411.4899263875717</v>
      </c>
      <c r="C739" s="28">
        <f t="shared" si="40"/>
        <v>411.12208485751705</v>
      </c>
      <c r="D739" s="28">
        <f t="shared" si="39"/>
        <v>411.6016203766427</v>
      </c>
      <c r="E739" s="28">
        <f t="shared" si="39"/>
        <v>411.74902474822738</v>
      </c>
      <c r="F739" s="28">
        <f t="shared" si="39"/>
        <v>410.93195276159508</v>
      </c>
      <c r="G739" s="28">
        <f t="shared" si="39"/>
        <v>410.62770424061779</v>
      </c>
      <c r="H739" s="28">
        <f t="shared" si="39"/>
        <v>410.96584157521568</v>
      </c>
      <c r="I739" s="28">
        <f t="shared" si="39"/>
        <v>410.86110125095968</v>
      </c>
      <c r="J739" s="28">
        <f t="shared" si="39"/>
        <v>410.11768595041326</v>
      </c>
      <c r="K739" s="28">
        <f t="shared" si="39"/>
        <v>410.17164769904713</v>
      </c>
      <c r="L739" s="28">
        <f t="shared" si="39"/>
        <v>409.31708485751705</v>
      </c>
      <c r="M739" s="28">
        <f t="shared" si="39"/>
        <v>408.7943252946755</v>
      </c>
      <c r="N739" s="28">
        <f t="shared" si="39"/>
        <v>408.50992638757174</v>
      </c>
    </row>
    <row r="740" spans="1:14" x14ac:dyDescent="0.4">
      <c r="A740" s="1">
        <v>43709</v>
      </c>
      <c r="B740" s="28">
        <v>411.75432529467554</v>
      </c>
      <c r="C740" s="28">
        <f t="shared" si="40"/>
        <v>411.4899263875717</v>
      </c>
      <c r="D740" s="28">
        <f t="shared" si="39"/>
        <v>411.12208485751705</v>
      </c>
      <c r="E740" s="28">
        <f t="shared" si="39"/>
        <v>411.6016203766427</v>
      </c>
      <c r="F740" s="28">
        <f t="shared" si="39"/>
        <v>411.74902474822738</v>
      </c>
      <c r="G740" s="28">
        <f t="shared" si="39"/>
        <v>410.93195276159508</v>
      </c>
      <c r="H740" s="28">
        <f t="shared" si="39"/>
        <v>410.62770424061779</v>
      </c>
      <c r="I740" s="28">
        <f t="shared" si="39"/>
        <v>410.96584157521568</v>
      </c>
      <c r="J740" s="28">
        <f t="shared" si="39"/>
        <v>410.86110125095968</v>
      </c>
      <c r="K740" s="28">
        <f t="shared" si="39"/>
        <v>410.11768595041326</v>
      </c>
      <c r="L740" s="28">
        <f t="shared" si="39"/>
        <v>410.17164769904713</v>
      </c>
      <c r="M740" s="28">
        <f t="shared" si="39"/>
        <v>409.31708485751705</v>
      </c>
      <c r="N740" s="28">
        <f t="shared" si="39"/>
        <v>408.7943252946755</v>
      </c>
    </row>
    <row r="741" spans="1:14" x14ac:dyDescent="0.4">
      <c r="A741" s="1">
        <v>43739</v>
      </c>
      <c r="B741" s="28">
        <v>411.75708485751704</v>
      </c>
      <c r="C741" s="28">
        <f t="shared" si="40"/>
        <v>411.75432529467554</v>
      </c>
      <c r="D741" s="28">
        <f t="shared" si="39"/>
        <v>411.4899263875717</v>
      </c>
      <c r="E741" s="28">
        <f t="shared" si="39"/>
        <v>411.12208485751705</v>
      </c>
      <c r="F741" s="28">
        <f t="shared" si="39"/>
        <v>411.6016203766427</v>
      </c>
      <c r="G741" s="28">
        <f t="shared" si="39"/>
        <v>411.74902474822738</v>
      </c>
      <c r="H741" s="28">
        <f t="shared" si="39"/>
        <v>410.93195276159508</v>
      </c>
      <c r="I741" s="28">
        <f t="shared" si="39"/>
        <v>410.62770424061779</v>
      </c>
      <c r="J741" s="28">
        <f t="shared" si="39"/>
        <v>410.96584157521568</v>
      </c>
      <c r="K741" s="28">
        <f t="shared" si="39"/>
        <v>410.86110125095968</v>
      </c>
      <c r="L741" s="28">
        <f t="shared" si="39"/>
        <v>410.11768595041326</v>
      </c>
      <c r="M741" s="28">
        <f t="shared" si="39"/>
        <v>410.17164769904713</v>
      </c>
      <c r="N741" s="28">
        <f t="shared" si="39"/>
        <v>409.31708485751705</v>
      </c>
    </row>
    <row r="742" spans="1:14" x14ac:dyDescent="0.4">
      <c r="A742" s="1">
        <v>43770</v>
      </c>
      <c r="B742" s="28">
        <v>412.34164769904714</v>
      </c>
      <c r="C742" s="28">
        <f t="shared" si="40"/>
        <v>411.75708485751704</v>
      </c>
      <c r="D742" s="28">
        <f t="shared" si="39"/>
        <v>411.75432529467554</v>
      </c>
      <c r="E742" s="28">
        <f t="shared" si="39"/>
        <v>411.4899263875717</v>
      </c>
      <c r="F742" s="28">
        <f t="shared" si="39"/>
        <v>411.12208485751705</v>
      </c>
      <c r="G742" s="28">
        <f t="shared" si="39"/>
        <v>411.6016203766427</v>
      </c>
      <c r="H742" s="28">
        <f t="shared" si="39"/>
        <v>411.74902474822738</v>
      </c>
      <c r="I742" s="28">
        <f t="shared" si="39"/>
        <v>410.93195276159508</v>
      </c>
      <c r="J742" s="28">
        <f t="shared" si="39"/>
        <v>410.62770424061779</v>
      </c>
      <c r="K742" s="28">
        <f t="shared" si="39"/>
        <v>410.96584157521568</v>
      </c>
      <c r="L742" s="28">
        <f t="shared" si="39"/>
        <v>410.86110125095968</v>
      </c>
      <c r="M742" s="28">
        <f t="shared" si="39"/>
        <v>410.11768595041326</v>
      </c>
      <c r="N742" s="28">
        <f t="shared" si="39"/>
        <v>410.17164769904713</v>
      </c>
    </row>
    <row r="743" spans="1:14" x14ac:dyDescent="0.4">
      <c r="A743" s="1">
        <v>43800</v>
      </c>
      <c r="B743" s="28">
        <v>412.73768595041327</v>
      </c>
      <c r="C743" s="28">
        <f t="shared" si="40"/>
        <v>412.34164769904714</v>
      </c>
      <c r="D743" s="28">
        <f t="shared" si="39"/>
        <v>411.75708485751704</v>
      </c>
      <c r="E743" s="28">
        <f t="shared" si="39"/>
        <v>411.75432529467554</v>
      </c>
      <c r="F743" s="28">
        <f t="shared" si="39"/>
        <v>411.4899263875717</v>
      </c>
      <c r="G743" s="28">
        <f t="shared" si="39"/>
        <v>411.12208485751705</v>
      </c>
      <c r="H743" s="28">
        <f t="shared" si="39"/>
        <v>411.6016203766427</v>
      </c>
      <c r="I743" s="28">
        <f t="shared" si="39"/>
        <v>411.74902474822738</v>
      </c>
      <c r="J743" s="28">
        <f t="shared" si="39"/>
        <v>410.93195276159508</v>
      </c>
      <c r="K743" s="28">
        <f t="shared" si="39"/>
        <v>410.62770424061779</v>
      </c>
      <c r="L743" s="28">
        <f t="shared" si="39"/>
        <v>410.96584157521568</v>
      </c>
      <c r="M743" s="28">
        <f t="shared" si="39"/>
        <v>410.86110125095968</v>
      </c>
      <c r="N743" s="28">
        <f t="shared" si="39"/>
        <v>410.11768595041326</v>
      </c>
    </row>
    <row r="744" spans="1:14" x14ac:dyDescent="0.4">
      <c r="A744" s="1">
        <v>43831</v>
      </c>
      <c r="B744" s="28">
        <v>413.31110125095967</v>
      </c>
      <c r="C744" s="28">
        <f t="shared" si="40"/>
        <v>412.73768595041327</v>
      </c>
      <c r="D744" s="28">
        <f t="shared" si="39"/>
        <v>412.34164769904714</v>
      </c>
      <c r="E744" s="28">
        <f t="shared" si="39"/>
        <v>411.75708485751704</v>
      </c>
      <c r="F744" s="28">
        <f t="shared" si="39"/>
        <v>411.75432529467554</v>
      </c>
      <c r="G744" s="28">
        <f t="shared" si="39"/>
        <v>411.4899263875717</v>
      </c>
      <c r="H744" s="28">
        <f t="shared" si="39"/>
        <v>411.12208485751705</v>
      </c>
      <c r="I744" s="28">
        <f t="shared" si="39"/>
        <v>411.6016203766427</v>
      </c>
      <c r="J744" s="28">
        <f t="shared" si="39"/>
        <v>411.74902474822738</v>
      </c>
      <c r="K744" s="28">
        <f t="shared" si="39"/>
        <v>410.93195276159508</v>
      </c>
      <c r="L744" s="28">
        <f t="shared" si="39"/>
        <v>410.62770424061779</v>
      </c>
      <c r="M744" s="28">
        <f t="shared" si="39"/>
        <v>410.96584157521568</v>
      </c>
      <c r="N744" s="28">
        <f t="shared" si="39"/>
        <v>410.86110125095968</v>
      </c>
    </row>
    <row r="745" spans="1:14" x14ac:dyDescent="0.4">
      <c r="A745" s="1">
        <v>43862</v>
      </c>
      <c r="B745" s="28">
        <v>413.39584157521563</v>
      </c>
      <c r="C745" s="28">
        <f t="shared" si="40"/>
        <v>413.31110125095967</v>
      </c>
      <c r="D745" s="28">
        <f t="shared" si="39"/>
        <v>412.73768595041327</v>
      </c>
      <c r="E745" s="28">
        <f t="shared" si="39"/>
        <v>412.34164769904714</v>
      </c>
      <c r="F745" s="28">
        <f t="shared" si="39"/>
        <v>411.75708485751704</v>
      </c>
      <c r="G745" s="28">
        <f t="shared" si="39"/>
        <v>411.75432529467554</v>
      </c>
      <c r="H745" s="28">
        <f t="shared" si="39"/>
        <v>411.4899263875717</v>
      </c>
      <c r="I745" s="28">
        <f t="shared" si="39"/>
        <v>411.12208485751705</v>
      </c>
      <c r="J745" s="28">
        <f t="shared" si="39"/>
        <v>411.6016203766427</v>
      </c>
      <c r="K745" s="28">
        <f t="shared" si="39"/>
        <v>411.74902474822738</v>
      </c>
      <c r="L745" s="28">
        <f t="shared" si="39"/>
        <v>410.93195276159508</v>
      </c>
      <c r="M745" s="28">
        <f t="shared" si="39"/>
        <v>410.62770424061779</v>
      </c>
      <c r="N745" s="28">
        <f t="shared" si="39"/>
        <v>410.96584157521568</v>
      </c>
    </row>
    <row r="746" spans="1:14" x14ac:dyDescent="0.4">
      <c r="A746" s="1">
        <v>43891</v>
      </c>
      <c r="B746" s="28">
        <v>413.13770424061778</v>
      </c>
      <c r="C746" s="28">
        <f t="shared" si="40"/>
        <v>413.39584157521563</v>
      </c>
      <c r="D746" s="28">
        <f t="shared" si="39"/>
        <v>413.31110125095967</v>
      </c>
      <c r="E746" s="28">
        <f t="shared" si="39"/>
        <v>412.73768595041327</v>
      </c>
      <c r="F746" s="28">
        <f t="shared" si="39"/>
        <v>412.34164769904714</v>
      </c>
      <c r="G746" s="28">
        <f t="shared" si="39"/>
        <v>411.75708485751704</v>
      </c>
      <c r="H746" s="28">
        <f t="shared" si="39"/>
        <v>411.75432529467554</v>
      </c>
      <c r="I746" s="28">
        <f t="shared" si="39"/>
        <v>411.4899263875717</v>
      </c>
      <c r="J746" s="28">
        <f t="shared" si="39"/>
        <v>411.12208485751705</v>
      </c>
      <c r="K746" s="28">
        <f t="shared" si="39"/>
        <v>411.6016203766427</v>
      </c>
      <c r="L746" s="28">
        <f t="shared" si="39"/>
        <v>411.74902474822738</v>
      </c>
      <c r="M746" s="28">
        <f t="shared" si="39"/>
        <v>410.93195276159508</v>
      </c>
      <c r="N746" s="28">
        <f t="shared" si="39"/>
        <v>410.62770424061779</v>
      </c>
    </row>
    <row r="747" spans="1:14" x14ac:dyDescent="0.4">
      <c r="A747" s="1">
        <v>43922</v>
      </c>
      <c r="B747" s="28">
        <v>413.59195276159511</v>
      </c>
      <c r="C747" s="28">
        <f t="shared" si="40"/>
        <v>413.13770424061778</v>
      </c>
      <c r="D747" s="28">
        <f t="shared" si="39"/>
        <v>413.39584157521563</v>
      </c>
      <c r="E747" s="28">
        <f t="shared" si="39"/>
        <v>413.31110125095967</v>
      </c>
      <c r="F747" s="28">
        <f t="shared" si="39"/>
        <v>412.73768595041327</v>
      </c>
      <c r="G747" s="28">
        <f t="shared" si="39"/>
        <v>412.34164769904714</v>
      </c>
      <c r="H747" s="28">
        <f t="shared" si="39"/>
        <v>411.75708485751704</v>
      </c>
      <c r="I747" s="28">
        <f t="shared" si="39"/>
        <v>411.75432529467554</v>
      </c>
      <c r="J747" s="28">
        <f t="shared" si="39"/>
        <v>411.4899263875717</v>
      </c>
      <c r="K747" s="28">
        <f t="shared" si="39"/>
        <v>411.12208485751705</v>
      </c>
      <c r="L747" s="28">
        <f t="shared" si="39"/>
        <v>411.6016203766427</v>
      </c>
      <c r="M747" s="28">
        <f t="shared" si="39"/>
        <v>411.74902474822738</v>
      </c>
      <c r="N747" s="28">
        <f t="shared" si="39"/>
        <v>410.93195276159508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4DBD-DF4C-4BE1-AF56-61195346A23C}">
  <dimension ref="A1:AC747"/>
  <sheetViews>
    <sheetView topLeftCell="D31" zoomScaleNormal="100" workbookViewId="0">
      <selection activeCell="P1" sqref="P1:AC14"/>
    </sheetView>
  </sheetViews>
  <sheetFormatPr defaultRowHeight="18.75" x14ac:dyDescent="0.4"/>
  <cols>
    <col min="1" max="1" width="10.25" bestFit="1" customWidth="1"/>
    <col min="2" max="2" width="7.75" style="28" bestFit="1" customWidth="1"/>
    <col min="3" max="14" width="7.75" style="28" customWidth="1"/>
  </cols>
  <sheetData>
    <row r="1" spans="1:29" s="3" customFormat="1" x14ac:dyDescent="0.4">
      <c r="A1" s="3" t="s">
        <v>0</v>
      </c>
      <c r="B1" s="30" t="s">
        <v>85</v>
      </c>
      <c r="C1" s="34">
        <v>-1</v>
      </c>
      <c r="D1" s="34">
        <v>-2</v>
      </c>
      <c r="E1" s="34">
        <v>-3</v>
      </c>
      <c r="F1" s="34">
        <v>-4</v>
      </c>
      <c r="G1" s="34">
        <v>-5</v>
      </c>
      <c r="H1" s="34">
        <v>-6</v>
      </c>
      <c r="I1" s="34">
        <v>-7</v>
      </c>
      <c r="J1" s="34">
        <v>-8</v>
      </c>
      <c r="K1" s="34">
        <v>-9</v>
      </c>
      <c r="L1" s="34">
        <v>-10</v>
      </c>
      <c r="M1" s="34">
        <v>-11</v>
      </c>
      <c r="N1" s="34">
        <v>-12</v>
      </c>
      <c r="P1" s="37"/>
      <c r="Q1" s="37" t="s">
        <v>68</v>
      </c>
      <c r="R1" s="37" t="s">
        <v>69</v>
      </c>
      <c r="S1" s="37" t="s">
        <v>70</v>
      </c>
      <c r="T1" s="37" t="s">
        <v>71</v>
      </c>
      <c r="U1" s="37" t="s">
        <v>72</v>
      </c>
      <c r="V1" s="37" t="s">
        <v>73</v>
      </c>
      <c r="W1" s="37" t="s">
        <v>74</v>
      </c>
      <c r="X1" s="37" t="s">
        <v>75</v>
      </c>
      <c r="Y1" s="37" t="s">
        <v>76</v>
      </c>
      <c r="Z1" s="37" t="s">
        <v>77</v>
      </c>
      <c r="AA1" s="37" t="s">
        <v>78</v>
      </c>
      <c r="AB1" s="37" t="s">
        <v>79</v>
      </c>
      <c r="AC1" s="37" t="s">
        <v>80</v>
      </c>
    </row>
    <row r="2" spans="1:29" x14ac:dyDescent="0.4">
      <c r="A2" s="1">
        <v>21245</v>
      </c>
      <c r="P2" s="35" t="s">
        <v>68</v>
      </c>
      <c r="Q2" s="35">
        <v>1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4">
      <c r="A3" s="1">
        <v>21276</v>
      </c>
      <c r="C3" s="28" t="str">
        <f>IF(B2=0,"",B2)</f>
        <v/>
      </c>
      <c r="D3" s="28" t="str">
        <f t="shared" ref="D3:N3" si="0">IF(C2=0,"",C2)</f>
        <v/>
      </c>
      <c r="E3" s="28" t="str">
        <f t="shared" si="0"/>
        <v/>
      </c>
      <c r="F3" s="28" t="str">
        <f t="shared" si="0"/>
        <v/>
      </c>
      <c r="G3" s="28" t="str">
        <f t="shared" si="0"/>
        <v/>
      </c>
      <c r="H3" s="28" t="str">
        <f t="shared" si="0"/>
        <v/>
      </c>
      <c r="I3" s="28" t="str">
        <f t="shared" si="0"/>
        <v/>
      </c>
      <c r="J3" s="28" t="str">
        <f t="shared" si="0"/>
        <v/>
      </c>
      <c r="K3" s="28" t="str">
        <f t="shared" si="0"/>
        <v/>
      </c>
      <c r="L3" s="28" t="str">
        <f t="shared" si="0"/>
        <v/>
      </c>
      <c r="M3" s="28" t="str">
        <f t="shared" si="0"/>
        <v/>
      </c>
      <c r="N3" s="28" t="str">
        <f t="shared" si="0"/>
        <v/>
      </c>
      <c r="P3" s="35" t="s">
        <v>69</v>
      </c>
      <c r="Q3" s="35">
        <v>0.99999861183536576</v>
      </c>
      <c r="R3" s="35">
        <v>1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x14ac:dyDescent="0.4">
      <c r="A4" s="1">
        <v>21306</v>
      </c>
      <c r="C4" s="28" t="str">
        <f t="shared" ref="C4:N67" si="1">IF(B3=0,"",B3)</f>
        <v/>
      </c>
      <c r="D4" s="28" t="str">
        <f t="shared" si="1"/>
        <v/>
      </c>
      <c r="E4" s="28" t="str">
        <f t="shared" si="1"/>
        <v/>
      </c>
      <c r="F4" s="28" t="str">
        <f t="shared" si="1"/>
        <v/>
      </c>
      <c r="G4" s="28" t="str">
        <f t="shared" si="1"/>
        <v/>
      </c>
      <c r="H4" s="28" t="str">
        <f t="shared" si="1"/>
        <v/>
      </c>
      <c r="I4" s="28" t="str">
        <f t="shared" si="1"/>
        <v/>
      </c>
      <c r="J4" s="28" t="str">
        <f t="shared" si="1"/>
        <v/>
      </c>
      <c r="K4" s="28" t="str">
        <f t="shared" si="1"/>
        <v/>
      </c>
      <c r="L4" s="28" t="str">
        <f t="shared" si="1"/>
        <v/>
      </c>
      <c r="M4" s="28" t="str">
        <f t="shared" si="1"/>
        <v/>
      </c>
      <c r="N4" s="28" t="str">
        <f t="shared" si="1"/>
        <v/>
      </c>
      <c r="P4" s="35" t="s">
        <v>70</v>
      </c>
      <c r="Q4" s="35">
        <v>0.999994723588151</v>
      </c>
      <c r="R4" s="35">
        <v>0.99999860737971891</v>
      </c>
      <c r="S4" s="35">
        <v>1</v>
      </c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x14ac:dyDescent="0.4">
      <c r="A5" s="1">
        <v>21337</v>
      </c>
      <c r="B5" s="29"/>
      <c r="C5" s="28" t="str">
        <f t="shared" si="1"/>
        <v/>
      </c>
      <c r="D5" s="28" t="str">
        <f t="shared" si="1"/>
        <v/>
      </c>
      <c r="E5" s="28" t="str">
        <f t="shared" si="1"/>
        <v/>
      </c>
      <c r="F5" s="28" t="str">
        <f t="shared" si="1"/>
        <v/>
      </c>
      <c r="G5" s="28" t="str">
        <f t="shared" si="1"/>
        <v/>
      </c>
      <c r="H5" s="28" t="str">
        <f t="shared" si="1"/>
        <v/>
      </c>
      <c r="I5" s="28" t="str">
        <f t="shared" si="1"/>
        <v/>
      </c>
      <c r="J5" s="28" t="str">
        <f t="shared" si="1"/>
        <v/>
      </c>
      <c r="K5" s="28" t="str">
        <f t="shared" si="1"/>
        <v/>
      </c>
      <c r="L5" s="28" t="str">
        <f t="shared" si="1"/>
        <v/>
      </c>
      <c r="M5" s="28" t="str">
        <f t="shared" si="1"/>
        <v/>
      </c>
      <c r="N5" s="28" t="str">
        <f t="shared" si="1"/>
        <v/>
      </c>
      <c r="P5" s="35" t="s">
        <v>71</v>
      </c>
      <c r="Q5" s="35">
        <v>0.99998875621351191</v>
      </c>
      <c r="R5" s="35">
        <v>0.99999470763224718</v>
      </c>
      <c r="S5" s="35">
        <v>0.99999860332874468</v>
      </c>
      <c r="T5" s="35">
        <v>1</v>
      </c>
      <c r="U5" s="35"/>
      <c r="V5" s="35"/>
      <c r="W5" s="35"/>
      <c r="X5" s="35"/>
      <c r="Y5" s="35"/>
      <c r="Z5" s="35"/>
      <c r="AA5" s="35"/>
      <c r="AB5" s="35"/>
      <c r="AC5" s="35"/>
    </row>
    <row r="6" spans="1:29" x14ac:dyDescent="0.4">
      <c r="A6" s="1">
        <v>21367</v>
      </c>
      <c r="C6" s="28" t="str">
        <f t="shared" si="1"/>
        <v/>
      </c>
      <c r="D6" s="28" t="str">
        <f t="shared" si="1"/>
        <v/>
      </c>
      <c r="E6" s="28" t="str">
        <f t="shared" si="1"/>
        <v/>
      </c>
      <c r="F6" s="28" t="str">
        <f t="shared" si="1"/>
        <v/>
      </c>
      <c r="G6" s="28" t="str">
        <f t="shared" si="1"/>
        <v/>
      </c>
      <c r="H6" s="28" t="str">
        <f t="shared" si="1"/>
        <v/>
      </c>
      <c r="I6" s="28" t="str">
        <f t="shared" si="1"/>
        <v/>
      </c>
      <c r="J6" s="28" t="str">
        <f t="shared" si="1"/>
        <v/>
      </c>
      <c r="K6" s="28" t="str">
        <f t="shared" si="1"/>
        <v/>
      </c>
      <c r="L6" s="28" t="str">
        <f t="shared" si="1"/>
        <v/>
      </c>
      <c r="M6" s="28" t="str">
        <f t="shared" si="1"/>
        <v/>
      </c>
      <c r="N6" s="28" t="str">
        <f t="shared" si="1"/>
        <v/>
      </c>
      <c r="P6" s="35" t="s">
        <v>72</v>
      </c>
      <c r="Q6" s="35">
        <v>0.99998097273855235</v>
      </c>
      <c r="R6" s="35">
        <v>0.99998872320015819</v>
      </c>
      <c r="S6" s="35">
        <v>0.99999469179926093</v>
      </c>
      <c r="T6" s="35">
        <v>0.99999859871917374</v>
      </c>
      <c r="U6" s="35">
        <v>1</v>
      </c>
      <c r="V6" s="35"/>
      <c r="W6" s="35"/>
      <c r="X6" s="35"/>
      <c r="Y6" s="35"/>
      <c r="Z6" s="35"/>
      <c r="AA6" s="35"/>
      <c r="AB6" s="35"/>
      <c r="AC6" s="35"/>
    </row>
    <row r="7" spans="1:29" x14ac:dyDescent="0.4">
      <c r="A7" s="1">
        <v>21398</v>
      </c>
      <c r="C7" s="28" t="str">
        <f t="shared" si="1"/>
        <v/>
      </c>
      <c r="D7" s="28" t="str">
        <f t="shared" si="1"/>
        <v/>
      </c>
      <c r="E7" s="28" t="str">
        <f t="shared" si="1"/>
        <v/>
      </c>
      <c r="F7" s="28" t="str">
        <f t="shared" si="1"/>
        <v/>
      </c>
      <c r="G7" s="28" t="str">
        <f t="shared" si="1"/>
        <v/>
      </c>
      <c r="H7" s="28" t="str">
        <f t="shared" si="1"/>
        <v/>
      </c>
      <c r="I7" s="28" t="str">
        <f t="shared" si="1"/>
        <v/>
      </c>
      <c r="J7" s="28" t="str">
        <f t="shared" si="1"/>
        <v/>
      </c>
      <c r="K7" s="28" t="str">
        <f t="shared" si="1"/>
        <v/>
      </c>
      <c r="L7" s="28" t="str">
        <f t="shared" si="1"/>
        <v/>
      </c>
      <c r="M7" s="28" t="str">
        <f t="shared" si="1"/>
        <v/>
      </c>
      <c r="N7" s="28" t="str">
        <f t="shared" si="1"/>
        <v/>
      </c>
      <c r="P7" s="35" t="s">
        <v>73</v>
      </c>
      <c r="Q7" s="35">
        <v>0.9999715922966983</v>
      </c>
      <c r="R7" s="35">
        <v>0.99998091674192635</v>
      </c>
      <c r="S7" s="35">
        <v>0.99998869006714919</v>
      </c>
      <c r="T7" s="35">
        <v>0.99999467599406966</v>
      </c>
      <c r="U7" s="35">
        <v>0.99999859446292061</v>
      </c>
      <c r="V7" s="35">
        <v>1</v>
      </c>
      <c r="W7" s="35"/>
      <c r="X7" s="35"/>
      <c r="Y7" s="35"/>
      <c r="Z7" s="35"/>
      <c r="AA7" s="35"/>
      <c r="AB7" s="35"/>
      <c r="AC7" s="35"/>
    </row>
    <row r="8" spans="1:29" x14ac:dyDescent="0.4">
      <c r="A8" s="1">
        <v>21429</v>
      </c>
      <c r="B8" s="28">
        <v>315.42962431693985</v>
      </c>
      <c r="C8" s="28" t="str">
        <f t="shared" si="1"/>
        <v/>
      </c>
      <c r="D8" s="28" t="str">
        <f t="shared" si="1"/>
        <v/>
      </c>
      <c r="E8" s="28" t="str">
        <f t="shared" si="1"/>
        <v/>
      </c>
      <c r="F8" s="28" t="str">
        <f t="shared" si="1"/>
        <v/>
      </c>
      <c r="G8" s="28" t="str">
        <f t="shared" si="1"/>
        <v/>
      </c>
      <c r="H8" s="28" t="str">
        <f t="shared" si="1"/>
        <v/>
      </c>
      <c r="I8" s="28" t="str">
        <f t="shared" si="1"/>
        <v/>
      </c>
      <c r="J8" s="28" t="str">
        <f t="shared" si="1"/>
        <v/>
      </c>
      <c r="K8" s="28" t="str">
        <f t="shared" si="1"/>
        <v/>
      </c>
      <c r="L8" s="28" t="str">
        <f t="shared" si="1"/>
        <v/>
      </c>
      <c r="M8" s="28" t="str">
        <f t="shared" si="1"/>
        <v/>
      </c>
      <c r="N8" s="28" t="str">
        <f t="shared" si="1"/>
        <v/>
      </c>
      <c r="P8" s="35" t="s">
        <v>74</v>
      </c>
      <c r="Q8" s="35">
        <v>0.99996081127686043</v>
      </c>
      <c r="R8" s="35">
        <v>0.99997150732773399</v>
      </c>
      <c r="S8" s="35">
        <v>0.99998086080114246</v>
      </c>
      <c r="T8" s="35">
        <v>0.99998865658207425</v>
      </c>
      <c r="U8" s="35">
        <v>0.99999465779271157</v>
      </c>
      <c r="V8" s="35">
        <v>0.99999858868331482</v>
      </c>
      <c r="W8" s="35">
        <v>1</v>
      </c>
      <c r="X8" s="35"/>
      <c r="Y8" s="35"/>
      <c r="Z8" s="35"/>
      <c r="AA8" s="35"/>
      <c r="AB8" s="35"/>
      <c r="AC8" s="35"/>
    </row>
    <row r="9" spans="1:29" x14ac:dyDescent="0.4">
      <c r="A9" s="1">
        <v>21459</v>
      </c>
      <c r="B9" s="29">
        <v>315.48004098360656</v>
      </c>
      <c r="C9" s="28">
        <f t="shared" si="1"/>
        <v>315.42962431693985</v>
      </c>
      <c r="D9" s="28" t="str">
        <f t="shared" si="1"/>
        <v/>
      </c>
      <c r="E9" s="28" t="str">
        <f t="shared" si="1"/>
        <v/>
      </c>
      <c r="F9" s="28" t="str">
        <f t="shared" si="1"/>
        <v/>
      </c>
      <c r="G9" s="28" t="str">
        <f t="shared" si="1"/>
        <v/>
      </c>
      <c r="H9" s="28" t="str">
        <f t="shared" si="1"/>
        <v/>
      </c>
      <c r="I9" s="28" t="str">
        <f t="shared" si="1"/>
        <v/>
      </c>
      <c r="J9" s="28" t="str">
        <f t="shared" si="1"/>
        <v/>
      </c>
      <c r="K9" s="28" t="str">
        <f t="shared" si="1"/>
        <v/>
      </c>
      <c r="L9" s="28" t="str">
        <f t="shared" si="1"/>
        <v/>
      </c>
      <c r="M9" s="28" t="str">
        <f t="shared" si="1"/>
        <v/>
      </c>
      <c r="N9" s="28" t="str">
        <f t="shared" si="1"/>
        <v/>
      </c>
      <c r="P9" s="35" t="s">
        <v>75</v>
      </c>
      <c r="Q9" s="35">
        <v>0.99994881798436741</v>
      </c>
      <c r="R9" s="35">
        <v>0.99996068950329187</v>
      </c>
      <c r="S9" s="35">
        <v>0.99997142038996434</v>
      </c>
      <c r="T9" s="35">
        <v>0.99998080064803074</v>
      </c>
      <c r="U9" s="35">
        <v>0.9999886141155454</v>
      </c>
      <c r="V9" s="35">
        <v>0.99999463469054772</v>
      </c>
      <c r="W9" s="35">
        <v>0.99999858247305573</v>
      </c>
      <c r="X9" s="35">
        <v>1</v>
      </c>
      <c r="Y9" s="35"/>
      <c r="Z9" s="35"/>
      <c r="AA9" s="35"/>
      <c r="AB9" s="35"/>
      <c r="AC9" s="35"/>
    </row>
    <row r="10" spans="1:29" x14ac:dyDescent="0.4">
      <c r="A10" s="1">
        <v>21490</v>
      </c>
      <c r="B10" s="28">
        <v>315.52337431693985</v>
      </c>
      <c r="C10" s="28">
        <f t="shared" si="1"/>
        <v>315.48004098360656</v>
      </c>
      <c r="D10" s="28">
        <f t="shared" si="1"/>
        <v>315.42962431693985</v>
      </c>
      <c r="E10" s="28" t="str">
        <f t="shared" si="1"/>
        <v/>
      </c>
      <c r="F10" s="28" t="str">
        <f t="shared" si="1"/>
        <v/>
      </c>
      <c r="G10" s="28" t="str">
        <f t="shared" si="1"/>
        <v/>
      </c>
      <c r="H10" s="28" t="str">
        <f t="shared" si="1"/>
        <v/>
      </c>
      <c r="I10" s="28" t="str">
        <f t="shared" si="1"/>
        <v/>
      </c>
      <c r="J10" s="28" t="str">
        <f t="shared" si="1"/>
        <v/>
      </c>
      <c r="K10" s="28" t="str">
        <f t="shared" si="1"/>
        <v/>
      </c>
      <c r="L10" s="28" t="str">
        <f t="shared" si="1"/>
        <v/>
      </c>
      <c r="M10" s="28" t="str">
        <f t="shared" si="1"/>
        <v/>
      </c>
      <c r="N10" s="28" t="str">
        <f t="shared" si="1"/>
        <v/>
      </c>
      <c r="P10" s="35" t="s">
        <v>76</v>
      </c>
      <c r="Q10" s="35">
        <v>0.99993580131408011</v>
      </c>
      <c r="R10" s="35">
        <v>0.99994864742654443</v>
      </c>
      <c r="S10" s="35">
        <v>0.99996055903916325</v>
      </c>
      <c r="T10" s="35">
        <v>0.99997132111138198</v>
      </c>
      <c r="U10" s="35">
        <v>0.99998072171876162</v>
      </c>
      <c r="V10" s="35">
        <v>0.99998856098459332</v>
      </c>
      <c r="W10" s="35">
        <v>0.9999946091075077</v>
      </c>
      <c r="X10" s="35">
        <v>0.99999857594252051</v>
      </c>
      <c r="Y10" s="35">
        <v>1</v>
      </c>
      <c r="Z10" s="35"/>
      <c r="AA10" s="35"/>
      <c r="AB10" s="35"/>
      <c r="AC10" s="35"/>
    </row>
    <row r="11" spans="1:29" x14ac:dyDescent="0.4">
      <c r="A11" s="1">
        <v>21520</v>
      </c>
      <c r="B11" s="28">
        <v>315.61747950819671</v>
      </c>
      <c r="C11" s="28">
        <f t="shared" si="1"/>
        <v>315.52337431693985</v>
      </c>
      <c r="D11" s="28">
        <f t="shared" si="1"/>
        <v>315.48004098360656</v>
      </c>
      <c r="E11" s="28">
        <f t="shared" si="1"/>
        <v>315.42962431693985</v>
      </c>
      <c r="F11" s="28" t="str">
        <f t="shared" si="1"/>
        <v/>
      </c>
      <c r="G11" s="28" t="str">
        <f t="shared" si="1"/>
        <v/>
      </c>
      <c r="H11" s="28" t="str">
        <f t="shared" si="1"/>
        <v/>
      </c>
      <c r="I11" s="28" t="str">
        <f t="shared" si="1"/>
        <v/>
      </c>
      <c r="J11" s="28" t="str">
        <f t="shared" si="1"/>
        <v/>
      </c>
      <c r="K11" s="28" t="str">
        <f t="shared" si="1"/>
        <v/>
      </c>
      <c r="L11" s="28" t="str">
        <f t="shared" si="1"/>
        <v/>
      </c>
      <c r="M11" s="28" t="str">
        <f t="shared" si="1"/>
        <v/>
      </c>
      <c r="N11" s="28" t="str">
        <f t="shared" si="1"/>
        <v/>
      </c>
      <c r="P11" s="35" t="s">
        <v>77</v>
      </c>
      <c r="Q11" s="35">
        <v>0.99992200452407176</v>
      </c>
      <c r="R11" s="35">
        <v>0.99993559328549086</v>
      </c>
      <c r="S11" s="35">
        <v>0.99994848191901076</v>
      </c>
      <c r="T11" s="35">
        <v>0.99996042885611391</v>
      </c>
      <c r="U11" s="35">
        <v>0.99997121699703984</v>
      </c>
      <c r="V11" s="35">
        <v>0.99998064816878807</v>
      </c>
      <c r="W11" s="35">
        <v>0.99998851999350635</v>
      </c>
      <c r="X11" s="35">
        <v>0.99999459324066098</v>
      </c>
      <c r="Y11" s="35">
        <v>0.99999857226127742</v>
      </c>
      <c r="Z11" s="35">
        <v>1</v>
      </c>
      <c r="AA11" s="35"/>
      <c r="AB11" s="35"/>
      <c r="AC11" s="35"/>
    </row>
    <row r="12" spans="1:29" x14ac:dyDescent="0.4">
      <c r="A12" s="1">
        <v>21551</v>
      </c>
      <c r="B12" s="28">
        <v>315.7074180327869</v>
      </c>
      <c r="C12" s="28">
        <f t="shared" si="1"/>
        <v>315.61747950819671</v>
      </c>
      <c r="D12" s="28">
        <f t="shared" si="1"/>
        <v>315.52337431693985</v>
      </c>
      <c r="E12" s="28">
        <f t="shared" si="1"/>
        <v>315.48004098360656</v>
      </c>
      <c r="F12" s="28">
        <f t="shared" si="1"/>
        <v>315.42962431693985</v>
      </c>
      <c r="G12" s="28" t="str">
        <f t="shared" si="1"/>
        <v/>
      </c>
      <c r="H12" s="28" t="str">
        <f t="shared" si="1"/>
        <v/>
      </c>
      <c r="I12" s="28" t="str">
        <f t="shared" si="1"/>
        <v/>
      </c>
      <c r="J12" s="28" t="str">
        <f t="shared" si="1"/>
        <v/>
      </c>
      <c r="K12" s="28" t="str">
        <f t="shared" si="1"/>
        <v/>
      </c>
      <c r="L12" s="28" t="str">
        <f t="shared" si="1"/>
        <v/>
      </c>
      <c r="M12" s="28" t="str">
        <f t="shared" si="1"/>
        <v/>
      </c>
      <c r="N12" s="28" t="str">
        <f t="shared" si="1"/>
        <v/>
      </c>
      <c r="P12" s="35" t="s">
        <v>78</v>
      </c>
      <c r="Q12" s="35">
        <v>0.99990769599240914</v>
      </c>
      <c r="R12" s="35">
        <v>0.99992175894619728</v>
      </c>
      <c r="S12" s="35">
        <v>0.99993539180670088</v>
      </c>
      <c r="T12" s="35">
        <v>0.9999483192762858</v>
      </c>
      <c r="U12" s="35">
        <v>0.99996029759708305</v>
      </c>
      <c r="V12" s="35">
        <v>0.99997112037871672</v>
      </c>
      <c r="W12" s="35">
        <v>0.99998058807626189</v>
      </c>
      <c r="X12" s="35">
        <v>0.99998848984002897</v>
      </c>
      <c r="Y12" s="35">
        <v>0.99999457917098422</v>
      </c>
      <c r="Z12" s="35">
        <v>0.99999856845099566</v>
      </c>
      <c r="AA12" s="35">
        <v>1</v>
      </c>
      <c r="AB12" s="35"/>
      <c r="AC12" s="35"/>
    </row>
    <row r="13" spans="1:29" x14ac:dyDescent="0.4">
      <c r="A13" s="1">
        <v>21582</v>
      </c>
      <c r="B13" s="28">
        <v>315.73033469945352</v>
      </c>
      <c r="C13" s="28">
        <f t="shared" si="1"/>
        <v>315.7074180327869</v>
      </c>
      <c r="D13" s="28">
        <f t="shared" si="1"/>
        <v>315.61747950819671</v>
      </c>
      <c r="E13" s="28">
        <f t="shared" si="1"/>
        <v>315.52337431693985</v>
      </c>
      <c r="F13" s="28">
        <f t="shared" si="1"/>
        <v>315.48004098360656</v>
      </c>
      <c r="G13" s="28">
        <f t="shared" si="1"/>
        <v>315.42962431693985</v>
      </c>
      <c r="H13" s="28" t="str">
        <f t="shared" si="1"/>
        <v/>
      </c>
      <c r="I13" s="28" t="str">
        <f t="shared" si="1"/>
        <v/>
      </c>
      <c r="J13" s="28" t="str">
        <f t="shared" si="1"/>
        <v/>
      </c>
      <c r="K13" s="28" t="str">
        <f t="shared" si="1"/>
        <v/>
      </c>
      <c r="L13" s="28" t="str">
        <f t="shared" si="1"/>
        <v/>
      </c>
      <c r="M13" s="28" t="str">
        <f t="shared" si="1"/>
        <v/>
      </c>
      <c r="N13" s="28" t="str">
        <f t="shared" si="1"/>
        <v/>
      </c>
      <c r="P13" s="35" t="s">
        <v>79</v>
      </c>
      <c r="Q13" s="35">
        <v>0.99989315795796274</v>
      </c>
      <c r="R13" s="35">
        <v>0.99990740159591773</v>
      </c>
      <c r="S13" s="35">
        <v>0.99992151117709005</v>
      </c>
      <c r="T13" s="35">
        <v>0.99993518588495067</v>
      </c>
      <c r="U13" s="35">
        <v>0.99994814720565128</v>
      </c>
      <c r="V13" s="35">
        <v>0.99996016461613269</v>
      </c>
      <c r="W13" s="35">
        <v>0.99997103162731793</v>
      </c>
      <c r="X13" s="35">
        <v>0.99998053851003621</v>
      </c>
      <c r="Y13" s="35">
        <v>0.99998846402728658</v>
      </c>
      <c r="Z13" s="35">
        <v>0.99999456698766986</v>
      </c>
      <c r="AA13" s="35">
        <v>0.99999856454544966</v>
      </c>
      <c r="AB13" s="35">
        <v>1</v>
      </c>
      <c r="AC13" s="35"/>
    </row>
    <row r="14" spans="1:29" ht="19.5" thickBot="1" x14ac:dyDescent="0.45">
      <c r="A14" s="1">
        <v>21610</v>
      </c>
      <c r="B14" s="28">
        <v>315.75116803278689</v>
      </c>
      <c r="C14" s="28">
        <f t="shared" si="1"/>
        <v>315.73033469945352</v>
      </c>
      <c r="D14" s="28">
        <f t="shared" si="1"/>
        <v>315.7074180327869</v>
      </c>
      <c r="E14" s="28">
        <f t="shared" si="1"/>
        <v>315.61747950819671</v>
      </c>
      <c r="F14" s="28">
        <f t="shared" si="1"/>
        <v>315.52337431693985</v>
      </c>
      <c r="G14" s="28">
        <f t="shared" si="1"/>
        <v>315.48004098360656</v>
      </c>
      <c r="H14" s="28">
        <f t="shared" si="1"/>
        <v>315.42962431693985</v>
      </c>
      <c r="I14" s="28" t="str">
        <f t="shared" si="1"/>
        <v/>
      </c>
      <c r="J14" s="28" t="str">
        <f t="shared" si="1"/>
        <v/>
      </c>
      <c r="K14" s="28" t="str">
        <f t="shared" si="1"/>
        <v/>
      </c>
      <c r="L14" s="28" t="str">
        <f t="shared" si="1"/>
        <v/>
      </c>
      <c r="M14" s="28" t="str">
        <f t="shared" si="1"/>
        <v/>
      </c>
      <c r="N14" s="28" t="str">
        <f t="shared" si="1"/>
        <v/>
      </c>
      <c r="P14" s="36" t="s">
        <v>80</v>
      </c>
      <c r="Q14" s="36">
        <v>0.99987877631289113</v>
      </c>
      <c r="R14" s="36">
        <v>0.99989282111538536</v>
      </c>
      <c r="S14" s="36">
        <v>0.9999071128544742</v>
      </c>
      <c r="T14" s="36">
        <v>0.99992126697231598</v>
      </c>
      <c r="U14" s="36">
        <v>0.99993497822793664</v>
      </c>
      <c r="V14" s="36">
        <v>0.99994798256211326</v>
      </c>
      <c r="W14" s="36">
        <v>0.99996005147619682</v>
      </c>
      <c r="X14" s="36">
        <v>0.99997096673277952</v>
      </c>
      <c r="Y14" s="36">
        <v>0.99998050329185362</v>
      </c>
      <c r="Z14" s="36">
        <v>0.99998844374826912</v>
      </c>
      <c r="AA14" s="36">
        <v>0.99999455692039918</v>
      </c>
      <c r="AB14" s="36">
        <v>0.99999856322528169</v>
      </c>
      <c r="AC14" s="36">
        <v>1</v>
      </c>
    </row>
    <row r="15" spans="1:29" ht="19.5" thickBot="1" x14ac:dyDescent="0.45">
      <c r="A15" s="1">
        <v>21641</v>
      </c>
      <c r="B15" s="28">
        <v>315.77995901639343</v>
      </c>
      <c r="C15" s="28">
        <f t="shared" si="1"/>
        <v>315.75116803278689</v>
      </c>
      <c r="D15" s="28">
        <f t="shared" si="1"/>
        <v>315.73033469945352</v>
      </c>
      <c r="E15" s="28">
        <f t="shared" si="1"/>
        <v>315.7074180327869</v>
      </c>
      <c r="F15" s="28">
        <f t="shared" si="1"/>
        <v>315.61747950819671</v>
      </c>
      <c r="G15" s="28">
        <f t="shared" si="1"/>
        <v>315.52337431693985</v>
      </c>
      <c r="H15" s="28">
        <f t="shared" si="1"/>
        <v>315.48004098360656</v>
      </c>
      <c r="I15" s="28">
        <f t="shared" si="1"/>
        <v>315.42962431693985</v>
      </c>
      <c r="J15" s="28" t="str">
        <f t="shared" si="1"/>
        <v/>
      </c>
      <c r="K15" s="28" t="str">
        <f t="shared" si="1"/>
        <v/>
      </c>
      <c r="L15" s="28" t="str">
        <f t="shared" si="1"/>
        <v/>
      </c>
      <c r="M15" s="28" t="str">
        <f t="shared" si="1"/>
        <v/>
      </c>
      <c r="N15" s="28" t="str">
        <f t="shared" si="1"/>
        <v/>
      </c>
    </row>
    <row r="16" spans="1:29" x14ac:dyDescent="0.4">
      <c r="A16" s="1">
        <v>21671</v>
      </c>
      <c r="B16" s="28">
        <v>315.84416666666669</v>
      </c>
      <c r="C16" s="28">
        <f t="shared" si="1"/>
        <v>315.77995901639343</v>
      </c>
      <c r="D16" s="28">
        <f t="shared" si="1"/>
        <v>315.75116803278689</v>
      </c>
      <c r="E16" s="28">
        <f t="shared" si="1"/>
        <v>315.73033469945352</v>
      </c>
      <c r="F16" s="28">
        <f t="shared" si="1"/>
        <v>315.7074180327869</v>
      </c>
      <c r="G16" s="28">
        <f t="shared" si="1"/>
        <v>315.61747950819671</v>
      </c>
      <c r="H16" s="28">
        <f t="shared" si="1"/>
        <v>315.52337431693985</v>
      </c>
      <c r="I16" s="28">
        <f t="shared" si="1"/>
        <v>315.48004098360656</v>
      </c>
      <c r="J16" s="28">
        <f t="shared" si="1"/>
        <v>315.42962431693985</v>
      </c>
      <c r="K16" s="28" t="str">
        <f t="shared" si="1"/>
        <v/>
      </c>
      <c r="L16" s="28" t="str">
        <f t="shared" si="1"/>
        <v/>
      </c>
      <c r="M16" s="28" t="str">
        <f t="shared" si="1"/>
        <v/>
      </c>
      <c r="N16" s="28" t="str">
        <f t="shared" si="1"/>
        <v/>
      </c>
      <c r="P16" s="39" t="s">
        <v>81</v>
      </c>
      <c r="Q16" s="37" t="s">
        <v>1</v>
      </c>
      <c r="R16" s="37">
        <v>-1</v>
      </c>
      <c r="S16" s="37">
        <v>-2</v>
      </c>
      <c r="T16" s="37">
        <v>-3</v>
      </c>
      <c r="U16" s="37">
        <v>-4</v>
      </c>
      <c r="V16" s="37">
        <v>-5</v>
      </c>
      <c r="W16" s="37">
        <v>-6</v>
      </c>
      <c r="X16" s="37">
        <v>-7</v>
      </c>
      <c r="Y16" s="37">
        <v>-8</v>
      </c>
      <c r="Z16" s="37">
        <v>-9</v>
      </c>
      <c r="AA16" s="37">
        <v>-10</v>
      </c>
      <c r="AB16" s="37">
        <v>-11</v>
      </c>
      <c r="AC16" s="37">
        <v>-12</v>
      </c>
    </row>
    <row r="17" spans="1:29" x14ac:dyDescent="0.4">
      <c r="A17" s="1">
        <v>21702</v>
      </c>
      <c r="B17" s="28">
        <v>315.94375000000008</v>
      </c>
      <c r="C17" s="28">
        <f t="shared" si="1"/>
        <v>315.84416666666669</v>
      </c>
      <c r="D17" s="28">
        <f t="shared" si="1"/>
        <v>315.77995901639343</v>
      </c>
      <c r="E17" s="28">
        <f t="shared" si="1"/>
        <v>315.75116803278689</v>
      </c>
      <c r="F17" s="28">
        <f t="shared" si="1"/>
        <v>315.73033469945352</v>
      </c>
      <c r="G17" s="28">
        <f t="shared" si="1"/>
        <v>315.7074180327869</v>
      </c>
      <c r="H17" s="28">
        <f t="shared" si="1"/>
        <v>315.61747950819671</v>
      </c>
      <c r="I17" s="28">
        <f t="shared" si="1"/>
        <v>315.52337431693985</v>
      </c>
      <c r="J17" s="28">
        <f t="shared" si="1"/>
        <v>315.48004098360656</v>
      </c>
      <c r="K17" s="28">
        <f t="shared" si="1"/>
        <v>315.42962431693985</v>
      </c>
      <c r="L17" s="28" t="str">
        <f t="shared" si="1"/>
        <v/>
      </c>
      <c r="M17" s="28" t="str">
        <f t="shared" si="1"/>
        <v/>
      </c>
      <c r="N17" s="28" t="str">
        <f t="shared" si="1"/>
        <v/>
      </c>
      <c r="P17" s="40" t="s">
        <v>1</v>
      </c>
      <c r="Q17" s="35">
        <f t="array" ref="Q17:AC29">Q2:AC14+TRANSPOSE(Q2:AC14)-_xlfn.MUNIT(13)</f>
        <v>1</v>
      </c>
      <c r="R17" s="35">
        <v>0.99999861183536576</v>
      </c>
      <c r="S17" s="35">
        <v>0.999994723588151</v>
      </c>
      <c r="T17" s="35">
        <v>0.99998875621351191</v>
      </c>
      <c r="U17" s="35">
        <v>0.99998097273855235</v>
      </c>
      <c r="V17" s="35">
        <v>0.9999715922966983</v>
      </c>
      <c r="W17" s="35">
        <v>0.99996081127686043</v>
      </c>
      <c r="X17" s="35">
        <v>0.99994881798436741</v>
      </c>
      <c r="Y17" s="35">
        <v>0.99993580131408011</v>
      </c>
      <c r="Z17" s="35">
        <v>0.99992200452407176</v>
      </c>
      <c r="AA17" s="35">
        <v>0.99990769599240914</v>
      </c>
      <c r="AB17" s="35">
        <v>0.99989315795796274</v>
      </c>
      <c r="AC17" s="35">
        <v>0.99987877631289113</v>
      </c>
    </row>
    <row r="18" spans="1:29" x14ac:dyDescent="0.4">
      <c r="A18" s="1">
        <v>21732</v>
      </c>
      <c r="B18" s="28">
        <v>316.01708333333335</v>
      </c>
      <c r="C18" s="28">
        <f t="shared" si="1"/>
        <v>315.94375000000008</v>
      </c>
      <c r="D18" s="28">
        <f t="shared" si="1"/>
        <v>315.84416666666669</v>
      </c>
      <c r="E18" s="28">
        <f t="shared" si="1"/>
        <v>315.77995901639343</v>
      </c>
      <c r="F18" s="28">
        <f t="shared" si="1"/>
        <v>315.75116803278689</v>
      </c>
      <c r="G18" s="28">
        <f t="shared" si="1"/>
        <v>315.73033469945352</v>
      </c>
      <c r="H18" s="28">
        <f t="shared" si="1"/>
        <v>315.7074180327869</v>
      </c>
      <c r="I18" s="28">
        <f t="shared" si="1"/>
        <v>315.61747950819671</v>
      </c>
      <c r="J18" s="28">
        <f t="shared" si="1"/>
        <v>315.52337431693985</v>
      </c>
      <c r="K18" s="28">
        <f t="shared" si="1"/>
        <v>315.48004098360656</v>
      </c>
      <c r="L18" s="28">
        <f t="shared" si="1"/>
        <v>315.42962431693985</v>
      </c>
      <c r="M18" s="28" t="str">
        <f t="shared" si="1"/>
        <v/>
      </c>
      <c r="N18" s="28" t="str">
        <f t="shared" si="1"/>
        <v/>
      </c>
      <c r="P18" s="40">
        <v>-1</v>
      </c>
      <c r="Q18" s="35">
        <v>0.99999861183536576</v>
      </c>
      <c r="R18" s="35">
        <v>1</v>
      </c>
      <c r="S18" s="35">
        <v>0.99999860737971891</v>
      </c>
      <c r="T18" s="35">
        <v>0.99999470763224718</v>
      </c>
      <c r="U18" s="35">
        <v>0.99998872320015819</v>
      </c>
      <c r="V18" s="35">
        <v>0.99998091674192635</v>
      </c>
      <c r="W18" s="35">
        <v>0.99997150732773399</v>
      </c>
      <c r="X18" s="35">
        <v>0.99996068950329187</v>
      </c>
      <c r="Y18" s="35">
        <v>0.99994864742654443</v>
      </c>
      <c r="Z18" s="35">
        <v>0.99993559328549086</v>
      </c>
      <c r="AA18" s="35">
        <v>0.99992175894619728</v>
      </c>
      <c r="AB18" s="35">
        <v>0.99990740159591773</v>
      </c>
      <c r="AC18" s="35">
        <v>0.99989282111538536</v>
      </c>
    </row>
    <row r="19" spans="1:29" x14ac:dyDescent="0.4">
      <c r="A19" s="1">
        <v>21763</v>
      </c>
      <c r="B19" s="28">
        <v>316.07291666666674</v>
      </c>
      <c r="C19" s="28">
        <f t="shared" si="1"/>
        <v>316.01708333333335</v>
      </c>
      <c r="D19" s="28">
        <f t="shared" si="1"/>
        <v>315.94375000000008</v>
      </c>
      <c r="E19" s="28">
        <f t="shared" si="1"/>
        <v>315.84416666666669</v>
      </c>
      <c r="F19" s="28">
        <f t="shared" si="1"/>
        <v>315.77995901639343</v>
      </c>
      <c r="G19" s="28">
        <f t="shared" si="1"/>
        <v>315.75116803278689</v>
      </c>
      <c r="H19" s="28">
        <f t="shared" si="1"/>
        <v>315.73033469945352</v>
      </c>
      <c r="I19" s="28">
        <f t="shared" si="1"/>
        <v>315.7074180327869</v>
      </c>
      <c r="J19" s="28">
        <f t="shared" si="1"/>
        <v>315.61747950819671</v>
      </c>
      <c r="K19" s="28">
        <f t="shared" si="1"/>
        <v>315.52337431693985</v>
      </c>
      <c r="L19" s="28">
        <f t="shared" si="1"/>
        <v>315.48004098360656</v>
      </c>
      <c r="M19" s="28">
        <f t="shared" si="1"/>
        <v>315.42962431693985</v>
      </c>
      <c r="N19" s="28" t="str">
        <f t="shared" si="1"/>
        <v/>
      </c>
      <c r="P19" s="40">
        <v>-2</v>
      </c>
      <c r="Q19" s="35">
        <v>0.999994723588151</v>
      </c>
      <c r="R19" s="35">
        <v>0.99999860737971891</v>
      </c>
      <c r="S19" s="35">
        <v>1</v>
      </c>
      <c r="T19" s="35">
        <v>0.99999860332874468</v>
      </c>
      <c r="U19" s="35">
        <v>0.99999469179926093</v>
      </c>
      <c r="V19" s="35">
        <v>0.99998869006714919</v>
      </c>
      <c r="W19" s="35">
        <v>0.99998086080114246</v>
      </c>
      <c r="X19" s="35">
        <v>0.99997142038996434</v>
      </c>
      <c r="Y19" s="35">
        <v>0.99996055903916325</v>
      </c>
      <c r="Z19" s="35">
        <v>0.99994848191901076</v>
      </c>
      <c r="AA19" s="35">
        <v>0.99993539180670088</v>
      </c>
      <c r="AB19" s="35">
        <v>0.99992151117709005</v>
      </c>
      <c r="AC19" s="35">
        <v>0.9999071128544742</v>
      </c>
    </row>
    <row r="20" spans="1:29" x14ac:dyDescent="0.4">
      <c r="A20" s="1">
        <v>21794</v>
      </c>
      <c r="B20" s="28">
        <v>316.13208333333341</v>
      </c>
      <c r="C20" s="28">
        <f t="shared" si="1"/>
        <v>316.07291666666674</v>
      </c>
      <c r="D20" s="28">
        <f t="shared" si="1"/>
        <v>316.01708333333335</v>
      </c>
      <c r="E20" s="28">
        <f t="shared" si="1"/>
        <v>315.94375000000008</v>
      </c>
      <c r="F20" s="28">
        <f t="shared" si="1"/>
        <v>315.84416666666669</v>
      </c>
      <c r="G20" s="28">
        <f t="shared" si="1"/>
        <v>315.77995901639343</v>
      </c>
      <c r="H20" s="28">
        <f t="shared" si="1"/>
        <v>315.75116803278689</v>
      </c>
      <c r="I20" s="28">
        <f t="shared" si="1"/>
        <v>315.73033469945352</v>
      </c>
      <c r="J20" s="28">
        <f t="shared" si="1"/>
        <v>315.7074180327869</v>
      </c>
      <c r="K20" s="28">
        <f t="shared" si="1"/>
        <v>315.61747950819671</v>
      </c>
      <c r="L20" s="28">
        <f t="shared" si="1"/>
        <v>315.52337431693985</v>
      </c>
      <c r="M20" s="28">
        <f t="shared" si="1"/>
        <v>315.48004098360656</v>
      </c>
      <c r="N20" s="28">
        <f t="shared" si="1"/>
        <v>315.42962431693985</v>
      </c>
      <c r="P20" s="40">
        <v>-3</v>
      </c>
      <c r="Q20" s="35">
        <v>0.99998875621351191</v>
      </c>
      <c r="R20" s="35">
        <v>0.99999470763224718</v>
      </c>
      <c r="S20" s="35">
        <v>0.99999860332874468</v>
      </c>
      <c r="T20" s="35">
        <v>1</v>
      </c>
      <c r="U20" s="35">
        <v>0.99999859871917374</v>
      </c>
      <c r="V20" s="35">
        <v>0.99999467599406966</v>
      </c>
      <c r="W20" s="35">
        <v>0.99998865658207425</v>
      </c>
      <c r="X20" s="35">
        <v>0.99998080064803074</v>
      </c>
      <c r="Y20" s="35">
        <v>0.99997132111138198</v>
      </c>
      <c r="Z20" s="35">
        <v>0.99996042885611391</v>
      </c>
      <c r="AA20" s="35">
        <v>0.9999483192762858</v>
      </c>
      <c r="AB20" s="35">
        <v>0.99993518588495067</v>
      </c>
      <c r="AC20" s="35">
        <v>0.99992126697231598</v>
      </c>
    </row>
    <row r="21" spans="1:29" x14ac:dyDescent="0.4">
      <c r="A21" s="1">
        <v>21824</v>
      </c>
      <c r="B21" s="28">
        <v>316.22541666666666</v>
      </c>
      <c r="C21" s="28">
        <f t="shared" si="1"/>
        <v>316.13208333333341</v>
      </c>
      <c r="D21" s="28">
        <f t="shared" si="1"/>
        <v>316.07291666666674</v>
      </c>
      <c r="E21" s="28">
        <f t="shared" si="1"/>
        <v>316.01708333333335</v>
      </c>
      <c r="F21" s="28">
        <f t="shared" si="1"/>
        <v>315.94375000000008</v>
      </c>
      <c r="G21" s="28">
        <f t="shared" si="1"/>
        <v>315.84416666666669</v>
      </c>
      <c r="H21" s="28">
        <f t="shared" si="1"/>
        <v>315.77995901639343</v>
      </c>
      <c r="I21" s="28">
        <f t="shared" si="1"/>
        <v>315.75116803278689</v>
      </c>
      <c r="J21" s="28">
        <f t="shared" si="1"/>
        <v>315.73033469945352</v>
      </c>
      <c r="K21" s="28">
        <f t="shared" si="1"/>
        <v>315.7074180327869</v>
      </c>
      <c r="L21" s="28">
        <f t="shared" si="1"/>
        <v>315.61747950819671</v>
      </c>
      <c r="M21" s="28">
        <f t="shared" si="1"/>
        <v>315.52337431693985</v>
      </c>
      <c r="N21" s="28">
        <f t="shared" si="1"/>
        <v>315.48004098360656</v>
      </c>
      <c r="P21" s="40">
        <v>-4</v>
      </c>
      <c r="Q21" s="35">
        <v>0.99998097273855235</v>
      </c>
      <c r="R21" s="35">
        <v>0.99998872320015819</v>
      </c>
      <c r="S21" s="35">
        <v>0.99999469179926093</v>
      </c>
      <c r="T21" s="35">
        <v>0.99999859871917374</v>
      </c>
      <c r="U21" s="35">
        <v>1</v>
      </c>
      <c r="V21" s="35">
        <v>0.99999859446292061</v>
      </c>
      <c r="W21" s="35">
        <v>0.99999465779271157</v>
      </c>
      <c r="X21" s="35">
        <v>0.9999886141155454</v>
      </c>
      <c r="Y21" s="35">
        <v>0.99998072171876162</v>
      </c>
      <c r="Z21" s="35">
        <v>0.99997121699703984</v>
      </c>
      <c r="AA21" s="35">
        <v>0.99996029759708305</v>
      </c>
      <c r="AB21" s="35">
        <v>0.99994814720565128</v>
      </c>
      <c r="AC21" s="35">
        <v>0.99993497822793664</v>
      </c>
    </row>
    <row r="22" spans="1:29" x14ac:dyDescent="0.4">
      <c r="A22" s="1">
        <v>21855</v>
      </c>
      <c r="B22" s="28">
        <v>316.35291666666666</v>
      </c>
      <c r="C22" s="28">
        <f t="shared" si="1"/>
        <v>316.22541666666666</v>
      </c>
      <c r="D22" s="28">
        <f t="shared" si="1"/>
        <v>316.13208333333341</v>
      </c>
      <c r="E22" s="28">
        <f t="shared" si="1"/>
        <v>316.07291666666674</v>
      </c>
      <c r="F22" s="28">
        <f t="shared" si="1"/>
        <v>316.01708333333335</v>
      </c>
      <c r="G22" s="28">
        <f t="shared" si="1"/>
        <v>315.94375000000008</v>
      </c>
      <c r="H22" s="28">
        <f t="shared" si="1"/>
        <v>315.84416666666669</v>
      </c>
      <c r="I22" s="28">
        <f t="shared" si="1"/>
        <v>315.77995901639343</v>
      </c>
      <c r="J22" s="28">
        <f t="shared" si="1"/>
        <v>315.75116803278689</v>
      </c>
      <c r="K22" s="28">
        <f t="shared" si="1"/>
        <v>315.73033469945352</v>
      </c>
      <c r="L22" s="28">
        <f t="shared" si="1"/>
        <v>315.7074180327869</v>
      </c>
      <c r="M22" s="28">
        <f t="shared" si="1"/>
        <v>315.61747950819671</v>
      </c>
      <c r="N22" s="28">
        <f t="shared" si="1"/>
        <v>315.52337431693985</v>
      </c>
      <c r="P22" s="40">
        <v>-5</v>
      </c>
      <c r="Q22" s="35">
        <v>0.9999715922966983</v>
      </c>
      <c r="R22" s="35">
        <v>0.99998091674192635</v>
      </c>
      <c r="S22" s="35">
        <v>0.99998869006714919</v>
      </c>
      <c r="T22" s="35">
        <v>0.99999467599406966</v>
      </c>
      <c r="U22" s="35">
        <v>0.99999859446292061</v>
      </c>
      <c r="V22" s="35">
        <v>1</v>
      </c>
      <c r="W22" s="35">
        <v>0.99999858868331482</v>
      </c>
      <c r="X22" s="35">
        <v>0.99999463469054772</v>
      </c>
      <c r="Y22" s="35">
        <v>0.99998856098459332</v>
      </c>
      <c r="Z22" s="35">
        <v>0.99998064816878807</v>
      </c>
      <c r="AA22" s="35">
        <v>0.99997112037871672</v>
      </c>
      <c r="AB22" s="35">
        <v>0.99996016461613269</v>
      </c>
      <c r="AC22" s="35">
        <v>0.99994798256211326</v>
      </c>
    </row>
    <row r="23" spans="1:29" x14ac:dyDescent="0.4">
      <c r="A23" s="1">
        <v>21885</v>
      </c>
      <c r="B23" s="28">
        <v>316.48541666666665</v>
      </c>
      <c r="C23" s="28">
        <f t="shared" si="1"/>
        <v>316.35291666666666</v>
      </c>
      <c r="D23" s="28">
        <f t="shared" si="1"/>
        <v>316.22541666666666</v>
      </c>
      <c r="E23" s="28">
        <f t="shared" si="1"/>
        <v>316.13208333333341</v>
      </c>
      <c r="F23" s="28">
        <f t="shared" si="1"/>
        <v>316.07291666666674</v>
      </c>
      <c r="G23" s="28">
        <f t="shared" si="1"/>
        <v>316.01708333333335</v>
      </c>
      <c r="H23" s="28">
        <f t="shared" si="1"/>
        <v>315.94375000000008</v>
      </c>
      <c r="I23" s="28">
        <f t="shared" si="1"/>
        <v>315.84416666666669</v>
      </c>
      <c r="J23" s="28">
        <f t="shared" si="1"/>
        <v>315.77995901639343</v>
      </c>
      <c r="K23" s="28">
        <f t="shared" si="1"/>
        <v>315.75116803278689</v>
      </c>
      <c r="L23" s="28">
        <f t="shared" si="1"/>
        <v>315.73033469945352</v>
      </c>
      <c r="M23" s="28">
        <f t="shared" si="1"/>
        <v>315.7074180327869</v>
      </c>
      <c r="N23" s="28">
        <f t="shared" si="1"/>
        <v>315.61747950819671</v>
      </c>
      <c r="P23" s="40">
        <v>-6</v>
      </c>
      <c r="Q23" s="35">
        <v>0.99996081127686043</v>
      </c>
      <c r="R23" s="35">
        <v>0.99997150732773399</v>
      </c>
      <c r="S23" s="35">
        <v>0.99998086080114246</v>
      </c>
      <c r="T23" s="35">
        <v>0.99998865658207425</v>
      </c>
      <c r="U23" s="35">
        <v>0.99999465779271157</v>
      </c>
      <c r="V23" s="35">
        <v>0.99999858868331482</v>
      </c>
      <c r="W23" s="35">
        <v>1</v>
      </c>
      <c r="X23" s="35">
        <v>0.99999858247305573</v>
      </c>
      <c r="Y23" s="35">
        <v>0.9999946091075077</v>
      </c>
      <c r="Z23" s="35">
        <v>0.99998851999350635</v>
      </c>
      <c r="AA23" s="35">
        <v>0.99998058807626189</v>
      </c>
      <c r="AB23" s="35">
        <v>0.99997103162731793</v>
      </c>
      <c r="AC23" s="35">
        <v>0.99996005147619682</v>
      </c>
    </row>
    <row r="24" spans="1:29" x14ac:dyDescent="0.4">
      <c r="A24" s="1">
        <v>21916</v>
      </c>
      <c r="B24" s="28">
        <v>316.61333333333329</v>
      </c>
      <c r="C24" s="28">
        <f t="shared" si="1"/>
        <v>316.48541666666665</v>
      </c>
      <c r="D24" s="28">
        <f t="shared" si="1"/>
        <v>316.35291666666666</v>
      </c>
      <c r="E24" s="28">
        <f t="shared" si="1"/>
        <v>316.22541666666666</v>
      </c>
      <c r="F24" s="28">
        <f t="shared" si="1"/>
        <v>316.13208333333341</v>
      </c>
      <c r="G24" s="28">
        <f t="shared" si="1"/>
        <v>316.07291666666674</v>
      </c>
      <c r="H24" s="28">
        <f t="shared" si="1"/>
        <v>316.01708333333335</v>
      </c>
      <c r="I24" s="28">
        <f t="shared" si="1"/>
        <v>315.94375000000008</v>
      </c>
      <c r="J24" s="28">
        <f t="shared" si="1"/>
        <v>315.84416666666669</v>
      </c>
      <c r="K24" s="28">
        <f t="shared" si="1"/>
        <v>315.77995901639343</v>
      </c>
      <c r="L24" s="28">
        <f t="shared" si="1"/>
        <v>315.75116803278689</v>
      </c>
      <c r="M24" s="28">
        <f t="shared" si="1"/>
        <v>315.73033469945352</v>
      </c>
      <c r="N24" s="28">
        <f t="shared" si="1"/>
        <v>315.7074180327869</v>
      </c>
      <c r="P24" s="40">
        <v>-7</v>
      </c>
      <c r="Q24" s="35">
        <v>0.99994881798436741</v>
      </c>
      <c r="R24" s="35">
        <v>0.99996068950329187</v>
      </c>
      <c r="S24" s="35">
        <v>0.99997142038996434</v>
      </c>
      <c r="T24" s="35">
        <v>0.99998080064803074</v>
      </c>
      <c r="U24" s="35">
        <v>0.9999886141155454</v>
      </c>
      <c r="V24" s="35">
        <v>0.99999463469054772</v>
      </c>
      <c r="W24" s="35">
        <v>0.99999858247305573</v>
      </c>
      <c r="X24" s="35">
        <v>1</v>
      </c>
      <c r="Y24" s="35">
        <v>0.99999857594252051</v>
      </c>
      <c r="Z24" s="35">
        <v>0.99999459324066098</v>
      </c>
      <c r="AA24" s="35">
        <v>0.99998848984002897</v>
      </c>
      <c r="AB24" s="35">
        <v>0.99998053851003621</v>
      </c>
      <c r="AC24" s="35">
        <v>0.99997096673277952</v>
      </c>
    </row>
    <row r="25" spans="1:29" x14ac:dyDescent="0.4">
      <c r="A25" s="1">
        <v>21947</v>
      </c>
      <c r="B25" s="28">
        <v>316.72750000000002</v>
      </c>
      <c r="C25" s="28">
        <f t="shared" si="1"/>
        <v>316.61333333333329</v>
      </c>
      <c r="D25" s="28">
        <f t="shared" si="1"/>
        <v>316.48541666666665</v>
      </c>
      <c r="E25" s="28">
        <f t="shared" si="1"/>
        <v>316.35291666666666</v>
      </c>
      <c r="F25" s="28">
        <f t="shared" ref="D25:R40" si="2">IF(E24=0,"",E24)</f>
        <v>316.22541666666666</v>
      </c>
      <c r="G25" s="28">
        <f t="shared" si="2"/>
        <v>316.13208333333341</v>
      </c>
      <c r="H25" s="28">
        <f t="shared" si="2"/>
        <v>316.07291666666674</v>
      </c>
      <c r="I25" s="28">
        <f t="shared" si="2"/>
        <v>316.01708333333335</v>
      </c>
      <c r="J25" s="28">
        <f t="shared" si="2"/>
        <v>315.94375000000008</v>
      </c>
      <c r="K25" s="28">
        <f t="shared" si="2"/>
        <v>315.84416666666669</v>
      </c>
      <c r="L25" s="28">
        <f t="shared" si="2"/>
        <v>315.77995901639343</v>
      </c>
      <c r="M25" s="28">
        <f t="shared" si="2"/>
        <v>315.75116803278689</v>
      </c>
      <c r="N25" s="28">
        <f t="shared" si="2"/>
        <v>315.73033469945352</v>
      </c>
      <c r="P25" s="40">
        <v>-8</v>
      </c>
      <c r="Q25" s="35">
        <v>0.99993580131408011</v>
      </c>
      <c r="R25" s="35">
        <v>0.99994864742654443</v>
      </c>
      <c r="S25" s="35">
        <v>0.99996055903916325</v>
      </c>
      <c r="T25" s="35">
        <v>0.99997132111138198</v>
      </c>
      <c r="U25" s="35">
        <v>0.99998072171876162</v>
      </c>
      <c r="V25" s="35">
        <v>0.99998856098459332</v>
      </c>
      <c r="W25" s="35">
        <v>0.9999946091075077</v>
      </c>
      <c r="X25" s="35">
        <v>0.99999857594252051</v>
      </c>
      <c r="Y25" s="35">
        <v>1</v>
      </c>
      <c r="Z25" s="35">
        <v>0.99999857226127742</v>
      </c>
      <c r="AA25" s="35">
        <v>0.99999457917098422</v>
      </c>
      <c r="AB25" s="35">
        <v>0.99998846402728658</v>
      </c>
      <c r="AC25" s="35">
        <v>0.99998050329185362</v>
      </c>
    </row>
    <row r="26" spans="1:29" x14ac:dyDescent="0.4">
      <c r="A26" s="1">
        <v>21976</v>
      </c>
      <c r="B26" s="28">
        <v>316.78708333333333</v>
      </c>
      <c r="C26" s="28">
        <f t="shared" ref="C26:N89" si="3">IF(B25=0,"",B25)</f>
        <v>316.72750000000002</v>
      </c>
      <c r="D26" s="28">
        <f t="shared" si="2"/>
        <v>316.61333333333329</v>
      </c>
      <c r="E26" s="28">
        <f t="shared" si="2"/>
        <v>316.48541666666665</v>
      </c>
      <c r="F26" s="28">
        <f t="shared" si="2"/>
        <v>316.35291666666666</v>
      </c>
      <c r="G26" s="28">
        <f t="shared" si="2"/>
        <v>316.22541666666666</v>
      </c>
      <c r="H26" s="28">
        <f t="shared" si="2"/>
        <v>316.13208333333341</v>
      </c>
      <c r="I26" s="28">
        <f t="shared" si="2"/>
        <v>316.07291666666674</v>
      </c>
      <c r="J26" s="28">
        <f t="shared" si="2"/>
        <v>316.01708333333335</v>
      </c>
      <c r="K26" s="28">
        <f t="shared" si="2"/>
        <v>315.94375000000008</v>
      </c>
      <c r="L26" s="28">
        <f t="shared" si="2"/>
        <v>315.84416666666669</v>
      </c>
      <c r="M26" s="28">
        <f t="shared" si="2"/>
        <v>315.77995901639343</v>
      </c>
      <c r="N26" s="28">
        <f t="shared" si="2"/>
        <v>315.75116803278689</v>
      </c>
      <c r="P26" s="40">
        <v>-9</v>
      </c>
      <c r="Q26" s="35">
        <v>0.99992200452407176</v>
      </c>
      <c r="R26" s="35">
        <v>0.99993559328549086</v>
      </c>
      <c r="S26" s="35">
        <v>0.99994848191901076</v>
      </c>
      <c r="T26" s="35">
        <v>0.99996042885611391</v>
      </c>
      <c r="U26" s="35">
        <v>0.99997121699703984</v>
      </c>
      <c r="V26" s="35">
        <v>0.99998064816878807</v>
      </c>
      <c r="W26" s="35">
        <v>0.99998851999350635</v>
      </c>
      <c r="X26" s="35">
        <v>0.99999459324066098</v>
      </c>
      <c r="Y26" s="35">
        <v>0.99999857226127742</v>
      </c>
      <c r="Z26" s="35">
        <v>1</v>
      </c>
      <c r="AA26" s="35">
        <v>0.99999856845099566</v>
      </c>
      <c r="AB26" s="35">
        <v>0.99999456698766986</v>
      </c>
      <c r="AC26" s="35">
        <v>0.99998844374826912</v>
      </c>
    </row>
    <row r="27" spans="1:29" x14ac:dyDescent="0.4">
      <c r="A27" s="1">
        <v>22007</v>
      </c>
      <c r="B27" s="28">
        <v>316.82166666666666</v>
      </c>
      <c r="C27" s="28">
        <f t="shared" si="3"/>
        <v>316.78708333333333</v>
      </c>
      <c r="D27" s="28">
        <f t="shared" si="2"/>
        <v>316.72750000000002</v>
      </c>
      <c r="E27" s="28">
        <f t="shared" si="2"/>
        <v>316.61333333333329</v>
      </c>
      <c r="F27" s="28">
        <f t="shared" si="2"/>
        <v>316.48541666666665</v>
      </c>
      <c r="G27" s="28">
        <f t="shared" si="2"/>
        <v>316.35291666666666</v>
      </c>
      <c r="H27" s="28">
        <f t="shared" si="2"/>
        <v>316.22541666666666</v>
      </c>
      <c r="I27" s="28">
        <f t="shared" si="2"/>
        <v>316.13208333333341</v>
      </c>
      <c r="J27" s="28">
        <f t="shared" si="2"/>
        <v>316.07291666666674</v>
      </c>
      <c r="K27" s="28">
        <f t="shared" si="2"/>
        <v>316.01708333333335</v>
      </c>
      <c r="L27" s="28">
        <f t="shared" si="2"/>
        <v>315.94375000000008</v>
      </c>
      <c r="M27" s="28">
        <f t="shared" si="2"/>
        <v>315.84416666666669</v>
      </c>
      <c r="N27" s="28">
        <f t="shared" si="2"/>
        <v>315.77995901639343</v>
      </c>
      <c r="P27" s="40">
        <v>-10</v>
      </c>
      <c r="Q27" s="35">
        <v>0.99990769599240914</v>
      </c>
      <c r="R27" s="35">
        <v>0.99992175894619728</v>
      </c>
      <c r="S27" s="35">
        <v>0.99993539180670088</v>
      </c>
      <c r="T27" s="35">
        <v>0.9999483192762858</v>
      </c>
      <c r="U27" s="35">
        <v>0.99996029759708305</v>
      </c>
      <c r="V27" s="35">
        <v>0.99997112037871672</v>
      </c>
      <c r="W27" s="35">
        <v>0.99998058807626189</v>
      </c>
      <c r="X27" s="35">
        <v>0.99998848984002897</v>
      </c>
      <c r="Y27" s="35">
        <v>0.99999457917098422</v>
      </c>
      <c r="Z27" s="35">
        <v>0.99999856845099566</v>
      </c>
      <c r="AA27" s="35">
        <v>1</v>
      </c>
      <c r="AB27" s="35">
        <v>0.99999856454544966</v>
      </c>
      <c r="AC27" s="35">
        <v>0.99999455692039918</v>
      </c>
    </row>
    <row r="28" spans="1:29" x14ac:dyDescent="0.4">
      <c r="A28" s="1">
        <v>22037</v>
      </c>
      <c r="B28" s="28">
        <v>316.85041666666672</v>
      </c>
      <c r="C28" s="28">
        <f t="shared" si="3"/>
        <v>316.82166666666666</v>
      </c>
      <c r="D28" s="28">
        <f t="shared" si="2"/>
        <v>316.78708333333333</v>
      </c>
      <c r="E28" s="28">
        <f t="shared" si="2"/>
        <v>316.72750000000002</v>
      </c>
      <c r="F28" s="28">
        <f t="shared" si="2"/>
        <v>316.61333333333329</v>
      </c>
      <c r="G28" s="28">
        <f t="shared" si="2"/>
        <v>316.48541666666665</v>
      </c>
      <c r="H28" s="28">
        <f t="shared" si="2"/>
        <v>316.35291666666666</v>
      </c>
      <c r="I28" s="28">
        <f t="shared" si="2"/>
        <v>316.22541666666666</v>
      </c>
      <c r="J28" s="28">
        <f t="shared" si="2"/>
        <v>316.13208333333341</v>
      </c>
      <c r="K28" s="28">
        <f t="shared" si="2"/>
        <v>316.07291666666674</v>
      </c>
      <c r="L28" s="28">
        <f t="shared" si="2"/>
        <v>316.01708333333335</v>
      </c>
      <c r="M28" s="28">
        <f t="shared" si="2"/>
        <v>315.94375000000008</v>
      </c>
      <c r="N28" s="28">
        <f t="shared" si="2"/>
        <v>315.84416666666669</v>
      </c>
      <c r="P28" s="40">
        <v>-11</v>
      </c>
      <c r="Q28" s="35">
        <v>0.99989315795796274</v>
      </c>
      <c r="R28" s="35">
        <v>0.99990740159591773</v>
      </c>
      <c r="S28" s="35">
        <v>0.99992151117709005</v>
      </c>
      <c r="T28" s="35">
        <v>0.99993518588495067</v>
      </c>
      <c r="U28" s="35">
        <v>0.99994814720565128</v>
      </c>
      <c r="V28" s="35">
        <v>0.99996016461613269</v>
      </c>
      <c r="W28" s="35">
        <v>0.99997103162731793</v>
      </c>
      <c r="X28" s="35">
        <v>0.99998053851003621</v>
      </c>
      <c r="Y28" s="35">
        <v>0.99998846402728658</v>
      </c>
      <c r="Z28" s="35">
        <v>0.99999456698766986</v>
      </c>
      <c r="AA28" s="35">
        <v>0.99999856454544966</v>
      </c>
      <c r="AB28" s="35">
        <v>1</v>
      </c>
      <c r="AC28" s="35">
        <v>0.99999856322528169</v>
      </c>
    </row>
    <row r="29" spans="1:29" ht="19.5" thickBot="1" x14ac:dyDescent="0.45">
      <c r="A29" s="1">
        <v>22068</v>
      </c>
      <c r="B29" s="28">
        <v>316.88374999999996</v>
      </c>
      <c r="C29" s="28">
        <f t="shared" si="3"/>
        <v>316.85041666666672</v>
      </c>
      <c r="D29" s="28">
        <f t="shared" si="2"/>
        <v>316.82166666666666</v>
      </c>
      <c r="E29" s="28">
        <f t="shared" si="2"/>
        <v>316.78708333333333</v>
      </c>
      <c r="F29" s="28">
        <f t="shared" si="2"/>
        <v>316.72750000000002</v>
      </c>
      <c r="G29" s="28">
        <f t="shared" si="2"/>
        <v>316.61333333333329</v>
      </c>
      <c r="H29" s="28">
        <f t="shared" si="2"/>
        <v>316.48541666666665</v>
      </c>
      <c r="I29" s="28">
        <f t="shared" si="2"/>
        <v>316.35291666666666</v>
      </c>
      <c r="J29" s="28">
        <f t="shared" si="2"/>
        <v>316.22541666666666</v>
      </c>
      <c r="K29" s="28">
        <f t="shared" si="2"/>
        <v>316.13208333333341</v>
      </c>
      <c r="L29" s="28">
        <f t="shared" si="2"/>
        <v>316.07291666666674</v>
      </c>
      <c r="M29" s="28">
        <f t="shared" si="2"/>
        <v>316.01708333333335</v>
      </c>
      <c r="N29" s="28">
        <f t="shared" si="2"/>
        <v>315.94375000000008</v>
      </c>
      <c r="P29" s="41">
        <v>-12</v>
      </c>
      <c r="Q29" s="36">
        <v>0.99987877631289113</v>
      </c>
      <c r="R29" s="36">
        <v>0.99989282111538536</v>
      </c>
      <c r="S29" s="36">
        <v>0.9999071128544742</v>
      </c>
      <c r="T29" s="36">
        <v>0.99992126697231598</v>
      </c>
      <c r="U29" s="36">
        <v>0.99993497822793664</v>
      </c>
      <c r="V29" s="36">
        <v>0.99994798256211326</v>
      </c>
      <c r="W29" s="36">
        <v>0.99996005147619682</v>
      </c>
      <c r="X29" s="36">
        <v>0.99997096673277952</v>
      </c>
      <c r="Y29" s="36">
        <v>0.99998050329185362</v>
      </c>
      <c r="Z29" s="36">
        <v>0.99998844374826912</v>
      </c>
      <c r="AA29" s="36">
        <v>0.99999455692039918</v>
      </c>
      <c r="AB29" s="36">
        <v>0.99999856322528169</v>
      </c>
      <c r="AC29" s="36">
        <v>1</v>
      </c>
    </row>
    <row r="30" spans="1:29" ht="19.5" thickBot="1" x14ac:dyDescent="0.45">
      <c r="A30" s="1">
        <v>22098</v>
      </c>
      <c r="B30" s="28">
        <v>316.92874999999998</v>
      </c>
      <c r="C30" s="28">
        <f t="shared" si="3"/>
        <v>316.88374999999996</v>
      </c>
      <c r="D30" s="28">
        <f t="shared" si="2"/>
        <v>316.85041666666672</v>
      </c>
      <c r="E30" s="28">
        <f t="shared" si="2"/>
        <v>316.82166666666666</v>
      </c>
      <c r="F30" s="28">
        <f t="shared" si="2"/>
        <v>316.78708333333333</v>
      </c>
      <c r="G30" s="28">
        <f t="shared" si="2"/>
        <v>316.72750000000002</v>
      </c>
      <c r="H30" s="28">
        <f t="shared" si="2"/>
        <v>316.61333333333329</v>
      </c>
      <c r="I30" s="28">
        <f t="shared" si="2"/>
        <v>316.48541666666665</v>
      </c>
      <c r="J30" s="28">
        <f t="shared" si="2"/>
        <v>316.35291666666666</v>
      </c>
      <c r="K30" s="28">
        <f t="shared" si="2"/>
        <v>316.22541666666666</v>
      </c>
      <c r="L30" s="28">
        <f t="shared" si="2"/>
        <v>316.13208333333341</v>
      </c>
      <c r="M30" s="28">
        <f t="shared" si="2"/>
        <v>316.07291666666674</v>
      </c>
      <c r="N30" s="28">
        <f t="shared" si="2"/>
        <v>316.01708333333335</v>
      </c>
    </row>
    <row r="31" spans="1:29" ht="19.5" x14ac:dyDescent="0.4">
      <c r="A31" s="1">
        <v>22129</v>
      </c>
      <c r="B31" s="28">
        <v>316.9783333333333</v>
      </c>
      <c r="C31" s="28">
        <f t="shared" si="3"/>
        <v>316.92874999999998</v>
      </c>
      <c r="D31" s="28">
        <f t="shared" si="2"/>
        <v>316.88374999999996</v>
      </c>
      <c r="E31" s="28">
        <f t="shared" si="2"/>
        <v>316.85041666666672</v>
      </c>
      <c r="F31" s="28">
        <f t="shared" si="2"/>
        <v>316.82166666666666</v>
      </c>
      <c r="G31" s="28">
        <f t="shared" si="2"/>
        <v>316.78708333333333</v>
      </c>
      <c r="H31" s="28">
        <f t="shared" si="2"/>
        <v>316.72750000000002</v>
      </c>
      <c r="I31" s="28">
        <f t="shared" si="2"/>
        <v>316.61333333333329</v>
      </c>
      <c r="J31" s="28">
        <f t="shared" si="2"/>
        <v>316.48541666666665</v>
      </c>
      <c r="K31" s="28">
        <f t="shared" si="2"/>
        <v>316.35291666666666</v>
      </c>
      <c r="L31" s="28">
        <f t="shared" si="2"/>
        <v>316.22541666666666</v>
      </c>
      <c r="M31" s="28">
        <f t="shared" si="2"/>
        <v>316.13208333333341</v>
      </c>
      <c r="N31" s="28">
        <f t="shared" si="2"/>
        <v>316.07291666666674</v>
      </c>
      <c r="P31" s="39" t="s">
        <v>82</v>
      </c>
      <c r="Q31" s="37" t="s">
        <v>1</v>
      </c>
      <c r="R31" s="37">
        <v>-1</v>
      </c>
      <c r="S31" s="37">
        <v>-2</v>
      </c>
      <c r="T31" s="37">
        <v>-3</v>
      </c>
      <c r="U31" s="37">
        <v>-4</v>
      </c>
      <c r="V31" s="37">
        <v>-5</v>
      </c>
      <c r="W31" s="37">
        <v>-6</v>
      </c>
      <c r="X31" s="37">
        <v>-7</v>
      </c>
      <c r="Y31" s="37">
        <v>-8</v>
      </c>
      <c r="Z31" s="37">
        <v>-9</v>
      </c>
      <c r="AA31" s="37">
        <v>-10</v>
      </c>
      <c r="AB31" s="37">
        <v>-11</v>
      </c>
      <c r="AC31" s="37">
        <v>-12</v>
      </c>
    </row>
    <row r="32" spans="1:29" x14ac:dyDescent="0.4">
      <c r="A32" s="1">
        <v>22160</v>
      </c>
      <c r="B32" s="28">
        <v>317.04833333333329</v>
      </c>
      <c r="C32" s="28">
        <f t="shared" si="3"/>
        <v>316.9783333333333</v>
      </c>
      <c r="D32" s="28">
        <f t="shared" si="2"/>
        <v>316.92874999999998</v>
      </c>
      <c r="E32" s="28">
        <f t="shared" si="2"/>
        <v>316.88374999999996</v>
      </c>
      <c r="F32" s="28">
        <f t="shared" si="2"/>
        <v>316.85041666666672</v>
      </c>
      <c r="G32" s="28">
        <f t="shared" si="2"/>
        <v>316.82166666666666</v>
      </c>
      <c r="H32" s="28">
        <f t="shared" si="2"/>
        <v>316.78708333333333</v>
      </c>
      <c r="I32" s="28">
        <f t="shared" si="2"/>
        <v>316.72750000000002</v>
      </c>
      <c r="J32" s="28">
        <f t="shared" si="2"/>
        <v>316.61333333333329</v>
      </c>
      <c r="K32" s="28">
        <f t="shared" si="2"/>
        <v>316.48541666666665</v>
      </c>
      <c r="L32" s="28">
        <f t="shared" si="2"/>
        <v>316.35291666666666</v>
      </c>
      <c r="M32" s="28">
        <f t="shared" si="2"/>
        <v>316.22541666666666</v>
      </c>
      <c r="N32" s="28">
        <f t="shared" si="2"/>
        <v>316.13208333333341</v>
      </c>
      <c r="P32" s="40" t="s">
        <v>1</v>
      </c>
      <c r="Q32" s="35">
        <f t="array" ref="Q32:AC44">MINVERSE(_R)</f>
        <v>2929693.1293478333</v>
      </c>
      <c r="R32" s="35">
        <v>-6942778.5924283862</v>
      </c>
      <c r="S32" s="35">
        <v>7008480.2799677206</v>
      </c>
      <c r="T32" s="35">
        <v>-5638601.5795380166</v>
      </c>
      <c r="U32" s="35">
        <v>4670598.9578491226</v>
      </c>
      <c r="V32" s="35">
        <v>-3735988.1116004367</v>
      </c>
      <c r="W32" s="35">
        <v>2910832.5824129805</v>
      </c>
      <c r="X32" s="35">
        <v>-2149250.7665848639</v>
      </c>
      <c r="Y32" s="35">
        <v>1398456.8384174323</v>
      </c>
      <c r="Z32" s="35">
        <v>-494701.14971292298</v>
      </c>
      <c r="AA32" s="35">
        <v>-346023.60302915331</v>
      </c>
      <c r="AB32" s="35">
        <v>1087965.6605268102</v>
      </c>
      <c r="AC32" s="35">
        <v>-698681.09721139446</v>
      </c>
    </row>
    <row r="33" spans="1:29" x14ac:dyDescent="0.4">
      <c r="A33" s="1">
        <v>22190</v>
      </c>
      <c r="B33" s="28">
        <v>317.10708333333326</v>
      </c>
      <c r="C33" s="28">
        <f t="shared" si="3"/>
        <v>317.04833333333329</v>
      </c>
      <c r="D33" s="28">
        <f t="shared" si="2"/>
        <v>316.9783333333333</v>
      </c>
      <c r="E33" s="28">
        <f t="shared" si="2"/>
        <v>316.92874999999998</v>
      </c>
      <c r="F33" s="28">
        <f t="shared" si="2"/>
        <v>316.88374999999996</v>
      </c>
      <c r="G33" s="28">
        <f t="shared" si="2"/>
        <v>316.85041666666672</v>
      </c>
      <c r="H33" s="28">
        <f t="shared" si="2"/>
        <v>316.82166666666666</v>
      </c>
      <c r="I33" s="28">
        <f t="shared" si="2"/>
        <v>316.78708333333333</v>
      </c>
      <c r="J33" s="28">
        <f t="shared" si="2"/>
        <v>316.72750000000002</v>
      </c>
      <c r="K33" s="28">
        <f t="shared" si="2"/>
        <v>316.61333333333329</v>
      </c>
      <c r="L33" s="28">
        <f t="shared" si="2"/>
        <v>316.48541666666665</v>
      </c>
      <c r="M33" s="28">
        <f t="shared" si="2"/>
        <v>316.35291666666666</v>
      </c>
      <c r="N33" s="28">
        <f t="shared" si="2"/>
        <v>316.22541666666666</v>
      </c>
      <c r="P33" s="40">
        <v>-1</v>
      </c>
      <c r="Q33" s="35">
        <v>-6942778.5924287476</v>
      </c>
      <c r="R33" s="35">
        <v>19200575.192211926</v>
      </c>
      <c r="S33" s="35">
        <v>-23263068.410766188</v>
      </c>
      <c r="T33" s="35">
        <v>20271289.885417674</v>
      </c>
      <c r="U33" s="35">
        <v>-16818265.010506857</v>
      </c>
      <c r="V33" s="35">
        <v>13859429.313354591</v>
      </c>
      <c r="W33" s="35">
        <v>-11173723.302516183</v>
      </c>
      <c r="X33" s="35">
        <v>8744045.584355494</v>
      </c>
      <c r="Y33" s="35">
        <v>-6386805.0588438483</v>
      </c>
      <c r="Z33" s="35">
        <v>3704587.3743876456</v>
      </c>
      <c r="AA33" s="35">
        <v>-1041346.1790770554</v>
      </c>
      <c r="AB33" s="35">
        <v>-1239685.3553081218</v>
      </c>
      <c r="AC33" s="35">
        <v>1085741.7200011332</v>
      </c>
    </row>
    <row r="34" spans="1:29" x14ac:dyDescent="0.4">
      <c r="A34" s="1">
        <v>22221</v>
      </c>
      <c r="B34" s="28">
        <v>317.14833333333337</v>
      </c>
      <c r="C34" s="28">
        <f t="shared" si="3"/>
        <v>317.10708333333326</v>
      </c>
      <c r="D34" s="28">
        <f t="shared" si="2"/>
        <v>317.04833333333329</v>
      </c>
      <c r="E34" s="28">
        <f t="shared" si="2"/>
        <v>316.9783333333333</v>
      </c>
      <c r="F34" s="28">
        <f t="shared" si="2"/>
        <v>316.92874999999998</v>
      </c>
      <c r="G34" s="28">
        <f t="shared" si="2"/>
        <v>316.88374999999996</v>
      </c>
      <c r="H34" s="28">
        <f t="shared" si="2"/>
        <v>316.85041666666672</v>
      </c>
      <c r="I34" s="28">
        <f t="shared" si="2"/>
        <v>316.82166666666666</v>
      </c>
      <c r="J34" s="28">
        <f t="shared" si="2"/>
        <v>316.78708333333333</v>
      </c>
      <c r="K34" s="28">
        <f t="shared" si="2"/>
        <v>316.72750000000002</v>
      </c>
      <c r="L34" s="28">
        <f t="shared" si="2"/>
        <v>316.61333333333329</v>
      </c>
      <c r="M34" s="28">
        <f t="shared" si="2"/>
        <v>316.48541666666665</v>
      </c>
      <c r="N34" s="28">
        <f t="shared" si="2"/>
        <v>316.35291666666666</v>
      </c>
      <c r="P34" s="40">
        <v>-2</v>
      </c>
      <c r="Q34" s="35">
        <v>7008480.2799687479</v>
      </c>
      <c r="R34" s="35">
        <v>-23263068.41076757</v>
      </c>
      <c r="S34" s="35">
        <v>35493700.960850485</v>
      </c>
      <c r="T34" s="35">
        <v>-36554258.442850746</v>
      </c>
      <c r="U34" s="35">
        <v>31580319.616404414</v>
      </c>
      <c r="V34" s="35">
        <v>-26258951.842101779</v>
      </c>
      <c r="W34" s="35">
        <v>21657140.294925217</v>
      </c>
      <c r="X34" s="35">
        <v>-17472215.322176255</v>
      </c>
      <c r="Y34" s="35">
        <v>13536297.232244283</v>
      </c>
      <c r="Z34" s="35">
        <v>-9331330.3549560849</v>
      </c>
      <c r="AA34" s="35">
        <v>4988558.9371248642</v>
      </c>
      <c r="AB34" s="35">
        <v>-1049123.3226627146</v>
      </c>
      <c r="AC34" s="35">
        <v>-335547.35674351634</v>
      </c>
    </row>
    <row r="35" spans="1:29" x14ac:dyDescent="0.4">
      <c r="A35" s="1">
        <v>22251</v>
      </c>
      <c r="B35" s="28">
        <v>317.17874999999998</v>
      </c>
      <c r="C35" s="28">
        <f t="shared" si="3"/>
        <v>317.14833333333337</v>
      </c>
      <c r="D35" s="28">
        <f t="shared" si="2"/>
        <v>317.10708333333326</v>
      </c>
      <c r="E35" s="28">
        <f t="shared" si="2"/>
        <v>317.04833333333329</v>
      </c>
      <c r="F35" s="28">
        <f t="shared" si="2"/>
        <v>316.9783333333333</v>
      </c>
      <c r="G35" s="28">
        <f t="shared" si="2"/>
        <v>316.92874999999998</v>
      </c>
      <c r="H35" s="28">
        <f t="shared" si="2"/>
        <v>316.88374999999996</v>
      </c>
      <c r="I35" s="28">
        <f t="shared" si="2"/>
        <v>316.85041666666672</v>
      </c>
      <c r="J35" s="28">
        <f t="shared" si="2"/>
        <v>316.82166666666666</v>
      </c>
      <c r="K35" s="28">
        <f t="shared" si="2"/>
        <v>316.78708333333333</v>
      </c>
      <c r="L35" s="28">
        <f t="shared" si="2"/>
        <v>316.72750000000002</v>
      </c>
      <c r="M35" s="28">
        <f t="shared" si="2"/>
        <v>316.61333333333329</v>
      </c>
      <c r="N35" s="28">
        <f t="shared" si="2"/>
        <v>316.48541666666665</v>
      </c>
      <c r="P35" s="40">
        <v>-3</v>
      </c>
      <c r="Q35" s="35">
        <v>-5638601.5795395449</v>
      </c>
      <c r="R35" s="35">
        <v>20271289.885420088</v>
      </c>
      <c r="S35" s="35">
        <v>-36554258.442851797</v>
      </c>
      <c r="T35" s="35">
        <v>46182925.182290182</v>
      </c>
      <c r="U35" s="35">
        <v>-45486883.336198293</v>
      </c>
      <c r="V35" s="35">
        <v>38875944.562034883</v>
      </c>
      <c r="W35" s="35">
        <v>-32104546.123116385</v>
      </c>
      <c r="X35" s="35">
        <v>26167317.036624923</v>
      </c>
      <c r="Y35" s="35">
        <v>-20641004.22624876</v>
      </c>
      <c r="Z35" s="35">
        <v>15028438.715067342</v>
      </c>
      <c r="AA35" s="35">
        <v>-9281703.8833454084</v>
      </c>
      <c r="AB35" s="35">
        <v>3676981.5541228703</v>
      </c>
      <c r="AC35" s="35">
        <v>-495901.73581039539</v>
      </c>
    </row>
    <row r="36" spans="1:29" x14ac:dyDescent="0.4">
      <c r="A36" s="1">
        <v>22282</v>
      </c>
      <c r="B36" s="28">
        <v>317.20291666666662</v>
      </c>
      <c r="C36" s="28">
        <f t="shared" si="3"/>
        <v>317.17874999999998</v>
      </c>
      <c r="D36" s="28">
        <f t="shared" si="2"/>
        <v>317.14833333333337</v>
      </c>
      <c r="E36" s="28">
        <f t="shared" si="2"/>
        <v>317.10708333333326</v>
      </c>
      <c r="F36" s="28">
        <f t="shared" si="2"/>
        <v>317.04833333333329</v>
      </c>
      <c r="G36" s="28">
        <f t="shared" si="2"/>
        <v>316.9783333333333</v>
      </c>
      <c r="H36" s="28">
        <f t="shared" si="2"/>
        <v>316.92874999999998</v>
      </c>
      <c r="I36" s="28">
        <f t="shared" si="2"/>
        <v>316.88374999999996</v>
      </c>
      <c r="J36" s="28">
        <f t="shared" si="2"/>
        <v>316.85041666666672</v>
      </c>
      <c r="K36" s="28">
        <f t="shared" si="2"/>
        <v>316.82166666666666</v>
      </c>
      <c r="L36" s="28">
        <f t="shared" si="2"/>
        <v>316.78708333333333</v>
      </c>
      <c r="M36" s="28">
        <f t="shared" si="2"/>
        <v>316.72750000000002</v>
      </c>
      <c r="N36" s="28">
        <f t="shared" si="2"/>
        <v>316.61333333333329</v>
      </c>
      <c r="P36" s="40">
        <v>-4</v>
      </c>
      <c r="Q36" s="35">
        <v>4670598.9578509871</v>
      </c>
      <c r="R36" s="35">
        <v>-16818265.010510068</v>
      </c>
      <c r="S36" s="35">
        <v>31580319.61640621</v>
      </c>
      <c r="T36" s="35">
        <v>-45486883.336198986</v>
      </c>
      <c r="U36" s="35">
        <v>53400219.373500392</v>
      </c>
      <c r="V36" s="35">
        <v>-51079666.669144131</v>
      </c>
      <c r="W36" s="35">
        <v>43049713.924456969</v>
      </c>
      <c r="X36" s="35">
        <v>-34955690.238225818</v>
      </c>
      <c r="Y36" s="35">
        <v>27704973.849784918</v>
      </c>
      <c r="Z36" s="35">
        <v>-20584766.374493476</v>
      </c>
      <c r="AA36" s="35">
        <v>13469599.347515149</v>
      </c>
      <c r="AB36" s="35">
        <v>-6334806.7090710327</v>
      </c>
      <c r="AC36" s="35">
        <v>1384655.5037589273</v>
      </c>
    </row>
    <row r="37" spans="1:29" x14ac:dyDescent="0.4">
      <c r="A37" s="1">
        <v>22313</v>
      </c>
      <c r="B37" s="28">
        <v>317.25624999999997</v>
      </c>
      <c r="C37" s="28">
        <f t="shared" si="3"/>
        <v>317.20291666666662</v>
      </c>
      <c r="D37" s="28">
        <f t="shared" si="2"/>
        <v>317.17874999999998</v>
      </c>
      <c r="E37" s="28">
        <f t="shared" si="2"/>
        <v>317.14833333333337</v>
      </c>
      <c r="F37" s="28">
        <f t="shared" si="2"/>
        <v>317.10708333333326</v>
      </c>
      <c r="G37" s="28">
        <f t="shared" si="2"/>
        <v>317.04833333333329</v>
      </c>
      <c r="H37" s="28">
        <f t="shared" si="2"/>
        <v>316.9783333333333</v>
      </c>
      <c r="I37" s="28">
        <f t="shared" si="2"/>
        <v>316.92874999999998</v>
      </c>
      <c r="J37" s="28">
        <f t="shared" si="2"/>
        <v>316.88374999999996</v>
      </c>
      <c r="K37" s="28">
        <f t="shared" si="2"/>
        <v>316.85041666666672</v>
      </c>
      <c r="L37" s="28">
        <f t="shared" si="2"/>
        <v>316.82166666666666</v>
      </c>
      <c r="M37" s="28">
        <f t="shared" si="2"/>
        <v>316.78708333333333</v>
      </c>
      <c r="N37" s="28">
        <f t="shared" si="2"/>
        <v>316.72750000000002</v>
      </c>
      <c r="P37" s="40">
        <v>-5</v>
      </c>
      <c r="Q37" s="35">
        <v>-3735988.1116023255</v>
      </c>
      <c r="R37" s="35">
        <v>13859429.313357567</v>
      </c>
      <c r="S37" s="35">
        <v>-26258951.842102814</v>
      </c>
      <c r="T37" s="35">
        <v>38875944.562034264</v>
      </c>
      <c r="U37" s="35">
        <v>-51079666.669142134</v>
      </c>
      <c r="V37" s="35">
        <v>57297993.315517046</v>
      </c>
      <c r="W37" s="35">
        <v>-53533764.332522757</v>
      </c>
      <c r="X37" s="35">
        <v>44146124.857496232</v>
      </c>
      <c r="Y37" s="35">
        <v>-34726716.766868114</v>
      </c>
      <c r="Z37" s="35">
        <v>25991761.382350773</v>
      </c>
      <c r="AA37" s="35">
        <v>-17440821.019989721</v>
      </c>
      <c r="AB37" s="35">
        <v>8776702.1464071516</v>
      </c>
      <c r="AC37" s="35">
        <v>-2172049.2804876496</v>
      </c>
    </row>
    <row r="38" spans="1:29" x14ac:dyDescent="0.4">
      <c r="A38" s="1">
        <v>22341</v>
      </c>
      <c r="B38" s="28">
        <v>317.32749999999993</v>
      </c>
      <c r="C38" s="28">
        <f t="shared" si="3"/>
        <v>317.25624999999997</v>
      </c>
      <c r="D38" s="28">
        <f t="shared" si="2"/>
        <v>317.20291666666662</v>
      </c>
      <c r="E38" s="28">
        <f t="shared" si="2"/>
        <v>317.17874999999998</v>
      </c>
      <c r="F38" s="28">
        <f t="shared" si="2"/>
        <v>317.14833333333337</v>
      </c>
      <c r="G38" s="28">
        <f t="shared" si="2"/>
        <v>317.10708333333326</v>
      </c>
      <c r="H38" s="28">
        <f t="shared" si="2"/>
        <v>317.04833333333329</v>
      </c>
      <c r="I38" s="28">
        <f t="shared" si="2"/>
        <v>316.9783333333333</v>
      </c>
      <c r="J38" s="28">
        <f t="shared" si="2"/>
        <v>316.92874999999998</v>
      </c>
      <c r="K38" s="28">
        <f t="shared" si="2"/>
        <v>316.88374999999996</v>
      </c>
      <c r="L38" s="28">
        <f t="shared" si="2"/>
        <v>316.85041666666672</v>
      </c>
      <c r="M38" s="28">
        <f t="shared" si="2"/>
        <v>316.82166666666666</v>
      </c>
      <c r="N38" s="28">
        <f t="shared" si="2"/>
        <v>316.78708333333333</v>
      </c>
      <c r="P38" s="40">
        <v>-6</v>
      </c>
      <c r="Q38" s="35">
        <v>2910832.5824148301</v>
      </c>
      <c r="R38" s="35">
        <v>-11173723.302518534</v>
      </c>
      <c r="S38" s="35">
        <v>21657140.29492427</v>
      </c>
      <c r="T38" s="35">
        <v>-32104546.123112448</v>
      </c>
      <c r="U38" s="35">
        <v>43049713.924450524</v>
      </c>
      <c r="V38" s="35">
        <v>-53533764.332517155</v>
      </c>
      <c r="W38" s="35">
        <v>58295804.32139603</v>
      </c>
      <c r="X38" s="35">
        <v>-53142121.634727642</v>
      </c>
      <c r="Y38" s="35">
        <v>42412240.315839477</v>
      </c>
      <c r="Z38" s="35">
        <v>-31574280.037544113</v>
      </c>
      <c r="AA38" s="35">
        <v>21445802.930988226</v>
      </c>
      <c r="AB38" s="35">
        <v>-11204988.728942869</v>
      </c>
      <c r="AC38" s="35">
        <v>2961892.1180755859</v>
      </c>
    </row>
    <row r="39" spans="1:29" x14ac:dyDescent="0.4">
      <c r="A39" s="1">
        <v>22372</v>
      </c>
      <c r="B39" s="28">
        <v>317.42333333333335</v>
      </c>
      <c r="C39" s="28">
        <f t="shared" si="3"/>
        <v>317.32749999999993</v>
      </c>
      <c r="D39" s="28">
        <f t="shared" si="2"/>
        <v>317.25624999999997</v>
      </c>
      <c r="E39" s="28">
        <f t="shared" si="2"/>
        <v>317.20291666666662</v>
      </c>
      <c r="F39" s="28">
        <f t="shared" si="2"/>
        <v>317.17874999999998</v>
      </c>
      <c r="G39" s="28">
        <f t="shared" si="2"/>
        <v>317.14833333333337</v>
      </c>
      <c r="H39" s="28">
        <f t="shared" si="2"/>
        <v>317.10708333333326</v>
      </c>
      <c r="I39" s="28">
        <f t="shared" si="2"/>
        <v>317.04833333333329</v>
      </c>
      <c r="J39" s="28">
        <f t="shared" si="2"/>
        <v>316.9783333333333</v>
      </c>
      <c r="K39" s="28">
        <f t="shared" si="2"/>
        <v>316.92874999999998</v>
      </c>
      <c r="L39" s="28">
        <f t="shared" si="2"/>
        <v>316.88374999999996</v>
      </c>
      <c r="M39" s="28">
        <f t="shared" si="2"/>
        <v>316.85041666666672</v>
      </c>
      <c r="N39" s="28">
        <f t="shared" si="2"/>
        <v>316.82166666666666</v>
      </c>
      <c r="P39" s="40">
        <v>-7</v>
      </c>
      <c r="Q39" s="35">
        <v>-2149250.7665870525</v>
      </c>
      <c r="R39" s="35">
        <v>8744045.5843584947</v>
      </c>
      <c r="S39" s="35">
        <v>-17472215.322176088</v>
      </c>
      <c r="T39" s="35">
        <v>26167317.036621645</v>
      </c>
      <c r="U39" s="35">
        <v>-34955690.238219306</v>
      </c>
      <c r="V39" s="35">
        <v>44146124.857489698</v>
      </c>
      <c r="W39" s="35">
        <v>-53142121.634726487</v>
      </c>
      <c r="X39" s="35">
        <v>56448431.957235493</v>
      </c>
      <c r="Y39" s="35">
        <v>-49911687.804290228</v>
      </c>
      <c r="Z39" s="35">
        <v>37810028.664608404</v>
      </c>
      <c r="AA39" s="35">
        <v>-25594938.842213467</v>
      </c>
      <c r="AB39" s="35">
        <v>13617820.187723679</v>
      </c>
      <c r="AC39" s="35">
        <v>-3707866.2554532834</v>
      </c>
    </row>
    <row r="40" spans="1:29" x14ac:dyDescent="0.4">
      <c r="A40" s="1">
        <v>22402</v>
      </c>
      <c r="B40" s="28">
        <v>317.53083333333331</v>
      </c>
      <c r="C40" s="28">
        <f t="shared" si="3"/>
        <v>317.42333333333335</v>
      </c>
      <c r="D40" s="28">
        <f t="shared" si="2"/>
        <v>317.32749999999993</v>
      </c>
      <c r="E40" s="28">
        <f t="shared" si="2"/>
        <v>317.25624999999997</v>
      </c>
      <c r="F40" s="28">
        <f t="shared" si="2"/>
        <v>317.20291666666662</v>
      </c>
      <c r="G40" s="28">
        <f t="shared" si="2"/>
        <v>317.17874999999998</v>
      </c>
      <c r="H40" s="28">
        <f t="shared" si="2"/>
        <v>317.14833333333337</v>
      </c>
      <c r="I40" s="28">
        <f t="shared" si="2"/>
        <v>317.10708333333326</v>
      </c>
      <c r="J40" s="28">
        <f t="shared" si="2"/>
        <v>317.04833333333329</v>
      </c>
      <c r="K40" s="28">
        <f t="shared" si="2"/>
        <v>316.9783333333333</v>
      </c>
      <c r="L40" s="28">
        <f t="shared" si="2"/>
        <v>316.92874999999998</v>
      </c>
      <c r="M40" s="28">
        <f t="shared" si="2"/>
        <v>316.88374999999996</v>
      </c>
      <c r="N40" s="28">
        <f t="shared" si="2"/>
        <v>316.85041666666672</v>
      </c>
      <c r="P40" s="40">
        <v>-8</v>
      </c>
      <c r="Q40" s="35">
        <v>1398456.8384209485</v>
      </c>
      <c r="R40" s="35">
        <v>-6386805.0588511787</v>
      </c>
      <c r="S40" s="35">
        <v>13536297.232251063</v>
      </c>
      <c r="T40" s="35">
        <v>-20641004.226254214</v>
      </c>
      <c r="U40" s="35">
        <v>27704973.849789135</v>
      </c>
      <c r="V40" s="35">
        <v>-34726716.766874343</v>
      </c>
      <c r="W40" s="35">
        <v>42412240.315852553</v>
      </c>
      <c r="X40" s="35">
        <v>-49911687.80430539</v>
      </c>
      <c r="Y40" s="35">
        <v>51809686.105362654</v>
      </c>
      <c r="Z40" s="35">
        <v>-43923159.774020463</v>
      </c>
      <c r="AA40" s="35">
        <v>30439476.055013858</v>
      </c>
      <c r="AB40" s="35">
        <v>-16234311.78831147</v>
      </c>
      <c r="AC40" s="35">
        <v>4522557.3659974709</v>
      </c>
    </row>
    <row r="41" spans="1:29" x14ac:dyDescent="0.4">
      <c r="A41" s="1">
        <v>22433</v>
      </c>
      <c r="B41" s="28">
        <v>317.61083333333335</v>
      </c>
      <c r="C41" s="28">
        <f t="shared" si="3"/>
        <v>317.53083333333331</v>
      </c>
      <c r="D41" s="28">
        <f t="shared" si="3"/>
        <v>317.42333333333335</v>
      </c>
      <c r="E41" s="28">
        <f t="shared" si="3"/>
        <v>317.32749999999993</v>
      </c>
      <c r="F41" s="28">
        <f t="shared" si="3"/>
        <v>317.25624999999997</v>
      </c>
      <c r="G41" s="28">
        <f t="shared" si="3"/>
        <v>317.20291666666662</v>
      </c>
      <c r="H41" s="28">
        <f t="shared" si="3"/>
        <v>317.17874999999998</v>
      </c>
      <c r="I41" s="28">
        <f t="shared" si="3"/>
        <v>317.14833333333337</v>
      </c>
      <c r="J41" s="28">
        <f t="shared" si="3"/>
        <v>317.10708333333326</v>
      </c>
      <c r="K41" s="28">
        <f t="shared" si="3"/>
        <v>317.04833333333329</v>
      </c>
      <c r="L41" s="28">
        <f t="shared" si="3"/>
        <v>316.9783333333333</v>
      </c>
      <c r="M41" s="28">
        <f t="shared" si="3"/>
        <v>316.92874999999998</v>
      </c>
      <c r="N41" s="28">
        <f t="shared" si="3"/>
        <v>316.88374999999996</v>
      </c>
      <c r="P41" s="40">
        <v>-9</v>
      </c>
      <c r="Q41" s="35">
        <v>-494701.1497179406</v>
      </c>
      <c r="R41" s="35">
        <v>3704587.3744010697</v>
      </c>
      <c r="S41" s="35">
        <v>-9331330.3549744654</v>
      </c>
      <c r="T41" s="35">
        <v>15028438.715089036</v>
      </c>
      <c r="U41" s="35">
        <v>-20584766.374518208</v>
      </c>
      <c r="V41" s="35">
        <v>25991761.382380545</v>
      </c>
      <c r="W41" s="35">
        <v>-31574280.03758204</v>
      </c>
      <c r="X41" s="35">
        <v>37810028.664649479</v>
      </c>
      <c r="Y41" s="35">
        <v>-43923159.774047986</v>
      </c>
      <c r="Z41" s="35">
        <v>44390939.700224452</v>
      </c>
      <c r="AA41" s="35">
        <v>-35008591.884991467</v>
      </c>
      <c r="AB41" s="35">
        <v>19401804.54992738</v>
      </c>
      <c r="AC41" s="35">
        <v>-5410733.3260028092</v>
      </c>
    </row>
    <row r="42" spans="1:29" x14ac:dyDescent="0.4">
      <c r="A42" s="1">
        <v>22463</v>
      </c>
      <c r="B42" s="28">
        <v>317.68833333333333</v>
      </c>
      <c r="C42" s="28">
        <f t="shared" si="3"/>
        <v>317.61083333333335</v>
      </c>
      <c r="D42" s="28">
        <f t="shared" si="3"/>
        <v>317.53083333333331</v>
      </c>
      <c r="E42" s="28">
        <f t="shared" si="3"/>
        <v>317.42333333333335</v>
      </c>
      <c r="F42" s="28">
        <f t="shared" si="3"/>
        <v>317.32749999999993</v>
      </c>
      <c r="G42" s="28">
        <f t="shared" si="3"/>
        <v>317.25624999999997</v>
      </c>
      <c r="H42" s="28">
        <f t="shared" si="3"/>
        <v>317.20291666666662</v>
      </c>
      <c r="I42" s="28">
        <f t="shared" si="3"/>
        <v>317.17874999999998</v>
      </c>
      <c r="J42" s="28">
        <f t="shared" si="3"/>
        <v>317.14833333333337</v>
      </c>
      <c r="K42" s="28">
        <f t="shared" si="3"/>
        <v>317.10708333333326</v>
      </c>
      <c r="L42" s="28">
        <f t="shared" si="3"/>
        <v>317.04833333333329</v>
      </c>
      <c r="M42" s="28">
        <f t="shared" si="3"/>
        <v>316.9783333333333</v>
      </c>
      <c r="N42" s="28">
        <f t="shared" si="3"/>
        <v>316.92874999999998</v>
      </c>
      <c r="P42" s="40">
        <v>-10</v>
      </c>
      <c r="Q42" s="35">
        <v>-346023.60302405374</v>
      </c>
      <c r="R42" s="35">
        <v>-1041346.1790929259</v>
      </c>
      <c r="S42" s="35">
        <v>4988558.9371499335</v>
      </c>
      <c r="T42" s="35">
        <v>-9281703.8833768517</v>
      </c>
      <c r="U42" s="35">
        <v>13469599.347551735</v>
      </c>
      <c r="V42" s="35">
        <v>-17440821.020032316</v>
      </c>
      <c r="W42" s="35">
        <v>21445802.931038551</v>
      </c>
      <c r="X42" s="35">
        <v>-25594938.84226764</v>
      </c>
      <c r="Y42" s="35">
        <v>30439476.055058338</v>
      </c>
      <c r="Z42" s="35">
        <v>-35008591.88501288</v>
      </c>
      <c r="AA42" s="35">
        <v>33813537.309737042</v>
      </c>
      <c r="AB42" s="35">
        <v>-22110764.776077367</v>
      </c>
      <c r="AC42" s="35">
        <v>6667218.0450526252</v>
      </c>
    </row>
    <row r="43" spans="1:29" x14ac:dyDescent="0.4">
      <c r="A43" s="1">
        <v>22494</v>
      </c>
      <c r="B43" s="28">
        <v>317.76708333333335</v>
      </c>
      <c r="C43" s="28">
        <f t="shared" si="3"/>
        <v>317.68833333333333</v>
      </c>
      <c r="D43" s="28">
        <f t="shared" si="3"/>
        <v>317.61083333333335</v>
      </c>
      <c r="E43" s="28">
        <f t="shared" si="3"/>
        <v>317.53083333333331</v>
      </c>
      <c r="F43" s="28">
        <f t="shared" si="3"/>
        <v>317.42333333333335</v>
      </c>
      <c r="G43" s="28">
        <f t="shared" si="3"/>
        <v>317.32749999999993</v>
      </c>
      <c r="H43" s="28">
        <f t="shared" si="3"/>
        <v>317.25624999999997</v>
      </c>
      <c r="I43" s="28">
        <f t="shared" si="3"/>
        <v>317.20291666666662</v>
      </c>
      <c r="J43" s="28">
        <f t="shared" si="3"/>
        <v>317.17874999999998</v>
      </c>
      <c r="K43" s="28">
        <f t="shared" si="3"/>
        <v>317.14833333333337</v>
      </c>
      <c r="L43" s="28">
        <f t="shared" si="3"/>
        <v>317.10708333333326</v>
      </c>
      <c r="M43" s="28">
        <f t="shared" si="3"/>
        <v>317.04833333333329</v>
      </c>
      <c r="N43" s="28">
        <f t="shared" si="3"/>
        <v>316.9783333333333</v>
      </c>
      <c r="P43" s="40">
        <v>-11</v>
      </c>
      <c r="Q43" s="35">
        <v>1087965.6605230882</v>
      </c>
      <c r="R43" s="35">
        <v>-1239685.3552961836</v>
      </c>
      <c r="S43" s="35">
        <v>-1049123.3226818838</v>
      </c>
      <c r="T43" s="35">
        <v>3676981.5541470964</v>
      </c>
      <c r="U43" s="35">
        <v>-6334806.709099289</v>
      </c>
      <c r="V43" s="35">
        <v>8776702.14643934</v>
      </c>
      <c r="W43" s="35">
        <v>-11204988.728979887</v>
      </c>
      <c r="X43" s="35">
        <v>13617820.187763844</v>
      </c>
      <c r="Y43" s="35">
        <v>-16234311.788346916</v>
      </c>
      <c r="Z43" s="35">
        <v>19401804.549949132</v>
      </c>
      <c r="AA43" s="35">
        <v>-22110764.776084837</v>
      </c>
      <c r="AB43" s="35">
        <v>18192180.349360492</v>
      </c>
      <c r="AC43" s="35">
        <v>-6579776.8265941264</v>
      </c>
    </row>
    <row r="44" spans="1:29" ht="19.5" thickBot="1" x14ac:dyDescent="0.45">
      <c r="A44" s="1">
        <v>22525</v>
      </c>
      <c r="B44" s="28">
        <v>317.84999999999997</v>
      </c>
      <c r="C44" s="28">
        <f t="shared" si="3"/>
        <v>317.76708333333335</v>
      </c>
      <c r="D44" s="28">
        <f t="shared" si="3"/>
        <v>317.68833333333333</v>
      </c>
      <c r="E44" s="28">
        <f t="shared" si="3"/>
        <v>317.61083333333335</v>
      </c>
      <c r="F44" s="28">
        <f t="shared" si="3"/>
        <v>317.53083333333331</v>
      </c>
      <c r="G44" s="28">
        <f t="shared" si="3"/>
        <v>317.42333333333335</v>
      </c>
      <c r="H44" s="28">
        <f t="shared" si="3"/>
        <v>317.32749999999993</v>
      </c>
      <c r="I44" s="28">
        <f t="shared" si="3"/>
        <v>317.25624999999997</v>
      </c>
      <c r="J44" s="28">
        <f t="shared" si="3"/>
        <v>317.20291666666662</v>
      </c>
      <c r="K44" s="28">
        <f t="shared" si="3"/>
        <v>317.17874999999998</v>
      </c>
      <c r="L44" s="28">
        <f t="shared" si="3"/>
        <v>317.14833333333337</v>
      </c>
      <c r="M44" s="28">
        <f t="shared" si="3"/>
        <v>317.10708333333326</v>
      </c>
      <c r="N44" s="28">
        <f t="shared" si="3"/>
        <v>317.04833333333329</v>
      </c>
      <c r="P44" s="41">
        <v>-12</v>
      </c>
      <c r="Q44" s="36">
        <v>-698681.09721024765</v>
      </c>
      <c r="R44" s="36">
        <v>1085741.7199973662</v>
      </c>
      <c r="S44" s="36">
        <v>-335547.35673736373</v>
      </c>
      <c r="T44" s="36">
        <v>-495901.73581819353</v>
      </c>
      <c r="U44" s="36">
        <v>1384655.5037679428</v>
      </c>
      <c r="V44" s="36">
        <v>-2172049.2804977568</v>
      </c>
      <c r="W44" s="36">
        <v>2961892.1180871623</v>
      </c>
      <c r="X44" s="36">
        <v>-3707866.2554660812</v>
      </c>
      <c r="Y44" s="36">
        <v>4522557.3660092466</v>
      </c>
      <c r="Z44" s="36">
        <v>-5410733.3260107059</v>
      </c>
      <c r="AA44" s="36">
        <v>6667218.0450561335</v>
      </c>
      <c r="AB44" s="36">
        <v>-6579776.8265949329</v>
      </c>
      <c r="AC44" s="36">
        <v>2778493.7892121938</v>
      </c>
    </row>
    <row r="45" spans="1:29" ht="19.5" thickBot="1" x14ac:dyDescent="0.45">
      <c r="A45" s="1">
        <v>22555</v>
      </c>
      <c r="B45" s="28">
        <v>317.94291666666658</v>
      </c>
      <c r="C45" s="28">
        <f t="shared" si="3"/>
        <v>317.84999999999997</v>
      </c>
      <c r="D45" s="28">
        <f t="shared" si="3"/>
        <v>317.76708333333335</v>
      </c>
      <c r="E45" s="28">
        <f t="shared" si="3"/>
        <v>317.68833333333333</v>
      </c>
      <c r="F45" s="28">
        <f t="shared" si="3"/>
        <v>317.61083333333335</v>
      </c>
      <c r="G45" s="28">
        <f t="shared" si="3"/>
        <v>317.53083333333331</v>
      </c>
      <c r="H45" s="28">
        <f t="shared" si="3"/>
        <v>317.42333333333335</v>
      </c>
      <c r="I45" s="28">
        <f t="shared" si="3"/>
        <v>317.32749999999993</v>
      </c>
      <c r="J45" s="28">
        <f t="shared" si="3"/>
        <v>317.25624999999997</v>
      </c>
      <c r="K45" s="28">
        <f t="shared" si="3"/>
        <v>317.20291666666662</v>
      </c>
      <c r="L45" s="28">
        <f t="shared" si="3"/>
        <v>317.17874999999998</v>
      </c>
      <c r="M45" s="28">
        <f t="shared" si="3"/>
        <v>317.14833333333337</v>
      </c>
      <c r="N45" s="28">
        <f t="shared" si="3"/>
        <v>317.10708333333326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4">
      <c r="A46" s="1">
        <v>22586</v>
      </c>
      <c r="B46" s="28">
        <v>318.00666666666666</v>
      </c>
      <c r="C46" s="28">
        <f t="shared" si="3"/>
        <v>317.94291666666658</v>
      </c>
      <c r="D46" s="28">
        <f t="shared" si="3"/>
        <v>317.84999999999997</v>
      </c>
      <c r="E46" s="28">
        <f t="shared" si="3"/>
        <v>317.76708333333335</v>
      </c>
      <c r="F46" s="28">
        <f t="shared" si="3"/>
        <v>317.68833333333333</v>
      </c>
      <c r="G46" s="28">
        <f t="shared" si="3"/>
        <v>317.61083333333335</v>
      </c>
      <c r="H46" s="28">
        <f t="shared" si="3"/>
        <v>317.53083333333331</v>
      </c>
      <c r="I46" s="28">
        <f t="shared" si="3"/>
        <v>317.42333333333335</v>
      </c>
      <c r="J46" s="28">
        <f t="shared" si="3"/>
        <v>317.32749999999993</v>
      </c>
      <c r="K46" s="28">
        <f t="shared" si="3"/>
        <v>317.25624999999997</v>
      </c>
      <c r="L46" s="28">
        <f t="shared" si="3"/>
        <v>317.20291666666662</v>
      </c>
      <c r="M46" s="28">
        <f t="shared" si="3"/>
        <v>317.17874999999998</v>
      </c>
      <c r="N46" s="28">
        <f t="shared" si="3"/>
        <v>317.14833333333337</v>
      </c>
      <c r="P46" s="39" t="s">
        <v>83</v>
      </c>
      <c r="Q46" s="37" t="s">
        <v>1</v>
      </c>
      <c r="R46" s="37">
        <v>-1</v>
      </c>
      <c r="S46" s="37">
        <v>-2</v>
      </c>
      <c r="T46" s="37">
        <v>-3</v>
      </c>
      <c r="U46" s="37">
        <v>-4</v>
      </c>
      <c r="V46" s="37">
        <v>-5</v>
      </c>
      <c r="W46" s="37">
        <v>-6</v>
      </c>
      <c r="X46" s="37">
        <v>-7</v>
      </c>
      <c r="Y46" s="37">
        <v>-8</v>
      </c>
      <c r="Z46" s="37">
        <v>-9</v>
      </c>
      <c r="AA46" s="37">
        <v>-10</v>
      </c>
      <c r="AB46" s="37">
        <v>-11</v>
      </c>
      <c r="AC46" s="37">
        <v>-12</v>
      </c>
    </row>
    <row r="47" spans="1:29" x14ac:dyDescent="0.4">
      <c r="A47" s="1">
        <v>22616</v>
      </c>
      <c r="B47" s="28">
        <v>318.06041666666664</v>
      </c>
      <c r="C47" s="28">
        <f t="shared" si="3"/>
        <v>318.00666666666666</v>
      </c>
      <c r="D47" s="28">
        <f t="shared" si="3"/>
        <v>317.94291666666658</v>
      </c>
      <c r="E47" s="28">
        <f t="shared" si="3"/>
        <v>317.84999999999997</v>
      </c>
      <c r="F47" s="28">
        <f t="shared" si="3"/>
        <v>317.76708333333335</v>
      </c>
      <c r="G47" s="28">
        <f t="shared" si="3"/>
        <v>317.68833333333333</v>
      </c>
      <c r="H47" s="28">
        <f t="shared" si="3"/>
        <v>317.61083333333335</v>
      </c>
      <c r="I47" s="28">
        <f t="shared" si="3"/>
        <v>317.53083333333331</v>
      </c>
      <c r="J47" s="28">
        <f t="shared" si="3"/>
        <v>317.42333333333335</v>
      </c>
      <c r="K47" s="28">
        <f t="shared" si="3"/>
        <v>317.32749999999993</v>
      </c>
      <c r="L47" s="28">
        <f t="shared" si="3"/>
        <v>317.25624999999997</v>
      </c>
      <c r="M47" s="28">
        <f t="shared" si="3"/>
        <v>317.20291666666662</v>
      </c>
      <c r="N47" s="28">
        <f t="shared" si="3"/>
        <v>317.17874999999998</v>
      </c>
      <c r="P47" s="40">
        <v>0</v>
      </c>
      <c r="Q47" s="35">
        <v>1</v>
      </c>
      <c r="R47" s="35" cm="1">
        <f t="array" ref="R47">-R32/SQRT(INDEX(_R_1,ROW(B1),ROW(B1))*INDEX(_R_1,COLUMN(B1),COLUMN(B1)))</f>
        <v>0.92568905720342676</v>
      </c>
      <c r="S47" s="35" cm="1">
        <f t="array" ref="S47">-S32/SQRT(INDEX(_R_1,ROW(C1),ROW(C1))*INDEX(_R_1,COLUMN(C1),COLUMN(C1)))</f>
        <v>-0.68728544449193696</v>
      </c>
      <c r="T47" s="35" cm="1">
        <f t="array" ref="T47">-T32/SQRT(INDEX(_R_1,ROW(D1),ROW(D1))*INDEX(_R_1,COLUMN(D1),COLUMN(D1)))</f>
        <v>0.48475201582774069</v>
      </c>
      <c r="U47" s="35" cm="1">
        <f t="array" ref="U47">-U32/SQRT(INDEX(_R_1,ROW(E1),ROW(E1))*INDEX(_R_1,COLUMN(E1),COLUMN(E1)))</f>
        <v>-0.37341347961943899</v>
      </c>
      <c r="V47" s="35" cm="1">
        <f t="array" ref="V47">-V32/SQRT(INDEX(_R_1,ROW(F1),ROW(F1))*INDEX(_R_1,COLUMN(F1),COLUMN(F1)))</f>
        <v>0.2883531586545327</v>
      </c>
      <c r="W47" s="35" cm="1">
        <f t="array" ref="W47">-W32/SQRT(INDEX(_R_1,ROW(G1),ROW(G1))*INDEX(_R_1,COLUMN(G1),COLUMN(G1)))</f>
        <v>-0.22273451051676046</v>
      </c>
      <c r="X47" s="35" cm="1">
        <f t="array" ref="X47">-X32/SQRT(INDEX(_R_1,ROW(H1),ROW(H1))*INDEX(_R_1,COLUMN(H1),COLUMN(H1)))</f>
        <v>0.16712833354393611</v>
      </c>
      <c r="Y47" s="35" cm="1">
        <f t="array" ref="Y47">-Y32/SQRT(INDEX(_R_1,ROW(I1),ROW(I1))*INDEX(_R_1,COLUMN(I1),COLUMN(I1)))</f>
        <v>-0.11350958089290315</v>
      </c>
      <c r="Z47" s="35" cm="1">
        <f t="array" ref="Z47">-Z32/SQRT(INDEX(_R_1,ROW(J1),ROW(J1))*INDEX(_R_1,COLUMN(J1),COLUMN(J1)))</f>
        <v>4.3379514199731815E-2</v>
      </c>
      <c r="AA47" s="35" cm="1">
        <f t="array" ref="AA47">-AA32/SQRT(INDEX(_R_1,ROW(K1),ROW(K1))*INDEX(_R_1,COLUMN(K1),COLUMN(K1)))</f>
        <v>3.4765570048010404E-2</v>
      </c>
      <c r="AB47" s="35" cm="1">
        <f t="array" ref="AB47">-AB32/SQRT(INDEX(_R_1,ROW(L1),ROW(L1))*INDEX(_R_1,COLUMN(L1),COLUMN(L1)))</f>
        <v>-0.14902589724025989</v>
      </c>
      <c r="AC47" s="35" cm="1">
        <f t="array" ref="AC47">-AC32/SQRT(INDEX(_R_1,ROW(M1),ROW(M1))*INDEX(_R_1,COLUMN(M1),COLUMN(M1)))</f>
        <v>0.24488557973885888</v>
      </c>
    </row>
    <row r="48" spans="1:29" x14ac:dyDescent="0.4">
      <c r="A48" s="1">
        <v>22647</v>
      </c>
      <c r="B48" s="28">
        <v>318.13916666666665</v>
      </c>
      <c r="C48" s="28">
        <f t="shared" si="3"/>
        <v>318.06041666666664</v>
      </c>
      <c r="D48" s="28">
        <f t="shared" si="3"/>
        <v>318.00666666666666</v>
      </c>
      <c r="E48" s="28">
        <f t="shared" si="3"/>
        <v>317.94291666666658</v>
      </c>
      <c r="F48" s="28">
        <f t="shared" si="3"/>
        <v>317.84999999999997</v>
      </c>
      <c r="G48" s="28">
        <f t="shared" si="3"/>
        <v>317.76708333333335</v>
      </c>
      <c r="H48" s="28">
        <f t="shared" si="3"/>
        <v>317.68833333333333</v>
      </c>
      <c r="I48" s="28">
        <f t="shared" si="3"/>
        <v>317.61083333333335</v>
      </c>
      <c r="J48" s="28">
        <f t="shared" si="3"/>
        <v>317.53083333333331</v>
      </c>
      <c r="K48" s="28">
        <f t="shared" si="3"/>
        <v>317.42333333333335</v>
      </c>
      <c r="L48" s="28">
        <f t="shared" si="3"/>
        <v>317.32749999999993</v>
      </c>
      <c r="M48" s="28">
        <f t="shared" si="3"/>
        <v>317.25624999999997</v>
      </c>
      <c r="N48" s="28">
        <f t="shared" si="3"/>
        <v>317.20291666666662</v>
      </c>
      <c r="P48" s="40">
        <v>-1</v>
      </c>
      <c r="Q48" s="35" cm="1">
        <f t="array" ref="Q48">-Q33/SQRT(INDEX(_R_1,ROW(A2),ROW(A2))*INDEX(_R_1,COLUMN(A2),COLUMN(A2)))</f>
        <v>0.92568905720347494</v>
      </c>
      <c r="R48" s="35">
        <v>1</v>
      </c>
      <c r="S48" s="35" cm="1">
        <f t="array" ref="S48">-S33/SQRT(INDEX(_R_1,ROW(C2),ROW(C2))*INDEX(_R_1,COLUMN(C2),COLUMN(C2)))</f>
        <v>0.89111598728607433</v>
      </c>
      <c r="T48" s="35" cm="1">
        <f t="array" ref="T48">-T33/SQRT(INDEX(_R_1,ROW(D2),ROW(D2))*INDEX(_R_1,COLUMN(D2),COLUMN(D2)))</f>
        <v>-0.68074356716018058</v>
      </c>
      <c r="U48" s="35" cm="1">
        <f t="array" ref="U48">-U33/SQRT(INDEX(_R_1,ROW(E2),ROW(E2))*INDEX(_R_1,COLUMN(E2),COLUMN(E2)))</f>
        <v>0.52523366119797044</v>
      </c>
      <c r="V48" s="35" cm="1">
        <f t="array" ref="V48">-V33/SQRT(INDEX(_R_1,ROW(F2),ROW(F2))*INDEX(_R_1,COLUMN(F2),COLUMN(F2)))</f>
        <v>-0.41784818690757636</v>
      </c>
      <c r="W48" s="35" cm="1">
        <f t="array" ref="W48">-W33/SQRT(INDEX(_R_1,ROW(G2),ROW(G2))*INDEX(_R_1,COLUMN(G2),COLUMN(G2)))</f>
        <v>0.33398129451996028</v>
      </c>
      <c r="X48" s="35" cm="1">
        <f t="array" ref="X48">-X33/SQRT(INDEX(_R_1,ROW(H2),ROW(H2))*INDEX(_R_1,COLUMN(H2),COLUMN(H2)))</f>
        <v>-0.26560078375228557</v>
      </c>
      <c r="Y48" s="35" cm="1">
        <f t="array" ref="Y48">-Y33/SQRT(INDEX(_R_1,ROW(I2),ROW(I2))*INDEX(_R_1,COLUMN(I2),COLUMN(I2)))</f>
        <v>0.20249815029697107</v>
      </c>
      <c r="Z48" s="35" cm="1">
        <f t="array" ref="Z48">-Z33/SQRT(INDEX(_R_1,ROW(J2),ROW(J2))*INDEX(_R_1,COLUMN(J2),COLUMN(J2)))</f>
        <v>-0.12689238301942732</v>
      </c>
      <c r="AA48" s="35" cm="1">
        <f t="array" ref="AA48">-AA33/SQRT(INDEX(_R_1,ROW(K2),ROW(K2))*INDEX(_R_1,COLUMN(K2),COLUMN(K2)))</f>
        <v>4.086887711341769E-2</v>
      </c>
      <c r="AB48" s="35" cm="1">
        <f t="array" ref="AB48">-AB33/SQRT(INDEX(_R_1,ROW(L2),ROW(L2))*INDEX(_R_1,COLUMN(L2),COLUMN(L2)))</f>
        <v>6.6330302039384156E-2</v>
      </c>
      <c r="AC48" s="35" cm="1">
        <f t="array" ref="AC48">-AC33/SQRT(INDEX(_R_1,ROW(M2),ROW(M2))*INDEX(_R_1,COLUMN(M2),COLUMN(M2)))</f>
        <v>-0.14864992395142981</v>
      </c>
    </row>
    <row r="49" spans="1:29" x14ac:dyDescent="0.4">
      <c r="A49" s="1">
        <v>22678</v>
      </c>
      <c r="B49" s="28">
        <v>318.20791666666668</v>
      </c>
      <c r="C49" s="28">
        <f t="shared" si="3"/>
        <v>318.13916666666665</v>
      </c>
      <c r="D49" s="28">
        <f t="shared" si="3"/>
        <v>318.06041666666664</v>
      </c>
      <c r="E49" s="28">
        <f t="shared" si="3"/>
        <v>318.00666666666666</v>
      </c>
      <c r="F49" s="28">
        <f t="shared" si="3"/>
        <v>317.94291666666658</v>
      </c>
      <c r="G49" s="28">
        <f t="shared" si="3"/>
        <v>317.84999999999997</v>
      </c>
      <c r="H49" s="28">
        <f t="shared" si="3"/>
        <v>317.76708333333335</v>
      </c>
      <c r="I49" s="28">
        <f t="shared" si="3"/>
        <v>317.68833333333333</v>
      </c>
      <c r="J49" s="28">
        <f t="shared" si="3"/>
        <v>317.61083333333335</v>
      </c>
      <c r="K49" s="28">
        <f t="shared" si="3"/>
        <v>317.53083333333331</v>
      </c>
      <c r="L49" s="28">
        <f t="shared" si="3"/>
        <v>317.42333333333335</v>
      </c>
      <c r="M49" s="28">
        <f t="shared" si="3"/>
        <v>317.32749999999993</v>
      </c>
      <c r="N49" s="28">
        <f t="shared" si="3"/>
        <v>317.25624999999997</v>
      </c>
      <c r="P49" s="40">
        <v>-2</v>
      </c>
      <c r="Q49" s="35" cm="1">
        <f t="array" ref="Q49">-Q34/SQRT(INDEX(_R_1,ROW(A3),ROW(A3))*INDEX(_R_1,COLUMN(A3),COLUMN(A3)))</f>
        <v>-0.68728544449203766</v>
      </c>
      <c r="R49" s="35" cm="1">
        <f t="array" ref="R49">-R34/SQRT(INDEX(_R_1,ROW(B3),ROW(B3))*INDEX(_R_1,COLUMN(B3),COLUMN(B3)))</f>
        <v>0.89111598728612729</v>
      </c>
      <c r="S49" s="35">
        <v>1</v>
      </c>
      <c r="T49" s="35" cm="1">
        <f t="array" ref="T49">-T34/SQRT(INDEX(_R_1,ROW(D3),ROW(D3))*INDEX(_R_1,COLUMN(D3),COLUMN(D3)))</f>
        <v>0.90286250257133471</v>
      </c>
      <c r="U49" s="35" cm="1">
        <f t="array" ref="U49">-U34/SQRT(INDEX(_R_1,ROW(E3),ROW(E3))*INDEX(_R_1,COLUMN(E3),COLUMN(E3)))</f>
        <v>-0.72538631416187926</v>
      </c>
      <c r="V49" s="35" cm="1">
        <f t="array" ref="V49">-V34/SQRT(INDEX(_R_1,ROW(F3),ROW(F3))*INDEX(_R_1,COLUMN(F3),COLUMN(F3)))</f>
        <v>0.58228022011306735</v>
      </c>
      <c r="W49" s="35" cm="1">
        <f t="array" ref="W49">-W34/SQRT(INDEX(_R_1,ROW(G3),ROW(G3))*INDEX(_R_1,COLUMN(G3),COLUMN(G3)))</f>
        <v>-0.47610946746502852</v>
      </c>
      <c r="X49" s="35" cm="1">
        <f t="array" ref="X49">-X34/SQRT(INDEX(_R_1,ROW(H3),ROW(H3))*INDEX(_R_1,COLUMN(H3),COLUMN(H3)))</f>
        <v>0.39034299402519984</v>
      </c>
      <c r="Y49" s="35" cm="1">
        <f t="array" ref="Y49">-Y34/SQRT(INDEX(_R_1,ROW(I3),ROW(I3))*INDEX(_R_1,COLUMN(I3),COLUMN(I3)))</f>
        <v>-0.31565942318099954</v>
      </c>
      <c r="Z49" s="35" cm="1">
        <f t="array" ref="Z49">-Z34/SQRT(INDEX(_R_1,ROW(J3),ROW(J3))*INDEX(_R_1,COLUMN(J3),COLUMN(J3)))</f>
        <v>0.23508274468684748</v>
      </c>
      <c r="AA49" s="35" cm="1">
        <f t="array" ref="AA49">-AA34/SQRT(INDEX(_R_1,ROW(K3),ROW(K3))*INDEX(_R_1,COLUMN(K3),COLUMN(K3)))</f>
        <v>-0.14399723790272514</v>
      </c>
      <c r="AB49" s="35" cm="1">
        <f t="array" ref="AB49">-AB34/SQRT(INDEX(_R_1,ROW(L3),ROW(L3))*INDEX(_R_1,COLUMN(L3),COLUMN(L3)))</f>
        <v>4.1286543217444328E-2</v>
      </c>
      <c r="AC49" s="35" cm="1">
        <f t="array" ref="AC49">-AC34/SQRT(INDEX(_R_1,ROW(M3),ROW(M3))*INDEX(_R_1,COLUMN(M3),COLUMN(M3)))</f>
        <v>3.3788854124105872E-2</v>
      </c>
    </row>
    <row r="50" spans="1:29" x14ac:dyDescent="0.4">
      <c r="A50" s="1">
        <v>22706</v>
      </c>
      <c r="B50" s="28">
        <v>318.2858333333333</v>
      </c>
      <c r="C50" s="28">
        <f t="shared" si="3"/>
        <v>318.20791666666668</v>
      </c>
      <c r="D50" s="28">
        <f t="shared" si="3"/>
        <v>318.13916666666665</v>
      </c>
      <c r="E50" s="28">
        <f t="shared" si="3"/>
        <v>318.06041666666664</v>
      </c>
      <c r="F50" s="28">
        <f t="shared" si="3"/>
        <v>318.00666666666666</v>
      </c>
      <c r="G50" s="28">
        <f t="shared" si="3"/>
        <v>317.94291666666658</v>
      </c>
      <c r="H50" s="28">
        <f t="shared" si="3"/>
        <v>317.84999999999997</v>
      </c>
      <c r="I50" s="28">
        <f t="shared" si="3"/>
        <v>317.76708333333335</v>
      </c>
      <c r="J50" s="28">
        <f t="shared" si="3"/>
        <v>317.68833333333333</v>
      </c>
      <c r="K50" s="28">
        <f t="shared" si="3"/>
        <v>317.61083333333335</v>
      </c>
      <c r="L50" s="28">
        <f t="shared" si="3"/>
        <v>317.53083333333331</v>
      </c>
      <c r="M50" s="28">
        <f t="shared" si="3"/>
        <v>317.42333333333335</v>
      </c>
      <c r="N50" s="28">
        <f t="shared" si="3"/>
        <v>317.32749999999993</v>
      </c>
      <c r="P50" s="40">
        <v>-3</v>
      </c>
      <c r="Q50" s="35" cm="1">
        <f t="array" ref="Q50">-Q35/SQRT(INDEX(_R_1,ROW(A4),ROW(A4))*INDEX(_R_1,COLUMN(A4),COLUMN(A4)))</f>
        <v>0.48475201582787208</v>
      </c>
      <c r="R50" s="35" cm="1">
        <f t="array" ref="R50">-R35/SQRT(INDEX(_R_1,ROW(B4),ROW(B4))*INDEX(_R_1,COLUMN(B4),COLUMN(B4)))</f>
        <v>-0.68074356716026174</v>
      </c>
      <c r="S50" s="35" cm="1">
        <f t="array" ref="S50">-S35/SQRT(INDEX(_R_1,ROW(C4),ROW(C4))*INDEX(_R_1,COLUMN(C4),COLUMN(C4)))</f>
        <v>0.90286250257136069</v>
      </c>
      <c r="T50" s="35">
        <v>1</v>
      </c>
      <c r="U50" s="35" cm="1">
        <f t="array" ref="U50">-U35/SQRT(INDEX(_R_1,ROW(E4),ROW(E4))*INDEX(_R_1,COLUMN(E4),COLUMN(E4)))</f>
        <v>0.91595458662789098</v>
      </c>
      <c r="V50" s="35" cm="1">
        <f t="array" ref="V50">-V35/SQRT(INDEX(_R_1,ROW(F4),ROW(F4))*INDEX(_R_1,COLUMN(F4),COLUMN(F4)))</f>
        <v>-0.75573672856974816</v>
      </c>
      <c r="W50" s="35" cm="1">
        <f t="array" ref="W50">-W35/SQRT(INDEX(_R_1,ROW(G4),ROW(G4))*INDEX(_R_1,COLUMN(G4),COLUMN(G4)))</f>
        <v>0.61873853753409758</v>
      </c>
      <c r="X50" s="35" cm="1">
        <f t="array" ref="X50">-X35/SQRT(INDEX(_R_1,ROW(H4),ROW(H4))*INDEX(_R_1,COLUMN(H4),COLUMN(H4)))</f>
        <v>-0.51249842655911404</v>
      </c>
      <c r="Y50" s="35" cm="1">
        <f t="array" ref="Y50">-Y35/SQRT(INDEX(_R_1,ROW(I4),ROW(I4))*INDEX(_R_1,COLUMN(I4),COLUMN(I4)))</f>
        <v>0.42197296127648709</v>
      </c>
      <c r="Z50" s="35" cm="1">
        <f t="array" ref="Z50">-Z35/SQRT(INDEX(_R_1,ROW(J4),ROW(J4))*INDEX(_R_1,COLUMN(J4),COLUMN(J4)))</f>
        <v>-0.3319143099535144</v>
      </c>
      <c r="AA50" s="35" cm="1">
        <f t="array" ref="AA50">-AA35/SQRT(INDEX(_R_1,ROW(K4),ROW(K4))*INDEX(_R_1,COLUMN(K4),COLUMN(K4)))</f>
        <v>0.23487764696460703</v>
      </c>
      <c r="AB50" s="35" cm="1">
        <f t="array" ref="AB50">-AB35/SQRT(INDEX(_R_1,ROW(L4),ROW(L4))*INDEX(_R_1,COLUMN(L4),COLUMN(L4)))</f>
        <v>-0.12685522390324924</v>
      </c>
      <c r="AC50" s="35" cm="1">
        <f t="array" ref="AC50">-AC35/SQRT(INDEX(_R_1,ROW(M4),ROW(M4))*INDEX(_R_1,COLUMN(M4),COLUMN(M4)))</f>
        <v>4.3777423185627017E-2</v>
      </c>
    </row>
    <row r="51" spans="1:29" x14ac:dyDescent="0.4">
      <c r="A51" s="1">
        <v>22737</v>
      </c>
      <c r="B51" s="28">
        <v>318.34291666666661</v>
      </c>
      <c r="C51" s="28">
        <f t="shared" si="3"/>
        <v>318.2858333333333</v>
      </c>
      <c r="D51" s="28">
        <f t="shared" si="3"/>
        <v>318.20791666666668</v>
      </c>
      <c r="E51" s="28">
        <f t="shared" si="3"/>
        <v>318.13916666666665</v>
      </c>
      <c r="F51" s="28">
        <f t="shared" si="3"/>
        <v>318.06041666666664</v>
      </c>
      <c r="G51" s="28">
        <f t="shared" si="3"/>
        <v>318.00666666666666</v>
      </c>
      <c r="H51" s="28">
        <f t="shared" si="3"/>
        <v>317.94291666666658</v>
      </c>
      <c r="I51" s="28">
        <f t="shared" si="3"/>
        <v>317.84999999999997</v>
      </c>
      <c r="J51" s="28">
        <f t="shared" si="3"/>
        <v>317.76708333333335</v>
      </c>
      <c r="K51" s="28">
        <f t="shared" si="3"/>
        <v>317.68833333333333</v>
      </c>
      <c r="L51" s="28">
        <f t="shared" si="3"/>
        <v>317.61083333333335</v>
      </c>
      <c r="M51" s="28">
        <f t="shared" si="3"/>
        <v>317.53083333333331</v>
      </c>
      <c r="N51" s="28">
        <f t="shared" si="3"/>
        <v>317.42333333333335</v>
      </c>
      <c r="P51" s="40">
        <v>-4</v>
      </c>
      <c r="Q51" s="35" cm="1">
        <f t="array" ref="Q51">-Q36/SQRT(INDEX(_R_1,ROW(A5),ROW(A5))*INDEX(_R_1,COLUMN(A5),COLUMN(A5)))</f>
        <v>-0.37341347961958804</v>
      </c>
      <c r="R51" s="35" cm="1">
        <f t="array" ref="R51">-R36/SQRT(INDEX(_R_1,ROW(B5),ROW(B5))*INDEX(_R_1,COLUMN(B5),COLUMN(B5)))</f>
        <v>0.52523366119807069</v>
      </c>
      <c r="S51" s="35" cm="1">
        <f t="array" ref="S51">-S36/SQRT(INDEX(_R_1,ROW(C5),ROW(C5))*INDEX(_R_1,COLUMN(C5),COLUMN(C5)))</f>
        <v>-0.72538631416192045</v>
      </c>
      <c r="T51" s="35" cm="1">
        <f t="array" ref="T51">-T36/SQRT(INDEX(_R_1,ROW(D5),ROW(D5))*INDEX(_R_1,COLUMN(D5),COLUMN(D5)))</f>
        <v>0.91595458662790485</v>
      </c>
      <c r="U51" s="35">
        <v>1</v>
      </c>
      <c r="V51" s="35" cm="1">
        <f t="array" ref="V51">-V36/SQRT(INDEX(_R_1,ROW(F5),ROW(F5))*INDEX(_R_1,COLUMN(F5),COLUMN(F5)))</f>
        <v>0.92343605590379474</v>
      </c>
      <c r="W51" s="35" cm="1">
        <f t="array" ref="W51">-W36/SQRT(INDEX(_R_1,ROW(G5),ROW(G5))*INDEX(_R_1,COLUMN(G5),COLUMN(G5)))</f>
        <v>-0.77157846857855428</v>
      </c>
      <c r="X51" s="35" cm="1">
        <f t="array" ref="X51">-X36/SQRT(INDEX(_R_1,ROW(H5),ROW(H5))*INDEX(_R_1,COLUMN(H5),COLUMN(H5)))</f>
        <v>0.63667884589298174</v>
      </c>
      <c r="Y51" s="35" cm="1">
        <f t="array" ref="Y51">-Y36/SQRT(INDEX(_R_1,ROW(I5),ROW(I5))*INDEX(_R_1,COLUMN(I5),COLUMN(I5)))</f>
        <v>-0.5267211330896242</v>
      </c>
      <c r="Z51" s="35" cm="1">
        <f t="array" ref="Z51">-Z36/SQRT(INDEX(_R_1,ROW(J5),ROW(J5))*INDEX(_R_1,COLUMN(J5),COLUMN(J5)))</f>
        <v>0.4227924784096711</v>
      </c>
      <c r="AA51" s="35" cm="1">
        <f t="array" ref="AA51">-AA36/SQRT(INDEX(_R_1,ROW(K5),ROW(K5))*INDEX(_R_1,COLUMN(K5),COLUMN(K5)))</f>
        <v>-0.31698437443224603</v>
      </c>
      <c r="AB51" s="35" cm="1">
        <f t="array" ref="AB51">-AB36/SQRT(INDEX(_R_1,ROW(L5),ROW(L5))*INDEX(_R_1,COLUMN(L5),COLUMN(L5)))</f>
        <v>0.20324481311030698</v>
      </c>
      <c r="AC51" s="35" cm="1">
        <f t="array" ref="AC51">-AC36/SQRT(INDEX(_R_1,ROW(M5),ROW(M5))*INDEX(_R_1,COLUMN(M5),COLUMN(M5)))</f>
        <v>-0.11367514072617069</v>
      </c>
    </row>
    <row r="52" spans="1:29" x14ac:dyDescent="0.4">
      <c r="A52" s="1">
        <v>22767</v>
      </c>
      <c r="B52" s="28">
        <v>318.37208333333336</v>
      </c>
      <c r="C52" s="28">
        <f t="shared" si="3"/>
        <v>318.34291666666661</v>
      </c>
      <c r="D52" s="28">
        <f t="shared" si="3"/>
        <v>318.2858333333333</v>
      </c>
      <c r="E52" s="28">
        <f t="shared" si="3"/>
        <v>318.20791666666668</v>
      </c>
      <c r="F52" s="28">
        <f t="shared" si="3"/>
        <v>318.13916666666665</v>
      </c>
      <c r="G52" s="28">
        <f t="shared" si="3"/>
        <v>318.06041666666664</v>
      </c>
      <c r="H52" s="28">
        <f t="shared" si="3"/>
        <v>318.00666666666666</v>
      </c>
      <c r="I52" s="28">
        <f t="shared" si="3"/>
        <v>317.94291666666658</v>
      </c>
      <c r="J52" s="28">
        <f t="shared" si="3"/>
        <v>317.84999999999997</v>
      </c>
      <c r="K52" s="28">
        <f t="shared" si="3"/>
        <v>317.76708333333335</v>
      </c>
      <c r="L52" s="28">
        <f t="shared" si="3"/>
        <v>317.68833333333333</v>
      </c>
      <c r="M52" s="28">
        <f t="shared" si="3"/>
        <v>317.61083333333335</v>
      </c>
      <c r="N52" s="28">
        <f t="shared" si="3"/>
        <v>317.53083333333331</v>
      </c>
      <c r="P52" s="40">
        <v>-5</v>
      </c>
      <c r="Q52" s="35" cm="1">
        <f t="array" ref="Q52">-Q37/SQRT(INDEX(_R_1,ROW(A6),ROW(A6))*INDEX(_R_1,COLUMN(A6),COLUMN(A6)))</f>
        <v>0.28835315865467853</v>
      </c>
      <c r="R52" s="35" cm="1">
        <f t="array" ref="R52">-R37/SQRT(INDEX(_R_1,ROW(B6),ROW(B6))*INDEX(_R_1,COLUMN(B6),COLUMN(B6)))</f>
        <v>-0.41784818690766612</v>
      </c>
      <c r="S52" s="35" cm="1">
        <f t="array" ref="S52">-S37/SQRT(INDEX(_R_1,ROW(C6),ROW(C6))*INDEX(_R_1,COLUMN(C6),COLUMN(C6)))</f>
        <v>0.58228022011309033</v>
      </c>
      <c r="T52" s="35" cm="1">
        <f t="array" ref="T52">-T37/SQRT(INDEX(_R_1,ROW(D6),ROW(D6))*INDEX(_R_1,COLUMN(D6),COLUMN(D6)))</f>
        <v>-0.75573672856973617</v>
      </c>
      <c r="U52" s="35" cm="1">
        <f t="array" ref="U52">-U37/SQRT(INDEX(_R_1,ROW(E6),ROW(E6))*INDEX(_R_1,COLUMN(E6),COLUMN(E6)))</f>
        <v>0.92343605590375866</v>
      </c>
      <c r="V52" s="35">
        <v>1</v>
      </c>
      <c r="W52" s="35" cm="1">
        <f t="array" ref="W52">-W37/SQRT(INDEX(_R_1,ROW(G6),ROW(G6))*INDEX(_R_1,COLUMN(G6),COLUMN(G6)))</f>
        <v>0.92627390047379232</v>
      </c>
      <c r="X52" s="35" cm="1">
        <f t="array" ref="X52">-X37/SQRT(INDEX(_R_1,ROW(H6),ROW(H6))*INDEX(_R_1,COLUMN(H6),COLUMN(H6)))</f>
        <v>-0.77624164696447728</v>
      </c>
      <c r="Y52" s="35" cm="1">
        <f t="array" ref="Y52">-Y37/SQRT(INDEX(_R_1,ROW(I6),ROW(I6))*INDEX(_R_1,COLUMN(I6),COLUMN(I6)))</f>
        <v>0.63736547999587156</v>
      </c>
      <c r="Z52" s="35" cm="1">
        <f t="array" ref="Z52">-Z37/SQRT(INDEX(_R_1,ROW(J6),ROW(J6))*INDEX(_R_1,COLUMN(J6),COLUMN(J6)))</f>
        <v>-0.51536964565808341</v>
      </c>
      <c r="AA52" s="35" cm="1">
        <f t="array" ref="AA52">-AA37/SQRT(INDEX(_R_1,ROW(K6),ROW(K6))*INDEX(_R_1,COLUMN(K6),COLUMN(K6)))</f>
        <v>0.3962341620319948</v>
      </c>
      <c r="AB52" s="35" cm="1">
        <f t="array" ref="AB52">-AB37/SQRT(INDEX(_R_1,ROW(L6),ROW(L6))*INDEX(_R_1,COLUMN(L6),COLUMN(L6)))</f>
        <v>-0.27184370299405725</v>
      </c>
      <c r="AC52" s="35" cm="1">
        <f t="array" ref="AC52">-AC37/SQRT(INDEX(_R_1,ROW(M6),ROW(M6))*INDEX(_R_1,COLUMN(M6),COLUMN(M6)))</f>
        <v>0.17214533300241991</v>
      </c>
    </row>
    <row r="53" spans="1:29" x14ac:dyDescent="0.4">
      <c r="A53" s="1">
        <v>22798</v>
      </c>
      <c r="B53" s="28">
        <v>318.42541666666665</v>
      </c>
      <c r="C53" s="28">
        <f t="shared" si="3"/>
        <v>318.37208333333336</v>
      </c>
      <c r="D53" s="28">
        <f t="shared" si="3"/>
        <v>318.34291666666661</v>
      </c>
      <c r="E53" s="28">
        <f t="shared" si="3"/>
        <v>318.2858333333333</v>
      </c>
      <c r="F53" s="28">
        <f t="shared" si="3"/>
        <v>318.20791666666668</v>
      </c>
      <c r="G53" s="28">
        <f t="shared" si="3"/>
        <v>318.13916666666665</v>
      </c>
      <c r="H53" s="28">
        <f t="shared" si="3"/>
        <v>318.06041666666664</v>
      </c>
      <c r="I53" s="28">
        <f t="shared" si="3"/>
        <v>318.00666666666666</v>
      </c>
      <c r="J53" s="28">
        <f t="shared" si="3"/>
        <v>317.94291666666658</v>
      </c>
      <c r="K53" s="28">
        <f t="shared" si="3"/>
        <v>317.84999999999997</v>
      </c>
      <c r="L53" s="28">
        <f t="shared" si="3"/>
        <v>317.76708333333335</v>
      </c>
      <c r="M53" s="28">
        <f t="shared" si="3"/>
        <v>317.68833333333333</v>
      </c>
      <c r="N53" s="28">
        <f t="shared" si="3"/>
        <v>317.61083333333335</v>
      </c>
      <c r="P53" s="40">
        <v>-6</v>
      </c>
      <c r="Q53" s="35" cm="1">
        <f t="array" ref="Q53">-Q38/SQRT(INDEX(_R_1,ROW(A7),ROW(A7))*INDEX(_R_1,COLUMN(A7),COLUMN(A7)))</f>
        <v>-0.22273451051690199</v>
      </c>
      <c r="R53" s="35" cm="1">
        <f t="array" ref="R53">-R38/SQRT(INDEX(_R_1,ROW(B7),ROW(B7))*INDEX(_R_1,COLUMN(B7),COLUMN(B7)))</f>
        <v>0.3339812945200305</v>
      </c>
      <c r="S53" s="35" cm="1">
        <f t="array" ref="S53">-S38/SQRT(INDEX(_R_1,ROW(C7),ROW(C7))*INDEX(_R_1,COLUMN(C7),COLUMN(C7)))</f>
        <v>-0.47610946746500771</v>
      </c>
      <c r="T53" s="35" cm="1">
        <f t="array" ref="T53">-T38/SQRT(INDEX(_R_1,ROW(D7),ROW(D7))*INDEX(_R_1,COLUMN(D7),COLUMN(D7)))</f>
        <v>0.61873853753402164</v>
      </c>
      <c r="U53" s="35" cm="1">
        <f t="array" ref="U53">-U38/SQRT(INDEX(_R_1,ROW(E7),ROW(E7))*INDEX(_R_1,COLUMN(E7),COLUMN(E7)))</f>
        <v>-0.7715784685784387</v>
      </c>
      <c r="V53" s="35" cm="1">
        <f t="array" ref="V53">-V38/SQRT(INDEX(_R_1,ROW(F7),ROW(F7))*INDEX(_R_1,COLUMN(F7),COLUMN(F7)))</f>
        <v>0.9262739004736954</v>
      </c>
      <c r="W53" s="35">
        <v>1</v>
      </c>
      <c r="X53" s="35" cm="1">
        <f t="array" ref="X53">-X38/SQRT(INDEX(_R_1,ROW(H7),ROW(H7))*INDEX(_R_1,COLUMN(H7),COLUMN(H7)))</f>
        <v>0.92639093882170553</v>
      </c>
      <c r="Y53" s="35" cm="1">
        <f t="array" ref="Y53">-Y38/SQRT(INDEX(_R_1,ROW(I7),ROW(I7))*INDEX(_R_1,COLUMN(I7),COLUMN(I7)))</f>
        <v>-0.77173302160209545</v>
      </c>
      <c r="Z53" s="35" cm="1">
        <f t="array" ref="Z53">-Z38/SQRT(INDEX(_R_1,ROW(J7),ROW(J7))*INDEX(_R_1,COLUMN(J7),COLUMN(J7)))</f>
        <v>0.6206798375777921</v>
      </c>
      <c r="AA53" s="35" cm="1">
        <f t="array" ref="AA53">-AA38/SQRT(INDEX(_R_1,ROW(K7),ROW(K7))*INDEX(_R_1,COLUMN(K7),COLUMN(K7)))</f>
        <v>-0.48303473132957586</v>
      </c>
      <c r="AB53" s="35" cm="1">
        <f t="array" ref="AB53">-AB38/SQRT(INDEX(_R_1,ROW(L7),ROW(L7))*INDEX(_R_1,COLUMN(L7),COLUMN(L7)))</f>
        <v>0.34407284482438499</v>
      </c>
      <c r="AC53" s="35" cm="1">
        <f t="array" ref="AC53">-AC38/SQRT(INDEX(_R_1,ROW(M7),ROW(M7))*INDEX(_R_1,COLUMN(M7),COLUMN(M7)))</f>
        <v>-0.23272651785995815</v>
      </c>
    </row>
    <row r="54" spans="1:29" x14ac:dyDescent="0.4">
      <c r="A54" s="1">
        <v>22828</v>
      </c>
      <c r="B54" s="28">
        <v>318.48750000000001</v>
      </c>
      <c r="C54" s="28">
        <f t="shared" si="3"/>
        <v>318.42541666666665</v>
      </c>
      <c r="D54" s="28">
        <f t="shared" si="3"/>
        <v>318.37208333333336</v>
      </c>
      <c r="E54" s="28">
        <f t="shared" si="3"/>
        <v>318.34291666666661</v>
      </c>
      <c r="F54" s="28">
        <f t="shared" si="3"/>
        <v>318.2858333333333</v>
      </c>
      <c r="G54" s="28">
        <f t="shared" si="3"/>
        <v>318.20791666666668</v>
      </c>
      <c r="H54" s="28">
        <f t="shared" si="3"/>
        <v>318.13916666666665</v>
      </c>
      <c r="I54" s="28">
        <f t="shared" si="3"/>
        <v>318.06041666666664</v>
      </c>
      <c r="J54" s="28">
        <f t="shared" si="3"/>
        <v>318.00666666666666</v>
      </c>
      <c r="K54" s="28">
        <f t="shared" si="3"/>
        <v>317.94291666666658</v>
      </c>
      <c r="L54" s="28">
        <f t="shared" si="3"/>
        <v>317.84999999999997</v>
      </c>
      <c r="M54" s="28">
        <f t="shared" si="3"/>
        <v>317.76708333333335</v>
      </c>
      <c r="N54" s="28">
        <f t="shared" si="3"/>
        <v>317.68833333333333</v>
      </c>
      <c r="P54" s="40">
        <v>-7</v>
      </c>
      <c r="Q54" s="35" cm="1">
        <f t="array" ref="Q54">-Q39/SQRT(INDEX(_R_1,ROW(A8),ROW(A8))*INDEX(_R_1,COLUMN(A8),COLUMN(A8)))</f>
        <v>0.16712833354410631</v>
      </c>
      <c r="R54" s="35" cm="1">
        <f t="array" ref="R54">-R39/SQRT(INDEX(_R_1,ROW(B8),ROW(B8))*INDEX(_R_1,COLUMN(B8),COLUMN(B8)))</f>
        <v>-0.26560078375237672</v>
      </c>
      <c r="S54" s="35" cm="1">
        <f t="array" ref="S54">-S39/SQRT(INDEX(_R_1,ROW(C8),ROW(C8))*INDEX(_R_1,COLUMN(C8),COLUMN(C8)))</f>
        <v>0.39034299402519607</v>
      </c>
      <c r="T54" s="35" cm="1">
        <f t="array" ref="T54">-T39/SQRT(INDEX(_R_1,ROW(D8),ROW(D8))*INDEX(_R_1,COLUMN(D8),COLUMN(D8)))</f>
        <v>-0.51249842655904976</v>
      </c>
      <c r="U54" s="35" cm="1">
        <f t="array" ref="U54">-U39/SQRT(INDEX(_R_1,ROW(E8),ROW(E8))*INDEX(_R_1,COLUMN(E8),COLUMN(E8)))</f>
        <v>0.63667884589286317</v>
      </c>
      <c r="V54" s="35" cm="1">
        <f t="array" ref="V54">-V39/SQRT(INDEX(_R_1,ROW(F8),ROW(F8))*INDEX(_R_1,COLUMN(F8),COLUMN(F8)))</f>
        <v>-0.77624164696436238</v>
      </c>
      <c r="W54" s="35" cm="1">
        <f t="array" ref="W54">-W39/SQRT(INDEX(_R_1,ROW(G8),ROW(G8))*INDEX(_R_1,COLUMN(G8),COLUMN(G8)))</f>
        <v>0.92639093882168533</v>
      </c>
      <c r="X54" s="35">
        <v>1</v>
      </c>
      <c r="Y54" s="35" cm="1">
        <f t="array" ref="Y54">-Y39/SQRT(INDEX(_R_1,ROW(I8),ROW(I8))*INDEX(_R_1,COLUMN(I8),COLUMN(I8)))</f>
        <v>0.9229344018580582</v>
      </c>
      <c r="Z54" s="35" cm="1">
        <f t="array" ref="Z54">-Z39/SQRT(INDEX(_R_1,ROW(J8),ROW(J8))*INDEX(_R_1,COLUMN(J8),COLUMN(J8)))</f>
        <v>-0.75532506387848208</v>
      </c>
      <c r="AA54" s="35" cm="1">
        <f t="array" ref="AA54">-AA39/SQRT(INDEX(_R_1,ROW(K8),ROW(K8))*INDEX(_R_1,COLUMN(K8),COLUMN(K8)))</f>
        <v>0.58584516780533824</v>
      </c>
      <c r="AB54" s="35" cm="1">
        <f t="array" ref="AB54">-AB39/SQRT(INDEX(_R_1,ROW(L8),ROW(L8))*INDEX(_R_1,COLUMN(L8),COLUMN(L8)))</f>
        <v>-0.42495141311223344</v>
      </c>
      <c r="AC54" s="35" cm="1">
        <f t="array" ref="AC54">-AC39/SQRT(INDEX(_R_1,ROW(M8),ROW(M8))*INDEX(_R_1,COLUMN(M8),COLUMN(M8)))</f>
        <v>0.29606931858089358</v>
      </c>
    </row>
    <row r="55" spans="1:29" x14ac:dyDescent="0.4">
      <c r="A55" s="1">
        <v>22859</v>
      </c>
      <c r="B55" s="28">
        <v>318.54249999999996</v>
      </c>
      <c r="C55" s="28">
        <f t="shared" si="3"/>
        <v>318.48750000000001</v>
      </c>
      <c r="D55" s="28">
        <f t="shared" si="3"/>
        <v>318.42541666666665</v>
      </c>
      <c r="E55" s="28">
        <f t="shared" si="3"/>
        <v>318.37208333333336</v>
      </c>
      <c r="F55" s="28">
        <f t="shared" si="3"/>
        <v>318.34291666666661</v>
      </c>
      <c r="G55" s="28">
        <f t="shared" si="3"/>
        <v>318.2858333333333</v>
      </c>
      <c r="H55" s="28">
        <f t="shared" si="3"/>
        <v>318.20791666666668</v>
      </c>
      <c r="I55" s="28">
        <f t="shared" si="3"/>
        <v>318.13916666666665</v>
      </c>
      <c r="J55" s="28">
        <f t="shared" si="3"/>
        <v>318.06041666666664</v>
      </c>
      <c r="K55" s="28">
        <f t="shared" si="3"/>
        <v>318.00666666666666</v>
      </c>
      <c r="L55" s="28">
        <f t="shared" si="3"/>
        <v>317.94291666666658</v>
      </c>
      <c r="M55" s="28">
        <f t="shared" si="3"/>
        <v>317.84999999999997</v>
      </c>
      <c r="N55" s="28">
        <f t="shared" si="3"/>
        <v>317.76708333333335</v>
      </c>
      <c r="P55" s="40">
        <v>-8</v>
      </c>
      <c r="Q55" s="35" cm="1">
        <f t="array" ref="Q55">-Q40/SQRT(INDEX(_R_1,ROW(A9),ROW(A9))*INDEX(_R_1,COLUMN(A9),COLUMN(A9)))</f>
        <v>-0.11350958089318855</v>
      </c>
      <c r="R55" s="35" cm="1">
        <f t="array" ref="R55">-R40/SQRT(INDEX(_R_1,ROW(B9),ROW(B9))*INDEX(_R_1,COLUMN(B9),COLUMN(B9)))</f>
        <v>0.2024981502972035</v>
      </c>
      <c r="S55" s="35" cm="1">
        <f t="array" ref="S55">-S40/SQRT(INDEX(_R_1,ROW(C9),ROW(C9))*INDEX(_R_1,COLUMN(C9),COLUMN(C9)))</f>
        <v>-0.31565942318115769</v>
      </c>
      <c r="T55" s="35" cm="1">
        <f t="array" ref="T55">-T40/SQRT(INDEX(_R_1,ROW(D9),ROW(D9))*INDEX(_R_1,COLUMN(D9),COLUMN(D9)))</f>
        <v>0.42197296127659856</v>
      </c>
      <c r="U55" s="35" cm="1">
        <f t="array" ref="U55">-U40/SQRT(INDEX(_R_1,ROW(E9),ROW(E9))*INDEX(_R_1,COLUMN(E9),COLUMN(E9)))</f>
        <v>-0.52672113308970436</v>
      </c>
      <c r="V55" s="35" cm="1">
        <f t="array" ref="V55">-V40/SQRT(INDEX(_R_1,ROW(F9),ROW(F9))*INDEX(_R_1,COLUMN(F9),COLUMN(F9)))</f>
        <v>0.63736547999598592</v>
      </c>
      <c r="W55" s="35" cm="1">
        <f t="array" ref="W55">-W40/SQRT(INDEX(_R_1,ROW(G9),ROW(G9))*INDEX(_R_1,COLUMN(G9),COLUMN(G9)))</f>
        <v>-0.77173302160233337</v>
      </c>
      <c r="X55" s="35" cm="1">
        <f t="array" ref="X55">-X40/SQRT(INDEX(_R_1,ROW(H9),ROW(H9))*INDEX(_R_1,COLUMN(H9),COLUMN(H9)))</f>
        <v>0.92293440185833864</v>
      </c>
      <c r="Y55" s="35">
        <v>1</v>
      </c>
      <c r="Z55" s="35" cm="1">
        <f t="array" ref="Z55">-Z40/SQRT(INDEX(_R_1,ROW(J9),ROW(J9))*INDEX(_R_1,COLUMN(J9),COLUMN(J9)))</f>
        <v>0.91588495556573868</v>
      </c>
      <c r="AA55" s="35" cm="1">
        <f t="array" ref="AA55">-AA40/SQRT(INDEX(_R_1,ROW(K9),ROW(K9))*INDEX(_R_1,COLUMN(K9),COLUMN(K9)))</f>
        <v>-0.72725445350046225</v>
      </c>
      <c r="AB55" s="35" cm="1">
        <f t="array" ref="AB55">-AB40/SQRT(INDEX(_R_1,ROW(L9),ROW(L9))*INDEX(_R_1,COLUMN(L9),COLUMN(L9)))</f>
        <v>0.52879339958792015</v>
      </c>
      <c r="AC55" s="35" cm="1">
        <f t="array" ref="AC55">-AC40/SQRT(INDEX(_R_1,ROW(M9),ROW(M9))*INDEX(_R_1,COLUMN(M9),COLUMN(M9)))</f>
        <v>-0.37694144286977432</v>
      </c>
    </row>
    <row r="56" spans="1:29" x14ac:dyDescent="0.4">
      <c r="A56" s="1">
        <v>22890</v>
      </c>
      <c r="B56" s="28">
        <v>318.57166666666666</v>
      </c>
      <c r="C56" s="28">
        <f t="shared" si="3"/>
        <v>318.54249999999996</v>
      </c>
      <c r="D56" s="28">
        <f t="shared" si="3"/>
        <v>318.48750000000001</v>
      </c>
      <c r="E56" s="28">
        <f t="shared" si="3"/>
        <v>318.42541666666665</v>
      </c>
      <c r="F56" s="28">
        <f t="shared" si="3"/>
        <v>318.37208333333336</v>
      </c>
      <c r="G56" s="28">
        <f t="shared" si="3"/>
        <v>318.34291666666661</v>
      </c>
      <c r="H56" s="28">
        <f t="shared" si="3"/>
        <v>318.2858333333333</v>
      </c>
      <c r="I56" s="28">
        <f t="shared" si="3"/>
        <v>318.20791666666668</v>
      </c>
      <c r="J56" s="28">
        <f t="shared" si="3"/>
        <v>318.13916666666665</v>
      </c>
      <c r="K56" s="28">
        <f t="shared" si="3"/>
        <v>318.06041666666664</v>
      </c>
      <c r="L56" s="28">
        <f t="shared" si="3"/>
        <v>318.00666666666666</v>
      </c>
      <c r="M56" s="28">
        <f t="shared" si="3"/>
        <v>317.94291666666658</v>
      </c>
      <c r="N56" s="28">
        <f t="shared" si="3"/>
        <v>317.84999999999997</v>
      </c>
      <c r="P56" s="40">
        <v>-9</v>
      </c>
      <c r="Q56" s="35" cm="1">
        <f t="array" ref="Q56">-Q41/SQRT(INDEX(_R_1,ROW(A10),ROW(A10))*INDEX(_R_1,COLUMN(A10),COLUMN(A10)))</f>
        <v>4.3379514200171804E-2</v>
      </c>
      <c r="R56" s="35" cm="1">
        <f t="array" ref="R56">-R41/SQRT(INDEX(_R_1,ROW(B10),ROW(B10))*INDEX(_R_1,COLUMN(B10),COLUMN(B10)))</f>
        <v>-0.12689238301988712</v>
      </c>
      <c r="S56" s="35" cm="1">
        <f t="array" ref="S56">-S41/SQRT(INDEX(_R_1,ROW(C10),ROW(C10))*INDEX(_R_1,COLUMN(C10),COLUMN(C10)))</f>
        <v>0.23508274468731052</v>
      </c>
      <c r="T56" s="35" cm="1">
        <f t="array" ref="T56">-T41/SQRT(INDEX(_R_1,ROW(D10),ROW(D10))*INDEX(_R_1,COLUMN(D10),COLUMN(D10)))</f>
        <v>-0.33191430995399351</v>
      </c>
      <c r="U56" s="35" cm="1">
        <f t="array" ref="U56">-U41/SQRT(INDEX(_R_1,ROW(E10),ROW(E10))*INDEX(_R_1,COLUMN(E10),COLUMN(E10)))</f>
        <v>0.42279247841017908</v>
      </c>
      <c r="V56" s="35" cm="1">
        <f t="array" ref="V56">-V41/SQRT(INDEX(_R_1,ROW(F10),ROW(F10))*INDEX(_R_1,COLUMN(F10),COLUMN(F10)))</f>
        <v>-0.51536964565867383</v>
      </c>
      <c r="W56" s="35" cm="1">
        <f t="array" ref="W56">-W41/SQRT(INDEX(_R_1,ROW(G10),ROW(G10))*INDEX(_R_1,COLUMN(G10),COLUMN(G10)))</f>
        <v>0.62067983757853762</v>
      </c>
      <c r="X56" s="35" cm="1">
        <f t="array" ref="X56">-X41/SQRT(INDEX(_R_1,ROW(H10),ROW(H10))*INDEX(_R_1,COLUMN(H10),COLUMN(H10)))</f>
        <v>-0.75532506387930265</v>
      </c>
      <c r="Y56" s="35" cm="1">
        <f t="array" ref="Y56">-Y41/SQRT(INDEX(_R_1,ROW(I10),ROW(I10))*INDEX(_R_1,COLUMN(I10),COLUMN(I10)))</f>
        <v>0.91588495556631255</v>
      </c>
      <c r="Z56" s="35">
        <v>1</v>
      </c>
      <c r="AA56" s="35" cm="1">
        <f t="array" ref="AA56">-AA41/SQRT(INDEX(_R_1,ROW(K10),ROW(K10))*INDEX(_R_1,COLUMN(K10),COLUMN(K10)))</f>
        <v>0.90361237674967565</v>
      </c>
      <c r="AB56" s="35" cm="1">
        <f t="array" ref="AB56">-AB41/SQRT(INDEX(_R_1,ROW(L10),ROW(L10))*INDEX(_R_1,COLUMN(L10),COLUMN(L10)))</f>
        <v>-0.68273564819519872</v>
      </c>
      <c r="AC56" s="35" cm="1">
        <f t="array" ref="AC56">-AC41/SQRT(INDEX(_R_1,ROW(M10),ROW(M10))*INDEX(_R_1,COLUMN(M10),COLUMN(M10)))</f>
        <v>0.48719659605786403</v>
      </c>
    </row>
    <row r="57" spans="1:29" x14ac:dyDescent="0.4">
      <c r="A57" s="1">
        <v>22920</v>
      </c>
      <c r="B57" s="28">
        <v>318.61291666666671</v>
      </c>
      <c r="C57" s="28">
        <f t="shared" si="3"/>
        <v>318.57166666666666</v>
      </c>
      <c r="D57" s="28">
        <f t="shared" si="3"/>
        <v>318.54249999999996</v>
      </c>
      <c r="E57" s="28">
        <f t="shared" si="3"/>
        <v>318.48750000000001</v>
      </c>
      <c r="F57" s="28">
        <f t="shared" si="3"/>
        <v>318.42541666666665</v>
      </c>
      <c r="G57" s="28">
        <f t="shared" si="3"/>
        <v>318.37208333333336</v>
      </c>
      <c r="H57" s="28">
        <f t="shared" si="3"/>
        <v>318.34291666666661</v>
      </c>
      <c r="I57" s="28">
        <f t="shared" si="3"/>
        <v>318.2858333333333</v>
      </c>
      <c r="J57" s="28">
        <f t="shared" si="3"/>
        <v>318.20791666666668</v>
      </c>
      <c r="K57" s="28">
        <f t="shared" si="3"/>
        <v>318.13916666666665</v>
      </c>
      <c r="L57" s="28">
        <f t="shared" si="3"/>
        <v>318.06041666666664</v>
      </c>
      <c r="M57" s="28">
        <f t="shared" si="3"/>
        <v>318.00666666666666</v>
      </c>
      <c r="N57" s="28">
        <f t="shared" si="3"/>
        <v>317.94291666666658</v>
      </c>
      <c r="P57" s="40">
        <v>-10</v>
      </c>
      <c r="Q57" s="35" cm="1">
        <f t="array" ref="Q57">-Q42/SQRT(INDEX(_R_1,ROW(A11),ROW(A11))*INDEX(_R_1,COLUMN(A11),COLUMN(A11)))</f>
        <v>3.4765570047498043E-2</v>
      </c>
      <c r="R57" s="35" cm="1">
        <f t="array" ref="R57">-R42/SQRT(INDEX(_R_1,ROW(B11),ROW(B11))*INDEX(_R_1,COLUMN(B11),COLUMN(B11)))</f>
        <v>4.0868877114040546E-2</v>
      </c>
      <c r="S57" s="35" cm="1">
        <f t="array" ref="S57">-S42/SQRT(INDEX(_R_1,ROW(C11),ROW(C11))*INDEX(_R_1,COLUMN(C11),COLUMN(C11)))</f>
        <v>-0.14399723790344879</v>
      </c>
      <c r="T57" s="35" cm="1">
        <f t="array" ref="T57">-T42/SQRT(INDEX(_R_1,ROW(D11),ROW(D11))*INDEX(_R_1,COLUMN(D11),COLUMN(D11)))</f>
        <v>0.23487764696540273</v>
      </c>
      <c r="U57" s="35" cm="1">
        <f t="array" ref="U57">-U42/SQRT(INDEX(_R_1,ROW(E11),ROW(E11))*INDEX(_R_1,COLUMN(E11),COLUMN(E11)))</f>
        <v>-0.31698437443310706</v>
      </c>
      <c r="V57" s="35" cm="1">
        <f t="array" ref="V57">-V42/SQRT(INDEX(_R_1,ROW(F11),ROW(F11))*INDEX(_R_1,COLUMN(F11),COLUMN(F11)))</f>
        <v>0.39623416203296252</v>
      </c>
      <c r="W57" s="35" cm="1">
        <f t="array" ref="W57">-W42/SQRT(INDEX(_R_1,ROW(G11),ROW(G11))*INDEX(_R_1,COLUMN(G11),COLUMN(G11)))</f>
        <v>-0.4830347313307094</v>
      </c>
      <c r="X57" s="35" cm="1">
        <f t="array" ref="X57">-X42/SQRT(INDEX(_R_1,ROW(H11),ROW(H11))*INDEX(_R_1,COLUMN(H11),COLUMN(H11)))</f>
        <v>0.58584516780657825</v>
      </c>
      <c r="Y57" s="35" cm="1">
        <f t="array" ref="Y57">-Y42/SQRT(INDEX(_R_1,ROW(I11),ROW(I11))*INDEX(_R_1,COLUMN(I11),COLUMN(I11)))</f>
        <v>-0.72725445350152496</v>
      </c>
      <c r="Z57" s="35" cm="1">
        <f t="array" ref="Z57">-Z42/SQRT(INDEX(_R_1,ROW(J11),ROW(J11))*INDEX(_R_1,COLUMN(J11),COLUMN(J11)))</f>
        <v>0.90361237675022832</v>
      </c>
      <c r="AA57" s="35">
        <v>1</v>
      </c>
      <c r="AB57" s="35" cm="1">
        <f t="array" ref="AB57">-AB42/SQRT(INDEX(_R_1,ROW(L11),ROW(L11))*INDEX(_R_1,COLUMN(L11),COLUMN(L11)))</f>
        <v>0.89148919778316804</v>
      </c>
      <c r="AC57" s="35" cm="1">
        <f t="array" ref="AC57">-AC42/SQRT(INDEX(_R_1,ROW(M11),ROW(M11))*INDEX(_R_1,COLUMN(M11),COLUMN(M11)))</f>
        <v>-0.68785142376054731</v>
      </c>
    </row>
    <row r="58" spans="1:29" x14ac:dyDescent="0.4">
      <c r="A58" s="1">
        <v>22951</v>
      </c>
      <c r="B58" s="28">
        <v>318.69791666666663</v>
      </c>
      <c r="C58" s="28">
        <f t="shared" si="3"/>
        <v>318.61291666666671</v>
      </c>
      <c r="D58" s="28">
        <f t="shared" si="3"/>
        <v>318.57166666666666</v>
      </c>
      <c r="E58" s="28">
        <f t="shared" si="3"/>
        <v>318.54249999999996</v>
      </c>
      <c r="F58" s="28">
        <f t="shared" si="3"/>
        <v>318.48750000000001</v>
      </c>
      <c r="G58" s="28">
        <f t="shared" si="3"/>
        <v>318.42541666666665</v>
      </c>
      <c r="H58" s="28">
        <f t="shared" si="3"/>
        <v>318.37208333333336</v>
      </c>
      <c r="I58" s="28">
        <f t="shared" si="3"/>
        <v>318.34291666666661</v>
      </c>
      <c r="J58" s="28">
        <f t="shared" si="3"/>
        <v>318.2858333333333</v>
      </c>
      <c r="K58" s="28">
        <f t="shared" si="3"/>
        <v>318.20791666666668</v>
      </c>
      <c r="L58" s="28">
        <f t="shared" si="3"/>
        <v>318.13916666666665</v>
      </c>
      <c r="M58" s="28">
        <f t="shared" si="3"/>
        <v>318.06041666666664</v>
      </c>
      <c r="N58" s="28">
        <f t="shared" si="3"/>
        <v>318.00666666666666</v>
      </c>
      <c r="P58" s="40">
        <v>-11</v>
      </c>
      <c r="Q58" s="35" cm="1">
        <f t="array" ref="Q58">-Q43/SQRT(INDEX(_R_1,ROW(A12),ROW(A12))*INDEX(_R_1,COLUMN(A12),COLUMN(A12)))</f>
        <v>-0.14902589723975004</v>
      </c>
      <c r="R58" s="35" cm="1">
        <f t="array" ref="R58">-R43/SQRT(INDEX(_R_1,ROW(B12),ROW(B12))*INDEX(_R_1,COLUMN(B12),COLUMN(B12)))</f>
        <v>6.6330302038745403E-2</v>
      </c>
      <c r="S58" s="35" cm="1">
        <f t="array" ref="S58">-S43/SQRT(INDEX(_R_1,ROW(C12),ROW(C12))*INDEX(_R_1,COLUMN(C12),COLUMN(C12)))</f>
        <v>4.1286543218198697E-2</v>
      </c>
      <c r="T58" s="35" cm="1">
        <f t="array" ref="T58">-T43/SQRT(INDEX(_R_1,ROW(D12),ROW(D12))*INDEX(_R_1,COLUMN(D12),COLUMN(D12)))</f>
        <v>-0.12685522390408505</v>
      </c>
      <c r="U58" s="35" cm="1">
        <f t="array" ref="U58">-U43/SQRT(INDEX(_R_1,ROW(E12),ROW(E12))*INDEX(_R_1,COLUMN(E12),COLUMN(E12)))</f>
        <v>0.20324481311121356</v>
      </c>
      <c r="V58" s="35" cm="1">
        <f t="array" ref="V58">-V43/SQRT(INDEX(_R_1,ROW(F12),ROW(F12))*INDEX(_R_1,COLUMN(F12),COLUMN(F12)))</f>
        <v>-0.27184370299505423</v>
      </c>
      <c r="W58" s="35" cm="1">
        <f t="array" ref="W58">-W43/SQRT(INDEX(_R_1,ROW(G12),ROW(G12))*INDEX(_R_1,COLUMN(G12),COLUMN(G12)))</f>
        <v>0.34407284482552175</v>
      </c>
      <c r="X58" s="35" cm="1">
        <f t="array" ref="X58">-X43/SQRT(INDEX(_R_1,ROW(H12),ROW(H12))*INDEX(_R_1,COLUMN(H12),COLUMN(H12)))</f>
        <v>-0.42495141311348678</v>
      </c>
      <c r="Y58" s="35" cm="1">
        <f t="array" ref="Y58">-Y43/SQRT(INDEX(_R_1,ROW(I12),ROW(I12))*INDEX(_R_1,COLUMN(I12),COLUMN(I12)))</f>
        <v>0.52879339958907468</v>
      </c>
      <c r="Z58" s="35" cm="1">
        <f t="array" ref="Z58">-Z43/SQRT(INDEX(_R_1,ROW(J12),ROW(J12))*INDEX(_R_1,COLUMN(J12),COLUMN(J12)))</f>
        <v>-0.68273564819596411</v>
      </c>
      <c r="AA58" s="35" cm="1">
        <f t="array" ref="AA58">-AA43/SQRT(INDEX(_R_1,ROW(K12),ROW(K12))*INDEX(_R_1,COLUMN(K12),COLUMN(K12)))</f>
        <v>0.89148919778346924</v>
      </c>
      <c r="AB58" s="35">
        <v>1</v>
      </c>
      <c r="AC58" s="35" cm="1">
        <f t="array" ref="AC58">-AC43/SQRT(INDEX(_R_1,ROW(M12),ROW(M12))*INDEX(_R_1,COLUMN(M12),COLUMN(M12)))</f>
        <v>0.92547367940607994</v>
      </c>
    </row>
    <row r="59" spans="1:29" ht="19.5" thickBot="1" x14ac:dyDescent="0.45">
      <c r="A59" s="1">
        <v>22981</v>
      </c>
      <c r="B59" s="28">
        <v>318.78499999999997</v>
      </c>
      <c r="C59" s="28">
        <f t="shared" si="3"/>
        <v>318.69791666666663</v>
      </c>
      <c r="D59" s="28">
        <f t="shared" si="3"/>
        <v>318.61291666666671</v>
      </c>
      <c r="E59" s="28">
        <f t="shared" si="3"/>
        <v>318.57166666666666</v>
      </c>
      <c r="F59" s="28">
        <f t="shared" si="3"/>
        <v>318.54249999999996</v>
      </c>
      <c r="G59" s="28">
        <f t="shared" si="3"/>
        <v>318.48750000000001</v>
      </c>
      <c r="H59" s="28">
        <f t="shared" si="3"/>
        <v>318.42541666666665</v>
      </c>
      <c r="I59" s="28">
        <f t="shared" si="3"/>
        <v>318.37208333333336</v>
      </c>
      <c r="J59" s="28">
        <f t="shared" si="3"/>
        <v>318.34291666666661</v>
      </c>
      <c r="K59" s="28">
        <f t="shared" si="3"/>
        <v>318.2858333333333</v>
      </c>
      <c r="L59" s="28">
        <f t="shared" si="3"/>
        <v>318.20791666666668</v>
      </c>
      <c r="M59" s="28">
        <f t="shared" si="3"/>
        <v>318.13916666666665</v>
      </c>
      <c r="N59" s="28">
        <f t="shared" si="3"/>
        <v>318.06041666666664</v>
      </c>
      <c r="P59" s="41">
        <v>-12</v>
      </c>
      <c r="Q59" s="36" cm="1">
        <f t="array" ref="Q59">-Q44/SQRT(INDEX(_R_1,ROW(A13),ROW(A13))*INDEX(_R_1,COLUMN(A13),COLUMN(A13)))</f>
        <v>0.24488557973845693</v>
      </c>
      <c r="R59" s="36" cm="1">
        <f t="array" ref="R59">-R44/SQRT(INDEX(_R_1,ROW(B13),ROW(B13))*INDEX(_R_1,COLUMN(B13),COLUMN(B13)))</f>
        <v>-0.14864992395091406</v>
      </c>
      <c r="S59" s="36" cm="1">
        <f t="array" ref="S59">-S44/SQRT(INDEX(_R_1,ROW(C13),ROW(C13))*INDEX(_R_1,COLUMN(C13),COLUMN(C13)))</f>
        <v>3.3788854123486319E-2</v>
      </c>
      <c r="T59" s="36" cm="1">
        <f t="array" ref="T59">-T44/SQRT(INDEX(_R_1,ROW(D13),ROW(D13))*INDEX(_R_1,COLUMN(D13),COLUMN(D13)))</f>
        <v>4.3777423186315424E-2</v>
      </c>
      <c r="U59" s="36" cm="1">
        <f t="array" ref="U59">-U44/SQRT(INDEX(_R_1,ROW(E13),ROW(E13))*INDEX(_R_1,COLUMN(E13),COLUMN(E13)))</f>
        <v>-0.11367514072691082</v>
      </c>
      <c r="V59" s="36" cm="1">
        <f t="array" ref="V59">-V44/SQRT(INDEX(_R_1,ROW(F13),ROW(F13))*INDEX(_R_1,COLUMN(F13),COLUMN(F13)))</f>
        <v>0.17214533300322096</v>
      </c>
      <c r="W59" s="36" cm="1">
        <f t="array" ref="W59">-W44/SQRT(INDEX(_R_1,ROW(G13),ROW(G13))*INDEX(_R_1,COLUMN(G13),COLUMN(G13)))</f>
        <v>-0.23272651786086773</v>
      </c>
      <c r="X59" s="36" cm="1">
        <f t="array" ref="X59">-X44/SQRT(INDEX(_R_1,ROW(H13),ROW(H13))*INDEX(_R_1,COLUMN(H13),COLUMN(H13)))</f>
        <v>0.29606931858191549</v>
      </c>
      <c r="Y59" s="36" cm="1">
        <f t="array" ref="Y59">-Y44/SQRT(INDEX(_R_1,ROW(I13),ROW(I13))*INDEX(_R_1,COLUMN(I13),COLUMN(I13)))</f>
        <v>-0.37694144287075576</v>
      </c>
      <c r="Z59" s="36" cm="1">
        <f t="array" ref="Z59">-Z44/SQRT(INDEX(_R_1,ROW(J13),ROW(J13))*INDEX(_R_1,COLUMN(J13),COLUMN(J13)))</f>
        <v>0.48719659605857507</v>
      </c>
      <c r="AA59" s="36" cm="1">
        <f t="array" ref="AA59">-AA44/SQRT(INDEX(_R_1,ROW(K13),ROW(K13))*INDEX(_R_1,COLUMN(K13),COLUMN(K13)))</f>
        <v>-0.68785142376090935</v>
      </c>
      <c r="AB59" s="36" cm="1">
        <f t="array" ref="AB59">-AB44/SQRT(INDEX(_R_1,ROW(L13),ROW(L13))*INDEX(_R_1,COLUMN(L13),COLUMN(L13)))</f>
        <v>0.92547367940619341</v>
      </c>
      <c r="AC59" s="36">
        <v>1</v>
      </c>
    </row>
    <row r="60" spans="1:29" x14ac:dyDescent="0.4">
      <c r="A60" s="1">
        <v>23012</v>
      </c>
      <c r="B60" s="28">
        <v>318.82625000000002</v>
      </c>
      <c r="C60" s="28">
        <f t="shared" si="3"/>
        <v>318.78499999999997</v>
      </c>
      <c r="D60" s="28">
        <f t="shared" si="3"/>
        <v>318.69791666666663</v>
      </c>
      <c r="E60" s="28">
        <f t="shared" si="3"/>
        <v>318.61291666666671</v>
      </c>
      <c r="F60" s="28">
        <f t="shared" si="3"/>
        <v>318.57166666666666</v>
      </c>
      <c r="G60" s="28">
        <f t="shared" si="3"/>
        <v>318.54249999999996</v>
      </c>
      <c r="H60" s="28">
        <f t="shared" si="3"/>
        <v>318.48750000000001</v>
      </c>
      <c r="I60" s="28">
        <f t="shared" si="3"/>
        <v>318.42541666666665</v>
      </c>
      <c r="J60" s="28">
        <f t="shared" si="3"/>
        <v>318.37208333333336</v>
      </c>
      <c r="K60" s="28">
        <f t="shared" si="3"/>
        <v>318.34291666666661</v>
      </c>
      <c r="L60" s="28">
        <f t="shared" si="3"/>
        <v>318.2858333333333</v>
      </c>
      <c r="M60" s="28">
        <f t="shared" si="3"/>
        <v>318.20791666666668</v>
      </c>
      <c r="N60" s="28">
        <f t="shared" si="3"/>
        <v>318.13916666666665</v>
      </c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4">
      <c r="A61" s="1">
        <v>23043</v>
      </c>
      <c r="B61" s="28">
        <v>318.84708333333333</v>
      </c>
      <c r="C61" s="28">
        <f t="shared" ref="C61:N124" si="4">IF(B60=0,"",B60)</f>
        <v>318.82625000000002</v>
      </c>
      <c r="D61" s="28">
        <f t="shared" si="4"/>
        <v>318.78499999999997</v>
      </c>
      <c r="E61" s="28">
        <f t="shared" si="4"/>
        <v>318.69791666666663</v>
      </c>
      <c r="F61" s="28">
        <f t="shared" si="4"/>
        <v>318.61291666666671</v>
      </c>
      <c r="G61" s="28">
        <f t="shared" si="4"/>
        <v>318.57166666666666</v>
      </c>
      <c r="H61" s="28">
        <f t="shared" si="4"/>
        <v>318.54249999999996</v>
      </c>
      <c r="I61" s="28">
        <f t="shared" si="4"/>
        <v>318.48750000000001</v>
      </c>
      <c r="J61" s="28">
        <f t="shared" si="4"/>
        <v>318.42541666666665</v>
      </c>
      <c r="K61" s="28">
        <f t="shared" si="4"/>
        <v>318.37208333333336</v>
      </c>
      <c r="L61" s="28">
        <f t="shared" si="4"/>
        <v>318.34291666666661</v>
      </c>
      <c r="M61" s="28">
        <f t="shared" si="4"/>
        <v>318.2858333333333</v>
      </c>
      <c r="N61" s="28">
        <f t="shared" si="4"/>
        <v>318.20791666666668</v>
      </c>
    </row>
    <row r="62" spans="1:29" x14ac:dyDescent="0.4">
      <c r="A62" s="1">
        <v>23071</v>
      </c>
      <c r="B62" s="28">
        <v>318.86083333333335</v>
      </c>
      <c r="C62" s="28">
        <f t="shared" si="4"/>
        <v>318.84708333333333</v>
      </c>
      <c r="D62" s="28">
        <f t="shared" si="4"/>
        <v>318.82625000000002</v>
      </c>
      <c r="E62" s="28">
        <f t="shared" si="4"/>
        <v>318.78499999999997</v>
      </c>
      <c r="F62" s="28">
        <f t="shared" si="4"/>
        <v>318.69791666666663</v>
      </c>
      <c r="G62" s="28">
        <f t="shared" si="4"/>
        <v>318.61291666666671</v>
      </c>
      <c r="H62" s="28">
        <f t="shared" si="4"/>
        <v>318.57166666666666</v>
      </c>
      <c r="I62" s="28">
        <f t="shared" si="4"/>
        <v>318.54249999999996</v>
      </c>
      <c r="J62" s="28">
        <f t="shared" si="4"/>
        <v>318.48750000000001</v>
      </c>
      <c r="K62" s="28">
        <f t="shared" si="4"/>
        <v>318.42541666666665</v>
      </c>
      <c r="L62" s="28">
        <f t="shared" si="4"/>
        <v>318.37208333333336</v>
      </c>
      <c r="M62" s="28">
        <f t="shared" si="4"/>
        <v>318.34291666666661</v>
      </c>
      <c r="N62" s="28">
        <f t="shared" si="4"/>
        <v>318.2858333333333</v>
      </c>
    </row>
    <row r="63" spans="1:29" x14ac:dyDescent="0.4">
      <c r="A63" s="1">
        <v>23102</v>
      </c>
      <c r="B63" s="28">
        <v>318.88291666666669</v>
      </c>
      <c r="C63" s="28">
        <f t="shared" si="4"/>
        <v>318.86083333333335</v>
      </c>
      <c r="D63" s="28">
        <f t="shared" si="4"/>
        <v>318.84708333333333</v>
      </c>
      <c r="E63" s="28">
        <f t="shared" si="4"/>
        <v>318.82625000000002</v>
      </c>
      <c r="F63" s="28">
        <f t="shared" si="4"/>
        <v>318.78499999999997</v>
      </c>
      <c r="G63" s="28">
        <f t="shared" si="4"/>
        <v>318.69791666666663</v>
      </c>
      <c r="H63" s="28">
        <f t="shared" si="4"/>
        <v>318.61291666666671</v>
      </c>
      <c r="I63" s="28">
        <f t="shared" si="4"/>
        <v>318.57166666666666</v>
      </c>
      <c r="J63" s="28">
        <f t="shared" si="4"/>
        <v>318.54249999999996</v>
      </c>
      <c r="K63" s="28">
        <f t="shared" si="4"/>
        <v>318.48750000000001</v>
      </c>
      <c r="L63" s="28">
        <f t="shared" si="4"/>
        <v>318.42541666666665</v>
      </c>
      <c r="M63" s="28">
        <f t="shared" si="4"/>
        <v>318.37208333333336</v>
      </c>
      <c r="N63" s="28">
        <f t="shared" si="4"/>
        <v>318.34291666666661</v>
      </c>
    </row>
    <row r="64" spans="1:29" x14ac:dyDescent="0.4">
      <c r="A64" s="1">
        <v>23132</v>
      </c>
      <c r="B64" s="28">
        <v>318.92249999999996</v>
      </c>
      <c r="C64" s="28">
        <f t="shared" si="4"/>
        <v>318.88291666666669</v>
      </c>
      <c r="D64" s="28">
        <f t="shared" si="4"/>
        <v>318.86083333333335</v>
      </c>
      <c r="E64" s="28">
        <f t="shared" si="4"/>
        <v>318.84708333333333</v>
      </c>
      <c r="F64" s="28">
        <f t="shared" si="4"/>
        <v>318.82625000000002</v>
      </c>
      <c r="G64" s="28">
        <f t="shared" si="4"/>
        <v>318.78499999999997</v>
      </c>
      <c r="H64" s="28">
        <f t="shared" si="4"/>
        <v>318.69791666666663</v>
      </c>
      <c r="I64" s="28">
        <f t="shared" si="4"/>
        <v>318.61291666666671</v>
      </c>
      <c r="J64" s="28">
        <f t="shared" si="4"/>
        <v>318.57166666666666</v>
      </c>
      <c r="K64" s="28">
        <f t="shared" si="4"/>
        <v>318.54249999999996</v>
      </c>
      <c r="L64" s="28">
        <f t="shared" si="4"/>
        <v>318.48750000000001</v>
      </c>
      <c r="M64" s="28">
        <f t="shared" si="4"/>
        <v>318.42541666666665</v>
      </c>
      <c r="N64" s="28">
        <f t="shared" si="4"/>
        <v>318.37208333333336</v>
      </c>
    </row>
    <row r="65" spans="1:14" x14ac:dyDescent="0.4">
      <c r="A65" s="1">
        <v>23163</v>
      </c>
      <c r="B65" s="28">
        <v>318.96541666666673</v>
      </c>
      <c r="C65" s="28">
        <f t="shared" si="4"/>
        <v>318.92249999999996</v>
      </c>
      <c r="D65" s="28">
        <f t="shared" si="4"/>
        <v>318.88291666666669</v>
      </c>
      <c r="E65" s="28">
        <f t="shared" si="4"/>
        <v>318.86083333333335</v>
      </c>
      <c r="F65" s="28">
        <f t="shared" si="4"/>
        <v>318.84708333333333</v>
      </c>
      <c r="G65" s="28">
        <f t="shared" si="4"/>
        <v>318.82625000000002</v>
      </c>
      <c r="H65" s="28">
        <f t="shared" si="4"/>
        <v>318.78499999999997</v>
      </c>
      <c r="I65" s="28">
        <f t="shared" si="4"/>
        <v>318.69791666666663</v>
      </c>
      <c r="J65" s="28">
        <f t="shared" si="4"/>
        <v>318.61291666666671</v>
      </c>
      <c r="K65" s="28">
        <f t="shared" si="4"/>
        <v>318.57166666666666</v>
      </c>
      <c r="L65" s="28">
        <f t="shared" si="4"/>
        <v>318.54249999999996</v>
      </c>
      <c r="M65" s="28">
        <f t="shared" si="4"/>
        <v>318.48750000000001</v>
      </c>
      <c r="N65" s="28">
        <f t="shared" si="4"/>
        <v>318.42541666666665</v>
      </c>
    </row>
    <row r="66" spans="1:14" x14ac:dyDescent="0.4">
      <c r="A66" s="1">
        <v>23193</v>
      </c>
      <c r="B66" s="28">
        <v>319.02708333333334</v>
      </c>
      <c r="C66" s="28">
        <f t="shared" si="4"/>
        <v>318.96541666666673</v>
      </c>
      <c r="D66" s="28">
        <f t="shared" si="4"/>
        <v>318.92249999999996</v>
      </c>
      <c r="E66" s="28">
        <f t="shared" si="4"/>
        <v>318.88291666666669</v>
      </c>
      <c r="F66" s="28">
        <f t="shared" si="4"/>
        <v>318.86083333333335</v>
      </c>
      <c r="G66" s="28">
        <f t="shared" si="4"/>
        <v>318.84708333333333</v>
      </c>
      <c r="H66" s="28">
        <f t="shared" si="4"/>
        <v>318.82625000000002</v>
      </c>
      <c r="I66" s="28">
        <f t="shared" si="4"/>
        <v>318.78499999999997</v>
      </c>
      <c r="J66" s="28">
        <f t="shared" si="4"/>
        <v>318.69791666666663</v>
      </c>
      <c r="K66" s="28">
        <f t="shared" si="4"/>
        <v>318.61291666666671</v>
      </c>
      <c r="L66" s="28">
        <f t="shared" si="4"/>
        <v>318.57166666666666</v>
      </c>
      <c r="M66" s="28">
        <f t="shared" si="4"/>
        <v>318.54249999999996</v>
      </c>
      <c r="N66" s="28">
        <f t="shared" si="4"/>
        <v>318.48750000000001</v>
      </c>
    </row>
    <row r="67" spans="1:14" x14ac:dyDescent="0.4">
      <c r="A67" s="1">
        <v>23224</v>
      </c>
      <c r="B67" s="28">
        <v>319.1112155647383</v>
      </c>
      <c r="C67" s="28">
        <f t="shared" si="4"/>
        <v>319.02708333333334</v>
      </c>
      <c r="D67" s="28">
        <f t="shared" si="4"/>
        <v>318.96541666666673</v>
      </c>
      <c r="E67" s="28">
        <f t="shared" si="4"/>
        <v>318.92249999999996</v>
      </c>
      <c r="F67" s="28">
        <f t="shared" si="4"/>
        <v>318.88291666666669</v>
      </c>
      <c r="G67" s="28">
        <f t="shared" si="4"/>
        <v>318.86083333333335</v>
      </c>
      <c r="H67" s="28">
        <f t="shared" si="4"/>
        <v>318.84708333333333</v>
      </c>
      <c r="I67" s="28">
        <f t="shared" si="4"/>
        <v>318.82625000000002</v>
      </c>
      <c r="J67" s="28">
        <f t="shared" si="4"/>
        <v>318.78499999999997</v>
      </c>
      <c r="K67" s="28">
        <f t="shared" si="4"/>
        <v>318.69791666666663</v>
      </c>
      <c r="L67" s="28">
        <f t="shared" si="4"/>
        <v>318.61291666666671</v>
      </c>
      <c r="M67" s="28">
        <f t="shared" si="4"/>
        <v>318.57166666666666</v>
      </c>
      <c r="N67" s="28">
        <f t="shared" si="4"/>
        <v>318.54249999999996</v>
      </c>
    </row>
    <row r="68" spans="1:14" x14ac:dyDescent="0.4">
      <c r="A68" s="1">
        <v>23255</v>
      </c>
      <c r="B68" s="28">
        <v>319.20425964187325</v>
      </c>
      <c r="C68" s="28">
        <f t="shared" si="4"/>
        <v>319.1112155647383</v>
      </c>
      <c r="D68" s="28">
        <f t="shared" si="4"/>
        <v>319.02708333333334</v>
      </c>
      <c r="E68" s="28">
        <f t="shared" si="4"/>
        <v>318.96541666666673</v>
      </c>
      <c r="F68" s="28">
        <f t="shared" si="4"/>
        <v>318.92249999999996</v>
      </c>
      <c r="G68" s="28">
        <f t="shared" si="4"/>
        <v>318.88291666666669</v>
      </c>
      <c r="H68" s="28">
        <f t="shared" si="4"/>
        <v>318.86083333333335</v>
      </c>
      <c r="I68" s="28">
        <f t="shared" si="4"/>
        <v>318.84708333333333</v>
      </c>
      <c r="J68" s="28">
        <f t="shared" si="4"/>
        <v>318.82625000000002</v>
      </c>
      <c r="K68" s="28">
        <f t="shared" si="4"/>
        <v>318.78499999999997</v>
      </c>
      <c r="L68" s="28">
        <f t="shared" si="4"/>
        <v>318.69791666666663</v>
      </c>
      <c r="M68" s="28">
        <f t="shared" si="4"/>
        <v>318.61291666666671</v>
      </c>
      <c r="N68" s="28">
        <f t="shared" si="4"/>
        <v>318.57166666666666</v>
      </c>
    </row>
    <row r="69" spans="1:14" x14ac:dyDescent="0.4">
      <c r="A69" s="1">
        <v>23285</v>
      </c>
      <c r="B69" s="28">
        <v>319.25663223140498</v>
      </c>
      <c r="C69" s="28">
        <f t="shared" si="4"/>
        <v>319.20425964187325</v>
      </c>
      <c r="D69" s="28">
        <f t="shared" si="4"/>
        <v>319.1112155647383</v>
      </c>
      <c r="E69" s="28">
        <f t="shared" si="4"/>
        <v>319.02708333333334</v>
      </c>
      <c r="F69" s="28">
        <f t="shared" si="4"/>
        <v>318.96541666666673</v>
      </c>
      <c r="G69" s="28">
        <f t="shared" si="4"/>
        <v>318.92249999999996</v>
      </c>
      <c r="H69" s="28">
        <f t="shared" si="4"/>
        <v>318.88291666666669</v>
      </c>
      <c r="I69" s="28">
        <f t="shared" si="4"/>
        <v>318.86083333333335</v>
      </c>
      <c r="J69" s="28">
        <f t="shared" si="4"/>
        <v>318.84708333333333</v>
      </c>
      <c r="K69" s="28">
        <f t="shared" si="4"/>
        <v>318.82625000000002</v>
      </c>
      <c r="L69" s="28">
        <f t="shared" si="4"/>
        <v>318.78499999999997</v>
      </c>
      <c r="M69" s="28">
        <f t="shared" si="4"/>
        <v>318.69791666666663</v>
      </c>
      <c r="N69" s="28">
        <f t="shared" si="4"/>
        <v>318.61291666666671</v>
      </c>
    </row>
    <row r="70" spans="1:14" x14ac:dyDescent="0.4">
      <c r="A70" s="1">
        <v>23316</v>
      </c>
      <c r="B70" s="28">
        <v>319.26592630853992</v>
      </c>
      <c r="C70" s="28">
        <f t="shared" si="4"/>
        <v>319.25663223140498</v>
      </c>
      <c r="D70" s="28">
        <f t="shared" si="4"/>
        <v>319.20425964187325</v>
      </c>
      <c r="E70" s="28">
        <f t="shared" si="4"/>
        <v>319.1112155647383</v>
      </c>
      <c r="F70" s="28">
        <f t="shared" si="4"/>
        <v>319.02708333333334</v>
      </c>
      <c r="G70" s="28">
        <f t="shared" si="4"/>
        <v>318.96541666666673</v>
      </c>
      <c r="H70" s="28">
        <f t="shared" si="4"/>
        <v>318.92249999999996</v>
      </c>
      <c r="I70" s="28">
        <f t="shared" si="4"/>
        <v>318.88291666666669</v>
      </c>
      <c r="J70" s="28">
        <f t="shared" si="4"/>
        <v>318.86083333333335</v>
      </c>
      <c r="K70" s="28">
        <f t="shared" si="4"/>
        <v>318.84708333333333</v>
      </c>
      <c r="L70" s="28">
        <f t="shared" si="4"/>
        <v>318.82625000000002</v>
      </c>
      <c r="M70" s="28">
        <f t="shared" si="4"/>
        <v>318.78499999999997</v>
      </c>
      <c r="N70" s="28">
        <f t="shared" si="4"/>
        <v>318.69791666666663</v>
      </c>
    </row>
    <row r="71" spans="1:14" x14ac:dyDescent="0.4">
      <c r="A71" s="1">
        <v>23346</v>
      </c>
      <c r="B71" s="28">
        <v>319.2834263085399</v>
      </c>
      <c r="C71" s="28">
        <f t="shared" si="4"/>
        <v>319.26592630853992</v>
      </c>
      <c r="D71" s="28">
        <f t="shared" si="4"/>
        <v>319.25663223140498</v>
      </c>
      <c r="E71" s="28">
        <f t="shared" si="4"/>
        <v>319.20425964187325</v>
      </c>
      <c r="F71" s="28">
        <f t="shared" si="4"/>
        <v>319.1112155647383</v>
      </c>
      <c r="G71" s="28">
        <f t="shared" si="4"/>
        <v>319.02708333333334</v>
      </c>
      <c r="H71" s="28">
        <f t="shared" si="4"/>
        <v>318.96541666666673</v>
      </c>
      <c r="I71" s="28">
        <f t="shared" si="4"/>
        <v>318.92249999999996</v>
      </c>
      <c r="J71" s="28">
        <f t="shared" si="4"/>
        <v>318.88291666666669</v>
      </c>
      <c r="K71" s="28">
        <f t="shared" si="4"/>
        <v>318.86083333333335</v>
      </c>
      <c r="L71" s="28">
        <f t="shared" si="4"/>
        <v>318.84708333333333</v>
      </c>
      <c r="M71" s="28">
        <f t="shared" si="4"/>
        <v>318.82625000000002</v>
      </c>
      <c r="N71" s="28">
        <f t="shared" si="4"/>
        <v>318.78499999999997</v>
      </c>
    </row>
    <row r="72" spans="1:14" x14ac:dyDescent="0.4">
      <c r="A72" s="1">
        <v>23377</v>
      </c>
      <c r="B72" s="28">
        <v>319.32967630853994</v>
      </c>
      <c r="C72" s="28">
        <f t="shared" si="4"/>
        <v>319.2834263085399</v>
      </c>
      <c r="D72" s="28">
        <f t="shared" si="4"/>
        <v>319.26592630853992</v>
      </c>
      <c r="E72" s="28">
        <f t="shared" si="4"/>
        <v>319.25663223140498</v>
      </c>
      <c r="F72" s="28">
        <f t="shared" si="4"/>
        <v>319.20425964187325</v>
      </c>
      <c r="G72" s="28">
        <f t="shared" si="4"/>
        <v>319.1112155647383</v>
      </c>
      <c r="H72" s="28">
        <f t="shared" si="4"/>
        <v>319.02708333333334</v>
      </c>
      <c r="I72" s="28">
        <f t="shared" si="4"/>
        <v>318.96541666666673</v>
      </c>
      <c r="J72" s="28">
        <f t="shared" si="4"/>
        <v>318.92249999999996</v>
      </c>
      <c r="K72" s="28">
        <f t="shared" si="4"/>
        <v>318.88291666666669</v>
      </c>
      <c r="L72" s="28">
        <f t="shared" si="4"/>
        <v>318.86083333333335</v>
      </c>
      <c r="M72" s="28">
        <f t="shared" si="4"/>
        <v>318.84708333333333</v>
      </c>
      <c r="N72" s="28">
        <f t="shared" si="4"/>
        <v>318.82625000000002</v>
      </c>
    </row>
    <row r="73" spans="1:14" x14ac:dyDescent="0.4">
      <c r="A73" s="1">
        <v>23408</v>
      </c>
      <c r="B73" s="29">
        <v>319.39717630853988</v>
      </c>
      <c r="C73" s="28">
        <f t="shared" si="4"/>
        <v>319.32967630853994</v>
      </c>
      <c r="D73" s="28">
        <f t="shared" si="4"/>
        <v>319.2834263085399</v>
      </c>
      <c r="E73" s="28">
        <f t="shared" si="4"/>
        <v>319.26592630853992</v>
      </c>
      <c r="F73" s="28">
        <f t="shared" si="4"/>
        <v>319.25663223140498</v>
      </c>
      <c r="G73" s="28">
        <f t="shared" si="4"/>
        <v>319.20425964187325</v>
      </c>
      <c r="H73" s="28">
        <f t="shared" si="4"/>
        <v>319.1112155647383</v>
      </c>
      <c r="I73" s="28">
        <f t="shared" si="4"/>
        <v>319.02708333333334</v>
      </c>
      <c r="J73" s="28">
        <f t="shared" si="4"/>
        <v>318.96541666666673</v>
      </c>
      <c r="K73" s="28">
        <f t="shared" si="4"/>
        <v>318.92249999999996</v>
      </c>
      <c r="L73" s="28">
        <f t="shared" si="4"/>
        <v>318.88291666666669</v>
      </c>
      <c r="M73" s="28">
        <f t="shared" si="4"/>
        <v>318.86083333333335</v>
      </c>
      <c r="N73" s="28">
        <f t="shared" si="4"/>
        <v>318.84708333333333</v>
      </c>
    </row>
    <row r="74" spans="1:14" x14ac:dyDescent="0.4">
      <c r="A74" s="1">
        <v>23437</v>
      </c>
      <c r="B74" s="29">
        <v>319.45592630853992</v>
      </c>
      <c r="C74" s="28">
        <f t="shared" si="4"/>
        <v>319.39717630853988</v>
      </c>
      <c r="D74" s="28">
        <f t="shared" si="4"/>
        <v>319.32967630853994</v>
      </c>
      <c r="E74" s="28">
        <f t="shared" si="4"/>
        <v>319.2834263085399</v>
      </c>
      <c r="F74" s="28">
        <f t="shared" si="4"/>
        <v>319.26592630853992</v>
      </c>
      <c r="G74" s="28">
        <f t="shared" si="4"/>
        <v>319.25663223140498</v>
      </c>
      <c r="H74" s="28">
        <f t="shared" si="4"/>
        <v>319.20425964187325</v>
      </c>
      <c r="I74" s="28">
        <f t="shared" si="4"/>
        <v>319.1112155647383</v>
      </c>
      <c r="J74" s="28">
        <f t="shared" si="4"/>
        <v>319.02708333333334</v>
      </c>
      <c r="K74" s="28">
        <f t="shared" si="4"/>
        <v>318.96541666666673</v>
      </c>
      <c r="L74" s="28">
        <f t="shared" si="4"/>
        <v>318.92249999999996</v>
      </c>
      <c r="M74" s="28">
        <f t="shared" si="4"/>
        <v>318.88291666666669</v>
      </c>
      <c r="N74" s="28">
        <f t="shared" si="4"/>
        <v>318.86083333333335</v>
      </c>
    </row>
    <row r="75" spans="1:14" x14ac:dyDescent="0.4">
      <c r="A75" s="1">
        <v>23468</v>
      </c>
      <c r="B75" s="29">
        <v>319.51300964187323</v>
      </c>
      <c r="C75" s="28">
        <f t="shared" si="4"/>
        <v>319.45592630853992</v>
      </c>
      <c r="D75" s="28">
        <f t="shared" si="4"/>
        <v>319.39717630853988</v>
      </c>
      <c r="E75" s="28">
        <f t="shared" si="4"/>
        <v>319.32967630853994</v>
      </c>
      <c r="F75" s="28">
        <f t="shared" si="4"/>
        <v>319.2834263085399</v>
      </c>
      <c r="G75" s="28">
        <f t="shared" si="4"/>
        <v>319.26592630853992</v>
      </c>
      <c r="H75" s="28">
        <f t="shared" si="4"/>
        <v>319.25663223140498</v>
      </c>
      <c r="I75" s="28">
        <f t="shared" si="4"/>
        <v>319.20425964187325</v>
      </c>
      <c r="J75" s="28">
        <f t="shared" si="4"/>
        <v>319.1112155647383</v>
      </c>
      <c r="K75" s="28">
        <f t="shared" si="4"/>
        <v>319.02708333333334</v>
      </c>
      <c r="L75" s="28">
        <f t="shared" si="4"/>
        <v>318.96541666666673</v>
      </c>
      <c r="M75" s="28">
        <f t="shared" si="4"/>
        <v>318.92249999999996</v>
      </c>
      <c r="N75" s="28">
        <f t="shared" si="4"/>
        <v>318.88291666666669</v>
      </c>
    </row>
    <row r="76" spans="1:14" x14ac:dyDescent="0.4">
      <c r="A76" s="1">
        <v>23498</v>
      </c>
      <c r="B76" s="28">
        <v>319.57509297520659</v>
      </c>
      <c r="C76" s="28">
        <f t="shared" si="4"/>
        <v>319.51300964187323</v>
      </c>
      <c r="D76" s="28">
        <f t="shared" si="4"/>
        <v>319.45592630853992</v>
      </c>
      <c r="E76" s="28">
        <f t="shared" si="4"/>
        <v>319.39717630853988</v>
      </c>
      <c r="F76" s="28">
        <f t="shared" si="4"/>
        <v>319.32967630853994</v>
      </c>
      <c r="G76" s="28">
        <f t="shared" si="4"/>
        <v>319.2834263085399</v>
      </c>
      <c r="H76" s="28">
        <f t="shared" si="4"/>
        <v>319.26592630853992</v>
      </c>
      <c r="I76" s="28">
        <f t="shared" si="4"/>
        <v>319.25663223140498</v>
      </c>
      <c r="J76" s="28">
        <f t="shared" si="4"/>
        <v>319.20425964187325</v>
      </c>
      <c r="K76" s="28">
        <f t="shared" si="4"/>
        <v>319.1112155647383</v>
      </c>
      <c r="L76" s="28">
        <f t="shared" si="4"/>
        <v>319.02708333333334</v>
      </c>
      <c r="M76" s="28">
        <f t="shared" si="4"/>
        <v>318.96541666666673</v>
      </c>
      <c r="N76" s="28">
        <f t="shared" si="4"/>
        <v>318.92249999999996</v>
      </c>
    </row>
    <row r="77" spans="1:14" x14ac:dyDescent="0.4">
      <c r="A77" s="1">
        <v>23529</v>
      </c>
      <c r="B77" s="28">
        <v>319.6155096418733</v>
      </c>
      <c r="C77" s="28">
        <f t="shared" si="4"/>
        <v>319.57509297520659</v>
      </c>
      <c r="D77" s="28">
        <f t="shared" si="4"/>
        <v>319.51300964187323</v>
      </c>
      <c r="E77" s="28">
        <f t="shared" si="4"/>
        <v>319.45592630853992</v>
      </c>
      <c r="F77" s="28">
        <f t="shared" si="4"/>
        <v>319.39717630853988</v>
      </c>
      <c r="G77" s="28">
        <f t="shared" si="4"/>
        <v>319.32967630853994</v>
      </c>
      <c r="H77" s="28">
        <f t="shared" si="4"/>
        <v>319.2834263085399</v>
      </c>
      <c r="I77" s="28">
        <f t="shared" si="4"/>
        <v>319.26592630853992</v>
      </c>
      <c r="J77" s="28">
        <f t="shared" si="4"/>
        <v>319.25663223140498</v>
      </c>
      <c r="K77" s="28">
        <f t="shared" si="4"/>
        <v>319.20425964187325</v>
      </c>
      <c r="L77" s="28">
        <f t="shared" si="4"/>
        <v>319.1112155647383</v>
      </c>
      <c r="M77" s="28">
        <f t="shared" si="4"/>
        <v>319.02708333333334</v>
      </c>
      <c r="N77" s="28">
        <f t="shared" si="4"/>
        <v>318.96541666666673</v>
      </c>
    </row>
    <row r="78" spans="1:14" x14ac:dyDescent="0.4">
      <c r="A78" s="1">
        <v>23559</v>
      </c>
      <c r="B78" s="28">
        <v>319.6250929752066</v>
      </c>
      <c r="C78" s="28">
        <f t="shared" si="4"/>
        <v>319.6155096418733</v>
      </c>
      <c r="D78" s="28">
        <f t="shared" si="4"/>
        <v>319.57509297520659</v>
      </c>
      <c r="E78" s="28">
        <f t="shared" si="4"/>
        <v>319.51300964187323</v>
      </c>
      <c r="F78" s="28">
        <f t="shared" si="4"/>
        <v>319.45592630853992</v>
      </c>
      <c r="G78" s="28">
        <f t="shared" si="4"/>
        <v>319.39717630853988</v>
      </c>
      <c r="H78" s="28">
        <f t="shared" si="4"/>
        <v>319.32967630853994</v>
      </c>
      <c r="I78" s="28">
        <f t="shared" si="4"/>
        <v>319.2834263085399</v>
      </c>
      <c r="J78" s="28">
        <f t="shared" si="4"/>
        <v>319.26592630853992</v>
      </c>
      <c r="K78" s="28">
        <f t="shared" si="4"/>
        <v>319.25663223140498</v>
      </c>
      <c r="L78" s="28">
        <f t="shared" si="4"/>
        <v>319.20425964187325</v>
      </c>
      <c r="M78" s="28">
        <f t="shared" si="4"/>
        <v>319.1112155647383</v>
      </c>
      <c r="N78" s="28">
        <f t="shared" si="4"/>
        <v>319.02708333333334</v>
      </c>
    </row>
    <row r="79" spans="1:14" x14ac:dyDescent="0.4">
      <c r="A79" s="1">
        <v>23590</v>
      </c>
      <c r="B79" s="28">
        <v>319.62721074380164</v>
      </c>
      <c r="C79" s="28">
        <f t="shared" si="4"/>
        <v>319.6250929752066</v>
      </c>
      <c r="D79" s="28">
        <f t="shared" si="4"/>
        <v>319.6155096418733</v>
      </c>
      <c r="E79" s="28">
        <f t="shared" si="4"/>
        <v>319.57509297520659</v>
      </c>
      <c r="F79" s="28">
        <f t="shared" si="4"/>
        <v>319.51300964187323</v>
      </c>
      <c r="G79" s="28">
        <f t="shared" si="4"/>
        <v>319.45592630853992</v>
      </c>
      <c r="H79" s="28">
        <f t="shared" si="4"/>
        <v>319.39717630853988</v>
      </c>
      <c r="I79" s="28">
        <f t="shared" si="4"/>
        <v>319.32967630853994</v>
      </c>
      <c r="J79" s="28">
        <f t="shared" si="4"/>
        <v>319.2834263085399</v>
      </c>
      <c r="K79" s="28">
        <f t="shared" si="4"/>
        <v>319.26592630853992</v>
      </c>
      <c r="L79" s="28">
        <f t="shared" si="4"/>
        <v>319.25663223140498</v>
      </c>
      <c r="M79" s="28">
        <f t="shared" si="4"/>
        <v>319.20425964187325</v>
      </c>
      <c r="N79" s="28">
        <f t="shared" si="4"/>
        <v>319.1112155647383</v>
      </c>
    </row>
    <row r="80" spans="1:14" x14ac:dyDescent="0.4">
      <c r="A80" s="1">
        <v>23621</v>
      </c>
      <c r="B80" s="28">
        <v>319.63416666666666</v>
      </c>
      <c r="C80" s="28">
        <f t="shared" si="4"/>
        <v>319.62721074380164</v>
      </c>
      <c r="D80" s="28">
        <f t="shared" si="4"/>
        <v>319.6250929752066</v>
      </c>
      <c r="E80" s="28">
        <f t="shared" si="4"/>
        <v>319.6155096418733</v>
      </c>
      <c r="F80" s="28">
        <f t="shared" si="4"/>
        <v>319.57509297520659</v>
      </c>
      <c r="G80" s="28">
        <f t="shared" si="4"/>
        <v>319.51300964187323</v>
      </c>
      <c r="H80" s="28">
        <f t="shared" si="4"/>
        <v>319.45592630853992</v>
      </c>
      <c r="I80" s="28">
        <f t="shared" si="4"/>
        <v>319.39717630853988</v>
      </c>
      <c r="J80" s="28">
        <f t="shared" si="4"/>
        <v>319.32967630853994</v>
      </c>
      <c r="K80" s="28">
        <f t="shared" si="4"/>
        <v>319.2834263085399</v>
      </c>
      <c r="L80" s="28">
        <f t="shared" si="4"/>
        <v>319.26592630853992</v>
      </c>
      <c r="M80" s="28">
        <f t="shared" si="4"/>
        <v>319.25663223140498</v>
      </c>
      <c r="N80" s="28">
        <f t="shared" si="4"/>
        <v>319.20425964187325</v>
      </c>
    </row>
    <row r="81" spans="1:14" x14ac:dyDescent="0.4">
      <c r="A81" s="1">
        <v>23651</v>
      </c>
      <c r="B81" s="28">
        <v>319.65637741046828</v>
      </c>
      <c r="C81" s="28">
        <f t="shared" si="4"/>
        <v>319.63416666666666</v>
      </c>
      <c r="D81" s="28">
        <f t="shared" si="4"/>
        <v>319.62721074380164</v>
      </c>
      <c r="E81" s="28">
        <f t="shared" si="4"/>
        <v>319.6250929752066</v>
      </c>
      <c r="F81" s="28">
        <f t="shared" si="4"/>
        <v>319.6155096418733</v>
      </c>
      <c r="G81" s="28">
        <f t="shared" si="4"/>
        <v>319.57509297520659</v>
      </c>
      <c r="H81" s="28">
        <f t="shared" si="4"/>
        <v>319.51300964187323</v>
      </c>
      <c r="I81" s="28">
        <f t="shared" si="4"/>
        <v>319.45592630853992</v>
      </c>
      <c r="J81" s="28">
        <f t="shared" si="4"/>
        <v>319.39717630853988</v>
      </c>
      <c r="K81" s="28">
        <f t="shared" si="4"/>
        <v>319.32967630853994</v>
      </c>
      <c r="L81" s="28">
        <f t="shared" si="4"/>
        <v>319.2834263085399</v>
      </c>
      <c r="M81" s="28">
        <f t="shared" si="4"/>
        <v>319.26592630853992</v>
      </c>
      <c r="N81" s="28">
        <f t="shared" si="4"/>
        <v>319.25663223140498</v>
      </c>
    </row>
    <row r="82" spans="1:14" x14ac:dyDescent="0.4">
      <c r="A82" s="1">
        <v>23682</v>
      </c>
      <c r="B82" s="28">
        <v>319.67541666666665</v>
      </c>
      <c r="C82" s="28">
        <f t="shared" si="4"/>
        <v>319.65637741046828</v>
      </c>
      <c r="D82" s="28">
        <f t="shared" si="4"/>
        <v>319.63416666666666</v>
      </c>
      <c r="E82" s="28">
        <f t="shared" si="4"/>
        <v>319.62721074380164</v>
      </c>
      <c r="F82" s="28">
        <f t="shared" ref="F82:T145" si="5">IF(E81=0,"",E81)</f>
        <v>319.6250929752066</v>
      </c>
      <c r="G82" s="28">
        <f t="shared" si="5"/>
        <v>319.6155096418733</v>
      </c>
      <c r="H82" s="28">
        <f t="shared" si="5"/>
        <v>319.57509297520659</v>
      </c>
      <c r="I82" s="28">
        <f t="shared" si="5"/>
        <v>319.51300964187323</v>
      </c>
      <c r="J82" s="28">
        <f t="shared" si="5"/>
        <v>319.45592630853992</v>
      </c>
      <c r="K82" s="28">
        <f t="shared" si="5"/>
        <v>319.39717630853988</v>
      </c>
      <c r="L82" s="28">
        <f t="shared" si="5"/>
        <v>319.32967630853994</v>
      </c>
      <c r="M82" s="28">
        <f t="shared" si="5"/>
        <v>319.2834263085399</v>
      </c>
      <c r="N82" s="28">
        <f t="shared" si="5"/>
        <v>319.26592630853992</v>
      </c>
    </row>
    <row r="83" spans="1:14" x14ac:dyDescent="0.4">
      <c r="A83" s="1">
        <v>23712</v>
      </c>
      <c r="B83" s="28">
        <v>319.67083333333335</v>
      </c>
      <c r="C83" s="28">
        <f t="shared" ref="C83:Q146" si="6">IF(B82=0,"",B82)</f>
        <v>319.67541666666665</v>
      </c>
      <c r="D83" s="28">
        <f t="shared" si="6"/>
        <v>319.65637741046828</v>
      </c>
      <c r="E83" s="28">
        <f t="shared" si="6"/>
        <v>319.63416666666666</v>
      </c>
      <c r="F83" s="28">
        <f t="shared" si="6"/>
        <v>319.62721074380164</v>
      </c>
      <c r="G83" s="28">
        <f t="shared" si="6"/>
        <v>319.6250929752066</v>
      </c>
      <c r="H83" s="28">
        <f t="shared" si="6"/>
        <v>319.6155096418733</v>
      </c>
      <c r="I83" s="28">
        <f t="shared" si="6"/>
        <v>319.57509297520659</v>
      </c>
      <c r="J83" s="28">
        <f t="shared" si="6"/>
        <v>319.51300964187323</v>
      </c>
      <c r="K83" s="28">
        <f t="shared" si="6"/>
        <v>319.45592630853992</v>
      </c>
      <c r="L83" s="28">
        <f t="shared" si="6"/>
        <v>319.39717630853988</v>
      </c>
      <c r="M83" s="28">
        <f t="shared" si="6"/>
        <v>319.32967630853994</v>
      </c>
      <c r="N83" s="28">
        <f t="shared" si="6"/>
        <v>319.2834263085399</v>
      </c>
    </row>
    <row r="84" spans="1:14" x14ac:dyDescent="0.4">
      <c r="A84" s="1">
        <v>23743</v>
      </c>
      <c r="B84" s="28">
        <v>319.70208333333341</v>
      </c>
      <c r="C84" s="28">
        <f t="shared" si="6"/>
        <v>319.67083333333335</v>
      </c>
      <c r="D84" s="28">
        <f t="shared" si="6"/>
        <v>319.67541666666665</v>
      </c>
      <c r="E84" s="28">
        <f t="shared" si="6"/>
        <v>319.65637741046828</v>
      </c>
      <c r="F84" s="28">
        <f t="shared" si="6"/>
        <v>319.63416666666666</v>
      </c>
      <c r="G84" s="28">
        <f t="shared" si="6"/>
        <v>319.62721074380164</v>
      </c>
      <c r="H84" s="28">
        <f t="shared" si="6"/>
        <v>319.6250929752066</v>
      </c>
      <c r="I84" s="28">
        <f t="shared" si="6"/>
        <v>319.6155096418733</v>
      </c>
      <c r="J84" s="28">
        <f t="shared" si="6"/>
        <v>319.57509297520659</v>
      </c>
      <c r="K84" s="28">
        <f t="shared" si="6"/>
        <v>319.51300964187323</v>
      </c>
      <c r="L84" s="28">
        <f t="shared" si="6"/>
        <v>319.45592630853992</v>
      </c>
      <c r="M84" s="28">
        <f t="shared" si="6"/>
        <v>319.39717630853988</v>
      </c>
      <c r="N84" s="28">
        <f t="shared" si="6"/>
        <v>319.32967630853994</v>
      </c>
    </row>
    <row r="85" spans="1:14" x14ac:dyDescent="0.4">
      <c r="A85" s="1">
        <v>23774</v>
      </c>
      <c r="B85" s="28">
        <v>319.74166666666667</v>
      </c>
      <c r="C85" s="28">
        <f t="shared" si="6"/>
        <v>319.70208333333341</v>
      </c>
      <c r="D85" s="28">
        <f t="shared" si="6"/>
        <v>319.67083333333335</v>
      </c>
      <c r="E85" s="28">
        <f t="shared" si="6"/>
        <v>319.67541666666665</v>
      </c>
      <c r="F85" s="28">
        <f t="shared" si="6"/>
        <v>319.65637741046828</v>
      </c>
      <c r="G85" s="28">
        <f t="shared" si="6"/>
        <v>319.63416666666666</v>
      </c>
      <c r="H85" s="28">
        <f t="shared" si="6"/>
        <v>319.62721074380164</v>
      </c>
      <c r="I85" s="28">
        <f t="shared" si="6"/>
        <v>319.6250929752066</v>
      </c>
      <c r="J85" s="28">
        <f t="shared" si="6"/>
        <v>319.6155096418733</v>
      </c>
      <c r="K85" s="28">
        <f t="shared" si="6"/>
        <v>319.57509297520659</v>
      </c>
      <c r="L85" s="28">
        <f t="shared" si="6"/>
        <v>319.51300964187323</v>
      </c>
      <c r="M85" s="28">
        <f t="shared" si="6"/>
        <v>319.45592630853992</v>
      </c>
      <c r="N85" s="28">
        <f t="shared" si="6"/>
        <v>319.39717630853988</v>
      </c>
    </row>
    <row r="86" spans="1:14" x14ac:dyDescent="0.4">
      <c r="A86" s="1">
        <v>23802</v>
      </c>
      <c r="B86" s="28">
        <v>319.79541666666671</v>
      </c>
      <c r="C86" s="28">
        <f t="shared" si="6"/>
        <v>319.74166666666667</v>
      </c>
      <c r="D86" s="28">
        <f t="shared" si="6"/>
        <v>319.70208333333341</v>
      </c>
      <c r="E86" s="28">
        <f t="shared" si="6"/>
        <v>319.67083333333335</v>
      </c>
      <c r="F86" s="28">
        <f t="shared" si="6"/>
        <v>319.67541666666665</v>
      </c>
      <c r="G86" s="28">
        <f t="shared" si="6"/>
        <v>319.65637741046828</v>
      </c>
      <c r="H86" s="28">
        <f t="shared" si="6"/>
        <v>319.63416666666666</v>
      </c>
      <c r="I86" s="28">
        <f t="shared" si="6"/>
        <v>319.62721074380164</v>
      </c>
      <c r="J86" s="28">
        <f t="shared" si="6"/>
        <v>319.6250929752066</v>
      </c>
      <c r="K86" s="28">
        <f t="shared" si="6"/>
        <v>319.6155096418733</v>
      </c>
      <c r="L86" s="28">
        <f t="shared" si="6"/>
        <v>319.57509297520659</v>
      </c>
      <c r="M86" s="28">
        <f t="shared" si="6"/>
        <v>319.51300964187323</v>
      </c>
      <c r="N86" s="28">
        <f t="shared" si="6"/>
        <v>319.45592630853992</v>
      </c>
    </row>
    <row r="87" spans="1:14" x14ac:dyDescent="0.4">
      <c r="A87" s="1">
        <v>23833</v>
      </c>
      <c r="B87" s="28">
        <v>319.85958333333332</v>
      </c>
      <c r="C87" s="28">
        <f t="shared" si="6"/>
        <v>319.79541666666671</v>
      </c>
      <c r="D87" s="28">
        <f t="shared" si="6"/>
        <v>319.74166666666667</v>
      </c>
      <c r="E87" s="28">
        <f t="shared" si="6"/>
        <v>319.70208333333341</v>
      </c>
      <c r="F87" s="28">
        <f t="shared" si="6"/>
        <v>319.67083333333335</v>
      </c>
      <c r="G87" s="28">
        <f t="shared" si="6"/>
        <v>319.67541666666665</v>
      </c>
      <c r="H87" s="28">
        <f t="shared" si="6"/>
        <v>319.65637741046828</v>
      </c>
      <c r="I87" s="28">
        <f t="shared" si="6"/>
        <v>319.63416666666666</v>
      </c>
      <c r="J87" s="28">
        <f t="shared" si="6"/>
        <v>319.62721074380164</v>
      </c>
      <c r="K87" s="28">
        <f t="shared" si="6"/>
        <v>319.6250929752066</v>
      </c>
      <c r="L87" s="28">
        <f t="shared" si="6"/>
        <v>319.6155096418733</v>
      </c>
      <c r="M87" s="28">
        <f t="shared" si="6"/>
        <v>319.57509297520659</v>
      </c>
      <c r="N87" s="28">
        <f t="shared" si="6"/>
        <v>319.51300964187323</v>
      </c>
    </row>
    <row r="88" spans="1:14" x14ac:dyDescent="0.4">
      <c r="A88" s="1">
        <v>23863</v>
      </c>
      <c r="B88" s="28">
        <v>319.92708333333331</v>
      </c>
      <c r="C88" s="28">
        <f t="shared" si="6"/>
        <v>319.85958333333332</v>
      </c>
      <c r="D88" s="28">
        <f t="shared" si="6"/>
        <v>319.79541666666671</v>
      </c>
      <c r="E88" s="28">
        <f t="shared" si="6"/>
        <v>319.74166666666667</v>
      </c>
      <c r="F88" s="28">
        <f t="shared" si="6"/>
        <v>319.70208333333341</v>
      </c>
      <c r="G88" s="28">
        <f t="shared" si="6"/>
        <v>319.67083333333335</v>
      </c>
      <c r="H88" s="28">
        <f t="shared" si="6"/>
        <v>319.67541666666665</v>
      </c>
      <c r="I88" s="28">
        <f t="shared" si="6"/>
        <v>319.65637741046828</v>
      </c>
      <c r="J88" s="28">
        <f t="shared" si="6"/>
        <v>319.63416666666666</v>
      </c>
      <c r="K88" s="28">
        <f t="shared" si="6"/>
        <v>319.62721074380164</v>
      </c>
      <c r="L88" s="28">
        <f t="shared" si="6"/>
        <v>319.6250929752066</v>
      </c>
      <c r="M88" s="28">
        <f t="shared" si="6"/>
        <v>319.6155096418733</v>
      </c>
      <c r="N88" s="28">
        <f t="shared" si="6"/>
        <v>319.57509297520659</v>
      </c>
    </row>
    <row r="89" spans="1:14" x14ac:dyDescent="0.4">
      <c r="A89" s="1">
        <v>23894</v>
      </c>
      <c r="B89" s="28">
        <v>320.00625000000002</v>
      </c>
      <c r="C89" s="28">
        <f t="shared" si="6"/>
        <v>319.92708333333331</v>
      </c>
      <c r="D89" s="28">
        <f t="shared" si="6"/>
        <v>319.85958333333332</v>
      </c>
      <c r="E89" s="28">
        <f t="shared" si="6"/>
        <v>319.79541666666671</v>
      </c>
      <c r="F89" s="28">
        <f t="shared" si="6"/>
        <v>319.74166666666667</v>
      </c>
      <c r="G89" s="28">
        <f t="shared" si="6"/>
        <v>319.70208333333341</v>
      </c>
      <c r="H89" s="28">
        <f t="shared" si="6"/>
        <v>319.67083333333335</v>
      </c>
      <c r="I89" s="28">
        <f t="shared" si="6"/>
        <v>319.67541666666665</v>
      </c>
      <c r="J89" s="28">
        <f t="shared" si="6"/>
        <v>319.65637741046828</v>
      </c>
      <c r="K89" s="28">
        <f t="shared" si="6"/>
        <v>319.63416666666666</v>
      </c>
      <c r="L89" s="28">
        <f t="shared" si="6"/>
        <v>319.62721074380164</v>
      </c>
      <c r="M89" s="28">
        <f t="shared" si="6"/>
        <v>319.6250929752066</v>
      </c>
      <c r="N89" s="28">
        <f t="shared" si="6"/>
        <v>319.6155096418733</v>
      </c>
    </row>
    <row r="90" spans="1:14" x14ac:dyDescent="0.4">
      <c r="A90" s="1">
        <v>23924</v>
      </c>
      <c r="B90" s="28">
        <v>320.08499999999998</v>
      </c>
      <c r="C90" s="28">
        <f t="shared" si="6"/>
        <v>320.00625000000002</v>
      </c>
      <c r="D90" s="28">
        <f t="shared" si="6"/>
        <v>319.92708333333331</v>
      </c>
      <c r="E90" s="28">
        <f t="shared" si="6"/>
        <v>319.85958333333332</v>
      </c>
      <c r="F90" s="28">
        <f t="shared" si="6"/>
        <v>319.79541666666671</v>
      </c>
      <c r="G90" s="28">
        <f t="shared" si="6"/>
        <v>319.74166666666667</v>
      </c>
      <c r="H90" s="28">
        <f t="shared" si="6"/>
        <v>319.70208333333341</v>
      </c>
      <c r="I90" s="28">
        <f t="shared" si="6"/>
        <v>319.67083333333335</v>
      </c>
      <c r="J90" s="28">
        <f t="shared" si="6"/>
        <v>319.67541666666665</v>
      </c>
      <c r="K90" s="28">
        <f t="shared" si="6"/>
        <v>319.65637741046828</v>
      </c>
      <c r="L90" s="28">
        <f t="shared" si="6"/>
        <v>319.63416666666666</v>
      </c>
      <c r="M90" s="28">
        <f t="shared" si="6"/>
        <v>319.62721074380164</v>
      </c>
      <c r="N90" s="28">
        <f t="shared" si="6"/>
        <v>319.6250929752066</v>
      </c>
    </row>
    <row r="91" spans="1:14" x14ac:dyDescent="0.4">
      <c r="A91" s="1">
        <v>23955</v>
      </c>
      <c r="B91" s="28">
        <v>320.1825</v>
      </c>
      <c r="C91" s="28">
        <f t="shared" si="6"/>
        <v>320.08499999999998</v>
      </c>
      <c r="D91" s="28">
        <f t="shared" si="6"/>
        <v>320.00625000000002</v>
      </c>
      <c r="E91" s="28">
        <f t="shared" si="6"/>
        <v>319.92708333333331</v>
      </c>
      <c r="F91" s="28">
        <f t="shared" si="6"/>
        <v>319.85958333333332</v>
      </c>
      <c r="G91" s="28">
        <f t="shared" si="6"/>
        <v>319.79541666666671</v>
      </c>
      <c r="H91" s="28">
        <f t="shared" si="6"/>
        <v>319.74166666666667</v>
      </c>
      <c r="I91" s="28">
        <f t="shared" si="6"/>
        <v>319.70208333333341</v>
      </c>
      <c r="J91" s="28">
        <f t="shared" si="6"/>
        <v>319.67083333333335</v>
      </c>
      <c r="K91" s="28">
        <f t="shared" si="6"/>
        <v>319.67541666666665</v>
      </c>
      <c r="L91" s="28">
        <f t="shared" si="6"/>
        <v>319.65637741046828</v>
      </c>
      <c r="M91" s="28">
        <f t="shared" si="6"/>
        <v>319.63416666666666</v>
      </c>
      <c r="N91" s="28">
        <f t="shared" si="6"/>
        <v>319.62721074380164</v>
      </c>
    </row>
    <row r="92" spans="1:14" x14ac:dyDescent="0.4">
      <c r="A92" s="1">
        <v>23986</v>
      </c>
      <c r="B92" s="28">
        <v>320.29333333333335</v>
      </c>
      <c r="C92" s="28">
        <f t="shared" si="6"/>
        <v>320.1825</v>
      </c>
      <c r="D92" s="28">
        <f t="shared" si="6"/>
        <v>320.08499999999998</v>
      </c>
      <c r="E92" s="28">
        <f t="shared" si="6"/>
        <v>320.00625000000002</v>
      </c>
      <c r="F92" s="28">
        <f t="shared" si="6"/>
        <v>319.92708333333331</v>
      </c>
      <c r="G92" s="28">
        <f t="shared" si="6"/>
        <v>319.85958333333332</v>
      </c>
      <c r="H92" s="28">
        <f t="shared" si="6"/>
        <v>319.79541666666671</v>
      </c>
      <c r="I92" s="28">
        <f t="shared" si="6"/>
        <v>319.74166666666667</v>
      </c>
      <c r="J92" s="28">
        <f t="shared" si="6"/>
        <v>319.70208333333341</v>
      </c>
      <c r="K92" s="28">
        <f t="shared" si="6"/>
        <v>319.67083333333335</v>
      </c>
      <c r="L92" s="28">
        <f t="shared" si="6"/>
        <v>319.67541666666665</v>
      </c>
      <c r="M92" s="28">
        <f t="shared" si="6"/>
        <v>319.65637741046828</v>
      </c>
      <c r="N92" s="28">
        <f t="shared" si="6"/>
        <v>319.63416666666666</v>
      </c>
    </row>
    <row r="93" spans="1:14" x14ac:dyDescent="0.4">
      <c r="A93" s="1">
        <v>24016</v>
      </c>
      <c r="B93" s="28">
        <v>320.42083333333329</v>
      </c>
      <c r="C93" s="28">
        <f t="shared" si="6"/>
        <v>320.29333333333335</v>
      </c>
      <c r="D93" s="28">
        <f t="shared" si="6"/>
        <v>320.1825</v>
      </c>
      <c r="E93" s="28">
        <f t="shared" si="6"/>
        <v>320.08499999999998</v>
      </c>
      <c r="F93" s="28">
        <f t="shared" si="6"/>
        <v>320.00625000000002</v>
      </c>
      <c r="G93" s="28">
        <f t="shared" si="6"/>
        <v>319.92708333333331</v>
      </c>
      <c r="H93" s="28">
        <f t="shared" si="6"/>
        <v>319.85958333333332</v>
      </c>
      <c r="I93" s="28">
        <f t="shared" si="6"/>
        <v>319.79541666666671</v>
      </c>
      <c r="J93" s="28">
        <f t="shared" si="6"/>
        <v>319.74166666666667</v>
      </c>
      <c r="K93" s="28">
        <f t="shared" si="6"/>
        <v>319.70208333333341</v>
      </c>
      <c r="L93" s="28">
        <f t="shared" si="6"/>
        <v>319.67083333333335</v>
      </c>
      <c r="M93" s="28">
        <f t="shared" si="6"/>
        <v>319.67541666666665</v>
      </c>
      <c r="N93" s="28">
        <f t="shared" si="6"/>
        <v>319.65637741046828</v>
      </c>
    </row>
    <row r="94" spans="1:14" x14ac:dyDescent="0.4">
      <c r="A94" s="1">
        <v>24047</v>
      </c>
      <c r="B94" s="28">
        <v>320.56541666666664</v>
      </c>
      <c r="C94" s="28">
        <f t="shared" si="6"/>
        <v>320.42083333333329</v>
      </c>
      <c r="D94" s="28">
        <f t="shared" si="6"/>
        <v>320.29333333333335</v>
      </c>
      <c r="E94" s="28">
        <f t="shared" si="6"/>
        <v>320.1825</v>
      </c>
      <c r="F94" s="28">
        <f t="shared" si="6"/>
        <v>320.08499999999998</v>
      </c>
      <c r="G94" s="28">
        <f t="shared" si="6"/>
        <v>320.00625000000002</v>
      </c>
      <c r="H94" s="28">
        <f t="shared" si="6"/>
        <v>319.92708333333331</v>
      </c>
      <c r="I94" s="28">
        <f t="shared" si="6"/>
        <v>319.85958333333332</v>
      </c>
      <c r="J94" s="28">
        <f t="shared" si="6"/>
        <v>319.79541666666671</v>
      </c>
      <c r="K94" s="28">
        <f t="shared" si="6"/>
        <v>319.74166666666667</v>
      </c>
      <c r="L94" s="28">
        <f t="shared" si="6"/>
        <v>319.70208333333341</v>
      </c>
      <c r="M94" s="28">
        <f t="shared" si="6"/>
        <v>319.67083333333335</v>
      </c>
      <c r="N94" s="28">
        <f t="shared" si="6"/>
        <v>319.67541666666665</v>
      </c>
    </row>
    <row r="95" spans="1:14" x14ac:dyDescent="0.4">
      <c r="A95" s="1">
        <v>24077</v>
      </c>
      <c r="B95" s="28">
        <v>320.72333333333336</v>
      </c>
      <c r="C95" s="28">
        <f t="shared" si="6"/>
        <v>320.56541666666664</v>
      </c>
      <c r="D95" s="28">
        <f t="shared" si="6"/>
        <v>320.42083333333329</v>
      </c>
      <c r="E95" s="28">
        <f t="shared" si="6"/>
        <v>320.29333333333335</v>
      </c>
      <c r="F95" s="28">
        <f t="shared" si="6"/>
        <v>320.1825</v>
      </c>
      <c r="G95" s="28">
        <f t="shared" si="6"/>
        <v>320.08499999999998</v>
      </c>
      <c r="H95" s="28">
        <f t="shared" si="6"/>
        <v>320.00625000000002</v>
      </c>
      <c r="I95" s="28">
        <f t="shared" si="6"/>
        <v>319.92708333333331</v>
      </c>
      <c r="J95" s="28">
        <f t="shared" si="6"/>
        <v>319.85958333333332</v>
      </c>
      <c r="K95" s="28">
        <f t="shared" si="6"/>
        <v>319.79541666666671</v>
      </c>
      <c r="L95" s="28">
        <f t="shared" si="6"/>
        <v>319.74166666666667</v>
      </c>
      <c r="M95" s="28">
        <f t="shared" si="6"/>
        <v>319.70208333333341</v>
      </c>
      <c r="N95" s="28">
        <f t="shared" si="6"/>
        <v>319.67083333333335</v>
      </c>
    </row>
    <row r="96" spans="1:14" x14ac:dyDescent="0.4">
      <c r="A96" s="1">
        <v>24108</v>
      </c>
      <c r="B96" s="28">
        <v>320.8504166666666</v>
      </c>
      <c r="C96" s="28">
        <f t="shared" si="6"/>
        <v>320.72333333333336</v>
      </c>
      <c r="D96" s="28">
        <f t="shared" si="6"/>
        <v>320.56541666666664</v>
      </c>
      <c r="E96" s="28">
        <f t="shared" si="6"/>
        <v>320.42083333333329</v>
      </c>
      <c r="F96" s="28">
        <f t="shared" si="6"/>
        <v>320.29333333333335</v>
      </c>
      <c r="G96" s="28">
        <f t="shared" si="6"/>
        <v>320.1825</v>
      </c>
      <c r="H96" s="28">
        <f t="shared" si="6"/>
        <v>320.08499999999998</v>
      </c>
      <c r="I96" s="28">
        <f t="shared" si="6"/>
        <v>320.00625000000002</v>
      </c>
      <c r="J96" s="28">
        <f t="shared" si="6"/>
        <v>319.92708333333331</v>
      </c>
      <c r="K96" s="28">
        <f t="shared" si="6"/>
        <v>319.85958333333332</v>
      </c>
      <c r="L96" s="28">
        <f t="shared" si="6"/>
        <v>319.79541666666671</v>
      </c>
      <c r="M96" s="28">
        <f t="shared" si="6"/>
        <v>319.74166666666667</v>
      </c>
      <c r="N96" s="28">
        <f t="shared" si="6"/>
        <v>319.70208333333341</v>
      </c>
    </row>
    <row r="97" spans="1:14" x14ac:dyDescent="0.4">
      <c r="A97" s="1">
        <v>24139</v>
      </c>
      <c r="B97" s="28">
        <v>320.96124999999995</v>
      </c>
      <c r="C97" s="28">
        <f t="shared" si="6"/>
        <v>320.8504166666666</v>
      </c>
      <c r="D97" s="28">
        <f t="shared" si="6"/>
        <v>320.72333333333336</v>
      </c>
      <c r="E97" s="28">
        <f t="shared" si="6"/>
        <v>320.56541666666664</v>
      </c>
      <c r="F97" s="28">
        <f t="shared" si="6"/>
        <v>320.42083333333329</v>
      </c>
      <c r="G97" s="28">
        <f t="shared" si="6"/>
        <v>320.29333333333335</v>
      </c>
      <c r="H97" s="28">
        <f t="shared" si="6"/>
        <v>320.1825</v>
      </c>
      <c r="I97" s="28">
        <f t="shared" si="6"/>
        <v>320.08499999999998</v>
      </c>
      <c r="J97" s="28">
        <f t="shared" si="6"/>
        <v>320.00625000000002</v>
      </c>
      <c r="K97" s="28">
        <f t="shared" si="6"/>
        <v>319.92708333333331</v>
      </c>
      <c r="L97" s="28">
        <f t="shared" si="6"/>
        <v>319.85958333333332</v>
      </c>
      <c r="M97" s="28">
        <f t="shared" si="6"/>
        <v>319.79541666666671</v>
      </c>
      <c r="N97" s="28">
        <f t="shared" si="6"/>
        <v>319.74166666666667</v>
      </c>
    </row>
    <row r="98" spans="1:14" x14ac:dyDescent="0.4">
      <c r="A98" s="1">
        <v>24167</v>
      </c>
      <c r="B98" s="28">
        <v>321.05791666666659</v>
      </c>
      <c r="C98" s="28">
        <f t="shared" si="6"/>
        <v>320.96124999999995</v>
      </c>
      <c r="D98" s="28">
        <f t="shared" si="6"/>
        <v>320.8504166666666</v>
      </c>
      <c r="E98" s="28">
        <f t="shared" si="6"/>
        <v>320.72333333333336</v>
      </c>
      <c r="F98" s="28">
        <f t="shared" si="6"/>
        <v>320.56541666666664</v>
      </c>
      <c r="G98" s="28">
        <f t="shared" si="6"/>
        <v>320.42083333333329</v>
      </c>
      <c r="H98" s="28">
        <f t="shared" si="6"/>
        <v>320.29333333333335</v>
      </c>
      <c r="I98" s="28">
        <f t="shared" si="6"/>
        <v>320.1825</v>
      </c>
      <c r="J98" s="28">
        <f t="shared" si="6"/>
        <v>320.08499999999998</v>
      </c>
      <c r="K98" s="28">
        <f t="shared" si="6"/>
        <v>320.00625000000002</v>
      </c>
      <c r="L98" s="28">
        <f t="shared" si="6"/>
        <v>319.92708333333331</v>
      </c>
      <c r="M98" s="28">
        <f t="shared" si="6"/>
        <v>319.85958333333332</v>
      </c>
      <c r="N98" s="28">
        <f t="shared" si="6"/>
        <v>319.79541666666671</v>
      </c>
    </row>
    <row r="99" spans="1:14" x14ac:dyDescent="0.4">
      <c r="A99" s="1">
        <v>24198</v>
      </c>
      <c r="B99" s="28">
        <v>321.12583333333328</v>
      </c>
      <c r="C99" s="28">
        <f t="shared" si="6"/>
        <v>321.05791666666659</v>
      </c>
      <c r="D99" s="28">
        <f t="shared" si="6"/>
        <v>320.96124999999995</v>
      </c>
      <c r="E99" s="28">
        <f t="shared" si="6"/>
        <v>320.8504166666666</v>
      </c>
      <c r="F99" s="28">
        <f t="shared" si="6"/>
        <v>320.72333333333336</v>
      </c>
      <c r="G99" s="28">
        <f t="shared" si="6"/>
        <v>320.56541666666664</v>
      </c>
      <c r="H99" s="28">
        <f t="shared" si="6"/>
        <v>320.42083333333329</v>
      </c>
      <c r="I99" s="28">
        <f t="shared" si="6"/>
        <v>320.29333333333335</v>
      </c>
      <c r="J99" s="28">
        <f t="shared" si="6"/>
        <v>320.1825</v>
      </c>
      <c r="K99" s="28">
        <f t="shared" si="6"/>
        <v>320.08499999999998</v>
      </c>
      <c r="L99" s="28">
        <f t="shared" si="6"/>
        <v>320.00625000000002</v>
      </c>
      <c r="M99" s="28">
        <f t="shared" si="6"/>
        <v>319.92708333333331</v>
      </c>
      <c r="N99" s="28">
        <f t="shared" si="6"/>
        <v>319.85958333333332</v>
      </c>
    </row>
    <row r="100" spans="1:14" x14ac:dyDescent="0.4">
      <c r="A100" s="1">
        <v>24228</v>
      </c>
      <c r="B100" s="28">
        <v>321.1970833333333</v>
      </c>
      <c r="C100" s="28">
        <f t="shared" si="6"/>
        <v>321.12583333333328</v>
      </c>
      <c r="D100" s="28">
        <f t="shared" si="6"/>
        <v>321.05791666666659</v>
      </c>
      <c r="E100" s="28">
        <f t="shared" si="6"/>
        <v>320.96124999999995</v>
      </c>
      <c r="F100" s="28">
        <f t="shared" si="6"/>
        <v>320.8504166666666</v>
      </c>
      <c r="G100" s="28">
        <f t="shared" si="6"/>
        <v>320.72333333333336</v>
      </c>
      <c r="H100" s="28">
        <f t="shared" si="6"/>
        <v>320.56541666666664</v>
      </c>
      <c r="I100" s="28">
        <f t="shared" si="6"/>
        <v>320.42083333333329</v>
      </c>
      <c r="J100" s="28">
        <f t="shared" si="6"/>
        <v>320.29333333333335</v>
      </c>
      <c r="K100" s="28">
        <f t="shared" si="6"/>
        <v>320.1825</v>
      </c>
      <c r="L100" s="28">
        <f t="shared" si="6"/>
        <v>320.08499999999998</v>
      </c>
      <c r="M100" s="28">
        <f t="shared" si="6"/>
        <v>320.00625000000002</v>
      </c>
      <c r="N100" s="28">
        <f t="shared" si="6"/>
        <v>319.92708333333331</v>
      </c>
    </row>
    <row r="101" spans="1:14" x14ac:dyDescent="0.4">
      <c r="A101" s="1">
        <v>24259</v>
      </c>
      <c r="B101" s="28">
        <v>321.30208333333331</v>
      </c>
      <c r="C101" s="28">
        <f t="shared" si="6"/>
        <v>321.1970833333333</v>
      </c>
      <c r="D101" s="28">
        <f t="shared" si="6"/>
        <v>321.12583333333328</v>
      </c>
      <c r="E101" s="28">
        <f t="shared" si="6"/>
        <v>321.05791666666659</v>
      </c>
      <c r="F101" s="28">
        <f t="shared" si="6"/>
        <v>320.96124999999995</v>
      </c>
      <c r="G101" s="28">
        <f t="shared" si="6"/>
        <v>320.8504166666666</v>
      </c>
      <c r="H101" s="28">
        <f t="shared" si="6"/>
        <v>320.72333333333336</v>
      </c>
      <c r="I101" s="28">
        <f t="shared" si="6"/>
        <v>320.56541666666664</v>
      </c>
      <c r="J101" s="28">
        <f t="shared" si="6"/>
        <v>320.42083333333329</v>
      </c>
      <c r="K101" s="28">
        <f t="shared" si="6"/>
        <v>320.29333333333335</v>
      </c>
      <c r="L101" s="28">
        <f t="shared" si="6"/>
        <v>320.1825</v>
      </c>
      <c r="M101" s="28">
        <f t="shared" si="6"/>
        <v>320.08499999999998</v>
      </c>
      <c r="N101" s="28">
        <f t="shared" si="6"/>
        <v>320.00625000000002</v>
      </c>
    </row>
    <row r="102" spans="1:14" x14ac:dyDescent="0.4">
      <c r="A102" s="1">
        <v>24289</v>
      </c>
      <c r="B102" s="28">
        <v>321.44041666666664</v>
      </c>
      <c r="C102" s="28">
        <f t="shared" si="6"/>
        <v>321.30208333333331</v>
      </c>
      <c r="D102" s="28">
        <f t="shared" si="6"/>
        <v>321.1970833333333</v>
      </c>
      <c r="E102" s="28">
        <f t="shared" si="6"/>
        <v>321.12583333333328</v>
      </c>
      <c r="F102" s="28">
        <f t="shared" si="6"/>
        <v>321.05791666666659</v>
      </c>
      <c r="G102" s="28">
        <f t="shared" si="6"/>
        <v>320.96124999999995</v>
      </c>
      <c r="H102" s="28">
        <f t="shared" si="6"/>
        <v>320.8504166666666</v>
      </c>
      <c r="I102" s="28">
        <f t="shared" si="6"/>
        <v>320.72333333333336</v>
      </c>
      <c r="J102" s="28">
        <f t="shared" si="6"/>
        <v>320.56541666666664</v>
      </c>
      <c r="K102" s="28">
        <f t="shared" si="6"/>
        <v>320.42083333333329</v>
      </c>
      <c r="L102" s="28">
        <f t="shared" si="6"/>
        <v>320.29333333333335</v>
      </c>
      <c r="M102" s="28">
        <f t="shared" si="6"/>
        <v>320.1825</v>
      </c>
      <c r="N102" s="28">
        <f t="shared" si="6"/>
        <v>320.08499999999998</v>
      </c>
    </row>
    <row r="103" spans="1:14" x14ac:dyDescent="0.4">
      <c r="A103" s="1">
        <v>24320</v>
      </c>
      <c r="B103" s="28">
        <v>321.54916666666668</v>
      </c>
      <c r="C103" s="28">
        <f t="shared" si="6"/>
        <v>321.44041666666664</v>
      </c>
      <c r="D103" s="28">
        <f t="shared" si="6"/>
        <v>321.30208333333331</v>
      </c>
      <c r="E103" s="28">
        <f t="shared" si="6"/>
        <v>321.1970833333333</v>
      </c>
      <c r="F103" s="28">
        <f t="shared" si="6"/>
        <v>321.12583333333328</v>
      </c>
      <c r="G103" s="28">
        <f t="shared" si="6"/>
        <v>321.05791666666659</v>
      </c>
      <c r="H103" s="28">
        <f t="shared" si="6"/>
        <v>320.96124999999995</v>
      </c>
      <c r="I103" s="28">
        <f t="shared" si="6"/>
        <v>320.8504166666666</v>
      </c>
      <c r="J103" s="28">
        <f t="shared" si="6"/>
        <v>320.72333333333336</v>
      </c>
      <c r="K103" s="28">
        <f t="shared" si="6"/>
        <v>320.56541666666664</v>
      </c>
      <c r="L103" s="28">
        <f t="shared" si="6"/>
        <v>320.42083333333329</v>
      </c>
      <c r="M103" s="28">
        <f t="shared" si="6"/>
        <v>320.29333333333335</v>
      </c>
      <c r="N103" s="28">
        <f t="shared" si="6"/>
        <v>320.1825</v>
      </c>
    </row>
    <row r="104" spans="1:14" x14ac:dyDescent="0.4">
      <c r="A104" s="1">
        <v>24351</v>
      </c>
      <c r="B104" s="28">
        <v>321.61375000000004</v>
      </c>
      <c r="C104" s="28">
        <f t="shared" si="6"/>
        <v>321.54916666666668</v>
      </c>
      <c r="D104" s="28">
        <f t="shared" si="6"/>
        <v>321.44041666666664</v>
      </c>
      <c r="E104" s="28">
        <f t="shared" si="6"/>
        <v>321.30208333333331</v>
      </c>
      <c r="F104" s="28">
        <f t="shared" ref="F104:U119" si="7">IF(E103=0,"",E103)</f>
        <v>321.1970833333333</v>
      </c>
      <c r="G104" s="28">
        <f t="shared" si="7"/>
        <v>321.12583333333328</v>
      </c>
      <c r="H104" s="28">
        <f t="shared" si="7"/>
        <v>321.05791666666659</v>
      </c>
      <c r="I104" s="28">
        <f t="shared" si="7"/>
        <v>320.96124999999995</v>
      </c>
      <c r="J104" s="28">
        <f t="shared" si="7"/>
        <v>320.8504166666666</v>
      </c>
      <c r="K104" s="28">
        <f t="shared" si="7"/>
        <v>320.72333333333336</v>
      </c>
      <c r="L104" s="28">
        <f t="shared" si="7"/>
        <v>320.56541666666664</v>
      </c>
      <c r="M104" s="28">
        <f t="shared" si="7"/>
        <v>320.42083333333329</v>
      </c>
      <c r="N104" s="28">
        <f t="shared" si="7"/>
        <v>320.29333333333335</v>
      </c>
    </row>
    <row r="105" spans="1:14" x14ac:dyDescent="0.4">
      <c r="A105" s="1">
        <v>24381</v>
      </c>
      <c r="B105" s="28">
        <v>321.67083333333329</v>
      </c>
      <c r="C105" s="28">
        <f t="shared" ref="C105:N168" si="8">IF(B104=0,"",B104)</f>
        <v>321.61375000000004</v>
      </c>
      <c r="D105" s="28">
        <f t="shared" si="8"/>
        <v>321.54916666666668</v>
      </c>
      <c r="E105" s="28">
        <f t="shared" si="8"/>
        <v>321.44041666666664</v>
      </c>
      <c r="F105" s="28">
        <f t="shared" si="8"/>
        <v>321.30208333333331</v>
      </c>
      <c r="G105" s="28">
        <f t="shared" si="8"/>
        <v>321.1970833333333</v>
      </c>
      <c r="H105" s="28">
        <f t="shared" si="8"/>
        <v>321.12583333333328</v>
      </c>
      <c r="I105" s="28">
        <f t="shared" si="8"/>
        <v>321.05791666666659</v>
      </c>
      <c r="J105" s="28">
        <f t="shared" si="8"/>
        <v>320.96124999999995</v>
      </c>
      <c r="K105" s="28">
        <f t="shared" si="8"/>
        <v>320.8504166666666</v>
      </c>
      <c r="L105" s="28">
        <f t="shared" si="8"/>
        <v>320.72333333333336</v>
      </c>
      <c r="M105" s="28">
        <f t="shared" si="8"/>
        <v>320.56541666666664</v>
      </c>
      <c r="N105" s="28">
        <f t="shared" si="8"/>
        <v>320.42083333333329</v>
      </c>
    </row>
    <row r="106" spans="1:14" x14ac:dyDescent="0.4">
      <c r="A106" s="1">
        <v>24412</v>
      </c>
      <c r="B106" s="28">
        <v>321.73916666666662</v>
      </c>
      <c r="C106" s="28">
        <f t="shared" si="8"/>
        <v>321.67083333333329</v>
      </c>
      <c r="D106" s="28">
        <f t="shared" si="8"/>
        <v>321.61375000000004</v>
      </c>
      <c r="E106" s="28">
        <f t="shared" si="8"/>
        <v>321.54916666666668</v>
      </c>
      <c r="F106" s="28">
        <f t="shared" si="8"/>
        <v>321.44041666666664</v>
      </c>
      <c r="G106" s="28">
        <f t="shared" si="8"/>
        <v>321.30208333333331</v>
      </c>
      <c r="H106" s="28">
        <f t="shared" si="8"/>
        <v>321.1970833333333</v>
      </c>
      <c r="I106" s="28">
        <f t="shared" si="8"/>
        <v>321.12583333333328</v>
      </c>
      <c r="J106" s="28">
        <f t="shared" si="8"/>
        <v>321.05791666666659</v>
      </c>
      <c r="K106" s="28">
        <f t="shared" si="8"/>
        <v>320.96124999999995</v>
      </c>
      <c r="L106" s="28">
        <f t="shared" si="8"/>
        <v>320.8504166666666</v>
      </c>
      <c r="M106" s="28">
        <f t="shared" si="8"/>
        <v>320.72333333333336</v>
      </c>
      <c r="N106" s="28">
        <f t="shared" si="8"/>
        <v>320.56541666666664</v>
      </c>
    </row>
    <row r="107" spans="1:14" x14ac:dyDescent="0.4">
      <c r="A107" s="1">
        <v>24442</v>
      </c>
      <c r="B107" s="28">
        <v>321.79166666666669</v>
      </c>
      <c r="C107" s="28">
        <f t="shared" si="8"/>
        <v>321.73916666666662</v>
      </c>
      <c r="D107" s="28">
        <f t="shared" si="8"/>
        <v>321.67083333333329</v>
      </c>
      <c r="E107" s="28">
        <f t="shared" si="8"/>
        <v>321.61375000000004</v>
      </c>
      <c r="F107" s="28">
        <f t="shared" si="8"/>
        <v>321.54916666666668</v>
      </c>
      <c r="G107" s="28">
        <f t="shared" si="8"/>
        <v>321.44041666666664</v>
      </c>
      <c r="H107" s="28">
        <f t="shared" si="8"/>
        <v>321.30208333333331</v>
      </c>
      <c r="I107" s="28">
        <f t="shared" si="8"/>
        <v>321.1970833333333</v>
      </c>
      <c r="J107" s="28">
        <f t="shared" si="8"/>
        <v>321.12583333333328</v>
      </c>
      <c r="K107" s="28">
        <f t="shared" si="8"/>
        <v>321.05791666666659</v>
      </c>
      <c r="L107" s="28">
        <f t="shared" si="8"/>
        <v>320.96124999999995</v>
      </c>
      <c r="M107" s="28">
        <f t="shared" si="8"/>
        <v>320.8504166666666</v>
      </c>
      <c r="N107" s="28">
        <f t="shared" si="8"/>
        <v>320.72333333333336</v>
      </c>
    </row>
    <row r="108" spans="1:14" x14ac:dyDescent="0.4">
      <c r="A108" s="1">
        <v>24473</v>
      </c>
      <c r="B108" s="28">
        <v>321.8125</v>
      </c>
      <c r="C108" s="28">
        <f t="shared" si="8"/>
        <v>321.79166666666669</v>
      </c>
      <c r="D108" s="28">
        <f t="shared" si="8"/>
        <v>321.73916666666662</v>
      </c>
      <c r="E108" s="28">
        <f t="shared" si="8"/>
        <v>321.67083333333329</v>
      </c>
      <c r="F108" s="28">
        <f t="shared" si="8"/>
        <v>321.61375000000004</v>
      </c>
      <c r="G108" s="28">
        <f t="shared" si="8"/>
        <v>321.54916666666668</v>
      </c>
      <c r="H108" s="28">
        <f t="shared" si="8"/>
        <v>321.44041666666664</v>
      </c>
      <c r="I108" s="28">
        <f t="shared" si="8"/>
        <v>321.30208333333331</v>
      </c>
      <c r="J108" s="28">
        <f t="shared" si="8"/>
        <v>321.1970833333333</v>
      </c>
      <c r="K108" s="28">
        <f t="shared" si="8"/>
        <v>321.12583333333328</v>
      </c>
      <c r="L108" s="28">
        <f t="shared" si="8"/>
        <v>321.05791666666659</v>
      </c>
      <c r="M108" s="28">
        <f t="shared" si="8"/>
        <v>320.96124999999995</v>
      </c>
      <c r="N108" s="28">
        <f t="shared" si="8"/>
        <v>320.8504166666666</v>
      </c>
    </row>
    <row r="109" spans="1:14" x14ac:dyDescent="0.4">
      <c r="A109" s="1">
        <v>24504</v>
      </c>
      <c r="B109" s="28">
        <v>321.84250000000003</v>
      </c>
      <c r="C109" s="28">
        <f t="shared" si="8"/>
        <v>321.8125</v>
      </c>
      <c r="D109" s="28">
        <f t="shared" si="8"/>
        <v>321.79166666666669</v>
      </c>
      <c r="E109" s="28">
        <f t="shared" si="8"/>
        <v>321.73916666666662</v>
      </c>
      <c r="F109" s="28">
        <f t="shared" si="8"/>
        <v>321.67083333333329</v>
      </c>
      <c r="G109" s="28">
        <f t="shared" si="8"/>
        <v>321.61375000000004</v>
      </c>
      <c r="H109" s="28">
        <f t="shared" si="8"/>
        <v>321.54916666666668</v>
      </c>
      <c r="I109" s="28">
        <f t="shared" si="8"/>
        <v>321.44041666666664</v>
      </c>
      <c r="J109" s="28">
        <f t="shared" si="8"/>
        <v>321.30208333333331</v>
      </c>
      <c r="K109" s="28">
        <f t="shared" si="8"/>
        <v>321.1970833333333</v>
      </c>
      <c r="L109" s="28">
        <f t="shared" si="8"/>
        <v>321.12583333333328</v>
      </c>
      <c r="M109" s="28">
        <f t="shared" si="8"/>
        <v>321.05791666666659</v>
      </c>
      <c r="N109" s="28">
        <f t="shared" si="8"/>
        <v>320.96124999999995</v>
      </c>
    </row>
    <row r="110" spans="1:14" x14ac:dyDescent="0.4">
      <c r="A110" s="1">
        <v>24532</v>
      </c>
      <c r="B110" s="28">
        <v>321.89125000000007</v>
      </c>
      <c r="C110" s="28">
        <f t="shared" si="8"/>
        <v>321.84250000000003</v>
      </c>
      <c r="D110" s="28">
        <f t="shared" si="8"/>
        <v>321.8125</v>
      </c>
      <c r="E110" s="28">
        <f t="shared" si="8"/>
        <v>321.79166666666669</v>
      </c>
      <c r="F110" s="28">
        <f t="shared" si="8"/>
        <v>321.73916666666662</v>
      </c>
      <c r="G110" s="28">
        <f t="shared" si="8"/>
        <v>321.67083333333329</v>
      </c>
      <c r="H110" s="28">
        <f t="shared" si="8"/>
        <v>321.61375000000004</v>
      </c>
      <c r="I110" s="28">
        <f t="shared" si="8"/>
        <v>321.54916666666668</v>
      </c>
      <c r="J110" s="28">
        <f t="shared" si="8"/>
        <v>321.44041666666664</v>
      </c>
      <c r="K110" s="28">
        <f t="shared" si="8"/>
        <v>321.30208333333331</v>
      </c>
      <c r="L110" s="28">
        <f t="shared" si="8"/>
        <v>321.1970833333333</v>
      </c>
      <c r="M110" s="28">
        <f t="shared" si="8"/>
        <v>321.12583333333328</v>
      </c>
      <c r="N110" s="28">
        <f t="shared" si="8"/>
        <v>321.05791666666659</v>
      </c>
    </row>
    <row r="111" spans="1:14" x14ac:dyDescent="0.4">
      <c r="A111" s="1">
        <v>24563</v>
      </c>
      <c r="B111" s="28">
        <v>321.97041666666672</v>
      </c>
      <c r="C111" s="28">
        <f t="shared" si="8"/>
        <v>321.89125000000007</v>
      </c>
      <c r="D111" s="28">
        <f t="shared" si="8"/>
        <v>321.84250000000003</v>
      </c>
      <c r="E111" s="28">
        <f t="shared" si="8"/>
        <v>321.8125</v>
      </c>
      <c r="F111" s="28">
        <f t="shared" si="8"/>
        <v>321.79166666666669</v>
      </c>
      <c r="G111" s="28">
        <f t="shared" si="8"/>
        <v>321.73916666666662</v>
      </c>
      <c r="H111" s="28">
        <f t="shared" si="8"/>
        <v>321.67083333333329</v>
      </c>
      <c r="I111" s="28">
        <f t="shared" si="8"/>
        <v>321.61375000000004</v>
      </c>
      <c r="J111" s="28">
        <f t="shared" si="8"/>
        <v>321.54916666666668</v>
      </c>
      <c r="K111" s="28">
        <f t="shared" si="8"/>
        <v>321.44041666666664</v>
      </c>
      <c r="L111" s="28">
        <f t="shared" si="8"/>
        <v>321.30208333333331</v>
      </c>
      <c r="M111" s="28">
        <f t="shared" si="8"/>
        <v>321.1970833333333</v>
      </c>
      <c r="N111" s="28">
        <f t="shared" si="8"/>
        <v>321.12583333333328</v>
      </c>
    </row>
    <row r="112" spans="1:14" x14ac:dyDescent="0.4">
      <c r="A112" s="1">
        <v>24593</v>
      </c>
      <c r="B112" s="28">
        <v>322.06374999999997</v>
      </c>
      <c r="C112" s="28">
        <f t="shared" si="8"/>
        <v>321.97041666666672</v>
      </c>
      <c r="D112" s="28">
        <f t="shared" si="8"/>
        <v>321.89125000000007</v>
      </c>
      <c r="E112" s="28">
        <f t="shared" si="8"/>
        <v>321.84250000000003</v>
      </c>
      <c r="F112" s="28">
        <f t="shared" si="8"/>
        <v>321.8125</v>
      </c>
      <c r="G112" s="28">
        <f t="shared" si="8"/>
        <v>321.79166666666669</v>
      </c>
      <c r="H112" s="28">
        <f t="shared" si="8"/>
        <v>321.73916666666662</v>
      </c>
      <c r="I112" s="28">
        <f t="shared" si="8"/>
        <v>321.67083333333329</v>
      </c>
      <c r="J112" s="28">
        <f t="shared" si="8"/>
        <v>321.61375000000004</v>
      </c>
      <c r="K112" s="28">
        <f t="shared" si="8"/>
        <v>321.54916666666668</v>
      </c>
      <c r="L112" s="28">
        <f t="shared" si="8"/>
        <v>321.44041666666664</v>
      </c>
      <c r="M112" s="28">
        <f t="shared" si="8"/>
        <v>321.30208333333331</v>
      </c>
      <c r="N112" s="28">
        <f t="shared" si="8"/>
        <v>321.1970833333333</v>
      </c>
    </row>
    <row r="113" spans="1:14" x14ac:dyDescent="0.4">
      <c r="A113" s="1">
        <v>24624</v>
      </c>
      <c r="B113" s="28">
        <v>322.14208333333335</v>
      </c>
      <c r="C113" s="28">
        <f t="shared" si="8"/>
        <v>322.06374999999997</v>
      </c>
      <c r="D113" s="28">
        <f t="shared" si="8"/>
        <v>321.97041666666672</v>
      </c>
      <c r="E113" s="28">
        <f t="shared" si="8"/>
        <v>321.89125000000007</v>
      </c>
      <c r="F113" s="28">
        <f t="shared" si="8"/>
        <v>321.84250000000003</v>
      </c>
      <c r="G113" s="28">
        <f t="shared" si="8"/>
        <v>321.8125</v>
      </c>
      <c r="H113" s="28">
        <f t="shared" si="8"/>
        <v>321.79166666666669</v>
      </c>
      <c r="I113" s="28">
        <f t="shared" si="8"/>
        <v>321.73916666666662</v>
      </c>
      <c r="J113" s="28">
        <f t="shared" si="8"/>
        <v>321.67083333333329</v>
      </c>
      <c r="K113" s="28">
        <f t="shared" si="8"/>
        <v>321.61375000000004</v>
      </c>
      <c r="L113" s="28">
        <f t="shared" si="8"/>
        <v>321.54916666666668</v>
      </c>
      <c r="M113" s="28">
        <f t="shared" si="8"/>
        <v>321.44041666666664</v>
      </c>
      <c r="N113" s="28">
        <f t="shared" si="8"/>
        <v>321.30208333333331</v>
      </c>
    </row>
    <row r="114" spans="1:14" x14ac:dyDescent="0.4">
      <c r="A114" s="1">
        <v>24654</v>
      </c>
      <c r="B114" s="28">
        <v>322.19083333333327</v>
      </c>
      <c r="C114" s="28">
        <f t="shared" si="8"/>
        <v>322.14208333333335</v>
      </c>
      <c r="D114" s="28">
        <f t="shared" si="8"/>
        <v>322.06374999999997</v>
      </c>
      <c r="E114" s="28">
        <f t="shared" si="8"/>
        <v>321.97041666666672</v>
      </c>
      <c r="F114" s="28">
        <f t="shared" si="8"/>
        <v>321.89125000000007</v>
      </c>
      <c r="G114" s="28">
        <f t="shared" si="8"/>
        <v>321.84250000000003</v>
      </c>
      <c r="H114" s="28">
        <f t="shared" si="8"/>
        <v>321.8125</v>
      </c>
      <c r="I114" s="28">
        <f t="shared" si="8"/>
        <v>321.79166666666669</v>
      </c>
      <c r="J114" s="28">
        <f t="shared" si="8"/>
        <v>321.73916666666662</v>
      </c>
      <c r="K114" s="28">
        <f t="shared" si="8"/>
        <v>321.67083333333329</v>
      </c>
      <c r="L114" s="28">
        <f t="shared" si="8"/>
        <v>321.61375000000004</v>
      </c>
      <c r="M114" s="28">
        <f t="shared" si="8"/>
        <v>321.54916666666668</v>
      </c>
      <c r="N114" s="28">
        <f t="shared" si="8"/>
        <v>321.44041666666664</v>
      </c>
    </row>
    <row r="115" spans="1:14" x14ac:dyDescent="0.4">
      <c r="A115" s="1">
        <v>24685</v>
      </c>
      <c r="B115" s="28">
        <v>322.22791666666666</v>
      </c>
      <c r="C115" s="28">
        <f t="shared" si="8"/>
        <v>322.19083333333327</v>
      </c>
      <c r="D115" s="28">
        <f t="shared" si="8"/>
        <v>322.14208333333335</v>
      </c>
      <c r="E115" s="28">
        <f t="shared" si="8"/>
        <v>322.06374999999997</v>
      </c>
      <c r="F115" s="28">
        <f t="shared" si="8"/>
        <v>321.97041666666672</v>
      </c>
      <c r="G115" s="28">
        <f t="shared" si="8"/>
        <v>321.89125000000007</v>
      </c>
      <c r="H115" s="28">
        <f t="shared" si="8"/>
        <v>321.84250000000003</v>
      </c>
      <c r="I115" s="28">
        <f t="shared" si="8"/>
        <v>321.8125</v>
      </c>
      <c r="J115" s="28">
        <f t="shared" si="8"/>
        <v>321.79166666666669</v>
      </c>
      <c r="K115" s="28">
        <f t="shared" si="8"/>
        <v>321.73916666666662</v>
      </c>
      <c r="L115" s="28">
        <f t="shared" si="8"/>
        <v>321.67083333333329</v>
      </c>
      <c r="M115" s="28">
        <f t="shared" si="8"/>
        <v>321.61375000000004</v>
      </c>
      <c r="N115" s="28">
        <f t="shared" si="8"/>
        <v>321.54916666666668</v>
      </c>
    </row>
    <row r="116" spans="1:14" x14ac:dyDescent="0.4">
      <c r="A116" s="1">
        <v>24716</v>
      </c>
      <c r="B116" s="28">
        <v>322.29041666666666</v>
      </c>
      <c r="C116" s="28">
        <f t="shared" si="8"/>
        <v>322.22791666666666</v>
      </c>
      <c r="D116" s="28">
        <f t="shared" si="8"/>
        <v>322.19083333333327</v>
      </c>
      <c r="E116" s="28">
        <f t="shared" si="8"/>
        <v>322.14208333333335</v>
      </c>
      <c r="F116" s="28">
        <f t="shared" si="8"/>
        <v>322.06374999999997</v>
      </c>
      <c r="G116" s="28">
        <f t="shared" si="8"/>
        <v>321.97041666666672</v>
      </c>
      <c r="H116" s="28">
        <f t="shared" si="8"/>
        <v>321.89125000000007</v>
      </c>
      <c r="I116" s="28">
        <f t="shared" si="8"/>
        <v>321.84250000000003</v>
      </c>
      <c r="J116" s="28">
        <f t="shared" si="8"/>
        <v>321.8125</v>
      </c>
      <c r="K116" s="28">
        <f t="shared" si="8"/>
        <v>321.79166666666669</v>
      </c>
      <c r="L116" s="28">
        <f t="shared" si="8"/>
        <v>321.73916666666662</v>
      </c>
      <c r="M116" s="28">
        <f t="shared" si="8"/>
        <v>321.67083333333329</v>
      </c>
      <c r="N116" s="28">
        <f t="shared" si="8"/>
        <v>321.61375000000004</v>
      </c>
    </row>
    <row r="117" spans="1:14" x14ac:dyDescent="0.4">
      <c r="A117" s="1">
        <v>24746</v>
      </c>
      <c r="B117" s="28">
        <v>322.3508333333333</v>
      </c>
      <c r="C117" s="28">
        <f t="shared" si="8"/>
        <v>322.29041666666666</v>
      </c>
      <c r="D117" s="28">
        <f t="shared" si="8"/>
        <v>322.22791666666666</v>
      </c>
      <c r="E117" s="28">
        <f t="shared" si="8"/>
        <v>322.19083333333327</v>
      </c>
      <c r="F117" s="28">
        <f t="shared" si="8"/>
        <v>322.14208333333335</v>
      </c>
      <c r="G117" s="28">
        <f t="shared" si="8"/>
        <v>322.06374999999997</v>
      </c>
      <c r="H117" s="28">
        <f t="shared" si="8"/>
        <v>321.97041666666672</v>
      </c>
      <c r="I117" s="28">
        <f t="shared" si="8"/>
        <v>321.89125000000007</v>
      </c>
      <c r="J117" s="28">
        <f t="shared" si="8"/>
        <v>321.84250000000003</v>
      </c>
      <c r="K117" s="28">
        <f t="shared" si="8"/>
        <v>321.8125</v>
      </c>
      <c r="L117" s="28">
        <f t="shared" si="8"/>
        <v>321.79166666666669</v>
      </c>
      <c r="M117" s="28">
        <f t="shared" si="8"/>
        <v>321.73916666666662</v>
      </c>
      <c r="N117" s="28">
        <f t="shared" si="8"/>
        <v>321.67083333333329</v>
      </c>
    </row>
    <row r="118" spans="1:14" x14ac:dyDescent="0.4">
      <c r="A118" s="1">
        <v>24777</v>
      </c>
      <c r="B118" s="28">
        <v>322.39958333333334</v>
      </c>
      <c r="C118" s="28">
        <f t="shared" si="8"/>
        <v>322.3508333333333</v>
      </c>
      <c r="D118" s="28">
        <f t="shared" si="8"/>
        <v>322.29041666666666</v>
      </c>
      <c r="E118" s="28">
        <f t="shared" si="8"/>
        <v>322.22791666666666</v>
      </c>
      <c r="F118" s="28">
        <f t="shared" si="8"/>
        <v>322.19083333333327</v>
      </c>
      <c r="G118" s="28">
        <f t="shared" si="8"/>
        <v>322.14208333333335</v>
      </c>
      <c r="H118" s="28">
        <f t="shared" si="8"/>
        <v>322.06374999999997</v>
      </c>
      <c r="I118" s="28">
        <f t="shared" si="8"/>
        <v>321.97041666666672</v>
      </c>
      <c r="J118" s="28">
        <f t="shared" si="8"/>
        <v>321.89125000000007</v>
      </c>
      <c r="K118" s="28">
        <f t="shared" si="8"/>
        <v>321.84250000000003</v>
      </c>
      <c r="L118" s="28">
        <f t="shared" si="8"/>
        <v>321.8125</v>
      </c>
      <c r="M118" s="28">
        <f t="shared" si="8"/>
        <v>321.79166666666669</v>
      </c>
      <c r="N118" s="28">
        <f t="shared" si="8"/>
        <v>321.73916666666662</v>
      </c>
    </row>
    <row r="119" spans="1:14" x14ac:dyDescent="0.4">
      <c r="A119" s="1">
        <v>24807</v>
      </c>
      <c r="B119" s="28">
        <v>322.47624999999994</v>
      </c>
      <c r="C119" s="28">
        <f t="shared" si="8"/>
        <v>322.39958333333334</v>
      </c>
      <c r="D119" s="28">
        <f t="shared" si="8"/>
        <v>322.3508333333333</v>
      </c>
      <c r="E119" s="28">
        <f t="shared" si="8"/>
        <v>322.29041666666666</v>
      </c>
      <c r="F119" s="28">
        <f t="shared" si="8"/>
        <v>322.22791666666666</v>
      </c>
      <c r="G119" s="28">
        <f t="shared" si="8"/>
        <v>322.19083333333327</v>
      </c>
      <c r="H119" s="28">
        <f t="shared" si="8"/>
        <v>322.14208333333335</v>
      </c>
      <c r="I119" s="28">
        <f t="shared" si="8"/>
        <v>322.06374999999997</v>
      </c>
      <c r="J119" s="28">
        <f t="shared" si="8"/>
        <v>321.97041666666672</v>
      </c>
      <c r="K119" s="28">
        <f t="shared" si="8"/>
        <v>321.89125000000007</v>
      </c>
      <c r="L119" s="28">
        <f t="shared" si="8"/>
        <v>321.84250000000003</v>
      </c>
      <c r="M119" s="28">
        <f t="shared" si="8"/>
        <v>321.8125</v>
      </c>
      <c r="N119" s="28">
        <f t="shared" si="8"/>
        <v>321.79166666666669</v>
      </c>
    </row>
    <row r="120" spans="1:14" x14ac:dyDescent="0.4">
      <c r="A120" s="1">
        <v>24838</v>
      </c>
      <c r="B120" s="28">
        <v>322.59583333333325</v>
      </c>
      <c r="C120" s="28">
        <f t="shared" si="8"/>
        <v>322.47624999999994</v>
      </c>
      <c r="D120" s="28">
        <f t="shared" si="8"/>
        <v>322.39958333333334</v>
      </c>
      <c r="E120" s="28">
        <f t="shared" si="8"/>
        <v>322.3508333333333</v>
      </c>
      <c r="F120" s="28">
        <f t="shared" si="8"/>
        <v>322.29041666666666</v>
      </c>
      <c r="G120" s="28">
        <f t="shared" si="8"/>
        <v>322.22791666666666</v>
      </c>
      <c r="H120" s="28">
        <f t="shared" si="8"/>
        <v>322.19083333333327</v>
      </c>
      <c r="I120" s="28">
        <f t="shared" si="8"/>
        <v>322.14208333333335</v>
      </c>
      <c r="J120" s="28">
        <f t="shared" si="8"/>
        <v>322.06374999999997</v>
      </c>
      <c r="K120" s="28">
        <f t="shared" si="8"/>
        <v>321.97041666666672</v>
      </c>
      <c r="L120" s="28">
        <f t="shared" si="8"/>
        <v>321.89125000000007</v>
      </c>
      <c r="M120" s="28">
        <f t="shared" si="8"/>
        <v>321.84250000000003</v>
      </c>
      <c r="N120" s="28">
        <f t="shared" si="8"/>
        <v>321.8125</v>
      </c>
    </row>
    <row r="121" spans="1:14" x14ac:dyDescent="0.4">
      <c r="A121" s="1">
        <v>24869</v>
      </c>
      <c r="B121" s="28">
        <v>322.71208333333328</v>
      </c>
      <c r="C121" s="28">
        <f t="shared" si="8"/>
        <v>322.59583333333325</v>
      </c>
      <c r="D121" s="28">
        <f t="shared" si="8"/>
        <v>322.47624999999994</v>
      </c>
      <c r="E121" s="28">
        <f t="shared" si="8"/>
        <v>322.39958333333334</v>
      </c>
      <c r="F121" s="28">
        <f t="shared" si="8"/>
        <v>322.3508333333333</v>
      </c>
      <c r="G121" s="28">
        <f t="shared" si="8"/>
        <v>322.29041666666666</v>
      </c>
      <c r="H121" s="28">
        <f t="shared" si="8"/>
        <v>322.22791666666666</v>
      </c>
      <c r="I121" s="28">
        <f t="shared" si="8"/>
        <v>322.19083333333327</v>
      </c>
      <c r="J121" s="28">
        <f t="shared" si="8"/>
        <v>322.14208333333335</v>
      </c>
      <c r="K121" s="28">
        <f t="shared" si="8"/>
        <v>322.06374999999997</v>
      </c>
      <c r="L121" s="28">
        <f t="shared" si="8"/>
        <v>321.97041666666672</v>
      </c>
      <c r="M121" s="28">
        <f t="shared" si="8"/>
        <v>321.89125000000007</v>
      </c>
      <c r="N121" s="28">
        <f t="shared" si="8"/>
        <v>321.84250000000003</v>
      </c>
    </row>
    <row r="122" spans="1:14" x14ac:dyDescent="0.4">
      <c r="A122" s="1">
        <v>24898</v>
      </c>
      <c r="B122" s="28">
        <v>322.80666666666667</v>
      </c>
      <c r="C122" s="28">
        <f t="shared" si="8"/>
        <v>322.71208333333328</v>
      </c>
      <c r="D122" s="28">
        <f t="shared" si="8"/>
        <v>322.59583333333325</v>
      </c>
      <c r="E122" s="28">
        <f t="shared" si="8"/>
        <v>322.47624999999994</v>
      </c>
      <c r="F122" s="28">
        <f t="shared" si="8"/>
        <v>322.39958333333334</v>
      </c>
      <c r="G122" s="28">
        <f t="shared" si="8"/>
        <v>322.3508333333333</v>
      </c>
      <c r="H122" s="28">
        <f t="shared" si="8"/>
        <v>322.29041666666666</v>
      </c>
      <c r="I122" s="28">
        <f t="shared" si="8"/>
        <v>322.22791666666666</v>
      </c>
      <c r="J122" s="28">
        <f t="shared" si="8"/>
        <v>322.19083333333327</v>
      </c>
      <c r="K122" s="28">
        <f t="shared" si="8"/>
        <v>322.14208333333335</v>
      </c>
      <c r="L122" s="28">
        <f t="shared" si="8"/>
        <v>322.06374999999997</v>
      </c>
      <c r="M122" s="28">
        <f t="shared" si="8"/>
        <v>321.97041666666672</v>
      </c>
      <c r="N122" s="28">
        <f t="shared" si="8"/>
        <v>321.89125000000007</v>
      </c>
    </row>
    <row r="123" spans="1:14" x14ac:dyDescent="0.4">
      <c r="A123" s="1">
        <v>24929</v>
      </c>
      <c r="B123" s="28">
        <v>322.88749999999999</v>
      </c>
      <c r="C123" s="28">
        <f t="shared" si="8"/>
        <v>322.80666666666667</v>
      </c>
      <c r="D123" s="28">
        <f t="shared" si="8"/>
        <v>322.71208333333328</v>
      </c>
      <c r="E123" s="28">
        <f t="shared" si="8"/>
        <v>322.59583333333325</v>
      </c>
      <c r="F123" s="28">
        <f t="shared" si="8"/>
        <v>322.47624999999994</v>
      </c>
      <c r="G123" s="28">
        <f t="shared" si="8"/>
        <v>322.39958333333334</v>
      </c>
      <c r="H123" s="28">
        <f t="shared" si="8"/>
        <v>322.3508333333333</v>
      </c>
      <c r="I123" s="28">
        <f t="shared" si="8"/>
        <v>322.29041666666666</v>
      </c>
      <c r="J123" s="28">
        <f t="shared" si="8"/>
        <v>322.22791666666666</v>
      </c>
      <c r="K123" s="28">
        <f t="shared" si="8"/>
        <v>322.19083333333327</v>
      </c>
      <c r="L123" s="28">
        <f t="shared" si="8"/>
        <v>322.14208333333335</v>
      </c>
      <c r="M123" s="28">
        <f t="shared" si="8"/>
        <v>322.06374999999997</v>
      </c>
      <c r="N123" s="28">
        <f t="shared" si="8"/>
        <v>321.97041666666672</v>
      </c>
    </row>
    <row r="124" spans="1:14" x14ac:dyDescent="0.4">
      <c r="A124" s="1">
        <v>24959</v>
      </c>
      <c r="B124" s="28">
        <v>322.94791666666669</v>
      </c>
      <c r="C124" s="28">
        <f t="shared" si="8"/>
        <v>322.88749999999999</v>
      </c>
      <c r="D124" s="28">
        <f t="shared" si="8"/>
        <v>322.80666666666667</v>
      </c>
      <c r="E124" s="28">
        <f t="shared" si="8"/>
        <v>322.71208333333328</v>
      </c>
      <c r="F124" s="28">
        <f t="shared" si="8"/>
        <v>322.59583333333325</v>
      </c>
      <c r="G124" s="28">
        <f t="shared" si="8"/>
        <v>322.47624999999994</v>
      </c>
      <c r="H124" s="28">
        <f t="shared" si="8"/>
        <v>322.39958333333334</v>
      </c>
      <c r="I124" s="28">
        <f t="shared" si="8"/>
        <v>322.3508333333333</v>
      </c>
      <c r="J124" s="28">
        <f t="shared" si="8"/>
        <v>322.29041666666666</v>
      </c>
      <c r="K124" s="28">
        <f t="shared" si="8"/>
        <v>322.22791666666666</v>
      </c>
      <c r="L124" s="28">
        <f t="shared" si="8"/>
        <v>322.19083333333327</v>
      </c>
      <c r="M124" s="28">
        <f t="shared" si="8"/>
        <v>322.14208333333335</v>
      </c>
      <c r="N124" s="28">
        <f t="shared" si="8"/>
        <v>322.06374999999997</v>
      </c>
    </row>
    <row r="125" spans="1:14" x14ac:dyDescent="0.4">
      <c r="A125" s="1">
        <v>24990</v>
      </c>
      <c r="B125" s="28">
        <v>323.01124999999996</v>
      </c>
      <c r="C125" s="28">
        <f t="shared" si="8"/>
        <v>322.94791666666669</v>
      </c>
      <c r="D125" s="28">
        <f t="shared" si="8"/>
        <v>322.88749999999999</v>
      </c>
      <c r="E125" s="28">
        <f t="shared" si="8"/>
        <v>322.80666666666667</v>
      </c>
      <c r="F125" s="28">
        <f t="shared" si="8"/>
        <v>322.71208333333328</v>
      </c>
      <c r="G125" s="28">
        <f t="shared" si="8"/>
        <v>322.59583333333325</v>
      </c>
      <c r="H125" s="28">
        <f t="shared" si="8"/>
        <v>322.47624999999994</v>
      </c>
      <c r="I125" s="28">
        <f t="shared" si="8"/>
        <v>322.39958333333334</v>
      </c>
      <c r="J125" s="28">
        <f t="shared" si="8"/>
        <v>322.3508333333333</v>
      </c>
      <c r="K125" s="28">
        <f t="shared" si="8"/>
        <v>322.29041666666666</v>
      </c>
      <c r="L125" s="28">
        <f t="shared" si="8"/>
        <v>322.22791666666666</v>
      </c>
      <c r="M125" s="28">
        <f t="shared" si="8"/>
        <v>322.19083333333327</v>
      </c>
      <c r="N125" s="28">
        <f t="shared" si="8"/>
        <v>322.14208333333335</v>
      </c>
    </row>
    <row r="126" spans="1:14" x14ac:dyDescent="0.4">
      <c r="A126" s="1">
        <v>25020</v>
      </c>
      <c r="B126" s="28">
        <v>323.10958333333332</v>
      </c>
      <c r="C126" s="28">
        <f t="shared" si="8"/>
        <v>323.01124999999996</v>
      </c>
      <c r="D126" s="28">
        <f t="shared" si="8"/>
        <v>322.94791666666669</v>
      </c>
      <c r="E126" s="28">
        <f t="shared" si="8"/>
        <v>322.88749999999999</v>
      </c>
      <c r="F126" s="28">
        <f t="shared" ref="C126:Q189" si="9">IF(E125=0,"",E125)</f>
        <v>322.80666666666667</v>
      </c>
      <c r="G126" s="28">
        <f t="shared" si="9"/>
        <v>322.71208333333328</v>
      </c>
      <c r="H126" s="28">
        <f t="shared" si="9"/>
        <v>322.59583333333325</v>
      </c>
      <c r="I126" s="28">
        <f t="shared" si="9"/>
        <v>322.47624999999994</v>
      </c>
      <c r="J126" s="28">
        <f t="shared" si="9"/>
        <v>322.39958333333334</v>
      </c>
      <c r="K126" s="28">
        <f t="shared" si="9"/>
        <v>322.3508333333333</v>
      </c>
      <c r="L126" s="28">
        <f t="shared" si="9"/>
        <v>322.29041666666666</v>
      </c>
      <c r="M126" s="28">
        <f t="shared" si="9"/>
        <v>322.22791666666666</v>
      </c>
      <c r="N126" s="28">
        <f t="shared" si="9"/>
        <v>322.19083333333327</v>
      </c>
    </row>
    <row r="127" spans="1:14" x14ac:dyDescent="0.4">
      <c r="A127" s="1">
        <v>25051</v>
      </c>
      <c r="B127" s="28">
        <v>323.22166666666664</v>
      </c>
      <c r="C127" s="28">
        <f t="shared" si="9"/>
        <v>323.10958333333332</v>
      </c>
      <c r="D127" s="28">
        <f t="shared" si="9"/>
        <v>323.01124999999996</v>
      </c>
      <c r="E127" s="28">
        <f t="shared" si="9"/>
        <v>322.94791666666669</v>
      </c>
      <c r="F127" s="28">
        <f t="shared" si="9"/>
        <v>322.88749999999999</v>
      </c>
      <c r="G127" s="28">
        <f t="shared" si="9"/>
        <v>322.80666666666667</v>
      </c>
      <c r="H127" s="28">
        <f t="shared" si="9"/>
        <v>322.71208333333328</v>
      </c>
      <c r="I127" s="28">
        <f t="shared" si="9"/>
        <v>322.59583333333325</v>
      </c>
      <c r="J127" s="28">
        <f t="shared" si="9"/>
        <v>322.47624999999994</v>
      </c>
      <c r="K127" s="28">
        <f t="shared" si="9"/>
        <v>322.39958333333334</v>
      </c>
      <c r="L127" s="28">
        <f t="shared" si="9"/>
        <v>322.3508333333333</v>
      </c>
      <c r="M127" s="28">
        <f t="shared" si="9"/>
        <v>322.29041666666666</v>
      </c>
      <c r="N127" s="28">
        <f t="shared" si="9"/>
        <v>322.22791666666666</v>
      </c>
    </row>
    <row r="128" spans="1:14" x14ac:dyDescent="0.4">
      <c r="A128" s="1">
        <v>25082</v>
      </c>
      <c r="B128" s="28">
        <v>323.34666666666664</v>
      </c>
      <c r="C128" s="28">
        <f t="shared" si="9"/>
        <v>323.22166666666664</v>
      </c>
      <c r="D128" s="28">
        <f t="shared" si="9"/>
        <v>323.10958333333332</v>
      </c>
      <c r="E128" s="28">
        <f t="shared" si="9"/>
        <v>323.01124999999996</v>
      </c>
      <c r="F128" s="28">
        <f t="shared" si="9"/>
        <v>322.94791666666669</v>
      </c>
      <c r="G128" s="28">
        <f t="shared" si="9"/>
        <v>322.88749999999999</v>
      </c>
      <c r="H128" s="28">
        <f t="shared" si="9"/>
        <v>322.80666666666667</v>
      </c>
      <c r="I128" s="28">
        <f t="shared" si="9"/>
        <v>322.71208333333328</v>
      </c>
      <c r="J128" s="28">
        <f t="shared" si="9"/>
        <v>322.59583333333325</v>
      </c>
      <c r="K128" s="28">
        <f t="shared" si="9"/>
        <v>322.47624999999994</v>
      </c>
      <c r="L128" s="28">
        <f t="shared" si="9"/>
        <v>322.39958333333334</v>
      </c>
      <c r="M128" s="28">
        <f t="shared" si="9"/>
        <v>322.3508333333333</v>
      </c>
      <c r="N128" s="28">
        <f t="shared" si="9"/>
        <v>322.29041666666666</v>
      </c>
    </row>
    <row r="129" spans="1:14" x14ac:dyDescent="0.4">
      <c r="A129" s="1">
        <v>25112</v>
      </c>
      <c r="B129" s="28">
        <v>323.48750000000001</v>
      </c>
      <c r="C129" s="28">
        <f t="shared" si="9"/>
        <v>323.34666666666664</v>
      </c>
      <c r="D129" s="28">
        <f t="shared" si="9"/>
        <v>323.22166666666664</v>
      </c>
      <c r="E129" s="28">
        <f t="shared" si="9"/>
        <v>323.10958333333332</v>
      </c>
      <c r="F129" s="28">
        <f t="shared" si="9"/>
        <v>323.01124999999996</v>
      </c>
      <c r="G129" s="28">
        <f t="shared" si="9"/>
        <v>322.94791666666669</v>
      </c>
      <c r="H129" s="28">
        <f t="shared" si="9"/>
        <v>322.88749999999999</v>
      </c>
      <c r="I129" s="28">
        <f t="shared" si="9"/>
        <v>322.80666666666667</v>
      </c>
      <c r="J129" s="28">
        <f t="shared" si="9"/>
        <v>322.71208333333328</v>
      </c>
      <c r="K129" s="28">
        <f t="shared" si="9"/>
        <v>322.59583333333325</v>
      </c>
      <c r="L129" s="28">
        <f t="shared" si="9"/>
        <v>322.47624999999994</v>
      </c>
      <c r="M129" s="28">
        <f t="shared" si="9"/>
        <v>322.39958333333334</v>
      </c>
      <c r="N129" s="28">
        <f t="shared" si="9"/>
        <v>322.3508333333333</v>
      </c>
    </row>
    <row r="130" spans="1:14" x14ac:dyDescent="0.4">
      <c r="A130" s="1">
        <v>25143</v>
      </c>
      <c r="B130" s="28">
        <v>323.63124999999997</v>
      </c>
      <c r="C130" s="28">
        <f t="shared" si="9"/>
        <v>323.48750000000001</v>
      </c>
      <c r="D130" s="28">
        <f t="shared" si="9"/>
        <v>323.34666666666664</v>
      </c>
      <c r="E130" s="28">
        <f t="shared" si="9"/>
        <v>323.22166666666664</v>
      </c>
      <c r="F130" s="28">
        <f t="shared" si="9"/>
        <v>323.10958333333332</v>
      </c>
      <c r="G130" s="28">
        <f t="shared" si="9"/>
        <v>323.01124999999996</v>
      </c>
      <c r="H130" s="28">
        <f t="shared" si="9"/>
        <v>322.94791666666669</v>
      </c>
      <c r="I130" s="28">
        <f t="shared" si="9"/>
        <v>322.88749999999999</v>
      </c>
      <c r="J130" s="28">
        <f t="shared" si="9"/>
        <v>322.80666666666667</v>
      </c>
      <c r="K130" s="28">
        <f t="shared" si="9"/>
        <v>322.71208333333328</v>
      </c>
      <c r="L130" s="28">
        <f t="shared" si="9"/>
        <v>322.59583333333325</v>
      </c>
      <c r="M130" s="28">
        <f t="shared" si="9"/>
        <v>322.47624999999994</v>
      </c>
      <c r="N130" s="28">
        <f t="shared" si="9"/>
        <v>322.39958333333334</v>
      </c>
    </row>
    <row r="131" spans="1:14" x14ac:dyDescent="0.4">
      <c r="A131" s="1">
        <v>25173</v>
      </c>
      <c r="B131" s="28">
        <v>323.76291666666668</v>
      </c>
      <c r="C131" s="28">
        <f t="shared" si="9"/>
        <v>323.63124999999997</v>
      </c>
      <c r="D131" s="28">
        <f t="shared" si="9"/>
        <v>323.48750000000001</v>
      </c>
      <c r="E131" s="28">
        <f t="shared" si="9"/>
        <v>323.34666666666664</v>
      </c>
      <c r="F131" s="28">
        <f t="shared" si="9"/>
        <v>323.22166666666664</v>
      </c>
      <c r="G131" s="28">
        <f t="shared" si="9"/>
        <v>323.10958333333332</v>
      </c>
      <c r="H131" s="28">
        <f t="shared" si="9"/>
        <v>323.01124999999996</v>
      </c>
      <c r="I131" s="28">
        <f t="shared" si="9"/>
        <v>322.94791666666669</v>
      </c>
      <c r="J131" s="28">
        <f t="shared" si="9"/>
        <v>322.88749999999999</v>
      </c>
      <c r="K131" s="28">
        <f t="shared" si="9"/>
        <v>322.80666666666667</v>
      </c>
      <c r="L131" s="28">
        <f t="shared" si="9"/>
        <v>322.71208333333328</v>
      </c>
      <c r="M131" s="28">
        <f t="shared" si="9"/>
        <v>322.59583333333325</v>
      </c>
      <c r="N131" s="28">
        <f t="shared" si="9"/>
        <v>322.47624999999994</v>
      </c>
    </row>
    <row r="132" spans="1:14" x14ac:dyDescent="0.4">
      <c r="A132" s="1">
        <v>25204</v>
      </c>
      <c r="B132" s="28">
        <v>323.89166666666671</v>
      </c>
      <c r="C132" s="28">
        <f t="shared" si="9"/>
        <v>323.76291666666668</v>
      </c>
      <c r="D132" s="28">
        <f t="shared" si="9"/>
        <v>323.63124999999997</v>
      </c>
      <c r="E132" s="28">
        <f t="shared" si="9"/>
        <v>323.48750000000001</v>
      </c>
      <c r="F132" s="28">
        <f t="shared" si="9"/>
        <v>323.34666666666664</v>
      </c>
      <c r="G132" s="28">
        <f t="shared" si="9"/>
        <v>323.22166666666664</v>
      </c>
      <c r="H132" s="28">
        <f t="shared" si="9"/>
        <v>323.10958333333332</v>
      </c>
      <c r="I132" s="28">
        <f t="shared" si="9"/>
        <v>323.01124999999996</v>
      </c>
      <c r="J132" s="28">
        <f t="shared" si="9"/>
        <v>322.94791666666669</v>
      </c>
      <c r="K132" s="28">
        <f t="shared" si="9"/>
        <v>322.88749999999999</v>
      </c>
      <c r="L132" s="28">
        <f t="shared" si="9"/>
        <v>322.80666666666667</v>
      </c>
      <c r="M132" s="28">
        <f t="shared" si="9"/>
        <v>322.71208333333328</v>
      </c>
      <c r="N132" s="28">
        <f t="shared" si="9"/>
        <v>322.59583333333325</v>
      </c>
    </row>
    <row r="133" spans="1:14" x14ac:dyDescent="0.4">
      <c r="A133" s="1">
        <v>25235</v>
      </c>
      <c r="B133" s="28">
        <v>324.02875</v>
      </c>
      <c r="C133" s="28">
        <f t="shared" si="9"/>
        <v>323.89166666666671</v>
      </c>
      <c r="D133" s="28">
        <f t="shared" si="9"/>
        <v>323.76291666666668</v>
      </c>
      <c r="E133" s="28">
        <f t="shared" si="9"/>
        <v>323.63124999999997</v>
      </c>
      <c r="F133" s="28">
        <f t="shared" si="9"/>
        <v>323.48750000000001</v>
      </c>
      <c r="G133" s="28">
        <f t="shared" si="9"/>
        <v>323.34666666666664</v>
      </c>
      <c r="H133" s="28">
        <f t="shared" si="9"/>
        <v>323.22166666666664</v>
      </c>
      <c r="I133" s="28">
        <f t="shared" si="9"/>
        <v>323.10958333333332</v>
      </c>
      <c r="J133" s="28">
        <f t="shared" si="9"/>
        <v>323.01124999999996</v>
      </c>
      <c r="K133" s="28">
        <f t="shared" si="9"/>
        <v>322.94791666666669</v>
      </c>
      <c r="L133" s="28">
        <f t="shared" si="9"/>
        <v>322.88749999999999</v>
      </c>
      <c r="M133" s="28">
        <f t="shared" si="9"/>
        <v>322.80666666666667</v>
      </c>
      <c r="N133" s="28">
        <f t="shared" si="9"/>
        <v>322.71208333333328</v>
      </c>
    </row>
    <row r="134" spans="1:14" x14ac:dyDescent="0.4">
      <c r="A134" s="1">
        <v>25263</v>
      </c>
      <c r="B134" s="28">
        <v>324.17874999999998</v>
      </c>
      <c r="C134" s="28">
        <f t="shared" si="9"/>
        <v>324.02875</v>
      </c>
      <c r="D134" s="28">
        <f t="shared" si="9"/>
        <v>323.89166666666671</v>
      </c>
      <c r="E134" s="28">
        <f t="shared" si="9"/>
        <v>323.76291666666668</v>
      </c>
      <c r="F134" s="28">
        <f t="shared" si="9"/>
        <v>323.63124999999997</v>
      </c>
      <c r="G134" s="28">
        <f t="shared" si="9"/>
        <v>323.48750000000001</v>
      </c>
      <c r="H134" s="28">
        <f t="shared" si="9"/>
        <v>323.34666666666664</v>
      </c>
      <c r="I134" s="28">
        <f t="shared" si="9"/>
        <v>323.22166666666664</v>
      </c>
      <c r="J134" s="28">
        <f t="shared" si="9"/>
        <v>323.10958333333332</v>
      </c>
      <c r="K134" s="28">
        <f t="shared" si="9"/>
        <v>323.01124999999996</v>
      </c>
      <c r="L134" s="28">
        <f t="shared" si="9"/>
        <v>322.94791666666669</v>
      </c>
      <c r="M134" s="28">
        <f t="shared" si="9"/>
        <v>322.88749999999999</v>
      </c>
      <c r="N134" s="28">
        <f t="shared" si="9"/>
        <v>322.80666666666667</v>
      </c>
    </row>
    <row r="135" spans="1:14" x14ac:dyDescent="0.4">
      <c r="A135" s="1">
        <v>25294</v>
      </c>
      <c r="B135" s="28">
        <v>324.32791666666668</v>
      </c>
      <c r="C135" s="28">
        <f t="shared" si="9"/>
        <v>324.17874999999998</v>
      </c>
      <c r="D135" s="28">
        <f t="shared" si="9"/>
        <v>324.02875</v>
      </c>
      <c r="E135" s="28">
        <f t="shared" si="9"/>
        <v>323.89166666666671</v>
      </c>
      <c r="F135" s="28">
        <f t="shared" si="9"/>
        <v>323.76291666666668</v>
      </c>
      <c r="G135" s="28">
        <f t="shared" si="9"/>
        <v>323.63124999999997</v>
      </c>
      <c r="H135" s="28">
        <f t="shared" si="9"/>
        <v>323.48750000000001</v>
      </c>
      <c r="I135" s="28">
        <f t="shared" si="9"/>
        <v>323.34666666666664</v>
      </c>
      <c r="J135" s="28">
        <f t="shared" si="9"/>
        <v>323.22166666666664</v>
      </c>
      <c r="K135" s="28">
        <f t="shared" si="9"/>
        <v>323.10958333333332</v>
      </c>
      <c r="L135" s="28">
        <f t="shared" si="9"/>
        <v>323.01124999999996</v>
      </c>
      <c r="M135" s="28">
        <f t="shared" si="9"/>
        <v>322.94791666666669</v>
      </c>
      <c r="N135" s="28">
        <f t="shared" si="9"/>
        <v>322.88749999999999</v>
      </c>
    </row>
    <row r="136" spans="1:14" x14ac:dyDescent="0.4">
      <c r="A136" s="1">
        <v>25324</v>
      </c>
      <c r="B136" s="28">
        <v>324.45541666666662</v>
      </c>
      <c r="C136" s="28">
        <f t="shared" si="9"/>
        <v>324.32791666666668</v>
      </c>
      <c r="D136" s="28">
        <f t="shared" si="9"/>
        <v>324.17874999999998</v>
      </c>
      <c r="E136" s="28">
        <f t="shared" si="9"/>
        <v>324.02875</v>
      </c>
      <c r="F136" s="28">
        <f t="shared" si="9"/>
        <v>323.89166666666671</v>
      </c>
      <c r="G136" s="28">
        <f t="shared" si="9"/>
        <v>323.76291666666668</v>
      </c>
      <c r="H136" s="28">
        <f t="shared" si="9"/>
        <v>323.63124999999997</v>
      </c>
      <c r="I136" s="28">
        <f t="shared" si="9"/>
        <v>323.48750000000001</v>
      </c>
      <c r="J136" s="28">
        <f t="shared" si="9"/>
        <v>323.34666666666664</v>
      </c>
      <c r="K136" s="28">
        <f t="shared" si="9"/>
        <v>323.22166666666664</v>
      </c>
      <c r="L136" s="28">
        <f t="shared" si="9"/>
        <v>323.10958333333332</v>
      </c>
      <c r="M136" s="28">
        <f t="shared" si="9"/>
        <v>323.01124999999996</v>
      </c>
      <c r="N136" s="28">
        <f t="shared" si="9"/>
        <v>322.94791666666669</v>
      </c>
    </row>
    <row r="137" spans="1:14" x14ac:dyDescent="0.4">
      <c r="A137" s="1">
        <v>25355</v>
      </c>
      <c r="B137" s="28">
        <v>324.57041666666663</v>
      </c>
      <c r="C137" s="28">
        <f t="shared" si="9"/>
        <v>324.45541666666662</v>
      </c>
      <c r="D137" s="28">
        <f t="shared" si="9"/>
        <v>324.32791666666668</v>
      </c>
      <c r="E137" s="28">
        <f t="shared" si="9"/>
        <v>324.17874999999998</v>
      </c>
      <c r="F137" s="28">
        <f t="shared" si="9"/>
        <v>324.02875</v>
      </c>
      <c r="G137" s="28">
        <f t="shared" si="9"/>
        <v>323.89166666666671</v>
      </c>
      <c r="H137" s="28">
        <f t="shared" si="9"/>
        <v>323.76291666666668</v>
      </c>
      <c r="I137" s="28">
        <f t="shared" si="9"/>
        <v>323.63124999999997</v>
      </c>
      <c r="J137" s="28">
        <f t="shared" si="9"/>
        <v>323.48750000000001</v>
      </c>
      <c r="K137" s="28">
        <f t="shared" si="9"/>
        <v>323.34666666666664</v>
      </c>
      <c r="L137" s="28">
        <f t="shared" si="9"/>
        <v>323.22166666666664</v>
      </c>
      <c r="M137" s="28">
        <f t="shared" si="9"/>
        <v>323.10958333333332</v>
      </c>
      <c r="N137" s="28">
        <f t="shared" si="9"/>
        <v>323.01124999999996</v>
      </c>
    </row>
    <row r="138" spans="1:14" x14ac:dyDescent="0.4">
      <c r="A138" s="1">
        <v>25385</v>
      </c>
      <c r="B138" s="28">
        <v>324.66583333333335</v>
      </c>
      <c r="C138" s="28">
        <f t="shared" si="9"/>
        <v>324.57041666666663</v>
      </c>
      <c r="D138" s="28">
        <f t="shared" si="9"/>
        <v>324.45541666666662</v>
      </c>
      <c r="E138" s="28">
        <f t="shared" si="9"/>
        <v>324.32791666666668</v>
      </c>
      <c r="F138" s="28">
        <f t="shared" si="9"/>
        <v>324.17874999999998</v>
      </c>
      <c r="G138" s="28">
        <f t="shared" si="9"/>
        <v>324.02875</v>
      </c>
      <c r="H138" s="28">
        <f t="shared" si="9"/>
        <v>323.89166666666671</v>
      </c>
      <c r="I138" s="28">
        <f t="shared" si="9"/>
        <v>323.76291666666668</v>
      </c>
      <c r="J138" s="28">
        <f t="shared" si="9"/>
        <v>323.63124999999997</v>
      </c>
      <c r="K138" s="28">
        <f t="shared" si="9"/>
        <v>323.48750000000001</v>
      </c>
      <c r="L138" s="28">
        <f t="shared" si="9"/>
        <v>323.34666666666664</v>
      </c>
      <c r="M138" s="28">
        <f t="shared" si="9"/>
        <v>323.22166666666664</v>
      </c>
      <c r="N138" s="28">
        <f t="shared" si="9"/>
        <v>323.10958333333332</v>
      </c>
    </row>
    <row r="139" spans="1:14" x14ac:dyDescent="0.4">
      <c r="A139" s="1">
        <v>25416</v>
      </c>
      <c r="B139" s="28">
        <v>324.77541666666667</v>
      </c>
      <c r="C139" s="28">
        <f t="shared" si="9"/>
        <v>324.66583333333335</v>
      </c>
      <c r="D139" s="28">
        <f t="shared" si="9"/>
        <v>324.57041666666663</v>
      </c>
      <c r="E139" s="28">
        <f t="shared" si="9"/>
        <v>324.45541666666662</v>
      </c>
      <c r="F139" s="28">
        <f t="shared" si="9"/>
        <v>324.32791666666668</v>
      </c>
      <c r="G139" s="28">
        <f t="shared" si="9"/>
        <v>324.17874999999998</v>
      </c>
      <c r="H139" s="28">
        <f t="shared" si="9"/>
        <v>324.02875</v>
      </c>
      <c r="I139" s="28">
        <f t="shared" si="9"/>
        <v>323.89166666666671</v>
      </c>
      <c r="J139" s="28">
        <f t="shared" si="9"/>
        <v>323.76291666666668</v>
      </c>
      <c r="K139" s="28">
        <f t="shared" si="9"/>
        <v>323.63124999999997</v>
      </c>
      <c r="L139" s="28">
        <f t="shared" si="9"/>
        <v>323.48750000000001</v>
      </c>
      <c r="M139" s="28">
        <f t="shared" si="9"/>
        <v>323.34666666666664</v>
      </c>
      <c r="N139" s="28">
        <f t="shared" si="9"/>
        <v>323.22166666666664</v>
      </c>
    </row>
    <row r="140" spans="1:14" x14ac:dyDescent="0.4">
      <c r="A140" s="1">
        <v>25447</v>
      </c>
      <c r="B140" s="28">
        <v>324.89500000000004</v>
      </c>
      <c r="C140" s="28">
        <f t="shared" si="9"/>
        <v>324.77541666666667</v>
      </c>
      <c r="D140" s="28">
        <f t="shared" si="9"/>
        <v>324.66583333333335</v>
      </c>
      <c r="E140" s="28">
        <f t="shared" si="9"/>
        <v>324.57041666666663</v>
      </c>
      <c r="F140" s="28">
        <f t="shared" si="9"/>
        <v>324.45541666666662</v>
      </c>
      <c r="G140" s="28">
        <f t="shared" si="9"/>
        <v>324.32791666666668</v>
      </c>
      <c r="H140" s="28">
        <f t="shared" si="9"/>
        <v>324.17874999999998</v>
      </c>
      <c r="I140" s="28">
        <f t="shared" si="9"/>
        <v>324.02875</v>
      </c>
      <c r="J140" s="28">
        <f t="shared" si="9"/>
        <v>323.89166666666671</v>
      </c>
      <c r="K140" s="28">
        <f t="shared" si="9"/>
        <v>323.76291666666668</v>
      </c>
      <c r="L140" s="28">
        <f t="shared" si="9"/>
        <v>323.63124999999997</v>
      </c>
      <c r="M140" s="28">
        <f t="shared" si="9"/>
        <v>323.48750000000001</v>
      </c>
      <c r="N140" s="28">
        <f t="shared" si="9"/>
        <v>323.34666666666664</v>
      </c>
    </row>
    <row r="141" spans="1:14" x14ac:dyDescent="0.4">
      <c r="A141" s="1">
        <v>25477</v>
      </c>
      <c r="B141" s="28">
        <v>325.01041666666674</v>
      </c>
      <c r="C141" s="28">
        <f t="shared" si="9"/>
        <v>324.89500000000004</v>
      </c>
      <c r="D141" s="28">
        <f t="shared" si="9"/>
        <v>324.77541666666667</v>
      </c>
      <c r="E141" s="28">
        <f t="shared" si="9"/>
        <v>324.66583333333335</v>
      </c>
      <c r="F141" s="28">
        <f t="shared" si="9"/>
        <v>324.57041666666663</v>
      </c>
      <c r="G141" s="28">
        <f t="shared" si="9"/>
        <v>324.45541666666662</v>
      </c>
      <c r="H141" s="28">
        <f t="shared" si="9"/>
        <v>324.32791666666668</v>
      </c>
      <c r="I141" s="28">
        <f t="shared" si="9"/>
        <v>324.17874999999998</v>
      </c>
      <c r="J141" s="28">
        <f t="shared" si="9"/>
        <v>324.02875</v>
      </c>
      <c r="K141" s="28">
        <f t="shared" si="9"/>
        <v>323.89166666666671</v>
      </c>
      <c r="L141" s="28">
        <f t="shared" si="9"/>
        <v>323.76291666666668</v>
      </c>
      <c r="M141" s="28">
        <f t="shared" si="9"/>
        <v>323.63124999999997</v>
      </c>
      <c r="N141" s="28">
        <f t="shared" si="9"/>
        <v>323.48750000000001</v>
      </c>
    </row>
    <row r="142" spans="1:14" x14ac:dyDescent="0.4">
      <c r="A142" s="1">
        <v>25508</v>
      </c>
      <c r="B142" s="28">
        <v>325.10083333333336</v>
      </c>
      <c r="C142" s="28">
        <f t="shared" si="9"/>
        <v>325.01041666666674</v>
      </c>
      <c r="D142" s="28">
        <f t="shared" si="9"/>
        <v>324.89500000000004</v>
      </c>
      <c r="E142" s="28">
        <f t="shared" si="9"/>
        <v>324.77541666666667</v>
      </c>
      <c r="F142" s="28">
        <f t="shared" si="9"/>
        <v>324.66583333333335</v>
      </c>
      <c r="G142" s="28">
        <f t="shared" si="9"/>
        <v>324.57041666666663</v>
      </c>
      <c r="H142" s="28">
        <f t="shared" si="9"/>
        <v>324.45541666666662</v>
      </c>
      <c r="I142" s="28">
        <f t="shared" si="9"/>
        <v>324.32791666666668</v>
      </c>
      <c r="J142" s="28">
        <f t="shared" si="9"/>
        <v>324.17874999999998</v>
      </c>
      <c r="K142" s="28">
        <f t="shared" si="9"/>
        <v>324.02875</v>
      </c>
      <c r="L142" s="28">
        <f t="shared" si="9"/>
        <v>323.89166666666671</v>
      </c>
      <c r="M142" s="28">
        <f t="shared" si="9"/>
        <v>323.76291666666668</v>
      </c>
      <c r="N142" s="28">
        <f t="shared" si="9"/>
        <v>323.63124999999997</v>
      </c>
    </row>
    <row r="143" spans="1:14" x14ac:dyDescent="0.4">
      <c r="A143" s="1">
        <v>25538</v>
      </c>
      <c r="B143" s="28">
        <v>325.17</v>
      </c>
      <c r="C143" s="28">
        <f t="shared" si="9"/>
        <v>325.10083333333336</v>
      </c>
      <c r="D143" s="28">
        <f t="shared" si="9"/>
        <v>325.01041666666674</v>
      </c>
      <c r="E143" s="28">
        <f t="shared" si="9"/>
        <v>324.89500000000004</v>
      </c>
      <c r="F143" s="28">
        <f t="shared" si="9"/>
        <v>324.77541666666667</v>
      </c>
      <c r="G143" s="28">
        <f t="shared" si="9"/>
        <v>324.66583333333335</v>
      </c>
      <c r="H143" s="28">
        <f t="shared" si="9"/>
        <v>324.57041666666663</v>
      </c>
      <c r="I143" s="28">
        <f t="shared" si="9"/>
        <v>324.45541666666662</v>
      </c>
      <c r="J143" s="28">
        <f t="shared" si="9"/>
        <v>324.32791666666668</v>
      </c>
      <c r="K143" s="28">
        <f t="shared" si="9"/>
        <v>324.17874999999998</v>
      </c>
      <c r="L143" s="28">
        <f t="shared" si="9"/>
        <v>324.02875</v>
      </c>
      <c r="M143" s="28">
        <f t="shared" si="9"/>
        <v>323.89166666666671</v>
      </c>
      <c r="N143" s="28">
        <f t="shared" si="9"/>
        <v>323.76291666666668</v>
      </c>
    </row>
    <row r="144" spans="1:14" x14ac:dyDescent="0.4">
      <c r="A144" s="1">
        <v>25569</v>
      </c>
      <c r="B144" s="28">
        <v>325.22916666666663</v>
      </c>
      <c r="C144" s="28">
        <f t="shared" si="9"/>
        <v>325.17</v>
      </c>
      <c r="D144" s="28">
        <f t="shared" si="9"/>
        <v>325.10083333333336</v>
      </c>
      <c r="E144" s="28">
        <f t="shared" si="9"/>
        <v>325.01041666666674</v>
      </c>
      <c r="F144" s="28">
        <f t="shared" si="9"/>
        <v>324.89500000000004</v>
      </c>
      <c r="G144" s="28">
        <f t="shared" si="9"/>
        <v>324.77541666666667</v>
      </c>
      <c r="H144" s="28">
        <f t="shared" si="9"/>
        <v>324.66583333333335</v>
      </c>
      <c r="I144" s="28">
        <f t="shared" si="9"/>
        <v>324.57041666666663</v>
      </c>
      <c r="J144" s="28">
        <f t="shared" si="9"/>
        <v>324.45541666666662</v>
      </c>
      <c r="K144" s="28">
        <f t="shared" si="9"/>
        <v>324.32791666666668</v>
      </c>
      <c r="L144" s="28">
        <f t="shared" si="9"/>
        <v>324.17874999999998</v>
      </c>
      <c r="M144" s="28">
        <f t="shared" si="9"/>
        <v>324.02875</v>
      </c>
      <c r="N144" s="28">
        <f t="shared" si="9"/>
        <v>323.89166666666671</v>
      </c>
    </row>
    <row r="145" spans="1:14" x14ac:dyDescent="0.4">
      <c r="A145" s="1">
        <v>25600</v>
      </c>
      <c r="B145" s="28">
        <v>325.29124999999993</v>
      </c>
      <c r="C145" s="28">
        <f t="shared" si="9"/>
        <v>325.22916666666663</v>
      </c>
      <c r="D145" s="28">
        <f t="shared" si="9"/>
        <v>325.17</v>
      </c>
      <c r="E145" s="28">
        <f t="shared" si="9"/>
        <v>325.10083333333336</v>
      </c>
      <c r="F145" s="28">
        <f t="shared" si="9"/>
        <v>325.01041666666674</v>
      </c>
      <c r="G145" s="28">
        <f t="shared" si="9"/>
        <v>324.89500000000004</v>
      </c>
      <c r="H145" s="28">
        <f t="shared" si="9"/>
        <v>324.77541666666667</v>
      </c>
      <c r="I145" s="28">
        <f t="shared" si="9"/>
        <v>324.66583333333335</v>
      </c>
      <c r="J145" s="28">
        <f t="shared" si="9"/>
        <v>324.57041666666663</v>
      </c>
      <c r="K145" s="28">
        <f t="shared" si="9"/>
        <v>324.45541666666662</v>
      </c>
      <c r="L145" s="28">
        <f t="shared" si="9"/>
        <v>324.32791666666668</v>
      </c>
      <c r="M145" s="28">
        <f t="shared" si="9"/>
        <v>324.17874999999998</v>
      </c>
      <c r="N145" s="28">
        <f t="shared" si="9"/>
        <v>324.02875</v>
      </c>
    </row>
    <row r="146" spans="1:14" x14ac:dyDescent="0.4">
      <c r="A146" s="1">
        <v>25628</v>
      </c>
      <c r="B146" s="28">
        <v>325.36416666666668</v>
      </c>
      <c r="C146" s="28">
        <f t="shared" si="9"/>
        <v>325.29124999999993</v>
      </c>
      <c r="D146" s="28">
        <f t="shared" si="9"/>
        <v>325.22916666666663</v>
      </c>
      <c r="E146" s="28">
        <f t="shared" si="9"/>
        <v>325.17</v>
      </c>
      <c r="F146" s="28">
        <f t="shared" si="9"/>
        <v>325.10083333333336</v>
      </c>
      <c r="G146" s="28">
        <f t="shared" si="9"/>
        <v>325.01041666666674</v>
      </c>
      <c r="H146" s="28">
        <f t="shared" si="9"/>
        <v>324.89500000000004</v>
      </c>
      <c r="I146" s="28">
        <f t="shared" si="9"/>
        <v>324.77541666666667</v>
      </c>
      <c r="J146" s="28">
        <f t="shared" si="9"/>
        <v>324.66583333333335</v>
      </c>
      <c r="K146" s="28">
        <f t="shared" si="9"/>
        <v>324.57041666666663</v>
      </c>
      <c r="L146" s="28">
        <f t="shared" si="9"/>
        <v>324.45541666666662</v>
      </c>
      <c r="M146" s="28">
        <f t="shared" si="9"/>
        <v>324.32791666666668</v>
      </c>
      <c r="N146" s="28">
        <f t="shared" si="9"/>
        <v>324.17874999999998</v>
      </c>
    </row>
    <row r="147" spans="1:14" x14ac:dyDescent="0.4">
      <c r="A147" s="1">
        <v>25659</v>
      </c>
      <c r="B147" s="28">
        <v>325.44750000000005</v>
      </c>
      <c r="C147" s="28">
        <f t="shared" si="9"/>
        <v>325.36416666666668</v>
      </c>
      <c r="D147" s="28">
        <f t="shared" si="9"/>
        <v>325.29124999999993</v>
      </c>
      <c r="E147" s="28">
        <f t="shared" si="9"/>
        <v>325.22916666666663</v>
      </c>
      <c r="F147" s="28">
        <f t="shared" si="9"/>
        <v>325.17</v>
      </c>
      <c r="G147" s="28">
        <f t="shared" si="9"/>
        <v>325.10083333333336</v>
      </c>
      <c r="H147" s="28">
        <f t="shared" si="9"/>
        <v>325.01041666666674</v>
      </c>
      <c r="I147" s="28">
        <f t="shared" ref="I147:T210" si="10">IF(H146=0,"",H146)</f>
        <v>324.89500000000004</v>
      </c>
      <c r="J147" s="28">
        <f t="shared" si="10"/>
        <v>324.77541666666667</v>
      </c>
      <c r="K147" s="28">
        <f t="shared" si="10"/>
        <v>324.66583333333335</v>
      </c>
      <c r="L147" s="28">
        <f t="shared" si="10"/>
        <v>324.57041666666663</v>
      </c>
      <c r="M147" s="28">
        <f t="shared" si="10"/>
        <v>324.45541666666662</v>
      </c>
      <c r="N147" s="28">
        <f t="shared" si="10"/>
        <v>324.32791666666668</v>
      </c>
    </row>
    <row r="148" spans="1:14" x14ac:dyDescent="0.4">
      <c r="A148" s="1">
        <v>25689</v>
      </c>
      <c r="B148" s="28">
        <v>325.54916666666668</v>
      </c>
      <c r="C148" s="28">
        <f t="shared" ref="C148:N211" si="11">IF(B147=0,"",B147)</f>
        <v>325.44750000000005</v>
      </c>
      <c r="D148" s="28">
        <f t="shared" si="11"/>
        <v>325.36416666666668</v>
      </c>
      <c r="E148" s="28">
        <f t="shared" si="11"/>
        <v>325.29124999999993</v>
      </c>
      <c r="F148" s="28">
        <f t="shared" si="11"/>
        <v>325.22916666666663</v>
      </c>
      <c r="G148" s="28">
        <f t="shared" si="11"/>
        <v>325.17</v>
      </c>
      <c r="H148" s="28">
        <f t="shared" si="11"/>
        <v>325.10083333333336</v>
      </c>
      <c r="I148" s="28">
        <f t="shared" si="11"/>
        <v>325.01041666666674</v>
      </c>
      <c r="J148" s="28">
        <f t="shared" si="11"/>
        <v>324.89500000000004</v>
      </c>
      <c r="K148" s="28">
        <f t="shared" si="11"/>
        <v>324.77541666666667</v>
      </c>
      <c r="L148" s="28">
        <f t="shared" si="11"/>
        <v>324.66583333333335</v>
      </c>
      <c r="M148" s="28">
        <f t="shared" si="11"/>
        <v>324.57041666666663</v>
      </c>
      <c r="N148" s="28">
        <f t="shared" si="11"/>
        <v>324.45541666666662</v>
      </c>
    </row>
    <row r="149" spans="1:14" x14ac:dyDescent="0.4">
      <c r="A149" s="1">
        <v>25720</v>
      </c>
      <c r="B149" s="28">
        <v>325.63958333333335</v>
      </c>
      <c r="C149" s="28">
        <f t="shared" si="11"/>
        <v>325.54916666666668</v>
      </c>
      <c r="D149" s="28">
        <f t="shared" si="11"/>
        <v>325.44750000000005</v>
      </c>
      <c r="E149" s="28">
        <f t="shared" si="11"/>
        <v>325.36416666666668</v>
      </c>
      <c r="F149" s="28">
        <f t="shared" si="11"/>
        <v>325.29124999999993</v>
      </c>
      <c r="G149" s="28">
        <f t="shared" si="11"/>
        <v>325.22916666666663</v>
      </c>
      <c r="H149" s="28">
        <f t="shared" si="11"/>
        <v>325.17</v>
      </c>
      <c r="I149" s="28">
        <f t="shared" si="11"/>
        <v>325.10083333333336</v>
      </c>
      <c r="J149" s="28">
        <f t="shared" si="11"/>
        <v>325.01041666666674</v>
      </c>
      <c r="K149" s="28">
        <f t="shared" si="11"/>
        <v>324.89500000000004</v>
      </c>
      <c r="L149" s="28">
        <f t="shared" si="11"/>
        <v>324.77541666666667</v>
      </c>
      <c r="M149" s="28">
        <f t="shared" si="11"/>
        <v>324.66583333333335</v>
      </c>
      <c r="N149" s="28">
        <f t="shared" si="11"/>
        <v>324.57041666666663</v>
      </c>
    </row>
    <row r="150" spans="1:14" x14ac:dyDescent="0.4">
      <c r="A150" s="1">
        <v>25750</v>
      </c>
      <c r="B150" s="28">
        <v>325.72791666666666</v>
      </c>
      <c r="C150" s="28">
        <f t="shared" si="11"/>
        <v>325.63958333333335</v>
      </c>
      <c r="D150" s="28">
        <f t="shared" si="11"/>
        <v>325.54916666666668</v>
      </c>
      <c r="E150" s="28">
        <f t="shared" si="11"/>
        <v>325.44750000000005</v>
      </c>
      <c r="F150" s="28">
        <f t="shared" si="11"/>
        <v>325.36416666666668</v>
      </c>
      <c r="G150" s="28">
        <f t="shared" si="11"/>
        <v>325.29124999999993</v>
      </c>
      <c r="H150" s="28">
        <f t="shared" si="11"/>
        <v>325.22916666666663</v>
      </c>
      <c r="I150" s="28">
        <f t="shared" si="11"/>
        <v>325.17</v>
      </c>
      <c r="J150" s="28">
        <f t="shared" si="11"/>
        <v>325.10083333333336</v>
      </c>
      <c r="K150" s="28">
        <f t="shared" si="11"/>
        <v>325.01041666666674</v>
      </c>
      <c r="L150" s="28">
        <f t="shared" si="11"/>
        <v>324.89500000000004</v>
      </c>
      <c r="M150" s="28">
        <f t="shared" si="11"/>
        <v>324.77541666666667</v>
      </c>
      <c r="N150" s="28">
        <f t="shared" si="11"/>
        <v>324.66583333333335</v>
      </c>
    </row>
    <row r="151" spans="1:14" x14ac:dyDescent="0.4">
      <c r="A151" s="1">
        <v>25781</v>
      </c>
      <c r="B151" s="28">
        <v>325.80333333333334</v>
      </c>
      <c r="C151" s="28">
        <f t="shared" si="11"/>
        <v>325.72791666666666</v>
      </c>
      <c r="D151" s="28">
        <f t="shared" si="11"/>
        <v>325.63958333333335</v>
      </c>
      <c r="E151" s="28">
        <f t="shared" si="11"/>
        <v>325.54916666666668</v>
      </c>
      <c r="F151" s="28">
        <f t="shared" si="11"/>
        <v>325.44750000000005</v>
      </c>
      <c r="G151" s="28">
        <f t="shared" si="11"/>
        <v>325.36416666666668</v>
      </c>
      <c r="H151" s="28">
        <f t="shared" si="11"/>
        <v>325.29124999999993</v>
      </c>
      <c r="I151" s="28">
        <f t="shared" si="11"/>
        <v>325.22916666666663</v>
      </c>
      <c r="J151" s="28">
        <f t="shared" si="11"/>
        <v>325.17</v>
      </c>
      <c r="K151" s="28">
        <f t="shared" si="11"/>
        <v>325.10083333333336</v>
      </c>
      <c r="L151" s="28">
        <f t="shared" si="11"/>
        <v>325.01041666666674</v>
      </c>
      <c r="M151" s="28">
        <f t="shared" si="11"/>
        <v>324.89500000000004</v>
      </c>
      <c r="N151" s="28">
        <f t="shared" si="11"/>
        <v>324.77541666666667</v>
      </c>
    </row>
    <row r="152" spans="1:14" x14ac:dyDescent="0.4">
      <c r="A152" s="1">
        <v>25812</v>
      </c>
      <c r="B152" s="28">
        <v>325.84249999999997</v>
      </c>
      <c r="C152" s="28">
        <f t="shared" si="11"/>
        <v>325.80333333333334</v>
      </c>
      <c r="D152" s="28">
        <f t="shared" si="11"/>
        <v>325.72791666666666</v>
      </c>
      <c r="E152" s="28">
        <f t="shared" si="11"/>
        <v>325.63958333333335</v>
      </c>
      <c r="F152" s="28">
        <f t="shared" si="11"/>
        <v>325.54916666666668</v>
      </c>
      <c r="G152" s="28">
        <f t="shared" si="11"/>
        <v>325.44750000000005</v>
      </c>
      <c r="H152" s="28">
        <f t="shared" si="11"/>
        <v>325.36416666666668</v>
      </c>
      <c r="I152" s="28">
        <f t="shared" si="11"/>
        <v>325.29124999999993</v>
      </c>
      <c r="J152" s="28">
        <f t="shared" si="11"/>
        <v>325.22916666666663</v>
      </c>
      <c r="K152" s="28">
        <f t="shared" si="11"/>
        <v>325.17</v>
      </c>
      <c r="L152" s="28">
        <f t="shared" si="11"/>
        <v>325.10083333333336</v>
      </c>
      <c r="M152" s="28">
        <f t="shared" si="11"/>
        <v>325.01041666666674</v>
      </c>
      <c r="N152" s="28">
        <f t="shared" si="11"/>
        <v>324.89500000000004</v>
      </c>
    </row>
    <row r="153" spans="1:14" x14ac:dyDescent="0.4">
      <c r="A153" s="1">
        <v>25842</v>
      </c>
      <c r="B153" s="28">
        <v>325.83833333333331</v>
      </c>
      <c r="C153" s="28">
        <f t="shared" si="11"/>
        <v>325.84249999999997</v>
      </c>
      <c r="D153" s="28">
        <f t="shared" si="11"/>
        <v>325.80333333333334</v>
      </c>
      <c r="E153" s="28">
        <f t="shared" si="11"/>
        <v>325.72791666666666</v>
      </c>
      <c r="F153" s="28">
        <f t="shared" si="11"/>
        <v>325.63958333333335</v>
      </c>
      <c r="G153" s="28">
        <f t="shared" si="11"/>
        <v>325.54916666666668</v>
      </c>
      <c r="H153" s="28">
        <f t="shared" si="11"/>
        <v>325.44750000000005</v>
      </c>
      <c r="I153" s="28">
        <f t="shared" si="11"/>
        <v>325.36416666666668</v>
      </c>
      <c r="J153" s="28">
        <f t="shared" si="11"/>
        <v>325.29124999999993</v>
      </c>
      <c r="K153" s="28">
        <f t="shared" si="11"/>
        <v>325.22916666666663</v>
      </c>
      <c r="L153" s="28">
        <f t="shared" si="11"/>
        <v>325.17</v>
      </c>
      <c r="M153" s="28">
        <f t="shared" si="11"/>
        <v>325.10083333333336</v>
      </c>
      <c r="N153" s="28">
        <f t="shared" si="11"/>
        <v>325.01041666666674</v>
      </c>
    </row>
    <row r="154" spans="1:14" x14ac:dyDescent="0.4">
      <c r="A154" s="1">
        <v>25873</v>
      </c>
      <c r="B154" s="28">
        <v>325.85958333333332</v>
      </c>
      <c r="C154" s="28">
        <f t="shared" si="11"/>
        <v>325.83833333333331</v>
      </c>
      <c r="D154" s="28">
        <f t="shared" si="11"/>
        <v>325.84249999999997</v>
      </c>
      <c r="E154" s="28">
        <f t="shared" si="11"/>
        <v>325.80333333333334</v>
      </c>
      <c r="F154" s="28">
        <f t="shared" si="11"/>
        <v>325.72791666666666</v>
      </c>
      <c r="G154" s="28">
        <f t="shared" si="11"/>
        <v>325.63958333333335</v>
      </c>
      <c r="H154" s="28">
        <f t="shared" si="11"/>
        <v>325.54916666666668</v>
      </c>
      <c r="I154" s="28">
        <f t="shared" si="11"/>
        <v>325.44750000000005</v>
      </c>
      <c r="J154" s="28">
        <f t="shared" si="11"/>
        <v>325.36416666666668</v>
      </c>
      <c r="K154" s="28">
        <f t="shared" si="11"/>
        <v>325.29124999999993</v>
      </c>
      <c r="L154" s="28">
        <f t="shared" si="11"/>
        <v>325.22916666666663</v>
      </c>
      <c r="M154" s="28">
        <f t="shared" si="11"/>
        <v>325.17</v>
      </c>
      <c r="N154" s="28">
        <f t="shared" si="11"/>
        <v>325.10083333333336</v>
      </c>
    </row>
    <row r="155" spans="1:14" x14ac:dyDescent="0.4">
      <c r="A155" s="1">
        <v>25903</v>
      </c>
      <c r="B155" s="28">
        <v>325.9325</v>
      </c>
      <c r="C155" s="28">
        <f t="shared" si="11"/>
        <v>325.85958333333332</v>
      </c>
      <c r="D155" s="28">
        <f t="shared" si="11"/>
        <v>325.83833333333331</v>
      </c>
      <c r="E155" s="28">
        <f t="shared" si="11"/>
        <v>325.84249999999997</v>
      </c>
      <c r="F155" s="28">
        <f t="shared" si="11"/>
        <v>325.80333333333334</v>
      </c>
      <c r="G155" s="28">
        <f t="shared" si="11"/>
        <v>325.72791666666666</v>
      </c>
      <c r="H155" s="28">
        <f t="shared" si="11"/>
        <v>325.63958333333335</v>
      </c>
      <c r="I155" s="28">
        <f t="shared" si="11"/>
        <v>325.54916666666668</v>
      </c>
      <c r="J155" s="28">
        <f t="shared" si="11"/>
        <v>325.44750000000005</v>
      </c>
      <c r="K155" s="28">
        <f t="shared" si="11"/>
        <v>325.36416666666668</v>
      </c>
      <c r="L155" s="28">
        <f t="shared" si="11"/>
        <v>325.29124999999993</v>
      </c>
      <c r="M155" s="28">
        <f t="shared" si="11"/>
        <v>325.22916666666663</v>
      </c>
      <c r="N155" s="28">
        <f t="shared" si="11"/>
        <v>325.17</v>
      </c>
    </row>
    <row r="156" spans="1:14" x14ac:dyDescent="0.4">
      <c r="A156" s="1">
        <v>25934</v>
      </c>
      <c r="B156" s="28">
        <v>326.01249999999999</v>
      </c>
      <c r="C156" s="28">
        <f t="shared" si="11"/>
        <v>325.9325</v>
      </c>
      <c r="D156" s="28">
        <f t="shared" si="11"/>
        <v>325.85958333333332</v>
      </c>
      <c r="E156" s="28">
        <f t="shared" si="11"/>
        <v>325.83833333333331</v>
      </c>
      <c r="F156" s="28">
        <f t="shared" si="11"/>
        <v>325.84249999999997</v>
      </c>
      <c r="G156" s="28">
        <f t="shared" si="11"/>
        <v>325.80333333333334</v>
      </c>
      <c r="H156" s="28">
        <f t="shared" si="11"/>
        <v>325.72791666666666</v>
      </c>
      <c r="I156" s="28">
        <f t="shared" si="11"/>
        <v>325.63958333333335</v>
      </c>
      <c r="J156" s="28">
        <f t="shared" si="11"/>
        <v>325.54916666666668</v>
      </c>
      <c r="K156" s="28">
        <f t="shared" si="11"/>
        <v>325.44750000000005</v>
      </c>
      <c r="L156" s="28">
        <f t="shared" si="11"/>
        <v>325.36416666666668</v>
      </c>
      <c r="M156" s="28">
        <f t="shared" si="11"/>
        <v>325.29124999999993</v>
      </c>
      <c r="N156" s="28">
        <f t="shared" si="11"/>
        <v>325.22916666666663</v>
      </c>
    </row>
    <row r="157" spans="1:14" x14ac:dyDescent="0.4">
      <c r="A157" s="1">
        <v>25965</v>
      </c>
      <c r="B157" s="28">
        <v>326.08583333333331</v>
      </c>
      <c r="C157" s="28">
        <f t="shared" si="11"/>
        <v>326.01249999999999</v>
      </c>
      <c r="D157" s="28">
        <f t="shared" si="11"/>
        <v>325.9325</v>
      </c>
      <c r="E157" s="28">
        <f t="shared" si="11"/>
        <v>325.85958333333332</v>
      </c>
      <c r="F157" s="28">
        <f t="shared" si="11"/>
        <v>325.83833333333331</v>
      </c>
      <c r="G157" s="28">
        <f t="shared" si="11"/>
        <v>325.84249999999997</v>
      </c>
      <c r="H157" s="28">
        <f t="shared" si="11"/>
        <v>325.80333333333334</v>
      </c>
      <c r="I157" s="28">
        <f t="shared" si="11"/>
        <v>325.72791666666666</v>
      </c>
      <c r="J157" s="28">
        <f t="shared" si="11"/>
        <v>325.63958333333335</v>
      </c>
      <c r="K157" s="28">
        <f t="shared" si="11"/>
        <v>325.54916666666668</v>
      </c>
      <c r="L157" s="28">
        <f t="shared" si="11"/>
        <v>325.44750000000005</v>
      </c>
      <c r="M157" s="28">
        <f t="shared" si="11"/>
        <v>325.36416666666668</v>
      </c>
      <c r="N157" s="28">
        <f t="shared" si="11"/>
        <v>325.29124999999993</v>
      </c>
    </row>
    <row r="158" spans="1:14" x14ac:dyDescent="0.4">
      <c r="A158" s="1">
        <v>25993</v>
      </c>
      <c r="B158" s="28">
        <v>326.1275</v>
      </c>
      <c r="C158" s="28">
        <f t="shared" si="11"/>
        <v>326.08583333333331</v>
      </c>
      <c r="D158" s="28">
        <f t="shared" si="11"/>
        <v>326.01249999999999</v>
      </c>
      <c r="E158" s="28">
        <f t="shared" si="11"/>
        <v>325.9325</v>
      </c>
      <c r="F158" s="28">
        <f t="shared" si="11"/>
        <v>325.85958333333332</v>
      </c>
      <c r="G158" s="28">
        <f t="shared" si="11"/>
        <v>325.83833333333331</v>
      </c>
      <c r="H158" s="28">
        <f t="shared" si="11"/>
        <v>325.84249999999997</v>
      </c>
      <c r="I158" s="28">
        <f t="shared" si="11"/>
        <v>325.80333333333334</v>
      </c>
      <c r="J158" s="28">
        <f t="shared" si="11"/>
        <v>325.72791666666666</v>
      </c>
      <c r="K158" s="28">
        <f t="shared" si="11"/>
        <v>325.63958333333335</v>
      </c>
      <c r="L158" s="28">
        <f t="shared" si="11"/>
        <v>325.54916666666668</v>
      </c>
      <c r="M158" s="28">
        <f t="shared" si="11"/>
        <v>325.44750000000005</v>
      </c>
      <c r="N158" s="28">
        <f t="shared" si="11"/>
        <v>325.36416666666668</v>
      </c>
    </row>
    <row r="159" spans="1:14" x14ac:dyDescent="0.4">
      <c r="A159" s="1">
        <v>26024</v>
      </c>
      <c r="B159" s="28">
        <v>326.15916666666664</v>
      </c>
      <c r="C159" s="28">
        <f t="shared" si="11"/>
        <v>326.1275</v>
      </c>
      <c r="D159" s="28">
        <f t="shared" si="11"/>
        <v>326.08583333333331</v>
      </c>
      <c r="E159" s="28">
        <f t="shared" si="11"/>
        <v>326.01249999999999</v>
      </c>
      <c r="F159" s="28">
        <f t="shared" si="11"/>
        <v>325.9325</v>
      </c>
      <c r="G159" s="28">
        <f t="shared" si="11"/>
        <v>325.85958333333332</v>
      </c>
      <c r="H159" s="28">
        <f t="shared" si="11"/>
        <v>325.83833333333331</v>
      </c>
      <c r="I159" s="28">
        <f t="shared" si="11"/>
        <v>325.84249999999997</v>
      </c>
      <c r="J159" s="28">
        <f t="shared" si="11"/>
        <v>325.80333333333334</v>
      </c>
      <c r="K159" s="28">
        <f t="shared" si="11"/>
        <v>325.72791666666666</v>
      </c>
      <c r="L159" s="28">
        <f t="shared" si="11"/>
        <v>325.63958333333335</v>
      </c>
      <c r="M159" s="28">
        <f t="shared" si="11"/>
        <v>325.54916666666668</v>
      </c>
      <c r="N159" s="28">
        <f t="shared" si="11"/>
        <v>325.44750000000005</v>
      </c>
    </row>
    <row r="160" spans="1:14" x14ac:dyDescent="0.4">
      <c r="A160" s="1">
        <v>26054</v>
      </c>
      <c r="B160" s="28">
        <v>326.21291666666667</v>
      </c>
      <c r="C160" s="28">
        <f t="shared" si="11"/>
        <v>326.15916666666664</v>
      </c>
      <c r="D160" s="28">
        <f t="shared" si="11"/>
        <v>326.1275</v>
      </c>
      <c r="E160" s="28">
        <f t="shared" si="11"/>
        <v>326.08583333333331</v>
      </c>
      <c r="F160" s="28">
        <f t="shared" si="11"/>
        <v>326.01249999999999</v>
      </c>
      <c r="G160" s="28">
        <f t="shared" si="11"/>
        <v>325.9325</v>
      </c>
      <c r="H160" s="28">
        <f t="shared" si="11"/>
        <v>325.85958333333332</v>
      </c>
      <c r="I160" s="28">
        <f t="shared" si="11"/>
        <v>325.83833333333331</v>
      </c>
      <c r="J160" s="28">
        <f t="shared" si="11"/>
        <v>325.84249999999997</v>
      </c>
      <c r="K160" s="28">
        <f t="shared" si="11"/>
        <v>325.80333333333334</v>
      </c>
      <c r="L160" s="28">
        <f t="shared" si="11"/>
        <v>325.72791666666666</v>
      </c>
      <c r="M160" s="28">
        <f t="shared" si="11"/>
        <v>325.63958333333335</v>
      </c>
      <c r="N160" s="28">
        <f t="shared" si="11"/>
        <v>325.54916666666668</v>
      </c>
    </row>
    <row r="161" spans="1:14" x14ac:dyDescent="0.4">
      <c r="A161" s="1">
        <v>26085</v>
      </c>
      <c r="B161" s="28">
        <v>326.28249999999997</v>
      </c>
      <c r="C161" s="28">
        <f t="shared" si="11"/>
        <v>326.21291666666667</v>
      </c>
      <c r="D161" s="28">
        <f t="shared" si="11"/>
        <v>326.15916666666664</v>
      </c>
      <c r="E161" s="28">
        <f t="shared" si="11"/>
        <v>326.1275</v>
      </c>
      <c r="F161" s="28">
        <f t="shared" si="11"/>
        <v>326.08583333333331</v>
      </c>
      <c r="G161" s="28">
        <f t="shared" si="11"/>
        <v>326.01249999999999</v>
      </c>
      <c r="H161" s="28">
        <f t="shared" si="11"/>
        <v>325.9325</v>
      </c>
      <c r="I161" s="28">
        <f t="shared" si="11"/>
        <v>325.85958333333332</v>
      </c>
      <c r="J161" s="28">
        <f t="shared" si="11"/>
        <v>325.83833333333331</v>
      </c>
      <c r="K161" s="28">
        <f t="shared" si="11"/>
        <v>325.84249999999997</v>
      </c>
      <c r="L161" s="28">
        <f t="shared" si="11"/>
        <v>325.80333333333334</v>
      </c>
      <c r="M161" s="28">
        <f t="shared" si="11"/>
        <v>325.72791666666666</v>
      </c>
      <c r="N161" s="28">
        <f t="shared" si="11"/>
        <v>325.63958333333335</v>
      </c>
    </row>
    <row r="162" spans="1:14" x14ac:dyDescent="0.4">
      <c r="A162" s="1">
        <v>26115</v>
      </c>
      <c r="B162" s="28">
        <v>326.34416666666669</v>
      </c>
      <c r="C162" s="28">
        <f t="shared" si="11"/>
        <v>326.28249999999997</v>
      </c>
      <c r="D162" s="28">
        <f t="shared" si="11"/>
        <v>326.21291666666667</v>
      </c>
      <c r="E162" s="28">
        <f t="shared" si="11"/>
        <v>326.15916666666664</v>
      </c>
      <c r="F162" s="28">
        <f t="shared" si="11"/>
        <v>326.1275</v>
      </c>
      <c r="G162" s="28">
        <f t="shared" si="11"/>
        <v>326.08583333333331</v>
      </c>
      <c r="H162" s="28">
        <f t="shared" si="11"/>
        <v>326.01249999999999</v>
      </c>
      <c r="I162" s="28">
        <f t="shared" si="11"/>
        <v>325.9325</v>
      </c>
      <c r="J162" s="28">
        <f t="shared" si="11"/>
        <v>325.85958333333332</v>
      </c>
      <c r="K162" s="28">
        <f t="shared" si="11"/>
        <v>325.83833333333331</v>
      </c>
      <c r="L162" s="28">
        <f t="shared" si="11"/>
        <v>325.84249999999997</v>
      </c>
      <c r="M162" s="28">
        <f t="shared" si="11"/>
        <v>325.80333333333334</v>
      </c>
      <c r="N162" s="28">
        <f t="shared" si="11"/>
        <v>325.72791666666666</v>
      </c>
    </row>
    <row r="163" spans="1:14" x14ac:dyDescent="0.4">
      <c r="A163" s="1">
        <v>26146</v>
      </c>
      <c r="B163" s="28">
        <v>326.40875</v>
      </c>
      <c r="C163" s="28">
        <f t="shared" si="11"/>
        <v>326.34416666666669</v>
      </c>
      <c r="D163" s="28">
        <f t="shared" si="11"/>
        <v>326.28249999999997</v>
      </c>
      <c r="E163" s="28">
        <f t="shared" si="11"/>
        <v>326.21291666666667</v>
      </c>
      <c r="F163" s="28">
        <f t="shared" si="11"/>
        <v>326.15916666666664</v>
      </c>
      <c r="G163" s="28">
        <f t="shared" si="11"/>
        <v>326.1275</v>
      </c>
      <c r="H163" s="28">
        <f t="shared" si="11"/>
        <v>326.08583333333331</v>
      </c>
      <c r="I163" s="28">
        <f t="shared" si="11"/>
        <v>326.01249999999999</v>
      </c>
      <c r="J163" s="28">
        <f t="shared" si="11"/>
        <v>325.9325</v>
      </c>
      <c r="K163" s="28">
        <f t="shared" si="11"/>
        <v>325.85958333333332</v>
      </c>
      <c r="L163" s="28">
        <f t="shared" si="11"/>
        <v>325.83833333333331</v>
      </c>
      <c r="M163" s="28">
        <f t="shared" si="11"/>
        <v>325.84249999999997</v>
      </c>
      <c r="N163" s="28">
        <f t="shared" si="11"/>
        <v>325.80333333333334</v>
      </c>
    </row>
    <row r="164" spans="1:14" x14ac:dyDescent="0.4">
      <c r="A164" s="1">
        <v>26177</v>
      </c>
      <c r="B164" s="28">
        <v>326.47250000000003</v>
      </c>
      <c r="C164" s="28">
        <f t="shared" si="11"/>
        <v>326.40875</v>
      </c>
      <c r="D164" s="28">
        <f t="shared" si="11"/>
        <v>326.34416666666669</v>
      </c>
      <c r="E164" s="28">
        <f t="shared" si="11"/>
        <v>326.28249999999997</v>
      </c>
      <c r="F164" s="28">
        <f t="shared" si="11"/>
        <v>326.21291666666667</v>
      </c>
      <c r="G164" s="28">
        <f t="shared" si="11"/>
        <v>326.15916666666664</v>
      </c>
      <c r="H164" s="28">
        <f t="shared" si="11"/>
        <v>326.1275</v>
      </c>
      <c r="I164" s="28">
        <f t="shared" si="11"/>
        <v>326.08583333333331</v>
      </c>
      <c r="J164" s="28">
        <f t="shared" si="11"/>
        <v>326.01249999999999</v>
      </c>
      <c r="K164" s="28">
        <f t="shared" si="11"/>
        <v>325.9325</v>
      </c>
      <c r="L164" s="28">
        <f t="shared" si="11"/>
        <v>325.85958333333332</v>
      </c>
      <c r="M164" s="28">
        <f t="shared" si="11"/>
        <v>325.83833333333331</v>
      </c>
      <c r="N164" s="28">
        <f t="shared" si="11"/>
        <v>325.84249999999997</v>
      </c>
    </row>
    <row r="165" spans="1:14" x14ac:dyDescent="0.4">
      <c r="A165" s="1">
        <v>26207</v>
      </c>
      <c r="B165" s="28">
        <v>326.57708333333329</v>
      </c>
      <c r="C165" s="28">
        <f t="shared" si="11"/>
        <v>326.47250000000003</v>
      </c>
      <c r="D165" s="28">
        <f t="shared" si="11"/>
        <v>326.40875</v>
      </c>
      <c r="E165" s="28">
        <f t="shared" si="11"/>
        <v>326.34416666666669</v>
      </c>
      <c r="F165" s="28">
        <f t="shared" si="11"/>
        <v>326.28249999999997</v>
      </c>
      <c r="G165" s="28">
        <f t="shared" si="11"/>
        <v>326.21291666666667</v>
      </c>
      <c r="H165" s="28">
        <f t="shared" si="11"/>
        <v>326.15916666666664</v>
      </c>
      <c r="I165" s="28">
        <f t="shared" si="11"/>
        <v>326.1275</v>
      </c>
      <c r="J165" s="28">
        <f t="shared" si="11"/>
        <v>326.08583333333331</v>
      </c>
      <c r="K165" s="28">
        <f t="shared" si="11"/>
        <v>326.01249999999999</v>
      </c>
      <c r="L165" s="28">
        <f t="shared" si="11"/>
        <v>325.9325</v>
      </c>
      <c r="M165" s="28">
        <f t="shared" si="11"/>
        <v>325.85958333333332</v>
      </c>
      <c r="N165" s="28">
        <f t="shared" si="11"/>
        <v>325.83833333333331</v>
      </c>
    </row>
    <row r="166" spans="1:14" x14ac:dyDescent="0.4">
      <c r="A166" s="1">
        <v>26238</v>
      </c>
      <c r="B166" s="28">
        <v>326.70499999999998</v>
      </c>
      <c r="C166" s="28">
        <f t="shared" si="11"/>
        <v>326.57708333333329</v>
      </c>
      <c r="D166" s="28">
        <f t="shared" si="11"/>
        <v>326.47250000000003</v>
      </c>
      <c r="E166" s="28">
        <f t="shared" si="11"/>
        <v>326.40875</v>
      </c>
      <c r="F166" s="28">
        <f t="shared" si="11"/>
        <v>326.34416666666669</v>
      </c>
      <c r="G166" s="28">
        <f t="shared" si="11"/>
        <v>326.28249999999997</v>
      </c>
      <c r="H166" s="28">
        <f t="shared" si="11"/>
        <v>326.21291666666667</v>
      </c>
      <c r="I166" s="28">
        <f t="shared" si="11"/>
        <v>326.15916666666664</v>
      </c>
      <c r="J166" s="28">
        <f t="shared" si="11"/>
        <v>326.1275</v>
      </c>
      <c r="K166" s="28">
        <f t="shared" si="11"/>
        <v>326.08583333333331</v>
      </c>
      <c r="L166" s="28">
        <f t="shared" si="11"/>
        <v>326.01249999999999</v>
      </c>
      <c r="M166" s="28">
        <f t="shared" si="11"/>
        <v>325.9325</v>
      </c>
      <c r="N166" s="28">
        <f t="shared" si="11"/>
        <v>325.85958333333332</v>
      </c>
    </row>
    <row r="167" spans="1:14" x14ac:dyDescent="0.4">
      <c r="A167" s="1">
        <v>26268</v>
      </c>
      <c r="B167" s="28">
        <v>326.77416666666664</v>
      </c>
      <c r="C167" s="28">
        <f t="shared" si="11"/>
        <v>326.70499999999998</v>
      </c>
      <c r="D167" s="28">
        <f t="shared" si="11"/>
        <v>326.57708333333329</v>
      </c>
      <c r="E167" s="28">
        <f t="shared" si="11"/>
        <v>326.47250000000003</v>
      </c>
      <c r="F167" s="28">
        <f t="shared" si="11"/>
        <v>326.40875</v>
      </c>
      <c r="G167" s="28">
        <f t="shared" si="11"/>
        <v>326.34416666666669</v>
      </c>
      <c r="H167" s="28">
        <f t="shared" si="11"/>
        <v>326.28249999999997</v>
      </c>
      <c r="I167" s="28">
        <f t="shared" si="11"/>
        <v>326.21291666666667</v>
      </c>
      <c r="J167" s="28">
        <f t="shared" si="11"/>
        <v>326.15916666666664</v>
      </c>
      <c r="K167" s="28">
        <f t="shared" si="11"/>
        <v>326.1275</v>
      </c>
      <c r="L167" s="28">
        <f t="shared" si="11"/>
        <v>326.08583333333331</v>
      </c>
      <c r="M167" s="28">
        <f t="shared" si="11"/>
        <v>326.01249999999999</v>
      </c>
      <c r="N167" s="28">
        <f t="shared" si="11"/>
        <v>325.9325</v>
      </c>
    </row>
    <row r="168" spans="1:14" x14ac:dyDescent="0.4">
      <c r="A168" s="1">
        <v>26299</v>
      </c>
      <c r="B168" s="28">
        <v>326.82416666666666</v>
      </c>
      <c r="C168" s="28">
        <f t="shared" si="11"/>
        <v>326.77416666666664</v>
      </c>
      <c r="D168" s="28">
        <f t="shared" si="11"/>
        <v>326.70499999999998</v>
      </c>
      <c r="E168" s="28">
        <f t="shared" si="11"/>
        <v>326.57708333333329</v>
      </c>
      <c r="F168" s="28">
        <f t="shared" si="11"/>
        <v>326.47250000000003</v>
      </c>
      <c r="G168" s="28">
        <f t="shared" si="11"/>
        <v>326.40875</v>
      </c>
      <c r="H168" s="28">
        <f t="shared" si="11"/>
        <v>326.34416666666669</v>
      </c>
      <c r="I168" s="28">
        <f t="shared" si="11"/>
        <v>326.28249999999997</v>
      </c>
      <c r="J168" s="28">
        <f t="shared" si="11"/>
        <v>326.21291666666667</v>
      </c>
      <c r="K168" s="28">
        <f t="shared" si="11"/>
        <v>326.15916666666664</v>
      </c>
      <c r="L168" s="28">
        <f t="shared" si="11"/>
        <v>326.1275</v>
      </c>
      <c r="M168" s="28">
        <f t="shared" si="11"/>
        <v>326.08583333333331</v>
      </c>
      <c r="N168" s="28">
        <f t="shared" si="11"/>
        <v>326.01249999999999</v>
      </c>
    </row>
    <row r="169" spans="1:14" x14ac:dyDescent="0.4">
      <c r="A169" s="1">
        <v>26330</v>
      </c>
      <c r="B169" s="28">
        <v>326.88958333333335</v>
      </c>
      <c r="C169" s="28">
        <f t="shared" si="11"/>
        <v>326.82416666666666</v>
      </c>
      <c r="D169" s="28">
        <f t="shared" si="11"/>
        <v>326.77416666666664</v>
      </c>
      <c r="E169" s="28">
        <f t="shared" si="11"/>
        <v>326.70499999999998</v>
      </c>
      <c r="F169" s="28">
        <f t="shared" ref="D169:R184" si="12">IF(E168=0,"",E168)</f>
        <v>326.57708333333329</v>
      </c>
      <c r="G169" s="28">
        <f t="shared" si="12"/>
        <v>326.47250000000003</v>
      </c>
      <c r="H169" s="28">
        <f t="shared" si="12"/>
        <v>326.40875</v>
      </c>
      <c r="I169" s="28">
        <f t="shared" si="12"/>
        <v>326.34416666666669</v>
      </c>
      <c r="J169" s="28">
        <f t="shared" si="12"/>
        <v>326.28249999999997</v>
      </c>
      <c r="K169" s="28">
        <f t="shared" si="12"/>
        <v>326.21291666666667</v>
      </c>
      <c r="L169" s="28">
        <f t="shared" si="12"/>
        <v>326.15916666666664</v>
      </c>
      <c r="M169" s="28">
        <f t="shared" si="12"/>
        <v>326.1275</v>
      </c>
      <c r="N169" s="28">
        <f t="shared" si="12"/>
        <v>326.08583333333331</v>
      </c>
    </row>
    <row r="170" spans="1:14" x14ac:dyDescent="0.4">
      <c r="A170" s="1">
        <v>26359</v>
      </c>
      <c r="B170" s="28">
        <v>326.98833333333329</v>
      </c>
      <c r="C170" s="28">
        <f t="shared" ref="C170:N233" si="13">IF(B169=0,"",B169)</f>
        <v>326.88958333333335</v>
      </c>
      <c r="D170" s="28">
        <f t="shared" si="12"/>
        <v>326.82416666666666</v>
      </c>
      <c r="E170" s="28">
        <f t="shared" si="12"/>
        <v>326.77416666666664</v>
      </c>
      <c r="F170" s="28">
        <f t="shared" si="12"/>
        <v>326.70499999999998</v>
      </c>
      <c r="G170" s="28">
        <f t="shared" si="12"/>
        <v>326.57708333333329</v>
      </c>
      <c r="H170" s="28">
        <f t="shared" si="12"/>
        <v>326.47250000000003</v>
      </c>
      <c r="I170" s="28">
        <f t="shared" si="12"/>
        <v>326.40875</v>
      </c>
      <c r="J170" s="28">
        <f t="shared" si="12"/>
        <v>326.34416666666669</v>
      </c>
      <c r="K170" s="28">
        <f t="shared" si="12"/>
        <v>326.28249999999997</v>
      </c>
      <c r="L170" s="28">
        <f t="shared" si="12"/>
        <v>326.21291666666667</v>
      </c>
      <c r="M170" s="28">
        <f t="shared" si="12"/>
        <v>326.15916666666664</v>
      </c>
      <c r="N170" s="28">
        <f t="shared" si="12"/>
        <v>326.1275</v>
      </c>
    </row>
    <row r="171" spans="1:14" x14ac:dyDescent="0.4">
      <c r="A171" s="1">
        <v>26390</v>
      </c>
      <c r="B171" s="28">
        <v>327.11833333333334</v>
      </c>
      <c r="C171" s="28">
        <f t="shared" si="13"/>
        <v>326.98833333333329</v>
      </c>
      <c r="D171" s="28">
        <f t="shared" si="12"/>
        <v>326.88958333333335</v>
      </c>
      <c r="E171" s="28">
        <f t="shared" si="12"/>
        <v>326.82416666666666</v>
      </c>
      <c r="F171" s="28">
        <f t="shared" si="12"/>
        <v>326.77416666666664</v>
      </c>
      <c r="G171" s="28">
        <f t="shared" si="12"/>
        <v>326.70499999999998</v>
      </c>
      <c r="H171" s="28">
        <f t="shared" si="12"/>
        <v>326.57708333333329</v>
      </c>
      <c r="I171" s="28">
        <f t="shared" si="12"/>
        <v>326.47250000000003</v>
      </c>
      <c r="J171" s="28">
        <f t="shared" si="12"/>
        <v>326.40875</v>
      </c>
      <c r="K171" s="28">
        <f t="shared" si="12"/>
        <v>326.34416666666669</v>
      </c>
      <c r="L171" s="28">
        <f t="shared" si="12"/>
        <v>326.28249999999997</v>
      </c>
      <c r="M171" s="28">
        <f t="shared" si="12"/>
        <v>326.21291666666667</v>
      </c>
      <c r="N171" s="28">
        <f t="shared" si="12"/>
        <v>326.15916666666664</v>
      </c>
    </row>
    <row r="172" spans="1:14" x14ac:dyDescent="0.4">
      <c r="A172" s="1">
        <v>26420</v>
      </c>
      <c r="B172" s="28">
        <v>327.25749999999999</v>
      </c>
      <c r="C172" s="28">
        <f t="shared" si="13"/>
        <v>327.11833333333334</v>
      </c>
      <c r="D172" s="28">
        <f t="shared" si="12"/>
        <v>326.98833333333329</v>
      </c>
      <c r="E172" s="28">
        <f t="shared" si="12"/>
        <v>326.88958333333335</v>
      </c>
      <c r="F172" s="28">
        <f t="shared" si="12"/>
        <v>326.82416666666666</v>
      </c>
      <c r="G172" s="28">
        <f t="shared" si="12"/>
        <v>326.77416666666664</v>
      </c>
      <c r="H172" s="28">
        <f t="shared" si="12"/>
        <v>326.70499999999998</v>
      </c>
      <c r="I172" s="28">
        <f t="shared" si="12"/>
        <v>326.57708333333329</v>
      </c>
      <c r="J172" s="28">
        <f t="shared" si="12"/>
        <v>326.47250000000003</v>
      </c>
      <c r="K172" s="28">
        <f t="shared" si="12"/>
        <v>326.40875</v>
      </c>
      <c r="L172" s="28">
        <f t="shared" si="12"/>
        <v>326.34416666666669</v>
      </c>
      <c r="M172" s="28">
        <f t="shared" si="12"/>
        <v>326.28249999999997</v>
      </c>
      <c r="N172" s="28">
        <f t="shared" si="12"/>
        <v>326.21291666666667</v>
      </c>
    </row>
    <row r="173" spans="1:14" x14ac:dyDescent="0.4">
      <c r="A173" s="1">
        <v>26451</v>
      </c>
      <c r="B173" s="28">
        <v>327.39249999999998</v>
      </c>
      <c r="C173" s="28">
        <f t="shared" si="13"/>
        <v>327.25749999999999</v>
      </c>
      <c r="D173" s="28">
        <f t="shared" si="12"/>
        <v>327.11833333333334</v>
      </c>
      <c r="E173" s="28">
        <f t="shared" si="12"/>
        <v>326.98833333333329</v>
      </c>
      <c r="F173" s="28">
        <f t="shared" si="12"/>
        <v>326.88958333333335</v>
      </c>
      <c r="G173" s="28">
        <f t="shared" si="12"/>
        <v>326.82416666666666</v>
      </c>
      <c r="H173" s="28">
        <f t="shared" si="12"/>
        <v>326.77416666666664</v>
      </c>
      <c r="I173" s="28">
        <f t="shared" si="12"/>
        <v>326.70499999999998</v>
      </c>
      <c r="J173" s="28">
        <f t="shared" si="12"/>
        <v>326.57708333333329</v>
      </c>
      <c r="K173" s="28">
        <f t="shared" si="12"/>
        <v>326.47250000000003</v>
      </c>
      <c r="L173" s="28">
        <f t="shared" si="12"/>
        <v>326.40875</v>
      </c>
      <c r="M173" s="28">
        <f t="shared" si="12"/>
        <v>326.34416666666669</v>
      </c>
      <c r="N173" s="28">
        <f t="shared" si="12"/>
        <v>326.28249999999997</v>
      </c>
    </row>
    <row r="174" spans="1:14" x14ac:dyDescent="0.4">
      <c r="A174" s="1">
        <v>26481</v>
      </c>
      <c r="B174" s="28">
        <v>327.53083333333331</v>
      </c>
      <c r="C174" s="28">
        <f t="shared" si="13"/>
        <v>327.39249999999998</v>
      </c>
      <c r="D174" s="28">
        <f t="shared" si="12"/>
        <v>327.25749999999999</v>
      </c>
      <c r="E174" s="28">
        <f t="shared" si="12"/>
        <v>327.11833333333334</v>
      </c>
      <c r="F174" s="28">
        <f t="shared" si="12"/>
        <v>326.98833333333329</v>
      </c>
      <c r="G174" s="28">
        <f t="shared" si="12"/>
        <v>326.88958333333335</v>
      </c>
      <c r="H174" s="28">
        <f t="shared" si="12"/>
        <v>326.82416666666666</v>
      </c>
      <c r="I174" s="28">
        <f t="shared" si="12"/>
        <v>326.77416666666664</v>
      </c>
      <c r="J174" s="28">
        <f t="shared" si="12"/>
        <v>326.70499999999998</v>
      </c>
      <c r="K174" s="28">
        <f t="shared" si="12"/>
        <v>326.57708333333329</v>
      </c>
      <c r="L174" s="28">
        <f t="shared" si="12"/>
        <v>326.47250000000003</v>
      </c>
      <c r="M174" s="28">
        <f t="shared" si="12"/>
        <v>326.40875</v>
      </c>
      <c r="N174" s="28">
        <f t="shared" si="12"/>
        <v>326.34416666666669</v>
      </c>
    </row>
    <row r="175" spans="1:14" x14ac:dyDescent="0.4">
      <c r="A175" s="1">
        <v>26512</v>
      </c>
      <c r="B175" s="28">
        <v>327.68541666666664</v>
      </c>
      <c r="C175" s="28">
        <f t="shared" si="13"/>
        <v>327.53083333333331</v>
      </c>
      <c r="D175" s="28">
        <f t="shared" si="12"/>
        <v>327.39249999999998</v>
      </c>
      <c r="E175" s="28">
        <f t="shared" si="12"/>
        <v>327.25749999999999</v>
      </c>
      <c r="F175" s="28">
        <f t="shared" si="12"/>
        <v>327.11833333333334</v>
      </c>
      <c r="G175" s="28">
        <f t="shared" si="12"/>
        <v>326.98833333333329</v>
      </c>
      <c r="H175" s="28">
        <f t="shared" si="12"/>
        <v>326.88958333333335</v>
      </c>
      <c r="I175" s="28">
        <f t="shared" si="12"/>
        <v>326.82416666666666</v>
      </c>
      <c r="J175" s="28">
        <f t="shared" si="12"/>
        <v>326.77416666666664</v>
      </c>
      <c r="K175" s="28">
        <f t="shared" si="12"/>
        <v>326.70499999999998</v>
      </c>
      <c r="L175" s="28">
        <f t="shared" si="12"/>
        <v>326.57708333333329</v>
      </c>
      <c r="M175" s="28">
        <f t="shared" si="12"/>
        <v>326.47250000000003</v>
      </c>
      <c r="N175" s="28">
        <f t="shared" si="12"/>
        <v>326.40875</v>
      </c>
    </row>
    <row r="176" spans="1:14" x14ac:dyDescent="0.4">
      <c r="A176" s="1">
        <v>26543</v>
      </c>
      <c r="B176" s="28">
        <v>327.87208333333331</v>
      </c>
      <c r="C176" s="28">
        <f t="shared" si="13"/>
        <v>327.68541666666664</v>
      </c>
      <c r="D176" s="28">
        <f t="shared" si="13"/>
        <v>327.53083333333331</v>
      </c>
      <c r="E176" s="28">
        <f t="shared" si="13"/>
        <v>327.39249999999998</v>
      </c>
      <c r="F176" s="28">
        <f t="shared" si="13"/>
        <v>327.25749999999999</v>
      </c>
      <c r="G176" s="28">
        <f t="shared" si="13"/>
        <v>327.11833333333334</v>
      </c>
      <c r="H176" s="28">
        <f t="shared" si="13"/>
        <v>326.98833333333329</v>
      </c>
      <c r="I176" s="28">
        <f t="shared" si="13"/>
        <v>326.88958333333335</v>
      </c>
      <c r="J176" s="28">
        <f t="shared" si="13"/>
        <v>326.82416666666666</v>
      </c>
      <c r="K176" s="28">
        <f t="shared" si="13"/>
        <v>326.77416666666664</v>
      </c>
      <c r="L176" s="28">
        <f t="shared" si="13"/>
        <v>326.70499999999998</v>
      </c>
      <c r="M176" s="28">
        <f t="shared" si="13"/>
        <v>326.57708333333329</v>
      </c>
      <c r="N176" s="28">
        <f t="shared" si="13"/>
        <v>326.47250000000003</v>
      </c>
    </row>
    <row r="177" spans="1:14" x14ac:dyDescent="0.4">
      <c r="A177" s="1">
        <v>26573</v>
      </c>
      <c r="B177" s="28">
        <v>328.05249999999995</v>
      </c>
      <c r="C177" s="28">
        <f t="shared" si="13"/>
        <v>327.87208333333331</v>
      </c>
      <c r="D177" s="28">
        <f t="shared" si="13"/>
        <v>327.68541666666664</v>
      </c>
      <c r="E177" s="28">
        <f t="shared" si="13"/>
        <v>327.53083333333331</v>
      </c>
      <c r="F177" s="28">
        <f t="shared" si="13"/>
        <v>327.39249999999998</v>
      </c>
      <c r="G177" s="28">
        <f t="shared" si="13"/>
        <v>327.25749999999999</v>
      </c>
      <c r="H177" s="28">
        <f t="shared" si="13"/>
        <v>327.11833333333334</v>
      </c>
      <c r="I177" s="28">
        <f t="shared" si="13"/>
        <v>326.98833333333329</v>
      </c>
      <c r="J177" s="28">
        <f t="shared" si="13"/>
        <v>326.88958333333335</v>
      </c>
      <c r="K177" s="28">
        <f t="shared" si="13"/>
        <v>326.82416666666666</v>
      </c>
      <c r="L177" s="28">
        <f t="shared" si="13"/>
        <v>326.77416666666664</v>
      </c>
      <c r="M177" s="28">
        <f t="shared" si="13"/>
        <v>326.70499999999998</v>
      </c>
      <c r="N177" s="28">
        <f t="shared" si="13"/>
        <v>326.57708333333329</v>
      </c>
    </row>
    <row r="178" spans="1:14" x14ac:dyDescent="0.4">
      <c r="A178" s="1">
        <v>26604</v>
      </c>
      <c r="B178" s="28">
        <v>328.22708333333338</v>
      </c>
      <c r="C178" s="28">
        <f t="shared" si="13"/>
        <v>328.05249999999995</v>
      </c>
      <c r="D178" s="28">
        <f t="shared" si="13"/>
        <v>327.87208333333331</v>
      </c>
      <c r="E178" s="28">
        <f t="shared" si="13"/>
        <v>327.68541666666664</v>
      </c>
      <c r="F178" s="28">
        <f t="shared" si="13"/>
        <v>327.53083333333331</v>
      </c>
      <c r="G178" s="28">
        <f t="shared" si="13"/>
        <v>327.39249999999998</v>
      </c>
      <c r="H178" s="28">
        <f t="shared" si="13"/>
        <v>327.25749999999999</v>
      </c>
      <c r="I178" s="28">
        <f t="shared" si="13"/>
        <v>327.11833333333334</v>
      </c>
      <c r="J178" s="28">
        <f t="shared" si="13"/>
        <v>326.98833333333329</v>
      </c>
      <c r="K178" s="28">
        <f t="shared" si="13"/>
        <v>326.88958333333335</v>
      </c>
      <c r="L178" s="28">
        <f t="shared" si="13"/>
        <v>326.82416666666666</v>
      </c>
      <c r="M178" s="28">
        <f t="shared" si="13"/>
        <v>326.77416666666664</v>
      </c>
      <c r="N178" s="28">
        <f t="shared" si="13"/>
        <v>326.70499999999998</v>
      </c>
    </row>
    <row r="179" spans="1:14" x14ac:dyDescent="0.4">
      <c r="A179" s="1">
        <v>26634</v>
      </c>
      <c r="B179" s="28">
        <v>328.45166666666665</v>
      </c>
      <c r="C179" s="28">
        <f t="shared" si="13"/>
        <v>328.22708333333338</v>
      </c>
      <c r="D179" s="28">
        <f t="shared" si="13"/>
        <v>328.05249999999995</v>
      </c>
      <c r="E179" s="28">
        <f t="shared" si="13"/>
        <v>327.87208333333331</v>
      </c>
      <c r="F179" s="28">
        <f t="shared" si="13"/>
        <v>327.68541666666664</v>
      </c>
      <c r="G179" s="28">
        <f t="shared" si="13"/>
        <v>327.53083333333331</v>
      </c>
      <c r="H179" s="28">
        <f t="shared" si="13"/>
        <v>327.39249999999998</v>
      </c>
      <c r="I179" s="28">
        <f t="shared" si="13"/>
        <v>327.25749999999999</v>
      </c>
      <c r="J179" s="28">
        <f t="shared" si="13"/>
        <v>327.11833333333334</v>
      </c>
      <c r="K179" s="28">
        <f t="shared" si="13"/>
        <v>326.98833333333329</v>
      </c>
      <c r="L179" s="28">
        <f t="shared" si="13"/>
        <v>326.88958333333335</v>
      </c>
      <c r="M179" s="28">
        <f t="shared" si="13"/>
        <v>326.82416666666666</v>
      </c>
      <c r="N179" s="28">
        <f t="shared" si="13"/>
        <v>326.77416666666664</v>
      </c>
    </row>
    <row r="180" spans="1:14" x14ac:dyDescent="0.4">
      <c r="A180" s="1">
        <v>26665</v>
      </c>
      <c r="B180" s="28">
        <v>328.69375000000002</v>
      </c>
      <c r="C180" s="28">
        <f t="shared" si="13"/>
        <v>328.45166666666665</v>
      </c>
      <c r="D180" s="28">
        <f t="shared" si="13"/>
        <v>328.22708333333338</v>
      </c>
      <c r="E180" s="28">
        <f t="shared" si="13"/>
        <v>328.05249999999995</v>
      </c>
      <c r="F180" s="28">
        <f t="shared" si="13"/>
        <v>327.87208333333331</v>
      </c>
      <c r="G180" s="28">
        <f t="shared" si="13"/>
        <v>327.68541666666664</v>
      </c>
      <c r="H180" s="28">
        <f t="shared" si="13"/>
        <v>327.53083333333331</v>
      </c>
      <c r="I180" s="28">
        <f t="shared" si="13"/>
        <v>327.39249999999998</v>
      </c>
      <c r="J180" s="28">
        <f t="shared" si="13"/>
        <v>327.25749999999999</v>
      </c>
      <c r="K180" s="28">
        <f t="shared" si="13"/>
        <v>327.11833333333334</v>
      </c>
      <c r="L180" s="28">
        <f t="shared" si="13"/>
        <v>326.98833333333329</v>
      </c>
      <c r="M180" s="28">
        <f t="shared" si="13"/>
        <v>326.88958333333335</v>
      </c>
      <c r="N180" s="28">
        <f t="shared" si="13"/>
        <v>326.82416666666666</v>
      </c>
    </row>
    <row r="181" spans="1:14" x14ac:dyDescent="0.4">
      <c r="A181" s="1">
        <v>26696</v>
      </c>
      <c r="B181" s="28">
        <v>328.93624999999997</v>
      </c>
      <c r="C181" s="28">
        <f t="shared" si="13"/>
        <v>328.69375000000002</v>
      </c>
      <c r="D181" s="28">
        <f t="shared" si="13"/>
        <v>328.45166666666665</v>
      </c>
      <c r="E181" s="28">
        <f t="shared" si="13"/>
        <v>328.22708333333338</v>
      </c>
      <c r="F181" s="28">
        <f t="shared" si="13"/>
        <v>328.05249999999995</v>
      </c>
      <c r="G181" s="28">
        <f t="shared" si="13"/>
        <v>327.87208333333331</v>
      </c>
      <c r="H181" s="28">
        <f t="shared" si="13"/>
        <v>327.68541666666664</v>
      </c>
      <c r="I181" s="28">
        <f t="shared" si="13"/>
        <v>327.53083333333331</v>
      </c>
      <c r="J181" s="28">
        <f t="shared" si="13"/>
        <v>327.39249999999998</v>
      </c>
      <c r="K181" s="28">
        <f t="shared" si="13"/>
        <v>327.25749999999999</v>
      </c>
      <c r="L181" s="28">
        <f t="shared" si="13"/>
        <v>327.11833333333334</v>
      </c>
      <c r="M181" s="28">
        <f t="shared" si="13"/>
        <v>326.98833333333329</v>
      </c>
      <c r="N181" s="28">
        <f t="shared" si="13"/>
        <v>326.88958333333335</v>
      </c>
    </row>
    <row r="182" spans="1:14" x14ac:dyDescent="0.4">
      <c r="A182" s="1">
        <v>26724</v>
      </c>
      <c r="B182" s="28">
        <v>329.17208333333338</v>
      </c>
      <c r="C182" s="28">
        <f t="shared" si="13"/>
        <v>328.93624999999997</v>
      </c>
      <c r="D182" s="28">
        <f t="shared" si="13"/>
        <v>328.69375000000002</v>
      </c>
      <c r="E182" s="28">
        <f t="shared" si="13"/>
        <v>328.45166666666665</v>
      </c>
      <c r="F182" s="28">
        <f t="shared" si="13"/>
        <v>328.22708333333338</v>
      </c>
      <c r="G182" s="28">
        <f t="shared" si="13"/>
        <v>328.05249999999995</v>
      </c>
      <c r="H182" s="28">
        <f t="shared" si="13"/>
        <v>327.87208333333331</v>
      </c>
      <c r="I182" s="28">
        <f t="shared" si="13"/>
        <v>327.68541666666664</v>
      </c>
      <c r="J182" s="28">
        <f t="shared" si="13"/>
        <v>327.53083333333331</v>
      </c>
      <c r="K182" s="28">
        <f t="shared" si="13"/>
        <v>327.39249999999998</v>
      </c>
      <c r="L182" s="28">
        <f t="shared" si="13"/>
        <v>327.25749999999999</v>
      </c>
      <c r="M182" s="28">
        <f t="shared" si="13"/>
        <v>327.11833333333334</v>
      </c>
      <c r="N182" s="28">
        <f t="shared" si="13"/>
        <v>326.98833333333329</v>
      </c>
    </row>
    <row r="183" spans="1:14" x14ac:dyDescent="0.4">
      <c r="A183" s="1">
        <v>26755</v>
      </c>
      <c r="B183" s="28">
        <v>329.36583333333334</v>
      </c>
      <c r="C183" s="28">
        <f t="shared" si="13"/>
        <v>329.17208333333338</v>
      </c>
      <c r="D183" s="28">
        <f t="shared" si="13"/>
        <v>328.93624999999997</v>
      </c>
      <c r="E183" s="28">
        <f t="shared" si="13"/>
        <v>328.69375000000002</v>
      </c>
      <c r="F183" s="28">
        <f t="shared" si="13"/>
        <v>328.45166666666665</v>
      </c>
      <c r="G183" s="28">
        <f t="shared" si="13"/>
        <v>328.22708333333338</v>
      </c>
      <c r="H183" s="28">
        <f t="shared" si="13"/>
        <v>328.05249999999995</v>
      </c>
      <c r="I183" s="28">
        <f t="shared" si="13"/>
        <v>327.87208333333331</v>
      </c>
      <c r="J183" s="28">
        <f t="shared" si="13"/>
        <v>327.68541666666664</v>
      </c>
      <c r="K183" s="28">
        <f t="shared" si="13"/>
        <v>327.53083333333331</v>
      </c>
      <c r="L183" s="28">
        <f t="shared" si="13"/>
        <v>327.39249999999998</v>
      </c>
      <c r="M183" s="28">
        <f t="shared" si="13"/>
        <v>327.25749999999999</v>
      </c>
      <c r="N183" s="28">
        <f t="shared" si="13"/>
        <v>327.11833333333334</v>
      </c>
    </row>
    <row r="184" spans="1:14" x14ac:dyDescent="0.4">
      <c r="A184" s="1">
        <v>26785</v>
      </c>
      <c r="B184" s="28">
        <v>329.51749999999998</v>
      </c>
      <c r="C184" s="28">
        <f t="shared" si="13"/>
        <v>329.36583333333334</v>
      </c>
      <c r="D184" s="28">
        <f t="shared" si="13"/>
        <v>329.17208333333338</v>
      </c>
      <c r="E184" s="28">
        <f t="shared" si="13"/>
        <v>328.93624999999997</v>
      </c>
      <c r="F184" s="28">
        <f t="shared" si="13"/>
        <v>328.69375000000002</v>
      </c>
      <c r="G184" s="28">
        <f t="shared" si="13"/>
        <v>328.45166666666665</v>
      </c>
      <c r="H184" s="28">
        <f t="shared" si="13"/>
        <v>328.22708333333338</v>
      </c>
      <c r="I184" s="28">
        <f t="shared" si="13"/>
        <v>328.05249999999995</v>
      </c>
      <c r="J184" s="28">
        <f t="shared" si="13"/>
        <v>327.87208333333331</v>
      </c>
      <c r="K184" s="28">
        <f t="shared" si="13"/>
        <v>327.68541666666664</v>
      </c>
      <c r="L184" s="28">
        <f t="shared" si="13"/>
        <v>327.53083333333331</v>
      </c>
      <c r="M184" s="28">
        <f t="shared" si="13"/>
        <v>327.39249999999998</v>
      </c>
      <c r="N184" s="28">
        <f t="shared" si="13"/>
        <v>327.25749999999999</v>
      </c>
    </row>
    <row r="185" spans="1:14" x14ac:dyDescent="0.4">
      <c r="A185" s="1">
        <v>26816</v>
      </c>
      <c r="B185" s="28">
        <v>329.63208333333336</v>
      </c>
      <c r="C185" s="28">
        <f t="shared" si="13"/>
        <v>329.51749999999998</v>
      </c>
      <c r="D185" s="28">
        <f t="shared" si="13"/>
        <v>329.36583333333334</v>
      </c>
      <c r="E185" s="28">
        <f t="shared" si="13"/>
        <v>329.17208333333338</v>
      </c>
      <c r="F185" s="28">
        <f t="shared" si="13"/>
        <v>328.93624999999997</v>
      </c>
      <c r="G185" s="28">
        <f t="shared" si="13"/>
        <v>328.69375000000002</v>
      </c>
      <c r="H185" s="28">
        <f t="shared" si="13"/>
        <v>328.45166666666665</v>
      </c>
      <c r="I185" s="28">
        <f t="shared" si="13"/>
        <v>328.22708333333338</v>
      </c>
      <c r="J185" s="28">
        <f t="shared" si="13"/>
        <v>328.05249999999995</v>
      </c>
      <c r="K185" s="28">
        <f t="shared" si="13"/>
        <v>327.87208333333331</v>
      </c>
      <c r="L185" s="28">
        <f t="shared" si="13"/>
        <v>327.68541666666664</v>
      </c>
      <c r="M185" s="28">
        <f t="shared" si="13"/>
        <v>327.53083333333331</v>
      </c>
      <c r="N185" s="28">
        <f t="shared" si="13"/>
        <v>327.39249999999998</v>
      </c>
    </row>
    <row r="186" spans="1:14" x14ac:dyDescent="0.4">
      <c r="A186" s="1">
        <v>26846</v>
      </c>
      <c r="B186" s="28">
        <v>329.71083333333337</v>
      </c>
      <c r="C186" s="28">
        <f t="shared" si="13"/>
        <v>329.63208333333336</v>
      </c>
      <c r="D186" s="28">
        <f t="shared" si="13"/>
        <v>329.51749999999998</v>
      </c>
      <c r="E186" s="28">
        <f t="shared" si="13"/>
        <v>329.36583333333334</v>
      </c>
      <c r="F186" s="28">
        <f t="shared" si="13"/>
        <v>329.17208333333338</v>
      </c>
      <c r="G186" s="28">
        <f t="shared" si="13"/>
        <v>328.93624999999997</v>
      </c>
      <c r="H186" s="28">
        <f t="shared" si="13"/>
        <v>328.69375000000002</v>
      </c>
      <c r="I186" s="28">
        <f t="shared" si="13"/>
        <v>328.45166666666665</v>
      </c>
      <c r="J186" s="28">
        <f t="shared" si="13"/>
        <v>328.22708333333338</v>
      </c>
      <c r="K186" s="28">
        <f t="shared" si="13"/>
        <v>328.05249999999995</v>
      </c>
      <c r="L186" s="28">
        <f t="shared" si="13"/>
        <v>327.87208333333331</v>
      </c>
      <c r="M186" s="28">
        <f t="shared" si="13"/>
        <v>327.68541666666664</v>
      </c>
      <c r="N186" s="28">
        <f t="shared" si="13"/>
        <v>327.53083333333331</v>
      </c>
    </row>
    <row r="187" spans="1:14" x14ac:dyDescent="0.4">
      <c r="A187" s="1">
        <v>26877</v>
      </c>
      <c r="B187" s="28">
        <v>329.79208333333332</v>
      </c>
      <c r="C187" s="28">
        <f t="shared" si="13"/>
        <v>329.71083333333337</v>
      </c>
      <c r="D187" s="28">
        <f t="shared" si="13"/>
        <v>329.63208333333336</v>
      </c>
      <c r="E187" s="28">
        <f t="shared" si="13"/>
        <v>329.51749999999998</v>
      </c>
      <c r="F187" s="28">
        <f t="shared" si="13"/>
        <v>329.36583333333334</v>
      </c>
      <c r="G187" s="28">
        <f t="shared" si="13"/>
        <v>329.17208333333338</v>
      </c>
      <c r="H187" s="28">
        <f t="shared" si="13"/>
        <v>328.93624999999997</v>
      </c>
      <c r="I187" s="28">
        <f t="shared" si="13"/>
        <v>328.69375000000002</v>
      </c>
      <c r="J187" s="28">
        <f t="shared" si="13"/>
        <v>328.45166666666665</v>
      </c>
      <c r="K187" s="28">
        <f t="shared" si="13"/>
        <v>328.22708333333338</v>
      </c>
      <c r="L187" s="28">
        <f t="shared" si="13"/>
        <v>328.05249999999995</v>
      </c>
      <c r="M187" s="28">
        <f t="shared" si="13"/>
        <v>327.87208333333331</v>
      </c>
      <c r="N187" s="28">
        <f t="shared" si="13"/>
        <v>327.68541666666664</v>
      </c>
    </row>
    <row r="188" spans="1:14" x14ac:dyDescent="0.4">
      <c r="A188" s="1">
        <v>26908</v>
      </c>
      <c r="B188" s="28">
        <v>329.88916666666677</v>
      </c>
      <c r="C188" s="28">
        <f t="shared" si="13"/>
        <v>329.79208333333332</v>
      </c>
      <c r="D188" s="28">
        <f t="shared" si="13"/>
        <v>329.71083333333337</v>
      </c>
      <c r="E188" s="28">
        <f t="shared" si="13"/>
        <v>329.63208333333336</v>
      </c>
      <c r="F188" s="28">
        <f t="shared" si="13"/>
        <v>329.51749999999998</v>
      </c>
      <c r="G188" s="28">
        <f t="shared" si="13"/>
        <v>329.36583333333334</v>
      </c>
      <c r="H188" s="28">
        <f t="shared" si="13"/>
        <v>329.17208333333338</v>
      </c>
      <c r="I188" s="28">
        <f t="shared" si="13"/>
        <v>328.93624999999997</v>
      </c>
      <c r="J188" s="28">
        <f t="shared" si="13"/>
        <v>328.69375000000002</v>
      </c>
      <c r="K188" s="28">
        <f t="shared" si="13"/>
        <v>328.45166666666665</v>
      </c>
      <c r="L188" s="28">
        <f t="shared" si="13"/>
        <v>328.22708333333338</v>
      </c>
      <c r="M188" s="28">
        <f t="shared" si="13"/>
        <v>328.05249999999995</v>
      </c>
      <c r="N188" s="28">
        <f t="shared" si="13"/>
        <v>327.87208333333331</v>
      </c>
    </row>
    <row r="189" spans="1:14" x14ac:dyDescent="0.4">
      <c r="A189" s="1">
        <v>26938</v>
      </c>
      <c r="B189" s="28">
        <v>329.98625000000004</v>
      </c>
      <c r="C189" s="28">
        <f t="shared" si="13"/>
        <v>329.88916666666677</v>
      </c>
      <c r="D189" s="28">
        <f t="shared" si="13"/>
        <v>329.79208333333332</v>
      </c>
      <c r="E189" s="28">
        <f t="shared" si="13"/>
        <v>329.71083333333337</v>
      </c>
      <c r="F189" s="28">
        <f t="shared" si="13"/>
        <v>329.63208333333336</v>
      </c>
      <c r="G189" s="28">
        <f t="shared" si="13"/>
        <v>329.51749999999998</v>
      </c>
      <c r="H189" s="28">
        <f t="shared" si="13"/>
        <v>329.36583333333334</v>
      </c>
      <c r="I189" s="28">
        <f t="shared" si="13"/>
        <v>329.17208333333338</v>
      </c>
      <c r="J189" s="28">
        <f t="shared" si="13"/>
        <v>328.93624999999997</v>
      </c>
      <c r="K189" s="28">
        <f t="shared" si="13"/>
        <v>328.69375000000002</v>
      </c>
      <c r="L189" s="28">
        <f t="shared" si="13"/>
        <v>328.45166666666665</v>
      </c>
      <c r="M189" s="28">
        <f t="shared" si="13"/>
        <v>328.22708333333338</v>
      </c>
      <c r="N189" s="28">
        <f t="shared" si="13"/>
        <v>328.05249999999995</v>
      </c>
    </row>
    <row r="190" spans="1:14" x14ac:dyDescent="0.4">
      <c r="A190" s="1">
        <v>26969</v>
      </c>
      <c r="B190" s="28">
        <v>330.05958333333336</v>
      </c>
      <c r="C190" s="28">
        <f t="shared" si="13"/>
        <v>329.98625000000004</v>
      </c>
      <c r="D190" s="28">
        <f t="shared" si="13"/>
        <v>329.88916666666677</v>
      </c>
      <c r="E190" s="28">
        <f t="shared" si="13"/>
        <v>329.79208333333332</v>
      </c>
      <c r="F190" s="28">
        <f t="shared" si="13"/>
        <v>329.71083333333337</v>
      </c>
      <c r="G190" s="28">
        <f t="shared" si="13"/>
        <v>329.63208333333336</v>
      </c>
      <c r="H190" s="28">
        <f t="shared" si="13"/>
        <v>329.51749999999998</v>
      </c>
      <c r="I190" s="28">
        <f t="shared" si="13"/>
        <v>329.36583333333334</v>
      </c>
      <c r="J190" s="28">
        <f t="shared" si="13"/>
        <v>329.17208333333338</v>
      </c>
      <c r="K190" s="28">
        <f t="shared" si="13"/>
        <v>328.93624999999997</v>
      </c>
      <c r="L190" s="28">
        <f t="shared" si="13"/>
        <v>328.69375000000002</v>
      </c>
      <c r="M190" s="28">
        <f t="shared" si="13"/>
        <v>328.45166666666665</v>
      </c>
      <c r="N190" s="28">
        <f t="shared" si="13"/>
        <v>328.22708333333338</v>
      </c>
    </row>
    <row r="191" spans="1:14" x14ac:dyDescent="0.4">
      <c r="A191" s="1">
        <v>26999</v>
      </c>
      <c r="B191" s="28">
        <v>330.09250000000003</v>
      </c>
      <c r="C191" s="28">
        <f t="shared" si="13"/>
        <v>330.05958333333336</v>
      </c>
      <c r="D191" s="28">
        <f t="shared" si="13"/>
        <v>329.98625000000004</v>
      </c>
      <c r="E191" s="28">
        <f t="shared" si="13"/>
        <v>329.88916666666677</v>
      </c>
      <c r="F191" s="28">
        <f t="shared" si="13"/>
        <v>329.79208333333332</v>
      </c>
      <c r="G191" s="28">
        <f t="shared" si="13"/>
        <v>329.71083333333337</v>
      </c>
      <c r="H191" s="28">
        <f t="shared" si="13"/>
        <v>329.63208333333336</v>
      </c>
      <c r="I191" s="28">
        <f t="shared" si="13"/>
        <v>329.51749999999998</v>
      </c>
      <c r="J191" s="28">
        <f t="shared" si="13"/>
        <v>329.36583333333334</v>
      </c>
      <c r="K191" s="28">
        <f t="shared" si="13"/>
        <v>329.17208333333338</v>
      </c>
      <c r="L191" s="28">
        <f t="shared" si="13"/>
        <v>328.93624999999997</v>
      </c>
      <c r="M191" s="28">
        <f t="shared" si="13"/>
        <v>328.69375000000002</v>
      </c>
      <c r="N191" s="28">
        <f t="shared" si="13"/>
        <v>328.45166666666665</v>
      </c>
    </row>
    <row r="192" spans="1:14" x14ac:dyDescent="0.4">
      <c r="A192" s="1">
        <v>27030</v>
      </c>
      <c r="B192" s="28">
        <v>330.11291666666659</v>
      </c>
      <c r="C192" s="28">
        <f t="shared" si="13"/>
        <v>330.09250000000003</v>
      </c>
      <c r="D192" s="28">
        <f t="shared" si="13"/>
        <v>330.05958333333336</v>
      </c>
      <c r="E192" s="28">
        <f t="shared" si="13"/>
        <v>329.98625000000004</v>
      </c>
      <c r="F192" s="28">
        <f t="shared" si="13"/>
        <v>329.88916666666677</v>
      </c>
      <c r="G192" s="28">
        <f t="shared" si="13"/>
        <v>329.79208333333332</v>
      </c>
      <c r="H192" s="28">
        <f t="shared" si="13"/>
        <v>329.71083333333337</v>
      </c>
      <c r="I192" s="28">
        <f t="shared" si="13"/>
        <v>329.63208333333336</v>
      </c>
      <c r="J192" s="28">
        <f t="shared" si="13"/>
        <v>329.51749999999998</v>
      </c>
      <c r="K192" s="28">
        <f t="shared" si="13"/>
        <v>329.36583333333334</v>
      </c>
      <c r="L192" s="28">
        <f t="shared" si="13"/>
        <v>329.17208333333338</v>
      </c>
      <c r="M192" s="28">
        <f t="shared" si="13"/>
        <v>328.93624999999997</v>
      </c>
      <c r="N192" s="28">
        <f t="shared" si="13"/>
        <v>328.69375000000002</v>
      </c>
    </row>
    <row r="193" spans="1:14" x14ac:dyDescent="0.4">
      <c r="A193" s="1">
        <v>27061</v>
      </c>
      <c r="B193" s="28">
        <v>330.12916666666661</v>
      </c>
      <c r="C193" s="28">
        <f t="shared" si="13"/>
        <v>330.11291666666659</v>
      </c>
      <c r="D193" s="28">
        <f t="shared" si="13"/>
        <v>330.09250000000003</v>
      </c>
      <c r="E193" s="28">
        <f t="shared" si="13"/>
        <v>330.05958333333336</v>
      </c>
      <c r="F193" s="28">
        <f t="shared" si="13"/>
        <v>329.98625000000004</v>
      </c>
      <c r="G193" s="28">
        <f t="shared" si="13"/>
        <v>329.88916666666677</v>
      </c>
      <c r="H193" s="28">
        <f t="shared" si="13"/>
        <v>329.79208333333332</v>
      </c>
      <c r="I193" s="28">
        <f t="shared" si="13"/>
        <v>329.71083333333337</v>
      </c>
      <c r="J193" s="28">
        <f t="shared" si="13"/>
        <v>329.63208333333336</v>
      </c>
      <c r="K193" s="28">
        <f t="shared" si="13"/>
        <v>329.51749999999998</v>
      </c>
      <c r="L193" s="28">
        <f t="shared" si="13"/>
        <v>329.36583333333334</v>
      </c>
      <c r="M193" s="28">
        <f t="shared" si="13"/>
        <v>329.17208333333338</v>
      </c>
      <c r="N193" s="28">
        <f t="shared" si="13"/>
        <v>328.93624999999997</v>
      </c>
    </row>
    <row r="194" spans="1:14" x14ac:dyDescent="0.4">
      <c r="A194" s="1">
        <v>27089</v>
      </c>
      <c r="B194" s="28">
        <v>330.12916666666661</v>
      </c>
      <c r="C194" s="28">
        <f t="shared" si="13"/>
        <v>330.12916666666661</v>
      </c>
      <c r="D194" s="28">
        <f t="shared" si="13"/>
        <v>330.11291666666659</v>
      </c>
      <c r="E194" s="28">
        <f t="shared" si="13"/>
        <v>330.09250000000003</v>
      </c>
      <c r="F194" s="28">
        <f t="shared" si="13"/>
        <v>330.05958333333336</v>
      </c>
      <c r="G194" s="28">
        <f t="shared" si="13"/>
        <v>329.98625000000004</v>
      </c>
      <c r="H194" s="28">
        <f t="shared" si="13"/>
        <v>329.88916666666677</v>
      </c>
      <c r="I194" s="28">
        <f t="shared" si="13"/>
        <v>329.79208333333332</v>
      </c>
      <c r="J194" s="28">
        <f t="shared" si="13"/>
        <v>329.71083333333337</v>
      </c>
      <c r="K194" s="28">
        <f t="shared" si="13"/>
        <v>329.63208333333336</v>
      </c>
      <c r="L194" s="28">
        <f t="shared" si="13"/>
        <v>329.51749999999998</v>
      </c>
      <c r="M194" s="28">
        <f t="shared" si="13"/>
        <v>329.36583333333334</v>
      </c>
      <c r="N194" s="28">
        <f t="shared" si="13"/>
        <v>329.17208333333338</v>
      </c>
    </row>
    <row r="195" spans="1:14" x14ac:dyDescent="0.4">
      <c r="A195" s="1">
        <v>27120</v>
      </c>
      <c r="B195" s="28">
        <v>330.13374999999996</v>
      </c>
      <c r="C195" s="28">
        <f t="shared" si="13"/>
        <v>330.12916666666661</v>
      </c>
      <c r="D195" s="28">
        <f t="shared" si="13"/>
        <v>330.12916666666661</v>
      </c>
      <c r="E195" s="28">
        <f t="shared" si="13"/>
        <v>330.11291666666659</v>
      </c>
      <c r="F195" s="28">
        <f t="shared" si="13"/>
        <v>330.09250000000003</v>
      </c>
      <c r="G195" s="28">
        <f t="shared" si="13"/>
        <v>330.05958333333336</v>
      </c>
      <c r="H195" s="28">
        <f t="shared" si="13"/>
        <v>329.98625000000004</v>
      </c>
      <c r="I195" s="28">
        <f t="shared" si="13"/>
        <v>329.88916666666677</v>
      </c>
      <c r="J195" s="28">
        <f t="shared" si="13"/>
        <v>329.79208333333332</v>
      </c>
      <c r="K195" s="28">
        <f t="shared" si="13"/>
        <v>329.71083333333337</v>
      </c>
      <c r="L195" s="28">
        <f t="shared" si="13"/>
        <v>329.63208333333336</v>
      </c>
      <c r="M195" s="28">
        <f t="shared" si="13"/>
        <v>329.51749999999998</v>
      </c>
      <c r="N195" s="28">
        <f t="shared" si="13"/>
        <v>329.36583333333334</v>
      </c>
    </row>
    <row r="196" spans="1:14" x14ac:dyDescent="0.4">
      <c r="A196" s="1">
        <v>27150</v>
      </c>
      <c r="B196" s="28">
        <v>330.1541666666667</v>
      </c>
      <c r="C196" s="28">
        <f t="shared" si="13"/>
        <v>330.13374999999996</v>
      </c>
      <c r="D196" s="28">
        <f t="shared" si="13"/>
        <v>330.12916666666661</v>
      </c>
      <c r="E196" s="28">
        <f t="shared" si="13"/>
        <v>330.12916666666661</v>
      </c>
      <c r="F196" s="28">
        <f t="shared" si="13"/>
        <v>330.11291666666659</v>
      </c>
      <c r="G196" s="28">
        <f t="shared" si="13"/>
        <v>330.09250000000003</v>
      </c>
      <c r="H196" s="28">
        <f t="shared" si="13"/>
        <v>330.05958333333336</v>
      </c>
      <c r="I196" s="28">
        <f t="shared" si="13"/>
        <v>329.98625000000004</v>
      </c>
      <c r="J196" s="28">
        <f t="shared" si="13"/>
        <v>329.88916666666677</v>
      </c>
      <c r="K196" s="28">
        <f t="shared" si="13"/>
        <v>329.79208333333332</v>
      </c>
      <c r="L196" s="28">
        <f t="shared" ref="L196:W259" si="14">IF(K195=0,"",K195)</f>
        <v>329.71083333333337</v>
      </c>
      <c r="M196" s="28">
        <f t="shared" si="14"/>
        <v>329.63208333333336</v>
      </c>
      <c r="N196" s="28">
        <f t="shared" si="14"/>
        <v>329.51749999999998</v>
      </c>
    </row>
    <row r="197" spans="1:14" x14ac:dyDescent="0.4">
      <c r="A197" s="1">
        <v>27181</v>
      </c>
      <c r="B197" s="28">
        <v>330.20541666666668</v>
      </c>
      <c r="C197" s="28">
        <f t="shared" ref="C197:N260" si="15">IF(B196=0,"",B196)</f>
        <v>330.1541666666667</v>
      </c>
      <c r="D197" s="28">
        <f t="shared" si="15"/>
        <v>330.13374999999996</v>
      </c>
      <c r="E197" s="28">
        <f t="shared" si="15"/>
        <v>330.12916666666661</v>
      </c>
      <c r="F197" s="28">
        <f t="shared" si="15"/>
        <v>330.12916666666661</v>
      </c>
      <c r="G197" s="28">
        <f t="shared" si="15"/>
        <v>330.11291666666659</v>
      </c>
      <c r="H197" s="28">
        <f t="shared" si="15"/>
        <v>330.09250000000003</v>
      </c>
      <c r="I197" s="28">
        <f t="shared" si="15"/>
        <v>330.05958333333336</v>
      </c>
      <c r="J197" s="28">
        <f t="shared" si="15"/>
        <v>329.98625000000004</v>
      </c>
      <c r="K197" s="28">
        <f t="shared" si="15"/>
        <v>329.88916666666677</v>
      </c>
      <c r="L197" s="28">
        <f t="shared" si="15"/>
        <v>329.79208333333332</v>
      </c>
      <c r="M197" s="28">
        <f t="shared" si="15"/>
        <v>329.71083333333337</v>
      </c>
      <c r="N197" s="28">
        <f t="shared" si="15"/>
        <v>329.63208333333336</v>
      </c>
    </row>
    <row r="198" spans="1:14" x14ac:dyDescent="0.4">
      <c r="A198" s="1">
        <v>27211</v>
      </c>
      <c r="B198" s="28">
        <v>330.2879166666666</v>
      </c>
      <c r="C198" s="28">
        <f t="shared" si="15"/>
        <v>330.20541666666668</v>
      </c>
      <c r="D198" s="28">
        <f t="shared" si="15"/>
        <v>330.1541666666667</v>
      </c>
      <c r="E198" s="28">
        <f t="shared" si="15"/>
        <v>330.13374999999996</v>
      </c>
      <c r="F198" s="28">
        <f t="shared" si="15"/>
        <v>330.12916666666661</v>
      </c>
      <c r="G198" s="28">
        <f t="shared" si="15"/>
        <v>330.12916666666661</v>
      </c>
      <c r="H198" s="28">
        <f t="shared" si="15"/>
        <v>330.11291666666659</v>
      </c>
      <c r="I198" s="28">
        <f t="shared" si="15"/>
        <v>330.09250000000003</v>
      </c>
      <c r="J198" s="28">
        <f t="shared" si="15"/>
        <v>330.05958333333336</v>
      </c>
      <c r="K198" s="28">
        <f t="shared" si="15"/>
        <v>329.98625000000004</v>
      </c>
      <c r="L198" s="28">
        <f t="shared" si="15"/>
        <v>329.88916666666677</v>
      </c>
      <c r="M198" s="28">
        <f t="shared" si="15"/>
        <v>329.79208333333332</v>
      </c>
      <c r="N198" s="28">
        <f t="shared" si="15"/>
        <v>329.71083333333337</v>
      </c>
    </row>
    <row r="199" spans="1:14" x14ac:dyDescent="0.4">
      <c r="A199" s="1">
        <v>27242</v>
      </c>
      <c r="B199" s="28">
        <v>330.36041666666665</v>
      </c>
      <c r="C199" s="28">
        <f t="shared" si="15"/>
        <v>330.2879166666666</v>
      </c>
      <c r="D199" s="28">
        <f t="shared" si="15"/>
        <v>330.20541666666668</v>
      </c>
      <c r="E199" s="28">
        <f t="shared" si="15"/>
        <v>330.1541666666667</v>
      </c>
      <c r="F199" s="28">
        <f t="shared" si="15"/>
        <v>330.13374999999996</v>
      </c>
      <c r="G199" s="28">
        <f t="shared" si="15"/>
        <v>330.12916666666661</v>
      </c>
      <c r="H199" s="28">
        <f t="shared" si="15"/>
        <v>330.12916666666661</v>
      </c>
      <c r="I199" s="28">
        <f t="shared" si="15"/>
        <v>330.11291666666659</v>
      </c>
      <c r="J199" s="28">
        <f t="shared" si="15"/>
        <v>330.09250000000003</v>
      </c>
      <c r="K199" s="28">
        <f t="shared" si="15"/>
        <v>330.05958333333336</v>
      </c>
      <c r="L199" s="28">
        <f t="shared" si="15"/>
        <v>329.98625000000004</v>
      </c>
      <c r="M199" s="28">
        <f t="shared" si="15"/>
        <v>329.88916666666677</v>
      </c>
      <c r="N199" s="28">
        <f t="shared" si="15"/>
        <v>329.79208333333332</v>
      </c>
    </row>
    <row r="200" spans="1:14" x14ac:dyDescent="0.4">
      <c r="A200" s="1">
        <v>27273</v>
      </c>
      <c r="B200" s="28">
        <v>330.41250000000002</v>
      </c>
      <c r="C200" s="28">
        <f t="shared" si="15"/>
        <v>330.36041666666665</v>
      </c>
      <c r="D200" s="28">
        <f t="shared" si="15"/>
        <v>330.2879166666666</v>
      </c>
      <c r="E200" s="28">
        <f t="shared" si="15"/>
        <v>330.20541666666668</v>
      </c>
      <c r="F200" s="28">
        <f t="shared" si="15"/>
        <v>330.1541666666667</v>
      </c>
      <c r="G200" s="28">
        <f t="shared" si="15"/>
        <v>330.13374999999996</v>
      </c>
      <c r="H200" s="28">
        <f t="shared" si="15"/>
        <v>330.12916666666661</v>
      </c>
      <c r="I200" s="28">
        <f t="shared" si="15"/>
        <v>330.12916666666661</v>
      </c>
      <c r="J200" s="28">
        <f t="shared" si="15"/>
        <v>330.11291666666659</v>
      </c>
      <c r="K200" s="28">
        <f t="shared" si="15"/>
        <v>330.09250000000003</v>
      </c>
      <c r="L200" s="28">
        <f t="shared" si="15"/>
        <v>330.05958333333336</v>
      </c>
      <c r="M200" s="28">
        <f t="shared" si="15"/>
        <v>329.98625000000004</v>
      </c>
      <c r="N200" s="28">
        <f t="shared" si="15"/>
        <v>329.88916666666677</v>
      </c>
    </row>
    <row r="201" spans="1:14" x14ac:dyDescent="0.4">
      <c r="A201" s="1">
        <v>27303</v>
      </c>
      <c r="B201" s="28">
        <v>330.46333333333337</v>
      </c>
      <c r="C201" s="28">
        <f t="shared" si="15"/>
        <v>330.41250000000002</v>
      </c>
      <c r="D201" s="28">
        <f t="shared" si="15"/>
        <v>330.36041666666665</v>
      </c>
      <c r="E201" s="28">
        <f t="shared" si="15"/>
        <v>330.2879166666666</v>
      </c>
      <c r="F201" s="28">
        <f t="shared" si="15"/>
        <v>330.20541666666668</v>
      </c>
      <c r="G201" s="28">
        <f t="shared" si="15"/>
        <v>330.1541666666667</v>
      </c>
      <c r="H201" s="28">
        <f t="shared" si="15"/>
        <v>330.13374999999996</v>
      </c>
      <c r="I201" s="28">
        <f t="shared" si="15"/>
        <v>330.12916666666661</v>
      </c>
      <c r="J201" s="28">
        <f t="shared" si="15"/>
        <v>330.12916666666661</v>
      </c>
      <c r="K201" s="28">
        <f t="shared" si="15"/>
        <v>330.11291666666659</v>
      </c>
      <c r="L201" s="28">
        <f t="shared" si="15"/>
        <v>330.09250000000003</v>
      </c>
      <c r="M201" s="28">
        <f t="shared" si="15"/>
        <v>330.05958333333336</v>
      </c>
      <c r="N201" s="28">
        <f t="shared" si="15"/>
        <v>329.98625000000004</v>
      </c>
    </row>
    <row r="202" spans="1:14" x14ac:dyDescent="0.4">
      <c r="A202" s="1">
        <v>27334</v>
      </c>
      <c r="B202" s="28">
        <v>330.52749999999997</v>
      </c>
      <c r="C202" s="28">
        <f t="shared" si="15"/>
        <v>330.46333333333337</v>
      </c>
      <c r="D202" s="28">
        <f t="shared" si="15"/>
        <v>330.41250000000002</v>
      </c>
      <c r="E202" s="28">
        <f t="shared" si="15"/>
        <v>330.36041666666665</v>
      </c>
      <c r="F202" s="28">
        <f t="shared" si="15"/>
        <v>330.2879166666666</v>
      </c>
      <c r="G202" s="28">
        <f t="shared" si="15"/>
        <v>330.20541666666668</v>
      </c>
      <c r="H202" s="28">
        <f t="shared" si="15"/>
        <v>330.1541666666667</v>
      </c>
      <c r="I202" s="28">
        <f t="shared" si="15"/>
        <v>330.13374999999996</v>
      </c>
      <c r="J202" s="28">
        <f t="shared" si="15"/>
        <v>330.12916666666661</v>
      </c>
      <c r="K202" s="28">
        <f t="shared" si="15"/>
        <v>330.12916666666661</v>
      </c>
      <c r="L202" s="28">
        <f t="shared" si="15"/>
        <v>330.11291666666659</v>
      </c>
      <c r="M202" s="28">
        <f t="shared" si="15"/>
        <v>330.09250000000003</v>
      </c>
      <c r="N202" s="28">
        <f t="shared" si="15"/>
        <v>330.05958333333336</v>
      </c>
    </row>
    <row r="203" spans="1:14" x14ac:dyDescent="0.4">
      <c r="A203" s="1">
        <v>27364</v>
      </c>
      <c r="B203" s="28">
        <v>330.62041666666664</v>
      </c>
      <c r="C203" s="28">
        <f t="shared" si="15"/>
        <v>330.52749999999997</v>
      </c>
      <c r="D203" s="28">
        <f t="shared" si="15"/>
        <v>330.46333333333337</v>
      </c>
      <c r="E203" s="28">
        <f t="shared" si="15"/>
        <v>330.41250000000002</v>
      </c>
      <c r="F203" s="28">
        <f t="shared" si="15"/>
        <v>330.36041666666665</v>
      </c>
      <c r="G203" s="28">
        <f t="shared" si="15"/>
        <v>330.2879166666666</v>
      </c>
      <c r="H203" s="28">
        <f t="shared" si="15"/>
        <v>330.20541666666668</v>
      </c>
      <c r="I203" s="28">
        <f t="shared" si="15"/>
        <v>330.1541666666667</v>
      </c>
      <c r="J203" s="28">
        <f t="shared" si="15"/>
        <v>330.13374999999996</v>
      </c>
      <c r="K203" s="28">
        <f t="shared" si="15"/>
        <v>330.12916666666661</v>
      </c>
      <c r="L203" s="28">
        <f t="shared" si="15"/>
        <v>330.12916666666661</v>
      </c>
      <c r="M203" s="28">
        <f t="shared" si="15"/>
        <v>330.11291666666659</v>
      </c>
      <c r="N203" s="28">
        <f t="shared" si="15"/>
        <v>330.09250000000003</v>
      </c>
    </row>
    <row r="204" spans="1:14" x14ac:dyDescent="0.4">
      <c r="A204" s="1">
        <v>27395</v>
      </c>
      <c r="B204" s="28">
        <v>330.70666666666671</v>
      </c>
      <c r="C204" s="28">
        <f t="shared" si="15"/>
        <v>330.62041666666664</v>
      </c>
      <c r="D204" s="28">
        <f t="shared" si="15"/>
        <v>330.52749999999997</v>
      </c>
      <c r="E204" s="28">
        <f t="shared" si="15"/>
        <v>330.46333333333337</v>
      </c>
      <c r="F204" s="28">
        <f t="shared" si="15"/>
        <v>330.41250000000002</v>
      </c>
      <c r="G204" s="28">
        <f t="shared" si="15"/>
        <v>330.36041666666665</v>
      </c>
      <c r="H204" s="28">
        <f t="shared" si="15"/>
        <v>330.2879166666666</v>
      </c>
      <c r="I204" s="28">
        <f t="shared" si="15"/>
        <v>330.20541666666668</v>
      </c>
      <c r="J204" s="28">
        <f t="shared" si="15"/>
        <v>330.1541666666667</v>
      </c>
      <c r="K204" s="28">
        <f t="shared" si="15"/>
        <v>330.13374999999996</v>
      </c>
      <c r="L204" s="28">
        <f t="shared" si="15"/>
        <v>330.12916666666661</v>
      </c>
      <c r="M204" s="28">
        <f t="shared" si="15"/>
        <v>330.12916666666661</v>
      </c>
      <c r="N204" s="28">
        <f t="shared" si="15"/>
        <v>330.11291666666659</v>
      </c>
    </row>
    <row r="205" spans="1:14" x14ac:dyDescent="0.4">
      <c r="A205" s="1">
        <v>27426</v>
      </c>
      <c r="B205" s="28">
        <v>330.76458333333335</v>
      </c>
      <c r="C205" s="28">
        <f t="shared" si="15"/>
        <v>330.70666666666671</v>
      </c>
      <c r="D205" s="28">
        <f t="shared" si="15"/>
        <v>330.62041666666664</v>
      </c>
      <c r="E205" s="28">
        <f t="shared" si="15"/>
        <v>330.52749999999997</v>
      </c>
      <c r="F205" s="28">
        <f t="shared" si="15"/>
        <v>330.46333333333337</v>
      </c>
      <c r="G205" s="28">
        <f t="shared" si="15"/>
        <v>330.41250000000002</v>
      </c>
      <c r="H205" s="28">
        <f t="shared" si="15"/>
        <v>330.36041666666665</v>
      </c>
      <c r="I205" s="28">
        <f t="shared" si="15"/>
        <v>330.2879166666666</v>
      </c>
      <c r="J205" s="28">
        <f t="shared" si="15"/>
        <v>330.20541666666668</v>
      </c>
      <c r="K205" s="28">
        <f t="shared" si="15"/>
        <v>330.1541666666667</v>
      </c>
      <c r="L205" s="28">
        <f t="shared" si="15"/>
        <v>330.13374999999996</v>
      </c>
      <c r="M205" s="28">
        <f t="shared" si="15"/>
        <v>330.12916666666661</v>
      </c>
      <c r="N205" s="28">
        <f t="shared" si="15"/>
        <v>330.12916666666661</v>
      </c>
    </row>
    <row r="206" spans="1:14" x14ac:dyDescent="0.4">
      <c r="A206" s="1">
        <v>27454</v>
      </c>
      <c r="B206" s="28">
        <v>330.83958333333334</v>
      </c>
      <c r="C206" s="28">
        <f t="shared" si="15"/>
        <v>330.76458333333335</v>
      </c>
      <c r="D206" s="28">
        <f t="shared" si="15"/>
        <v>330.70666666666671</v>
      </c>
      <c r="E206" s="28">
        <f t="shared" si="15"/>
        <v>330.62041666666664</v>
      </c>
      <c r="F206" s="28">
        <f t="shared" si="15"/>
        <v>330.52749999999997</v>
      </c>
      <c r="G206" s="28">
        <f t="shared" si="15"/>
        <v>330.46333333333337</v>
      </c>
      <c r="H206" s="28">
        <f t="shared" si="15"/>
        <v>330.41250000000002</v>
      </c>
      <c r="I206" s="28">
        <f t="shared" si="15"/>
        <v>330.36041666666665</v>
      </c>
      <c r="J206" s="28">
        <f t="shared" si="15"/>
        <v>330.2879166666666</v>
      </c>
      <c r="K206" s="28">
        <f t="shared" si="15"/>
        <v>330.20541666666668</v>
      </c>
      <c r="L206" s="28">
        <f t="shared" si="15"/>
        <v>330.1541666666667</v>
      </c>
      <c r="M206" s="28">
        <f t="shared" si="15"/>
        <v>330.13374999999996</v>
      </c>
      <c r="N206" s="28">
        <f t="shared" si="15"/>
        <v>330.12916666666661</v>
      </c>
    </row>
    <row r="207" spans="1:14" x14ac:dyDescent="0.4">
      <c r="A207" s="1">
        <v>27485</v>
      </c>
      <c r="B207" s="28">
        <v>330.92708333333331</v>
      </c>
      <c r="C207" s="28">
        <f t="shared" si="15"/>
        <v>330.83958333333334</v>
      </c>
      <c r="D207" s="28">
        <f t="shared" si="15"/>
        <v>330.76458333333335</v>
      </c>
      <c r="E207" s="28">
        <f t="shared" si="15"/>
        <v>330.70666666666671</v>
      </c>
      <c r="F207" s="28">
        <f t="shared" si="15"/>
        <v>330.62041666666664</v>
      </c>
      <c r="G207" s="28">
        <f t="shared" si="15"/>
        <v>330.52749999999997</v>
      </c>
      <c r="H207" s="28">
        <f t="shared" si="15"/>
        <v>330.46333333333337</v>
      </c>
      <c r="I207" s="28">
        <f t="shared" si="15"/>
        <v>330.41250000000002</v>
      </c>
      <c r="J207" s="28">
        <f t="shared" si="15"/>
        <v>330.36041666666665</v>
      </c>
      <c r="K207" s="28">
        <f t="shared" si="15"/>
        <v>330.2879166666666</v>
      </c>
      <c r="L207" s="28">
        <f t="shared" si="15"/>
        <v>330.20541666666668</v>
      </c>
      <c r="M207" s="28">
        <f t="shared" si="15"/>
        <v>330.1541666666667</v>
      </c>
      <c r="N207" s="28">
        <f t="shared" si="15"/>
        <v>330.13374999999996</v>
      </c>
    </row>
    <row r="208" spans="1:14" x14ac:dyDescent="0.4">
      <c r="A208" s="1">
        <v>27515</v>
      </c>
      <c r="B208" s="28">
        <v>331.01041666666669</v>
      </c>
      <c r="C208" s="28">
        <f t="shared" si="15"/>
        <v>330.92708333333331</v>
      </c>
      <c r="D208" s="28">
        <f t="shared" si="15"/>
        <v>330.83958333333334</v>
      </c>
      <c r="E208" s="28">
        <f t="shared" si="15"/>
        <v>330.76458333333335</v>
      </c>
      <c r="F208" s="28">
        <f t="shared" si="15"/>
        <v>330.70666666666671</v>
      </c>
      <c r="G208" s="28">
        <f t="shared" si="15"/>
        <v>330.62041666666664</v>
      </c>
      <c r="H208" s="28">
        <f t="shared" si="15"/>
        <v>330.52749999999997</v>
      </c>
      <c r="I208" s="28">
        <f t="shared" si="15"/>
        <v>330.46333333333337</v>
      </c>
      <c r="J208" s="28">
        <f t="shared" si="15"/>
        <v>330.41250000000002</v>
      </c>
      <c r="K208" s="28">
        <f t="shared" si="15"/>
        <v>330.36041666666665</v>
      </c>
      <c r="L208" s="28">
        <f t="shared" si="15"/>
        <v>330.2879166666666</v>
      </c>
      <c r="M208" s="28">
        <f t="shared" si="15"/>
        <v>330.20541666666668</v>
      </c>
      <c r="N208" s="28">
        <f t="shared" si="15"/>
        <v>330.1541666666667</v>
      </c>
    </row>
    <row r="209" spans="1:14" x14ac:dyDescent="0.4">
      <c r="A209" s="1">
        <v>27546</v>
      </c>
      <c r="B209" s="28">
        <v>331.10291666666666</v>
      </c>
      <c r="C209" s="28">
        <f t="shared" si="15"/>
        <v>331.01041666666669</v>
      </c>
      <c r="D209" s="28">
        <f t="shared" si="15"/>
        <v>330.92708333333331</v>
      </c>
      <c r="E209" s="28">
        <f t="shared" si="15"/>
        <v>330.83958333333334</v>
      </c>
      <c r="F209" s="28">
        <f t="shared" si="15"/>
        <v>330.76458333333335</v>
      </c>
      <c r="G209" s="28">
        <f t="shared" si="15"/>
        <v>330.70666666666671</v>
      </c>
      <c r="H209" s="28">
        <f t="shared" si="15"/>
        <v>330.62041666666664</v>
      </c>
      <c r="I209" s="28">
        <f t="shared" si="15"/>
        <v>330.52749999999997</v>
      </c>
      <c r="J209" s="28">
        <f t="shared" si="15"/>
        <v>330.46333333333337</v>
      </c>
      <c r="K209" s="28">
        <f t="shared" si="15"/>
        <v>330.41250000000002</v>
      </c>
      <c r="L209" s="28">
        <f t="shared" si="15"/>
        <v>330.36041666666665</v>
      </c>
      <c r="M209" s="28">
        <f t="shared" si="15"/>
        <v>330.2879166666666</v>
      </c>
      <c r="N209" s="28">
        <f t="shared" si="15"/>
        <v>330.20541666666668</v>
      </c>
    </row>
    <row r="210" spans="1:14" x14ac:dyDescent="0.4">
      <c r="A210" s="1">
        <v>27576</v>
      </c>
      <c r="B210" s="28">
        <v>331.20875000000001</v>
      </c>
      <c r="C210" s="28">
        <f t="shared" si="15"/>
        <v>331.10291666666666</v>
      </c>
      <c r="D210" s="28">
        <f t="shared" si="15"/>
        <v>331.01041666666669</v>
      </c>
      <c r="E210" s="28">
        <f t="shared" si="15"/>
        <v>330.92708333333331</v>
      </c>
      <c r="F210" s="28">
        <f t="shared" si="15"/>
        <v>330.83958333333334</v>
      </c>
      <c r="G210" s="28">
        <f t="shared" si="15"/>
        <v>330.76458333333335</v>
      </c>
      <c r="H210" s="28">
        <f t="shared" si="15"/>
        <v>330.70666666666671</v>
      </c>
      <c r="I210" s="28">
        <f t="shared" si="15"/>
        <v>330.62041666666664</v>
      </c>
      <c r="J210" s="28">
        <f t="shared" si="15"/>
        <v>330.52749999999997</v>
      </c>
      <c r="K210" s="28">
        <f t="shared" si="15"/>
        <v>330.46333333333337</v>
      </c>
      <c r="L210" s="28">
        <f t="shared" si="15"/>
        <v>330.41250000000002</v>
      </c>
      <c r="M210" s="28">
        <f t="shared" si="15"/>
        <v>330.36041666666665</v>
      </c>
      <c r="N210" s="28">
        <f t="shared" si="15"/>
        <v>330.2879166666666</v>
      </c>
    </row>
    <row r="211" spans="1:14" x14ac:dyDescent="0.4">
      <c r="A211" s="1">
        <v>27607</v>
      </c>
      <c r="B211" s="28">
        <v>331.31375000000003</v>
      </c>
      <c r="C211" s="28">
        <f t="shared" si="15"/>
        <v>331.20875000000001</v>
      </c>
      <c r="D211" s="28">
        <f t="shared" si="15"/>
        <v>331.10291666666666</v>
      </c>
      <c r="E211" s="28">
        <f t="shared" si="15"/>
        <v>331.01041666666669</v>
      </c>
      <c r="F211" s="28">
        <f t="shared" si="15"/>
        <v>330.92708333333331</v>
      </c>
      <c r="G211" s="28">
        <f t="shared" si="15"/>
        <v>330.83958333333334</v>
      </c>
      <c r="H211" s="28">
        <f t="shared" si="15"/>
        <v>330.76458333333335</v>
      </c>
      <c r="I211" s="28">
        <f t="shared" si="15"/>
        <v>330.70666666666671</v>
      </c>
      <c r="J211" s="28">
        <f t="shared" si="15"/>
        <v>330.62041666666664</v>
      </c>
      <c r="K211" s="28">
        <f t="shared" si="15"/>
        <v>330.52749999999997</v>
      </c>
      <c r="L211" s="28">
        <f t="shared" si="15"/>
        <v>330.46333333333337</v>
      </c>
      <c r="M211" s="28">
        <f t="shared" si="15"/>
        <v>330.41250000000002</v>
      </c>
      <c r="N211" s="28">
        <f t="shared" si="15"/>
        <v>330.36041666666665</v>
      </c>
    </row>
    <row r="212" spans="1:14" x14ac:dyDescent="0.4">
      <c r="A212" s="1">
        <v>27638</v>
      </c>
      <c r="B212" s="28">
        <v>331.42333333333335</v>
      </c>
      <c r="C212" s="28">
        <f t="shared" si="15"/>
        <v>331.31375000000003</v>
      </c>
      <c r="D212" s="28">
        <f t="shared" si="15"/>
        <v>331.20875000000001</v>
      </c>
      <c r="E212" s="28">
        <f t="shared" si="15"/>
        <v>331.10291666666666</v>
      </c>
      <c r="F212" s="28">
        <f t="shared" si="15"/>
        <v>331.01041666666669</v>
      </c>
      <c r="G212" s="28">
        <f t="shared" si="15"/>
        <v>330.92708333333331</v>
      </c>
      <c r="H212" s="28">
        <f t="shared" si="15"/>
        <v>330.83958333333334</v>
      </c>
      <c r="I212" s="28">
        <f t="shared" si="15"/>
        <v>330.76458333333335</v>
      </c>
      <c r="J212" s="28">
        <f t="shared" si="15"/>
        <v>330.70666666666671</v>
      </c>
      <c r="K212" s="28">
        <f t="shared" si="15"/>
        <v>330.62041666666664</v>
      </c>
      <c r="L212" s="28">
        <f t="shared" si="15"/>
        <v>330.52749999999997</v>
      </c>
      <c r="M212" s="28">
        <f t="shared" si="15"/>
        <v>330.46333333333337</v>
      </c>
      <c r="N212" s="28">
        <f t="shared" si="15"/>
        <v>330.41250000000002</v>
      </c>
    </row>
    <row r="213" spans="1:14" x14ac:dyDescent="0.4">
      <c r="A213" s="1">
        <v>27668</v>
      </c>
      <c r="B213" s="28">
        <v>331.53708333333333</v>
      </c>
      <c r="C213" s="28">
        <f t="shared" si="15"/>
        <v>331.42333333333335</v>
      </c>
      <c r="D213" s="28">
        <f t="shared" si="15"/>
        <v>331.31375000000003</v>
      </c>
      <c r="E213" s="28">
        <f t="shared" si="15"/>
        <v>331.20875000000001</v>
      </c>
      <c r="F213" s="28">
        <f t="shared" si="15"/>
        <v>331.10291666666666</v>
      </c>
      <c r="G213" s="28">
        <f t="shared" si="15"/>
        <v>331.01041666666669</v>
      </c>
      <c r="H213" s="28">
        <f t="shared" si="15"/>
        <v>330.92708333333331</v>
      </c>
      <c r="I213" s="28">
        <f t="shared" si="15"/>
        <v>330.83958333333334</v>
      </c>
      <c r="J213" s="28">
        <f t="shared" si="15"/>
        <v>330.76458333333335</v>
      </c>
      <c r="K213" s="28">
        <f t="shared" si="15"/>
        <v>330.70666666666671</v>
      </c>
      <c r="L213" s="28">
        <f t="shared" si="15"/>
        <v>330.62041666666664</v>
      </c>
      <c r="M213" s="28">
        <f t="shared" si="15"/>
        <v>330.52749999999997</v>
      </c>
      <c r="N213" s="28">
        <f t="shared" si="15"/>
        <v>330.46333333333337</v>
      </c>
    </row>
    <row r="214" spans="1:14" x14ac:dyDescent="0.4">
      <c r="A214" s="1">
        <v>27699</v>
      </c>
      <c r="B214" s="28">
        <v>331.62791666666675</v>
      </c>
      <c r="C214" s="28">
        <f t="shared" si="15"/>
        <v>331.53708333333333</v>
      </c>
      <c r="D214" s="28">
        <f t="shared" si="15"/>
        <v>331.42333333333335</v>
      </c>
      <c r="E214" s="28">
        <f t="shared" si="15"/>
        <v>331.31375000000003</v>
      </c>
      <c r="F214" s="28">
        <f t="shared" si="15"/>
        <v>331.20875000000001</v>
      </c>
      <c r="G214" s="28">
        <f t="shared" si="15"/>
        <v>331.10291666666666</v>
      </c>
      <c r="H214" s="28">
        <f t="shared" si="15"/>
        <v>331.01041666666669</v>
      </c>
      <c r="I214" s="28">
        <f t="shared" si="15"/>
        <v>330.92708333333331</v>
      </c>
      <c r="J214" s="28">
        <f t="shared" si="15"/>
        <v>330.83958333333334</v>
      </c>
      <c r="K214" s="28">
        <f t="shared" si="15"/>
        <v>330.76458333333335</v>
      </c>
      <c r="L214" s="28">
        <f t="shared" si="15"/>
        <v>330.70666666666671</v>
      </c>
      <c r="M214" s="28">
        <f t="shared" si="15"/>
        <v>330.62041666666664</v>
      </c>
      <c r="N214" s="28">
        <f t="shared" si="15"/>
        <v>330.52749999999997</v>
      </c>
    </row>
    <row r="215" spans="1:14" x14ac:dyDescent="0.4">
      <c r="A215" s="1">
        <v>27729</v>
      </c>
      <c r="B215" s="28">
        <v>331.69625000000002</v>
      </c>
      <c r="C215" s="28">
        <f t="shared" si="15"/>
        <v>331.62791666666675</v>
      </c>
      <c r="D215" s="28">
        <f t="shared" si="15"/>
        <v>331.53708333333333</v>
      </c>
      <c r="E215" s="28">
        <f t="shared" si="15"/>
        <v>331.42333333333335</v>
      </c>
      <c r="F215" s="28">
        <f t="shared" si="15"/>
        <v>331.31375000000003</v>
      </c>
      <c r="G215" s="28">
        <f t="shared" si="15"/>
        <v>331.20875000000001</v>
      </c>
      <c r="H215" s="28">
        <f t="shared" si="15"/>
        <v>331.10291666666666</v>
      </c>
      <c r="I215" s="28">
        <f t="shared" si="15"/>
        <v>331.01041666666669</v>
      </c>
      <c r="J215" s="28">
        <f t="shared" si="15"/>
        <v>330.92708333333331</v>
      </c>
      <c r="K215" s="28">
        <f t="shared" si="15"/>
        <v>330.83958333333334</v>
      </c>
      <c r="L215" s="28">
        <f t="shared" si="15"/>
        <v>330.76458333333335</v>
      </c>
      <c r="M215" s="28">
        <f t="shared" si="15"/>
        <v>330.70666666666671</v>
      </c>
      <c r="N215" s="28">
        <f t="shared" si="15"/>
        <v>330.62041666666664</v>
      </c>
    </row>
    <row r="216" spans="1:14" x14ac:dyDescent="0.4">
      <c r="A216" s="1">
        <v>27760</v>
      </c>
      <c r="B216" s="28">
        <v>331.7745833333334</v>
      </c>
      <c r="C216" s="28">
        <f t="shared" si="15"/>
        <v>331.69625000000002</v>
      </c>
      <c r="D216" s="28">
        <f t="shared" si="15"/>
        <v>331.62791666666675</v>
      </c>
      <c r="E216" s="28">
        <f t="shared" si="15"/>
        <v>331.53708333333333</v>
      </c>
      <c r="F216" s="28">
        <f t="shared" si="15"/>
        <v>331.42333333333335</v>
      </c>
      <c r="G216" s="28">
        <f t="shared" si="15"/>
        <v>331.31375000000003</v>
      </c>
      <c r="H216" s="28">
        <f t="shared" si="15"/>
        <v>331.20875000000001</v>
      </c>
      <c r="I216" s="28">
        <f t="shared" si="15"/>
        <v>331.10291666666666</v>
      </c>
      <c r="J216" s="28">
        <f t="shared" si="15"/>
        <v>331.01041666666669</v>
      </c>
      <c r="K216" s="28">
        <f t="shared" si="15"/>
        <v>330.92708333333331</v>
      </c>
      <c r="L216" s="28">
        <f t="shared" si="15"/>
        <v>330.83958333333334</v>
      </c>
      <c r="M216" s="28">
        <f t="shared" si="15"/>
        <v>330.76458333333335</v>
      </c>
      <c r="N216" s="28">
        <f t="shared" si="15"/>
        <v>330.70666666666671</v>
      </c>
    </row>
    <row r="217" spans="1:14" x14ac:dyDescent="0.4">
      <c r="A217" s="1">
        <v>27791</v>
      </c>
      <c r="B217" s="28">
        <v>331.85916666666668</v>
      </c>
      <c r="C217" s="28">
        <f t="shared" si="15"/>
        <v>331.7745833333334</v>
      </c>
      <c r="D217" s="28">
        <f t="shared" si="15"/>
        <v>331.69625000000002</v>
      </c>
      <c r="E217" s="28">
        <f t="shared" si="15"/>
        <v>331.62791666666675</v>
      </c>
      <c r="F217" s="28">
        <f t="shared" si="15"/>
        <v>331.53708333333333</v>
      </c>
      <c r="G217" s="28">
        <f t="shared" si="15"/>
        <v>331.42333333333335</v>
      </c>
      <c r="H217" s="28">
        <f t="shared" si="15"/>
        <v>331.31375000000003</v>
      </c>
      <c r="I217" s="28">
        <f t="shared" si="15"/>
        <v>331.20875000000001</v>
      </c>
      <c r="J217" s="28">
        <f t="shared" si="15"/>
        <v>331.10291666666666</v>
      </c>
      <c r="K217" s="28">
        <f t="shared" si="15"/>
        <v>331.01041666666669</v>
      </c>
      <c r="L217" s="28">
        <f t="shared" si="15"/>
        <v>330.92708333333331</v>
      </c>
      <c r="M217" s="28">
        <f t="shared" si="15"/>
        <v>330.83958333333334</v>
      </c>
      <c r="N217" s="28">
        <f t="shared" si="15"/>
        <v>330.76458333333335</v>
      </c>
    </row>
    <row r="218" spans="1:14" x14ac:dyDescent="0.4">
      <c r="A218" s="1">
        <v>27820</v>
      </c>
      <c r="B218" s="28">
        <v>331.92666666666668</v>
      </c>
      <c r="C218" s="28">
        <f t="shared" si="15"/>
        <v>331.85916666666668</v>
      </c>
      <c r="D218" s="28">
        <f t="shared" si="15"/>
        <v>331.7745833333334</v>
      </c>
      <c r="E218" s="28">
        <f t="shared" si="15"/>
        <v>331.69625000000002</v>
      </c>
      <c r="F218" s="28">
        <f t="shared" ref="D218:R233" si="16">IF(E217=0,"",E217)</f>
        <v>331.62791666666675</v>
      </c>
      <c r="G218" s="28">
        <f t="shared" si="16"/>
        <v>331.53708333333333</v>
      </c>
      <c r="H218" s="28">
        <f t="shared" si="16"/>
        <v>331.42333333333335</v>
      </c>
      <c r="I218" s="28">
        <f t="shared" si="16"/>
        <v>331.31375000000003</v>
      </c>
      <c r="J218" s="28">
        <f t="shared" si="16"/>
        <v>331.20875000000001</v>
      </c>
      <c r="K218" s="28">
        <f t="shared" si="16"/>
        <v>331.10291666666666</v>
      </c>
      <c r="L218" s="28">
        <f t="shared" si="16"/>
        <v>331.01041666666669</v>
      </c>
      <c r="M218" s="28">
        <f t="shared" si="16"/>
        <v>330.92708333333331</v>
      </c>
      <c r="N218" s="28">
        <f t="shared" si="16"/>
        <v>330.83958333333334</v>
      </c>
    </row>
    <row r="219" spans="1:14" x14ac:dyDescent="0.4">
      <c r="A219" s="1">
        <v>27851</v>
      </c>
      <c r="B219" s="28">
        <v>331.98249999999996</v>
      </c>
      <c r="C219" s="28">
        <f t="shared" ref="C219:N282" si="17">IF(B218=0,"",B218)</f>
        <v>331.92666666666668</v>
      </c>
      <c r="D219" s="28">
        <f t="shared" si="16"/>
        <v>331.85916666666668</v>
      </c>
      <c r="E219" s="28">
        <f t="shared" si="16"/>
        <v>331.7745833333334</v>
      </c>
      <c r="F219" s="28">
        <f t="shared" si="16"/>
        <v>331.69625000000002</v>
      </c>
      <c r="G219" s="28">
        <f t="shared" si="16"/>
        <v>331.62791666666675</v>
      </c>
      <c r="H219" s="28">
        <f t="shared" si="16"/>
        <v>331.53708333333333</v>
      </c>
      <c r="I219" s="28">
        <f t="shared" si="16"/>
        <v>331.42333333333335</v>
      </c>
      <c r="J219" s="28">
        <f t="shared" si="16"/>
        <v>331.31375000000003</v>
      </c>
      <c r="K219" s="28">
        <f t="shared" si="16"/>
        <v>331.20875000000001</v>
      </c>
      <c r="L219" s="28">
        <f t="shared" si="16"/>
        <v>331.10291666666666</v>
      </c>
      <c r="M219" s="28">
        <f t="shared" si="16"/>
        <v>331.01041666666669</v>
      </c>
      <c r="N219" s="28">
        <f t="shared" si="16"/>
        <v>330.92708333333331</v>
      </c>
    </row>
    <row r="220" spans="1:14" x14ac:dyDescent="0.4">
      <c r="A220" s="1">
        <v>27881</v>
      </c>
      <c r="B220" s="28">
        <v>332.04166666666669</v>
      </c>
      <c r="C220" s="28">
        <f t="shared" si="17"/>
        <v>331.98249999999996</v>
      </c>
      <c r="D220" s="28">
        <f t="shared" si="16"/>
        <v>331.92666666666668</v>
      </c>
      <c r="E220" s="28">
        <f t="shared" si="16"/>
        <v>331.85916666666668</v>
      </c>
      <c r="F220" s="28">
        <f t="shared" si="16"/>
        <v>331.7745833333334</v>
      </c>
      <c r="G220" s="28">
        <f t="shared" si="16"/>
        <v>331.69625000000002</v>
      </c>
      <c r="H220" s="28">
        <f t="shared" si="16"/>
        <v>331.62791666666675</v>
      </c>
      <c r="I220" s="28">
        <f t="shared" si="16"/>
        <v>331.53708333333333</v>
      </c>
      <c r="J220" s="28">
        <f t="shared" si="16"/>
        <v>331.42333333333335</v>
      </c>
      <c r="K220" s="28">
        <f t="shared" si="16"/>
        <v>331.31375000000003</v>
      </c>
      <c r="L220" s="28">
        <f t="shared" si="16"/>
        <v>331.20875000000001</v>
      </c>
      <c r="M220" s="28">
        <f t="shared" si="16"/>
        <v>331.10291666666666</v>
      </c>
      <c r="N220" s="28">
        <f t="shared" si="16"/>
        <v>331.01041666666669</v>
      </c>
    </row>
    <row r="221" spans="1:14" x14ac:dyDescent="0.4">
      <c r="A221" s="1">
        <v>27912</v>
      </c>
      <c r="B221" s="28">
        <v>332.11416666666668</v>
      </c>
      <c r="C221" s="28">
        <f t="shared" si="17"/>
        <v>332.04166666666669</v>
      </c>
      <c r="D221" s="28">
        <f t="shared" si="16"/>
        <v>331.98249999999996</v>
      </c>
      <c r="E221" s="28">
        <f t="shared" si="16"/>
        <v>331.92666666666668</v>
      </c>
      <c r="F221" s="28">
        <f t="shared" si="16"/>
        <v>331.85916666666668</v>
      </c>
      <c r="G221" s="28">
        <f t="shared" si="16"/>
        <v>331.7745833333334</v>
      </c>
      <c r="H221" s="28">
        <f t="shared" si="16"/>
        <v>331.69625000000002</v>
      </c>
      <c r="I221" s="28">
        <f t="shared" si="16"/>
        <v>331.62791666666675</v>
      </c>
      <c r="J221" s="28">
        <f t="shared" si="16"/>
        <v>331.53708333333333</v>
      </c>
      <c r="K221" s="28">
        <f t="shared" si="16"/>
        <v>331.42333333333335</v>
      </c>
      <c r="L221" s="28">
        <f t="shared" si="16"/>
        <v>331.31375000000003</v>
      </c>
      <c r="M221" s="28">
        <f t="shared" si="16"/>
        <v>331.20875000000001</v>
      </c>
      <c r="N221" s="28">
        <f t="shared" si="16"/>
        <v>331.10291666666666</v>
      </c>
    </row>
    <row r="222" spans="1:14" x14ac:dyDescent="0.4">
      <c r="A222" s="1">
        <v>27942</v>
      </c>
      <c r="B222" s="28">
        <v>332.20166666666665</v>
      </c>
      <c r="C222" s="28">
        <f t="shared" si="17"/>
        <v>332.11416666666668</v>
      </c>
      <c r="D222" s="28">
        <f t="shared" si="16"/>
        <v>332.04166666666669</v>
      </c>
      <c r="E222" s="28">
        <f t="shared" si="16"/>
        <v>331.98249999999996</v>
      </c>
      <c r="F222" s="28">
        <f t="shared" si="16"/>
        <v>331.92666666666668</v>
      </c>
      <c r="G222" s="28">
        <f t="shared" si="16"/>
        <v>331.85916666666668</v>
      </c>
      <c r="H222" s="28">
        <f t="shared" si="16"/>
        <v>331.7745833333334</v>
      </c>
      <c r="I222" s="28">
        <f t="shared" si="16"/>
        <v>331.69625000000002</v>
      </c>
      <c r="J222" s="28">
        <f t="shared" si="16"/>
        <v>331.62791666666675</v>
      </c>
      <c r="K222" s="28">
        <f t="shared" si="16"/>
        <v>331.53708333333333</v>
      </c>
      <c r="L222" s="28">
        <f t="shared" si="16"/>
        <v>331.42333333333335</v>
      </c>
      <c r="M222" s="28">
        <f t="shared" si="16"/>
        <v>331.31375000000003</v>
      </c>
      <c r="N222" s="28">
        <f t="shared" si="16"/>
        <v>331.20875000000001</v>
      </c>
    </row>
    <row r="223" spans="1:14" x14ac:dyDescent="0.4">
      <c r="A223" s="1">
        <v>27973</v>
      </c>
      <c r="B223" s="28">
        <v>332.28625000000005</v>
      </c>
      <c r="C223" s="28">
        <f t="shared" si="17"/>
        <v>332.20166666666665</v>
      </c>
      <c r="D223" s="28">
        <f t="shared" si="16"/>
        <v>332.11416666666668</v>
      </c>
      <c r="E223" s="28">
        <f t="shared" si="16"/>
        <v>332.04166666666669</v>
      </c>
      <c r="F223" s="28">
        <f t="shared" si="16"/>
        <v>331.98249999999996</v>
      </c>
      <c r="G223" s="28">
        <f t="shared" si="16"/>
        <v>331.92666666666668</v>
      </c>
      <c r="H223" s="28">
        <f t="shared" si="16"/>
        <v>331.85916666666668</v>
      </c>
      <c r="I223" s="28">
        <f t="shared" si="16"/>
        <v>331.7745833333334</v>
      </c>
      <c r="J223" s="28">
        <f t="shared" si="16"/>
        <v>331.69625000000002</v>
      </c>
      <c r="K223" s="28">
        <f t="shared" si="16"/>
        <v>331.62791666666675</v>
      </c>
      <c r="L223" s="28">
        <f t="shared" si="16"/>
        <v>331.53708333333333</v>
      </c>
      <c r="M223" s="28">
        <f t="shared" si="16"/>
        <v>331.42333333333335</v>
      </c>
      <c r="N223" s="28">
        <f t="shared" si="16"/>
        <v>331.31375000000003</v>
      </c>
    </row>
    <row r="224" spans="1:14" x14ac:dyDescent="0.4">
      <c r="A224" s="1">
        <v>28004</v>
      </c>
      <c r="B224" s="28">
        <v>332.37166666666667</v>
      </c>
      <c r="C224" s="28">
        <f t="shared" si="17"/>
        <v>332.28625000000005</v>
      </c>
      <c r="D224" s="28">
        <f t="shared" si="16"/>
        <v>332.20166666666665</v>
      </c>
      <c r="E224" s="28">
        <f t="shared" si="16"/>
        <v>332.11416666666668</v>
      </c>
      <c r="F224" s="28">
        <f t="shared" si="16"/>
        <v>332.04166666666669</v>
      </c>
      <c r="G224" s="28">
        <f t="shared" si="16"/>
        <v>331.98249999999996</v>
      </c>
      <c r="H224" s="28">
        <f t="shared" si="16"/>
        <v>331.92666666666668</v>
      </c>
      <c r="I224" s="28">
        <f t="shared" si="16"/>
        <v>331.85916666666668</v>
      </c>
      <c r="J224" s="28">
        <f t="shared" si="16"/>
        <v>331.7745833333334</v>
      </c>
      <c r="K224" s="28">
        <f t="shared" si="16"/>
        <v>331.69625000000002</v>
      </c>
      <c r="L224" s="28">
        <f t="shared" si="16"/>
        <v>331.62791666666675</v>
      </c>
      <c r="M224" s="28">
        <f t="shared" si="16"/>
        <v>331.53708333333333</v>
      </c>
      <c r="N224" s="28">
        <f t="shared" si="16"/>
        <v>331.42333333333335</v>
      </c>
    </row>
    <row r="225" spans="1:14" x14ac:dyDescent="0.4">
      <c r="A225" s="1">
        <v>28034</v>
      </c>
      <c r="B225" s="28">
        <v>332.48375000000004</v>
      </c>
      <c r="C225" s="28">
        <f t="shared" si="17"/>
        <v>332.37166666666667</v>
      </c>
      <c r="D225" s="28">
        <f t="shared" si="16"/>
        <v>332.28625000000005</v>
      </c>
      <c r="E225" s="28">
        <f t="shared" si="16"/>
        <v>332.20166666666665</v>
      </c>
      <c r="F225" s="28">
        <f t="shared" si="16"/>
        <v>332.11416666666668</v>
      </c>
      <c r="G225" s="28">
        <f t="shared" si="16"/>
        <v>332.04166666666669</v>
      </c>
      <c r="H225" s="28">
        <f t="shared" si="16"/>
        <v>331.98249999999996</v>
      </c>
      <c r="I225" s="28">
        <f t="shared" si="16"/>
        <v>331.92666666666668</v>
      </c>
      <c r="J225" s="28">
        <f t="shared" si="16"/>
        <v>331.85916666666668</v>
      </c>
      <c r="K225" s="28">
        <f t="shared" si="16"/>
        <v>331.7745833333334</v>
      </c>
      <c r="L225" s="28">
        <f t="shared" si="16"/>
        <v>331.69625000000002</v>
      </c>
      <c r="M225" s="28">
        <f t="shared" si="16"/>
        <v>331.62791666666675</v>
      </c>
      <c r="N225" s="28">
        <f t="shared" si="16"/>
        <v>331.53708333333333</v>
      </c>
    </row>
    <row r="226" spans="1:14" x14ac:dyDescent="0.4">
      <c r="A226" s="1">
        <v>28065</v>
      </c>
      <c r="B226" s="28">
        <v>332.62374999999997</v>
      </c>
      <c r="C226" s="28">
        <f t="shared" si="17"/>
        <v>332.48375000000004</v>
      </c>
      <c r="D226" s="28">
        <f t="shared" si="16"/>
        <v>332.37166666666667</v>
      </c>
      <c r="E226" s="28">
        <f t="shared" si="16"/>
        <v>332.28625000000005</v>
      </c>
      <c r="F226" s="28">
        <f t="shared" si="16"/>
        <v>332.20166666666665</v>
      </c>
      <c r="G226" s="28">
        <f t="shared" si="16"/>
        <v>332.11416666666668</v>
      </c>
      <c r="H226" s="28">
        <f t="shared" si="16"/>
        <v>332.04166666666669</v>
      </c>
      <c r="I226" s="28">
        <f t="shared" si="16"/>
        <v>331.98249999999996</v>
      </c>
      <c r="J226" s="28">
        <f t="shared" si="16"/>
        <v>331.92666666666668</v>
      </c>
      <c r="K226" s="28">
        <f t="shared" si="16"/>
        <v>331.85916666666668</v>
      </c>
      <c r="L226" s="28">
        <f t="shared" si="16"/>
        <v>331.7745833333334</v>
      </c>
      <c r="M226" s="28">
        <f t="shared" si="16"/>
        <v>331.69625000000002</v>
      </c>
      <c r="N226" s="28">
        <f t="shared" si="16"/>
        <v>331.62791666666675</v>
      </c>
    </row>
    <row r="227" spans="1:14" x14ac:dyDescent="0.4">
      <c r="A227" s="1">
        <v>28095</v>
      </c>
      <c r="B227" s="28">
        <v>332.78250000000003</v>
      </c>
      <c r="C227" s="28">
        <f t="shared" si="17"/>
        <v>332.62374999999997</v>
      </c>
      <c r="D227" s="28">
        <f t="shared" si="16"/>
        <v>332.48375000000004</v>
      </c>
      <c r="E227" s="28">
        <f t="shared" si="16"/>
        <v>332.37166666666667</v>
      </c>
      <c r="F227" s="28">
        <f t="shared" si="16"/>
        <v>332.28625000000005</v>
      </c>
      <c r="G227" s="28">
        <f t="shared" si="16"/>
        <v>332.20166666666665</v>
      </c>
      <c r="H227" s="28">
        <f t="shared" si="16"/>
        <v>332.11416666666668</v>
      </c>
      <c r="I227" s="28">
        <f t="shared" si="16"/>
        <v>332.04166666666669</v>
      </c>
      <c r="J227" s="28">
        <f t="shared" si="16"/>
        <v>331.98249999999996</v>
      </c>
      <c r="K227" s="28">
        <f t="shared" si="16"/>
        <v>331.92666666666668</v>
      </c>
      <c r="L227" s="28">
        <f t="shared" si="16"/>
        <v>331.85916666666668</v>
      </c>
      <c r="M227" s="28">
        <f t="shared" si="16"/>
        <v>331.7745833333334</v>
      </c>
      <c r="N227" s="28">
        <f t="shared" si="16"/>
        <v>331.69625000000002</v>
      </c>
    </row>
    <row r="228" spans="1:14" x14ac:dyDescent="0.4">
      <c r="A228" s="1">
        <v>28126</v>
      </c>
      <c r="B228" s="28">
        <v>332.94124999999997</v>
      </c>
      <c r="C228" s="28">
        <f t="shared" si="17"/>
        <v>332.78250000000003</v>
      </c>
      <c r="D228" s="28">
        <f t="shared" si="16"/>
        <v>332.62374999999997</v>
      </c>
      <c r="E228" s="28">
        <f t="shared" si="16"/>
        <v>332.48375000000004</v>
      </c>
      <c r="F228" s="28">
        <f t="shared" si="16"/>
        <v>332.37166666666667</v>
      </c>
      <c r="G228" s="28">
        <f t="shared" si="16"/>
        <v>332.28625000000005</v>
      </c>
      <c r="H228" s="28">
        <f t="shared" si="16"/>
        <v>332.20166666666665</v>
      </c>
      <c r="I228" s="28">
        <f t="shared" si="16"/>
        <v>332.11416666666668</v>
      </c>
      <c r="J228" s="28">
        <f t="shared" si="16"/>
        <v>332.04166666666669</v>
      </c>
      <c r="K228" s="28">
        <f t="shared" si="16"/>
        <v>331.98249999999996</v>
      </c>
      <c r="L228" s="28">
        <f t="shared" si="16"/>
        <v>331.92666666666668</v>
      </c>
      <c r="M228" s="28">
        <f t="shared" si="16"/>
        <v>331.85916666666668</v>
      </c>
      <c r="N228" s="28">
        <f t="shared" si="16"/>
        <v>331.7745833333334</v>
      </c>
    </row>
    <row r="229" spans="1:14" x14ac:dyDescent="0.4">
      <c r="A229" s="1">
        <v>28157</v>
      </c>
      <c r="B229" s="28">
        <v>333.09458333333333</v>
      </c>
      <c r="C229" s="28">
        <f t="shared" si="17"/>
        <v>332.94124999999997</v>
      </c>
      <c r="D229" s="28">
        <f t="shared" si="16"/>
        <v>332.78250000000003</v>
      </c>
      <c r="E229" s="28">
        <f t="shared" si="16"/>
        <v>332.62374999999997</v>
      </c>
      <c r="F229" s="28">
        <f t="shared" si="16"/>
        <v>332.48375000000004</v>
      </c>
      <c r="G229" s="28">
        <f t="shared" si="16"/>
        <v>332.37166666666667</v>
      </c>
      <c r="H229" s="28">
        <f t="shared" si="16"/>
        <v>332.28625000000005</v>
      </c>
      <c r="I229" s="28">
        <f t="shared" si="16"/>
        <v>332.20166666666665</v>
      </c>
      <c r="J229" s="28">
        <f t="shared" si="16"/>
        <v>332.11416666666668</v>
      </c>
      <c r="K229" s="28">
        <f t="shared" si="16"/>
        <v>332.04166666666669</v>
      </c>
      <c r="L229" s="28">
        <f t="shared" si="16"/>
        <v>331.98249999999996</v>
      </c>
      <c r="M229" s="28">
        <f t="shared" si="16"/>
        <v>331.92666666666668</v>
      </c>
      <c r="N229" s="28">
        <f t="shared" si="16"/>
        <v>331.85916666666668</v>
      </c>
    </row>
    <row r="230" spans="1:14" x14ac:dyDescent="0.4">
      <c r="A230" s="1">
        <v>28185</v>
      </c>
      <c r="B230" s="28">
        <v>333.26541666666668</v>
      </c>
      <c r="C230" s="28">
        <f t="shared" si="17"/>
        <v>333.09458333333333</v>
      </c>
      <c r="D230" s="28">
        <f t="shared" si="16"/>
        <v>332.94124999999997</v>
      </c>
      <c r="E230" s="28">
        <f t="shared" si="16"/>
        <v>332.78250000000003</v>
      </c>
      <c r="F230" s="28">
        <f t="shared" si="16"/>
        <v>332.62374999999997</v>
      </c>
      <c r="G230" s="28">
        <f t="shared" si="16"/>
        <v>332.48375000000004</v>
      </c>
      <c r="H230" s="28">
        <f t="shared" si="16"/>
        <v>332.37166666666667</v>
      </c>
      <c r="I230" s="28">
        <f t="shared" si="16"/>
        <v>332.28625000000005</v>
      </c>
      <c r="J230" s="28">
        <f t="shared" si="16"/>
        <v>332.20166666666665</v>
      </c>
      <c r="K230" s="28">
        <f t="shared" si="16"/>
        <v>332.11416666666668</v>
      </c>
      <c r="L230" s="28">
        <f t="shared" si="16"/>
        <v>332.04166666666669</v>
      </c>
      <c r="M230" s="28">
        <f t="shared" si="16"/>
        <v>331.98249999999996</v>
      </c>
      <c r="N230" s="28">
        <f t="shared" si="16"/>
        <v>331.92666666666668</v>
      </c>
    </row>
    <row r="231" spans="1:14" x14ac:dyDescent="0.4">
      <c r="A231" s="1">
        <v>28216</v>
      </c>
      <c r="B231" s="28">
        <v>333.45333333333332</v>
      </c>
      <c r="C231" s="28">
        <f t="shared" si="17"/>
        <v>333.26541666666668</v>
      </c>
      <c r="D231" s="28">
        <f t="shared" si="16"/>
        <v>333.09458333333333</v>
      </c>
      <c r="E231" s="28">
        <f t="shared" si="16"/>
        <v>332.94124999999997</v>
      </c>
      <c r="F231" s="28">
        <f t="shared" si="16"/>
        <v>332.78250000000003</v>
      </c>
      <c r="G231" s="28">
        <f t="shared" si="16"/>
        <v>332.62374999999997</v>
      </c>
      <c r="H231" s="28">
        <f t="shared" si="16"/>
        <v>332.48375000000004</v>
      </c>
      <c r="I231" s="28">
        <f t="shared" si="16"/>
        <v>332.37166666666667</v>
      </c>
      <c r="J231" s="28">
        <f t="shared" si="16"/>
        <v>332.28625000000005</v>
      </c>
      <c r="K231" s="28">
        <f t="shared" si="16"/>
        <v>332.20166666666665</v>
      </c>
      <c r="L231" s="28">
        <f t="shared" si="16"/>
        <v>332.11416666666668</v>
      </c>
      <c r="M231" s="28">
        <f t="shared" si="16"/>
        <v>332.04166666666669</v>
      </c>
      <c r="N231" s="28">
        <f t="shared" si="16"/>
        <v>331.98249999999996</v>
      </c>
    </row>
    <row r="232" spans="1:14" x14ac:dyDescent="0.4">
      <c r="A232" s="1">
        <v>28246</v>
      </c>
      <c r="B232" s="28">
        <v>333.63291666666663</v>
      </c>
      <c r="C232" s="28">
        <f t="shared" si="17"/>
        <v>333.45333333333332</v>
      </c>
      <c r="D232" s="28">
        <f t="shared" si="16"/>
        <v>333.26541666666668</v>
      </c>
      <c r="E232" s="28">
        <f t="shared" si="16"/>
        <v>333.09458333333333</v>
      </c>
      <c r="F232" s="28">
        <f t="shared" si="16"/>
        <v>332.94124999999997</v>
      </c>
      <c r="G232" s="28">
        <f t="shared" si="16"/>
        <v>332.78250000000003</v>
      </c>
      <c r="H232" s="28">
        <f t="shared" si="16"/>
        <v>332.62374999999997</v>
      </c>
      <c r="I232" s="28">
        <f t="shared" si="16"/>
        <v>332.48375000000004</v>
      </c>
      <c r="J232" s="28">
        <f t="shared" si="16"/>
        <v>332.37166666666667</v>
      </c>
      <c r="K232" s="28">
        <f t="shared" si="16"/>
        <v>332.28625000000005</v>
      </c>
      <c r="L232" s="28">
        <f t="shared" si="16"/>
        <v>332.20166666666665</v>
      </c>
      <c r="M232" s="28">
        <f t="shared" si="16"/>
        <v>332.11416666666668</v>
      </c>
      <c r="N232" s="28">
        <f t="shared" si="16"/>
        <v>332.04166666666669</v>
      </c>
    </row>
    <row r="233" spans="1:14" x14ac:dyDescent="0.4">
      <c r="A233" s="1">
        <v>28277</v>
      </c>
      <c r="B233" s="28">
        <v>333.8104166666667</v>
      </c>
      <c r="C233" s="28">
        <f t="shared" si="17"/>
        <v>333.63291666666663</v>
      </c>
      <c r="D233" s="28">
        <f t="shared" si="17"/>
        <v>333.45333333333332</v>
      </c>
      <c r="E233" s="28">
        <f t="shared" si="17"/>
        <v>333.26541666666668</v>
      </c>
      <c r="F233" s="28">
        <f t="shared" si="17"/>
        <v>333.09458333333333</v>
      </c>
      <c r="G233" s="28">
        <f t="shared" si="17"/>
        <v>332.94124999999997</v>
      </c>
      <c r="H233" s="28">
        <f t="shared" si="17"/>
        <v>332.78250000000003</v>
      </c>
      <c r="I233" s="28">
        <f t="shared" si="17"/>
        <v>332.62374999999997</v>
      </c>
      <c r="J233" s="28">
        <f t="shared" si="17"/>
        <v>332.48375000000004</v>
      </c>
      <c r="K233" s="28">
        <f t="shared" si="17"/>
        <v>332.37166666666667</v>
      </c>
      <c r="L233" s="28">
        <f t="shared" si="17"/>
        <v>332.28625000000005</v>
      </c>
      <c r="M233" s="28">
        <f t="shared" si="17"/>
        <v>332.20166666666665</v>
      </c>
      <c r="N233" s="28">
        <f t="shared" si="17"/>
        <v>332.11416666666668</v>
      </c>
    </row>
    <row r="234" spans="1:14" x14ac:dyDescent="0.4">
      <c r="A234" s="1">
        <v>28307</v>
      </c>
      <c r="B234" s="28">
        <v>333.98583333333335</v>
      </c>
      <c r="C234" s="28">
        <f t="shared" si="17"/>
        <v>333.8104166666667</v>
      </c>
      <c r="D234" s="28">
        <f t="shared" si="17"/>
        <v>333.63291666666663</v>
      </c>
      <c r="E234" s="28">
        <f t="shared" si="17"/>
        <v>333.45333333333332</v>
      </c>
      <c r="F234" s="28">
        <f t="shared" si="17"/>
        <v>333.26541666666668</v>
      </c>
      <c r="G234" s="28">
        <f t="shared" si="17"/>
        <v>333.09458333333333</v>
      </c>
      <c r="H234" s="28">
        <f t="shared" si="17"/>
        <v>332.94124999999997</v>
      </c>
      <c r="I234" s="28">
        <f t="shared" si="17"/>
        <v>332.78250000000003</v>
      </c>
      <c r="J234" s="28">
        <f t="shared" si="17"/>
        <v>332.62374999999997</v>
      </c>
      <c r="K234" s="28">
        <f t="shared" si="17"/>
        <v>332.48375000000004</v>
      </c>
      <c r="L234" s="28">
        <f t="shared" si="17"/>
        <v>332.37166666666667</v>
      </c>
      <c r="M234" s="28">
        <f t="shared" si="17"/>
        <v>332.28625000000005</v>
      </c>
      <c r="N234" s="28">
        <f t="shared" si="17"/>
        <v>332.20166666666665</v>
      </c>
    </row>
    <row r="235" spans="1:14" x14ac:dyDescent="0.4">
      <c r="A235" s="1">
        <v>28338</v>
      </c>
      <c r="B235" s="28">
        <v>334.15291666666667</v>
      </c>
      <c r="C235" s="28">
        <f t="shared" si="17"/>
        <v>333.98583333333335</v>
      </c>
      <c r="D235" s="28">
        <f t="shared" si="17"/>
        <v>333.8104166666667</v>
      </c>
      <c r="E235" s="28">
        <f t="shared" si="17"/>
        <v>333.63291666666663</v>
      </c>
      <c r="F235" s="28">
        <f t="shared" si="17"/>
        <v>333.45333333333332</v>
      </c>
      <c r="G235" s="28">
        <f t="shared" si="17"/>
        <v>333.26541666666668</v>
      </c>
      <c r="H235" s="28">
        <f t="shared" si="17"/>
        <v>333.09458333333333</v>
      </c>
      <c r="I235" s="28">
        <f t="shared" si="17"/>
        <v>332.94124999999997</v>
      </c>
      <c r="J235" s="28">
        <f t="shared" si="17"/>
        <v>332.78250000000003</v>
      </c>
      <c r="K235" s="28">
        <f t="shared" si="17"/>
        <v>332.62374999999997</v>
      </c>
      <c r="L235" s="28">
        <f t="shared" si="17"/>
        <v>332.48375000000004</v>
      </c>
      <c r="M235" s="28">
        <f t="shared" si="17"/>
        <v>332.37166666666667</v>
      </c>
      <c r="N235" s="28">
        <f t="shared" si="17"/>
        <v>332.28625000000005</v>
      </c>
    </row>
    <row r="236" spans="1:14" x14ac:dyDescent="0.4">
      <c r="A236" s="1">
        <v>28369</v>
      </c>
      <c r="B236" s="28">
        <v>334.31583333333333</v>
      </c>
      <c r="C236" s="28">
        <f t="shared" si="17"/>
        <v>334.15291666666667</v>
      </c>
      <c r="D236" s="28">
        <f t="shared" si="17"/>
        <v>333.98583333333335</v>
      </c>
      <c r="E236" s="28">
        <f t="shared" si="17"/>
        <v>333.8104166666667</v>
      </c>
      <c r="F236" s="28">
        <f t="shared" si="17"/>
        <v>333.63291666666663</v>
      </c>
      <c r="G236" s="28">
        <f t="shared" si="17"/>
        <v>333.45333333333332</v>
      </c>
      <c r="H236" s="28">
        <f t="shared" si="17"/>
        <v>333.26541666666668</v>
      </c>
      <c r="I236" s="28">
        <f t="shared" si="17"/>
        <v>333.09458333333333</v>
      </c>
      <c r="J236" s="28">
        <f t="shared" si="17"/>
        <v>332.94124999999997</v>
      </c>
      <c r="K236" s="28">
        <f t="shared" si="17"/>
        <v>332.78250000000003</v>
      </c>
      <c r="L236" s="28">
        <f t="shared" si="17"/>
        <v>332.62374999999997</v>
      </c>
      <c r="M236" s="28">
        <f t="shared" si="17"/>
        <v>332.48375000000004</v>
      </c>
      <c r="N236" s="28">
        <f t="shared" si="17"/>
        <v>332.37166666666667</v>
      </c>
    </row>
    <row r="237" spans="1:14" x14ac:dyDescent="0.4">
      <c r="A237" s="1">
        <v>28399</v>
      </c>
      <c r="B237" s="28">
        <v>334.46708333333328</v>
      </c>
      <c r="C237" s="28">
        <f t="shared" si="17"/>
        <v>334.31583333333333</v>
      </c>
      <c r="D237" s="28">
        <f t="shared" si="17"/>
        <v>334.15291666666667</v>
      </c>
      <c r="E237" s="28">
        <f t="shared" si="17"/>
        <v>333.98583333333335</v>
      </c>
      <c r="F237" s="28">
        <f t="shared" si="17"/>
        <v>333.8104166666667</v>
      </c>
      <c r="G237" s="28">
        <f t="shared" si="17"/>
        <v>333.63291666666663</v>
      </c>
      <c r="H237" s="28">
        <f t="shared" si="17"/>
        <v>333.45333333333332</v>
      </c>
      <c r="I237" s="28">
        <f t="shared" si="17"/>
        <v>333.26541666666668</v>
      </c>
      <c r="J237" s="28">
        <f t="shared" si="17"/>
        <v>333.09458333333333</v>
      </c>
      <c r="K237" s="28">
        <f t="shared" si="17"/>
        <v>332.94124999999997</v>
      </c>
      <c r="L237" s="28">
        <f t="shared" si="17"/>
        <v>332.78250000000003</v>
      </c>
      <c r="M237" s="28">
        <f t="shared" si="17"/>
        <v>332.62374999999997</v>
      </c>
      <c r="N237" s="28">
        <f t="shared" si="17"/>
        <v>332.48375000000004</v>
      </c>
    </row>
    <row r="238" spans="1:14" x14ac:dyDescent="0.4">
      <c r="A238" s="1">
        <v>28430</v>
      </c>
      <c r="B238" s="28">
        <v>334.59</v>
      </c>
      <c r="C238" s="28">
        <f t="shared" si="17"/>
        <v>334.46708333333328</v>
      </c>
      <c r="D238" s="28">
        <f t="shared" si="17"/>
        <v>334.31583333333333</v>
      </c>
      <c r="E238" s="28">
        <f t="shared" si="17"/>
        <v>334.15291666666667</v>
      </c>
      <c r="F238" s="28">
        <f t="shared" si="17"/>
        <v>333.98583333333335</v>
      </c>
      <c r="G238" s="28">
        <f t="shared" si="17"/>
        <v>333.8104166666667</v>
      </c>
      <c r="H238" s="28">
        <f t="shared" si="17"/>
        <v>333.63291666666663</v>
      </c>
      <c r="I238" s="28">
        <f t="shared" si="17"/>
        <v>333.45333333333332</v>
      </c>
      <c r="J238" s="28">
        <f t="shared" si="17"/>
        <v>333.26541666666668</v>
      </c>
      <c r="K238" s="28">
        <f t="shared" si="17"/>
        <v>333.09458333333333</v>
      </c>
      <c r="L238" s="28">
        <f t="shared" si="17"/>
        <v>332.94124999999997</v>
      </c>
      <c r="M238" s="28">
        <f t="shared" si="17"/>
        <v>332.78250000000003</v>
      </c>
      <c r="N238" s="28">
        <f t="shared" si="17"/>
        <v>332.62374999999997</v>
      </c>
    </row>
    <row r="239" spans="1:14" x14ac:dyDescent="0.4">
      <c r="A239" s="1">
        <v>28460</v>
      </c>
      <c r="B239" s="28">
        <v>334.71041666666662</v>
      </c>
      <c r="C239" s="28">
        <f t="shared" si="17"/>
        <v>334.59</v>
      </c>
      <c r="D239" s="28">
        <f t="shared" si="17"/>
        <v>334.46708333333328</v>
      </c>
      <c r="E239" s="28">
        <f t="shared" si="17"/>
        <v>334.31583333333333</v>
      </c>
      <c r="F239" s="28">
        <f t="shared" si="17"/>
        <v>334.15291666666667</v>
      </c>
      <c r="G239" s="28">
        <f t="shared" si="17"/>
        <v>333.98583333333335</v>
      </c>
      <c r="H239" s="28">
        <f t="shared" si="17"/>
        <v>333.8104166666667</v>
      </c>
      <c r="I239" s="28">
        <f t="shared" si="17"/>
        <v>333.63291666666663</v>
      </c>
      <c r="J239" s="28">
        <f t="shared" si="17"/>
        <v>333.45333333333332</v>
      </c>
      <c r="K239" s="28">
        <f t="shared" si="17"/>
        <v>333.26541666666668</v>
      </c>
      <c r="L239" s="28">
        <f t="shared" si="17"/>
        <v>333.09458333333333</v>
      </c>
      <c r="M239" s="28">
        <f t="shared" si="17"/>
        <v>332.94124999999997</v>
      </c>
      <c r="N239" s="28">
        <f t="shared" si="17"/>
        <v>332.78250000000003</v>
      </c>
    </row>
    <row r="240" spans="1:14" x14ac:dyDescent="0.4">
      <c r="A240" s="1">
        <v>28491</v>
      </c>
      <c r="B240" s="28">
        <v>334.8458333333333</v>
      </c>
      <c r="C240" s="28">
        <f t="shared" si="17"/>
        <v>334.71041666666662</v>
      </c>
      <c r="D240" s="28">
        <f t="shared" si="17"/>
        <v>334.59</v>
      </c>
      <c r="E240" s="28">
        <f t="shared" si="17"/>
        <v>334.46708333333328</v>
      </c>
      <c r="F240" s="28">
        <f t="shared" si="17"/>
        <v>334.31583333333333</v>
      </c>
      <c r="G240" s="28">
        <f t="shared" si="17"/>
        <v>334.15291666666667</v>
      </c>
      <c r="H240" s="28">
        <f t="shared" si="17"/>
        <v>333.98583333333335</v>
      </c>
      <c r="I240" s="28">
        <f t="shared" si="17"/>
        <v>333.8104166666667</v>
      </c>
      <c r="J240" s="28">
        <f t="shared" si="17"/>
        <v>333.63291666666663</v>
      </c>
      <c r="K240" s="28">
        <f t="shared" si="17"/>
        <v>333.45333333333332</v>
      </c>
      <c r="L240" s="28">
        <f t="shared" si="17"/>
        <v>333.26541666666668</v>
      </c>
      <c r="M240" s="28">
        <f t="shared" si="17"/>
        <v>333.09458333333333</v>
      </c>
      <c r="N240" s="28">
        <f t="shared" si="17"/>
        <v>332.94124999999997</v>
      </c>
    </row>
    <row r="241" spans="1:14" x14ac:dyDescent="0.4">
      <c r="A241" s="1">
        <v>28522</v>
      </c>
      <c r="B241" s="28">
        <v>334.99374999999998</v>
      </c>
      <c r="C241" s="28">
        <f t="shared" si="17"/>
        <v>334.8458333333333</v>
      </c>
      <c r="D241" s="28">
        <f t="shared" si="17"/>
        <v>334.71041666666662</v>
      </c>
      <c r="E241" s="28">
        <f t="shared" si="17"/>
        <v>334.59</v>
      </c>
      <c r="F241" s="28">
        <f t="shared" si="17"/>
        <v>334.46708333333328</v>
      </c>
      <c r="G241" s="28">
        <f t="shared" si="17"/>
        <v>334.31583333333333</v>
      </c>
      <c r="H241" s="28">
        <f t="shared" si="17"/>
        <v>334.15291666666667</v>
      </c>
      <c r="I241" s="28">
        <f t="shared" si="17"/>
        <v>333.98583333333335</v>
      </c>
      <c r="J241" s="28">
        <f t="shared" si="17"/>
        <v>333.8104166666667</v>
      </c>
      <c r="K241" s="28">
        <f t="shared" si="17"/>
        <v>333.63291666666663</v>
      </c>
      <c r="L241" s="28">
        <f t="shared" si="17"/>
        <v>333.45333333333332</v>
      </c>
      <c r="M241" s="28">
        <f t="shared" si="17"/>
        <v>333.26541666666668</v>
      </c>
      <c r="N241" s="28">
        <f t="shared" si="17"/>
        <v>333.09458333333333</v>
      </c>
    </row>
    <row r="242" spans="1:14" x14ac:dyDescent="0.4">
      <c r="A242" s="1">
        <v>28550</v>
      </c>
      <c r="B242" s="28">
        <v>335.1229166666667</v>
      </c>
      <c r="C242" s="28">
        <f t="shared" si="17"/>
        <v>334.99374999999998</v>
      </c>
      <c r="D242" s="28">
        <f t="shared" si="17"/>
        <v>334.8458333333333</v>
      </c>
      <c r="E242" s="28">
        <f t="shared" si="17"/>
        <v>334.71041666666662</v>
      </c>
      <c r="F242" s="28">
        <f t="shared" si="17"/>
        <v>334.59</v>
      </c>
      <c r="G242" s="28">
        <f t="shared" si="17"/>
        <v>334.46708333333328</v>
      </c>
      <c r="H242" s="28">
        <f t="shared" si="17"/>
        <v>334.31583333333333</v>
      </c>
      <c r="I242" s="28">
        <f t="shared" si="17"/>
        <v>334.15291666666667</v>
      </c>
      <c r="J242" s="28">
        <f t="shared" si="17"/>
        <v>333.98583333333335</v>
      </c>
      <c r="K242" s="28">
        <f t="shared" si="17"/>
        <v>333.8104166666667</v>
      </c>
      <c r="L242" s="28">
        <f t="shared" si="17"/>
        <v>333.63291666666663</v>
      </c>
      <c r="M242" s="28">
        <f t="shared" si="17"/>
        <v>333.45333333333332</v>
      </c>
      <c r="N242" s="28">
        <f t="shared" si="17"/>
        <v>333.26541666666668</v>
      </c>
    </row>
    <row r="243" spans="1:14" x14ac:dyDescent="0.4">
      <c r="A243" s="1">
        <v>28581</v>
      </c>
      <c r="B243" s="28">
        <v>335.22958333333332</v>
      </c>
      <c r="C243" s="28">
        <f t="shared" si="17"/>
        <v>335.1229166666667</v>
      </c>
      <c r="D243" s="28">
        <f t="shared" si="17"/>
        <v>334.99374999999998</v>
      </c>
      <c r="E243" s="28">
        <f t="shared" si="17"/>
        <v>334.8458333333333</v>
      </c>
      <c r="F243" s="28">
        <f t="shared" si="17"/>
        <v>334.71041666666662</v>
      </c>
      <c r="G243" s="28">
        <f t="shared" si="17"/>
        <v>334.59</v>
      </c>
      <c r="H243" s="28">
        <f t="shared" si="17"/>
        <v>334.46708333333328</v>
      </c>
      <c r="I243" s="28">
        <f t="shared" si="17"/>
        <v>334.31583333333333</v>
      </c>
      <c r="J243" s="28">
        <f t="shared" si="17"/>
        <v>334.15291666666667</v>
      </c>
      <c r="K243" s="28">
        <f t="shared" si="17"/>
        <v>333.98583333333335</v>
      </c>
      <c r="L243" s="28">
        <f t="shared" si="17"/>
        <v>333.8104166666667</v>
      </c>
      <c r="M243" s="28">
        <f t="shared" si="17"/>
        <v>333.63291666666663</v>
      </c>
      <c r="N243" s="28">
        <f t="shared" si="17"/>
        <v>333.45333333333332</v>
      </c>
    </row>
    <row r="244" spans="1:14" x14ac:dyDescent="0.4">
      <c r="A244" s="1">
        <v>28611</v>
      </c>
      <c r="B244" s="28">
        <v>335.35083333333336</v>
      </c>
      <c r="C244" s="28">
        <f t="shared" si="17"/>
        <v>335.22958333333332</v>
      </c>
      <c r="D244" s="28">
        <f t="shared" si="17"/>
        <v>335.1229166666667</v>
      </c>
      <c r="E244" s="28">
        <f t="shared" si="17"/>
        <v>334.99374999999998</v>
      </c>
      <c r="F244" s="28">
        <f t="shared" si="17"/>
        <v>334.8458333333333</v>
      </c>
      <c r="G244" s="28">
        <f t="shared" si="17"/>
        <v>334.71041666666662</v>
      </c>
      <c r="H244" s="28">
        <f t="shared" si="17"/>
        <v>334.59</v>
      </c>
      <c r="I244" s="28">
        <f t="shared" si="17"/>
        <v>334.46708333333328</v>
      </c>
      <c r="J244" s="28">
        <f t="shared" si="17"/>
        <v>334.31583333333333</v>
      </c>
      <c r="K244" s="28">
        <f t="shared" si="17"/>
        <v>334.15291666666667</v>
      </c>
      <c r="L244" s="28">
        <f t="shared" si="17"/>
        <v>333.98583333333335</v>
      </c>
      <c r="M244" s="28">
        <f t="shared" si="17"/>
        <v>333.8104166666667</v>
      </c>
      <c r="N244" s="28">
        <f t="shared" si="17"/>
        <v>333.63291666666663</v>
      </c>
    </row>
    <row r="245" spans="1:14" x14ac:dyDescent="0.4">
      <c r="A245" s="1">
        <v>28642</v>
      </c>
      <c r="B245" s="28">
        <v>335.46</v>
      </c>
      <c r="C245" s="28">
        <f t="shared" si="17"/>
        <v>335.35083333333336</v>
      </c>
      <c r="D245" s="28">
        <f t="shared" si="17"/>
        <v>335.22958333333332</v>
      </c>
      <c r="E245" s="28">
        <f t="shared" si="17"/>
        <v>335.1229166666667</v>
      </c>
      <c r="F245" s="28">
        <f t="shared" si="17"/>
        <v>334.99374999999998</v>
      </c>
      <c r="G245" s="28">
        <f t="shared" si="17"/>
        <v>334.8458333333333</v>
      </c>
      <c r="H245" s="28">
        <f t="shared" si="17"/>
        <v>334.71041666666662</v>
      </c>
      <c r="I245" s="28">
        <f t="shared" si="17"/>
        <v>334.59</v>
      </c>
      <c r="J245" s="28">
        <f t="shared" si="17"/>
        <v>334.46708333333328</v>
      </c>
      <c r="K245" s="28">
        <f t="shared" si="17"/>
        <v>334.31583333333333</v>
      </c>
      <c r="L245" s="28">
        <f t="shared" si="17"/>
        <v>334.15291666666667</v>
      </c>
      <c r="M245" s="28">
        <f t="shared" si="17"/>
        <v>333.98583333333335</v>
      </c>
      <c r="N245" s="28">
        <f t="shared" si="17"/>
        <v>333.8104166666667</v>
      </c>
    </row>
    <row r="246" spans="1:14" x14ac:dyDescent="0.4">
      <c r="A246" s="1">
        <v>28672</v>
      </c>
      <c r="B246" s="28">
        <v>335.55833333333328</v>
      </c>
      <c r="C246" s="28">
        <f t="shared" si="17"/>
        <v>335.46</v>
      </c>
      <c r="D246" s="28">
        <f t="shared" si="17"/>
        <v>335.35083333333336</v>
      </c>
      <c r="E246" s="28">
        <f t="shared" si="17"/>
        <v>335.22958333333332</v>
      </c>
      <c r="F246" s="28">
        <f t="shared" si="17"/>
        <v>335.1229166666667</v>
      </c>
      <c r="G246" s="28">
        <f t="shared" si="17"/>
        <v>334.99374999999998</v>
      </c>
      <c r="H246" s="28">
        <f t="shared" si="17"/>
        <v>334.8458333333333</v>
      </c>
      <c r="I246" s="28">
        <f t="shared" si="17"/>
        <v>334.71041666666662</v>
      </c>
      <c r="J246" s="28">
        <f t="shared" si="17"/>
        <v>334.59</v>
      </c>
      <c r="K246" s="28">
        <f t="shared" si="17"/>
        <v>334.46708333333328</v>
      </c>
      <c r="L246" s="28">
        <f t="shared" si="17"/>
        <v>334.31583333333333</v>
      </c>
      <c r="M246" s="28">
        <f t="shared" si="17"/>
        <v>334.15291666666667</v>
      </c>
      <c r="N246" s="28">
        <f t="shared" si="17"/>
        <v>333.98583333333335</v>
      </c>
    </row>
    <row r="247" spans="1:14" x14ac:dyDescent="0.4">
      <c r="A247" s="1">
        <v>28703</v>
      </c>
      <c r="B247" s="28">
        <v>335.6679166666666</v>
      </c>
      <c r="C247" s="28">
        <f t="shared" si="17"/>
        <v>335.55833333333328</v>
      </c>
      <c r="D247" s="28">
        <f t="shared" si="17"/>
        <v>335.46</v>
      </c>
      <c r="E247" s="28">
        <f t="shared" si="17"/>
        <v>335.35083333333336</v>
      </c>
      <c r="F247" s="28">
        <f t="shared" si="17"/>
        <v>335.22958333333332</v>
      </c>
      <c r="G247" s="28">
        <f t="shared" si="17"/>
        <v>335.1229166666667</v>
      </c>
      <c r="H247" s="28">
        <f t="shared" si="17"/>
        <v>334.99374999999998</v>
      </c>
      <c r="I247" s="28">
        <f t="shared" si="17"/>
        <v>334.8458333333333</v>
      </c>
      <c r="J247" s="28">
        <f t="shared" si="17"/>
        <v>334.71041666666662</v>
      </c>
      <c r="K247" s="28">
        <f t="shared" si="17"/>
        <v>334.59</v>
      </c>
      <c r="L247" s="28">
        <f t="shared" si="17"/>
        <v>334.46708333333328</v>
      </c>
      <c r="M247" s="28">
        <f t="shared" si="17"/>
        <v>334.31583333333333</v>
      </c>
      <c r="N247" s="28">
        <f t="shared" si="17"/>
        <v>334.15291666666667</v>
      </c>
    </row>
    <row r="248" spans="1:14" x14ac:dyDescent="0.4">
      <c r="A248" s="1">
        <v>28734</v>
      </c>
      <c r="B248" s="28">
        <v>335.78</v>
      </c>
      <c r="C248" s="28">
        <f t="shared" si="17"/>
        <v>335.6679166666666</v>
      </c>
      <c r="D248" s="28">
        <f t="shared" si="17"/>
        <v>335.55833333333328</v>
      </c>
      <c r="E248" s="28">
        <f t="shared" si="17"/>
        <v>335.46</v>
      </c>
      <c r="F248" s="28">
        <f t="shared" si="17"/>
        <v>335.35083333333336</v>
      </c>
      <c r="G248" s="28">
        <f t="shared" si="17"/>
        <v>335.22958333333332</v>
      </c>
      <c r="H248" s="28">
        <f t="shared" si="17"/>
        <v>335.1229166666667</v>
      </c>
      <c r="I248" s="28">
        <f t="shared" si="17"/>
        <v>334.99374999999998</v>
      </c>
      <c r="J248" s="28">
        <f t="shared" si="17"/>
        <v>334.8458333333333</v>
      </c>
      <c r="K248" s="28">
        <f t="shared" si="17"/>
        <v>334.71041666666662</v>
      </c>
      <c r="L248" s="28">
        <f t="shared" si="17"/>
        <v>334.59</v>
      </c>
      <c r="M248" s="28">
        <f t="shared" si="17"/>
        <v>334.46708333333328</v>
      </c>
      <c r="N248" s="28">
        <f t="shared" si="17"/>
        <v>334.31583333333333</v>
      </c>
    </row>
    <row r="249" spans="1:14" x14ac:dyDescent="0.4">
      <c r="A249" s="1">
        <v>28764</v>
      </c>
      <c r="B249" s="28">
        <v>335.8816666666666</v>
      </c>
      <c r="C249" s="28">
        <f t="shared" si="17"/>
        <v>335.78</v>
      </c>
      <c r="D249" s="28">
        <f t="shared" si="17"/>
        <v>335.6679166666666</v>
      </c>
      <c r="E249" s="28">
        <f t="shared" si="17"/>
        <v>335.55833333333328</v>
      </c>
      <c r="F249" s="28">
        <f t="shared" si="17"/>
        <v>335.46</v>
      </c>
      <c r="G249" s="28">
        <f t="shared" si="17"/>
        <v>335.35083333333336</v>
      </c>
      <c r="H249" s="28">
        <f t="shared" si="17"/>
        <v>335.22958333333332</v>
      </c>
      <c r="I249" s="28">
        <f t="shared" si="17"/>
        <v>335.1229166666667</v>
      </c>
      <c r="J249" s="28">
        <f t="shared" si="17"/>
        <v>334.99374999999998</v>
      </c>
      <c r="K249" s="28">
        <f t="shared" si="17"/>
        <v>334.8458333333333</v>
      </c>
      <c r="L249" s="28">
        <f t="shared" si="17"/>
        <v>334.71041666666662</v>
      </c>
      <c r="M249" s="28">
        <f t="shared" si="17"/>
        <v>334.59</v>
      </c>
      <c r="N249" s="28">
        <f t="shared" si="17"/>
        <v>334.46708333333328</v>
      </c>
    </row>
    <row r="250" spans="1:14" x14ac:dyDescent="0.4">
      <c r="A250" s="1">
        <v>28795</v>
      </c>
      <c r="B250" s="28">
        <v>335.98916666666662</v>
      </c>
      <c r="C250" s="28">
        <f t="shared" si="17"/>
        <v>335.8816666666666</v>
      </c>
      <c r="D250" s="28">
        <f t="shared" si="17"/>
        <v>335.78</v>
      </c>
      <c r="E250" s="28">
        <f t="shared" si="17"/>
        <v>335.6679166666666</v>
      </c>
      <c r="F250" s="28">
        <f t="shared" si="17"/>
        <v>335.55833333333328</v>
      </c>
      <c r="G250" s="28">
        <f t="shared" si="17"/>
        <v>335.46</v>
      </c>
      <c r="H250" s="28">
        <f t="shared" si="17"/>
        <v>335.35083333333336</v>
      </c>
      <c r="I250" s="28">
        <f t="shared" si="17"/>
        <v>335.22958333333332</v>
      </c>
      <c r="J250" s="28">
        <f t="shared" si="17"/>
        <v>335.1229166666667</v>
      </c>
      <c r="K250" s="28">
        <f t="shared" si="17"/>
        <v>334.99374999999998</v>
      </c>
      <c r="L250" s="28">
        <f t="shared" si="17"/>
        <v>334.8458333333333</v>
      </c>
      <c r="M250" s="28">
        <f t="shared" si="17"/>
        <v>334.71041666666662</v>
      </c>
      <c r="N250" s="28">
        <f t="shared" si="17"/>
        <v>334.59</v>
      </c>
    </row>
    <row r="251" spans="1:14" x14ac:dyDescent="0.4">
      <c r="A251" s="1">
        <v>28825</v>
      </c>
      <c r="B251" s="28">
        <v>336.10791666666665</v>
      </c>
      <c r="C251" s="28">
        <f t="shared" si="17"/>
        <v>335.98916666666662</v>
      </c>
      <c r="D251" s="28">
        <f t="shared" si="17"/>
        <v>335.8816666666666</v>
      </c>
      <c r="E251" s="28">
        <f t="shared" si="17"/>
        <v>335.78</v>
      </c>
      <c r="F251" s="28">
        <f t="shared" si="17"/>
        <v>335.6679166666666</v>
      </c>
      <c r="G251" s="28">
        <f t="shared" si="17"/>
        <v>335.55833333333328</v>
      </c>
      <c r="H251" s="28">
        <f t="shared" si="17"/>
        <v>335.46</v>
      </c>
      <c r="I251" s="28">
        <f t="shared" si="17"/>
        <v>335.35083333333336</v>
      </c>
      <c r="J251" s="28">
        <f t="shared" si="17"/>
        <v>335.22958333333332</v>
      </c>
      <c r="K251" s="28">
        <f t="shared" si="17"/>
        <v>335.1229166666667</v>
      </c>
      <c r="L251" s="28">
        <f t="shared" si="17"/>
        <v>334.99374999999998</v>
      </c>
      <c r="M251" s="28">
        <f t="shared" si="17"/>
        <v>334.8458333333333</v>
      </c>
      <c r="N251" s="28">
        <f t="shared" si="17"/>
        <v>334.71041666666662</v>
      </c>
    </row>
    <row r="252" spans="1:14" x14ac:dyDescent="0.4">
      <c r="A252" s="1">
        <v>28856</v>
      </c>
      <c r="B252" s="28">
        <v>336.21541666666661</v>
      </c>
      <c r="C252" s="28">
        <f t="shared" si="17"/>
        <v>336.10791666666665</v>
      </c>
      <c r="D252" s="28">
        <f t="shared" si="17"/>
        <v>335.98916666666662</v>
      </c>
      <c r="E252" s="28">
        <f t="shared" si="17"/>
        <v>335.8816666666666</v>
      </c>
      <c r="F252" s="28">
        <f t="shared" si="17"/>
        <v>335.78</v>
      </c>
      <c r="G252" s="28">
        <f t="shared" si="17"/>
        <v>335.6679166666666</v>
      </c>
      <c r="H252" s="28">
        <f t="shared" si="17"/>
        <v>335.55833333333328</v>
      </c>
      <c r="I252" s="28">
        <f t="shared" si="17"/>
        <v>335.46</v>
      </c>
      <c r="J252" s="28">
        <f t="shared" si="17"/>
        <v>335.35083333333336</v>
      </c>
      <c r="K252" s="28">
        <f t="shared" si="17"/>
        <v>335.22958333333332</v>
      </c>
      <c r="L252" s="28">
        <f t="shared" si="17"/>
        <v>335.1229166666667</v>
      </c>
      <c r="M252" s="28">
        <f t="shared" si="17"/>
        <v>334.99374999999998</v>
      </c>
      <c r="N252" s="28">
        <f t="shared" si="17"/>
        <v>334.8458333333333</v>
      </c>
    </row>
    <row r="253" spans="1:14" x14ac:dyDescent="0.4">
      <c r="A253" s="1">
        <v>28887</v>
      </c>
      <c r="B253" s="28">
        <v>336.32374999999996</v>
      </c>
      <c r="C253" s="28">
        <f t="shared" si="17"/>
        <v>336.21541666666661</v>
      </c>
      <c r="D253" s="28">
        <f t="shared" ref="C253:O316" si="18">IF(C252=0,"",C252)</f>
        <v>336.10791666666665</v>
      </c>
      <c r="E253" s="28">
        <f t="shared" si="18"/>
        <v>335.98916666666662</v>
      </c>
      <c r="F253" s="28">
        <f t="shared" si="18"/>
        <v>335.8816666666666</v>
      </c>
      <c r="G253" s="28">
        <f t="shared" si="18"/>
        <v>335.78</v>
      </c>
      <c r="H253" s="28">
        <f t="shared" si="18"/>
        <v>335.6679166666666</v>
      </c>
      <c r="I253" s="28">
        <f t="shared" si="18"/>
        <v>335.55833333333328</v>
      </c>
      <c r="J253" s="28">
        <f t="shared" si="18"/>
        <v>335.46</v>
      </c>
      <c r="K253" s="28">
        <f t="shared" si="18"/>
        <v>335.35083333333336</v>
      </c>
      <c r="L253" s="28">
        <f t="shared" si="18"/>
        <v>335.22958333333332</v>
      </c>
      <c r="M253" s="28">
        <f t="shared" si="18"/>
        <v>335.1229166666667</v>
      </c>
      <c r="N253" s="28">
        <f t="shared" si="18"/>
        <v>334.99374999999998</v>
      </c>
    </row>
    <row r="254" spans="1:14" x14ac:dyDescent="0.4">
      <c r="A254" s="1">
        <v>28915</v>
      </c>
      <c r="B254" s="28">
        <v>336.43083333333328</v>
      </c>
      <c r="C254" s="28">
        <f t="shared" si="18"/>
        <v>336.32374999999996</v>
      </c>
      <c r="D254" s="28">
        <f t="shared" si="18"/>
        <v>336.21541666666661</v>
      </c>
      <c r="E254" s="28">
        <f t="shared" si="18"/>
        <v>336.10791666666665</v>
      </c>
      <c r="F254" s="28">
        <f t="shared" si="18"/>
        <v>335.98916666666662</v>
      </c>
      <c r="G254" s="28">
        <f t="shared" si="18"/>
        <v>335.8816666666666</v>
      </c>
      <c r="H254" s="28">
        <f t="shared" si="18"/>
        <v>335.78</v>
      </c>
      <c r="I254" s="28">
        <f t="shared" si="18"/>
        <v>335.6679166666666</v>
      </c>
      <c r="J254" s="28">
        <f t="shared" si="18"/>
        <v>335.55833333333328</v>
      </c>
      <c r="K254" s="28">
        <f t="shared" si="18"/>
        <v>335.46</v>
      </c>
      <c r="L254" s="28">
        <f t="shared" si="18"/>
        <v>335.35083333333336</v>
      </c>
      <c r="M254" s="28">
        <f t="shared" si="18"/>
        <v>335.22958333333332</v>
      </c>
      <c r="N254" s="28">
        <f t="shared" si="18"/>
        <v>335.1229166666667</v>
      </c>
    </row>
    <row r="255" spans="1:14" x14ac:dyDescent="0.4">
      <c r="A255" s="1">
        <v>28946</v>
      </c>
      <c r="B255" s="28">
        <v>336.53375</v>
      </c>
      <c r="C255" s="28">
        <f t="shared" si="18"/>
        <v>336.43083333333328</v>
      </c>
      <c r="D255" s="28">
        <f t="shared" si="18"/>
        <v>336.32374999999996</v>
      </c>
      <c r="E255" s="28">
        <f t="shared" si="18"/>
        <v>336.21541666666661</v>
      </c>
      <c r="F255" s="28">
        <f t="shared" si="18"/>
        <v>336.10791666666665</v>
      </c>
      <c r="G255" s="28">
        <f t="shared" si="18"/>
        <v>335.98916666666662</v>
      </c>
      <c r="H255" s="28">
        <f t="shared" si="18"/>
        <v>335.8816666666666</v>
      </c>
      <c r="I255" s="28">
        <f t="shared" si="18"/>
        <v>335.78</v>
      </c>
      <c r="J255" s="28">
        <f t="shared" si="18"/>
        <v>335.6679166666666</v>
      </c>
      <c r="K255" s="28">
        <f t="shared" si="18"/>
        <v>335.55833333333328</v>
      </c>
      <c r="L255" s="28">
        <f t="shared" si="18"/>
        <v>335.46</v>
      </c>
      <c r="M255" s="28">
        <f t="shared" si="18"/>
        <v>335.35083333333336</v>
      </c>
      <c r="N255" s="28">
        <f t="shared" si="18"/>
        <v>335.22958333333332</v>
      </c>
    </row>
    <row r="256" spans="1:14" x14ac:dyDescent="0.4">
      <c r="A256" s="1">
        <v>28976</v>
      </c>
      <c r="B256" s="28">
        <v>336.64541666666668</v>
      </c>
      <c r="C256" s="28">
        <f t="shared" si="18"/>
        <v>336.53375</v>
      </c>
      <c r="D256" s="28">
        <f t="shared" si="18"/>
        <v>336.43083333333328</v>
      </c>
      <c r="E256" s="28">
        <f t="shared" si="18"/>
        <v>336.32374999999996</v>
      </c>
      <c r="F256" s="28">
        <f t="shared" si="18"/>
        <v>336.21541666666661</v>
      </c>
      <c r="G256" s="28">
        <f t="shared" si="18"/>
        <v>336.10791666666665</v>
      </c>
      <c r="H256" s="28">
        <f t="shared" si="18"/>
        <v>335.98916666666662</v>
      </c>
      <c r="I256" s="28">
        <f t="shared" si="18"/>
        <v>335.8816666666666</v>
      </c>
      <c r="J256" s="28">
        <f t="shared" si="18"/>
        <v>335.78</v>
      </c>
      <c r="K256" s="28">
        <f t="shared" si="18"/>
        <v>335.6679166666666</v>
      </c>
      <c r="L256" s="28">
        <f t="shared" si="18"/>
        <v>335.55833333333328</v>
      </c>
      <c r="M256" s="28">
        <f t="shared" si="18"/>
        <v>335.46</v>
      </c>
      <c r="N256" s="28">
        <f t="shared" si="18"/>
        <v>335.35083333333336</v>
      </c>
    </row>
    <row r="257" spans="1:14" x14ac:dyDescent="0.4">
      <c r="A257" s="1">
        <v>29007</v>
      </c>
      <c r="B257" s="28">
        <v>336.7766666666667</v>
      </c>
      <c r="C257" s="28">
        <f t="shared" si="18"/>
        <v>336.64541666666668</v>
      </c>
      <c r="D257" s="28">
        <f t="shared" si="18"/>
        <v>336.53375</v>
      </c>
      <c r="E257" s="28">
        <f t="shared" si="18"/>
        <v>336.43083333333328</v>
      </c>
      <c r="F257" s="28">
        <f t="shared" si="18"/>
        <v>336.32374999999996</v>
      </c>
      <c r="G257" s="28">
        <f t="shared" si="18"/>
        <v>336.21541666666661</v>
      </c>
      <c r="H257" s="28">
        <f t="shared" si="18"/>
        <v>336.10791666666665</v>
      </c>
      <c r="I257" s="28">
        <f t="shared" si="18"/>
        <v>335.98916666666662</v>
      </c>
      <c r="J257" s="28">
        <f t="shared" si="18"/>
        <v>335.8816666666666</v>
      </c>
      <c r="K257" s="28">
        <f t="shared" si="18"/>
        <v>335.78</v>
      </c>
      <c r="L257" s="28">
        <f t="shared" si="18"/>
        <v>335.6679166666666</v>
      </c>
      <c r="M257" s="28">
        <f t="shared" si="18"/>
        <v>335.55833333333328</v>
      </c>
      <c r="N257" s="28">
        <f t="shared" si="18"/>
        <v>335.46</v>
      </c>
    </row>
    <row r="258" spans="1:14" x14ac:dyDescent="0.4">
      <c r="A258" s="1">
        <v>29037</v>
      </c>
      <c r="B258" s="28">
        <v>336.92500000000001</v>
      </c>
      <c r="C258" s="28">
        <f t="shared" si="18"/>
        <v>336.7766666666667</v>
      </c>
      <c r="D258" s="28">
        <f t="shared" si="18"/>
        <v>336.64541666666668</v>
      </c>
      <c r="E258" s="28">
        <f t="shared" si="18"/>
        <v>336.53375</v>
      </c>
      <c r="F258" s="28">
        <f t="shared" si="18"/>
        <v>336.43083333333328</v>
      </c>
      <c r="G258" s="28">
        <f t="shared" si="18"/>
        <v>336.32374999999996</v>
      </c>
      <c r="H258" s="28">
        <f t="shared" si="18"/>
        <v>336.21541666666661</v>
      </c>
      <c r="I258" s="28">
        <f t="shared" si="18"/>
        <v>336.10791666666665</v>
      </c>
      <c r="J258" s="28">
        <f t="shared" si="18"/>
        <v>335.98916666666662</v>
      </c>
      <c r="K258" s="28">
        <f t="shared" si="18"/>
        <v>335.8816666666666</v>
      </c>
      <c r="L258" s="28">
        <f t="shared" si="18"/>
        <v>335.78</v>
      </c>
      <c r="M258" s="28">
        <f t="shared" si="18"/>
        <v>335.6679166666666</v>
      </c>
      <c r="N258" s="28">
        <f t="shared" si="18"/>
        <v>335.55833333333328</v>
      </c>
    </row>
    <row r="259" spans="1:14" x14ac:dyDescent="0.4">
      <c r="A259" s="1">
        <v>29068</v>
      </c>
      <c r="B259" s="28">
        <v>337.06583333333333</v>
      </c>
      <c r="C259" s="28">
        <f t="shared" si="18"/>
        <v>336.92500000000001</v>
      </c>
      <c r="D259" s="28">
        <f t="shared" si="18"/>
        <v>336.7766666666667</v>
      </c>
      <c r="E259" s="28">
        <f t="shared" si="18"/>
        <v>336.64541666666668</v>
      </c>
      <c r="F259" s="28">
        <f t="shared" si="18"/>
        <v>336.53375</v>
      </c>
      <c r="G259" s="28">
        <f t="shared" si="18"/>
        <v>336.43083333333328</v>
      </c>
      <c r="H259" s="28">
        <f t="shared" si="18"/>
        <v>336.32374999999996</v>
      </c>
      <c r="I259" s="28">
        <f t="shared" si="18"/>
        <v>336.21541666666661</v>
      </c>
      <c r="J259" s="28">
        <f t="shared" si="18"/>
        <v>336.10791666666665</v>
      </c>
      <c r="K259" s="28">
        <f t="shared" si="18"/>
        <v>335.98916666666662</v>
      </c>
      <c r="L259" s="28">
        <f t="shared" si="18"/>
        <v>335.8816666666666</v>
      </c>
      <c r="M259" s="28">
        <f t="shared" si="18"/>
        <v>335.78</v>
      </c>
      <c r="N259" s="28">
        <f t="shared" si="18"/>
        <v>335.6679166666666</v>
      </c>
    </row>
    <row r="260" spans="1:14" x14ac:dyDescent="0.4">
      <c r="A260" s="1">
        <v>29099</v>
      </c>
      <c r="B260" s="28">
        <v>337.22041666666672</v>
      </c>
      <c r="C260" s="28">
        <f t="shared" si="18"/>
        <v>337.06583333333333</v>
      </c>
      <c r="D260" s="28">
        <f t="shared" si="18"/>
        <v>336.92500000000001</v>
      </c>
      <c r="E260" s="28">
        <f t="shared" si="18"/>
        <v>336.7766666666667</v>
      </c>
      <c r="F260" s="28">
        <f t="shared" si="18"/>
        <v>336.64541666666668</v>
      </c>
      <c r="G260" s="28">
        <f t="shared" si="18"/>
        <v>336.53375</v>
      </c>
      <c r="H260" s="28">
        <f t="shared" si="18"/>
        <v>336.43083333333328</v>
      </c>
      <c r="I260" s="28">
        <f t="shared" si="18"/>
        <v>336.32374999999996</v>
      </c>
      <c r="J260" s="28">
        <f t="shared" si="18"/>
        <v>336.21541666666661</v>
      </c>
      <c r="K260" s="28">
        <f t="shared" si="18"/>
        <v>336.10791666666665</v>
      </c>
      <c r="L260" s="28">
        <f t="shared" si="18"/>
        <v>335.98916666666662</v>
      </c>
      <c r="M260" s="28">
        <f t="shared" si="18"/>
        <v>335.8816666666666</v>
      </c>
      <c r="N260" s="28">
        <f t="shared" si="18"/>
        <v>335.78</v>
      </c>
    </row>
    <row r="261" spans="1:14" x14ac:dyDescent="0.4">
      <c r="A261" s="1">
        <v>29129</v>
      </c>
      <c r="B261" s="28">
        <v>337.38666666666671</v>
      </c>
      <c r="C261" s="28">
        <f t="shared" si="18"/>
        <v>337.22041666666672</v>
      </c>
      <c r="D261" s="28">
        <f t="shared" si="18"/>
        <v>337.06583333333333</v>
      </c>
      <c r="E261" s="28">
        <f t="shared" si="18"/>
        <v>336.92500000000001</v>
      </c>
      <c r="F261" s="28">
        <f t="shared" si="18"/>
        <v>336.7766666666667</v>
      </c>
      <c r="G261" s="28">
        <f t="shared" si="18"/>
        <v>336.64541666666668</v>
      </c>
      <c r="H261" s="28">
        <f t="shared" si="18"/>
        <v>336.53375</v>
      </c>
      <c r="I261" s="28">
        <f t="shared" si="18"/>
        <v>336.43083333333328</v>
      </c>
      <c r="J261" s="28">
        <f t="shared" si="18"/>
        <v>336.32374999999996</v>
      </c>
      <c r="K261" s="28">
        <f t="shared" si="18"/>
        <v>336.21541666666661</v>
      </c>
      <c r="L261" s="28">
        <f t="shared" si="18"/>
        <v>336.10791666666665</v>
      </c>
      <c r="M261" s="28">
        <f t="shared" si="18"/>
        <v>335.98916666666662</v>
      </c>
      <c r="N261" s="28">
        <f t="shared" si="18"/>
        <v>335.8816666666666</v>
      </c>
    </row>
    <row r="262" spans="1:14" x14ac:dyDescent="0.4">
      <c r="A262" s="1">
        <v>29160</v>
      </c>
      <c r="B262" s="28">
        <v>337.54833333333335</v>
      </c>
      <c r="C262" s="28">
        <f t="shared" si="18"/>
        <v>337.38666666666671</v>
      </c>
      <c r="D262" s="28">
        <f t="shared" si="18"/>
        <v>337.22041666666672</v>
      </c>
      <c r="E262" s="28">
        <f t="shared" si="18"/>
        <v>337.06583333333333</v>
      </c>
      <c r="F262" s="28">
        <f t="shared" si="18"/>
        <v>336.92500000000001</v>
      </c>
      <c r="G262" s="28">
        <f t="shared" si="18"/>
        <v>336.7766666666667</v>
      </c>
      <c r="H262" s="28">
        <f t="shared" si="18"/>
        <v>336.64541666666668</v>
      </c>
      <c r="I262" s="28">
        <f t="shared" si="18"/>
        <v>336.53375</v>
      </c>
      <c r="J262" s="28">
        <f t="shared" si="18"/>
        <v>336.43083333333328</v>
      </c>
      <c r="K262" s="28">
        <f t="shared" si="18"/>
        <v>336.32374999999996</v>
      </c>
      <c r="L262" s="28">
        <f t="shared" si="18"/>
        <v>336.21541666666661</v>
      </c>
      <c r="M262" s="28">
        <f t="shared" si="18"/>
        <v>336.10791666666665</v>
      </c>
      <c r="N262" s="28">
        <f t="shared" si="18"/>
        <v>335.98916666666662</v>
      </c>
    </row>
    <row r="263" spans="1:14" x14ac:dyDescent="0.4">
      <c r="A263" s="1">
        <v>29190</v>
      </c>
      <c r="B263" s="28">
        <v>337.71</v>
      </c>
      <c r="C263" s="28">
        <f t="shared" si="18"/>
        <v>337.54833333333335</v>
      </c>
      <c r="D263" s="28">
        <f t="shared" si="18"/>
        <v>337.38666666666671</v>
      </c>
      <c r="E263" s="28">
        <f t="shared" si="18"/>
        <v>337.22041666666672</v>
      </c>
      <c r="F263" s="28">
        <f t="shared" si="18"/>
        <v>337.06583333333333</v>
      </c>
      <c r="G263" s="28">
        <f t="shared" si="18"/>
        <v>336.92500000000001</v>
      </c>
      <c r="H263" s="28">
        <f t="shared" si="18"/>
        <v>336.7766666666667</v>
      </c>
      <c r="I263" s="28">
        <f t="shared" si="18"/>
        <v>336.64541666666668</v>
      </c>
      <c r="J263" s="28">
        <f t="shared" si="18"/>
        <v>336.53375</v>
      </c>
      <c r="K263" s="28">
        <f t="shared" si="18"/>
        <v>336.43083333333328</v>
      </c>
      <c r="L263" s="28">
        <f t="shared" si="18"/>
        <v>336.32374999999996</v>
      </c>
      <c r="M263" s="28">
        <f t="shared" si="18"/>
        <v>336.21541666666661</v>
      </c>
      <c r="N263" s="28">
        <f t="shared" si="18"/>
        <v>336.10791666666665</v>
      </c>
    </row>
    <row r="264" spans="1:14" x14ac:dyDescent="0.4">
      <c r="A264" s="1">
        <v>29221</v>
      </c>
      <c r="B264" s="28">
        <v>337.86458333333331</v>
      </c>
      <c r="C264" s="28">
        <f t="shared" si="18"/>
        <v>337.71</v>
      </c>
      <c r="D264" s="28">
        <f t="shared" si="18"/>
        <v>337.54833333333335</v>
      </c>
      <c r="E264" s="28">
        <f t="shared" si="18"/>
        <v>337.38666666666671</v>
      </c>
      <c r="F264" s="28">
        <f t="shared" si="18"/>
        <v>337.22041666666672</v>
      </c>
      <c r="G264" s="28">
        <f t="shared" si="18"/>
        <v>337.06583333333333</v>
      </c>
      <c r="H264" s="28">
        <f t="shared" si="18"/>
        <v>336.92500000000001</v>
      </c>
      <c r="I264" s="28">
        <f t="shared" si="18"/>
        <v>336.7766666666667</v>
      </c>
      <c r="J264" s="28">
        <f t="shared" si="18"/>
        <v>336.64541666666668</v>
      </c>
      <c r="K264" s="28">
        <f t="shared" si="18"/>
        <v>336.53375</v>
      </c>
      <c r="L264" s="28">
        <f t="shared" si="18"/>
        <v>336.43083333333328</v>
      </c>
      <c r="M264" s="28">
        <f t="shared" si="18"/>
        <v>336.32374999999996</v>
      </c>
      <c r="N264" s="28">
        <f t="shared" si="18"/>
        <v>336.21541666666661</v>
      </c>
    </row>
    <row r="265" spans="1:14" x14ac:dyDescent="0.4">
      <c r="A265" s="1">
        <v>29252</v>
      </c>
      <c r="B265" s="28">
        <v>338.00375000000003</v>
      </c>
      <c r="C265" s="28">
        <f t="shared" si="18"/>
        <v>337.86458333333331</v>
      </c>
      <c r="D265" s="28">
        <f t="shared" si="18"/>
        <v>337.71</v>
      </c>
      <c r="E265" s="28">
        <f t="shared" si="18"/>
        <v>337.54833333333335</v>
      </c>
      <c r="F265" s="28">
        <f t="shared" si="18"/>
        <v>337.38666666666671</v>
      </c>
      <c r="G265" s="28">
        <f t="shared" si="18"/>
        <v>337.22041666666672</v>
      </c>
      <c r="H265" s="28">
        <f t="shared" si="18"/>
        <v>337.06583333333333</v>
      </c>
      <c r="I265" s="28">
        <f t="shared" si="18"/>
        <v>336.92500000000001</v>
      </c>
      <c r="J265" s="28">
        <f t="shared" si="18"/>
        <v>336.7766666666667</v>
      </c>
      <c r="K265" s="28">
        <f t="shared" si="18"/>
        <v>336.64541666666668</v>
      </c>
      <c r="L265" s="28">
        <f t="shared" si="18"/>
        <v>336.53375</v>
      </c>
      <c r="M265" s="28">
        <f t="shared" si="18"/>
        <v>336.43083333333328</v>
      </c>
      <c r="N265" s="28">
        <f t="shared" si="18"/>
        <v>336.32374999999996</v>
      </c>
    </row>
    <row r="266" spans="1:14" x14ac:dyDescent="0.4">
      <c r="A266" s="1">
        <v>29281</v>
      </c>
      <c r="B266" s="28">
        <v>338.14833333333337</v>
      </c>
      <c r="C266" s="28">
        <f t="shared" si="18"/>
        <v>338.00375000000003</v>
      </c>
      <c r="D266" s="28">
        <f t="shared" si="18"/>
        <v>337.86458333333331</v>
      </c>
      <c r="E266" s="28">
        <f t="shared" si="18"/>
        <v>337.71</v>
      </c>
      <c r="F266" s="28">
        <f t="shared" si="18"/>
        <v>337.54833333333335</v>
      </c>
      <c r="G266" s="28">
        <f t="shared" si="18"/>
        <v>337.38666666666671</v>
      </c>
      <c r="H266" s="28">
        <f t="shared" si="18"/>
        <v>337.22041666666672</v>
      </c>
      <c r="I266" s="28">
        <f t="shared" si="18"/>
        <v>337.06583333333333</v>
      </c>
      <c r="J266" s="28">
        <f t="shared" si="18"/>
        <v>336.92500000000001</v>
      </c>
      <c r="K266" s="28">
        <f t="shared" si="18"/>
        <v>336.7766666666667</v>
      </c>
      <c r="L266" s="28">
        <f t="shared" si="18"/>
        <v>336.64541666666668</v>
      </c>
      <c r="M266" s="28">
        <f t="shared" si="18"/>
        <v>336.53375</v>
      </c>
      <c r="N266" s="28">
        <f t="shared" si="18"/>
        <v>336.43083333333328</v>
      </c>
    </row>
    <row r="267" spans="1:14" x14ac:dyDescent="0.4">
      <c r="A267" s="1">
        <v>29312</v>
      </c>
      <c r="B267" s="28">
        <v>338.32</v>
      </c>
      <c r="C267" s="28">
        <f t="shared" si="18"/>
        <v>338.14833333333337</v>
      </c>
      <c r="D267" s="28">
        <f t="shared" si="18"/>
        <v>338.00375000000003</v>
      </c>
      <c r="E267" s="28">
        <f t="shared" si="18"/>
        <v>337.86458333333331</v>
      </c>
      <c r="F267" s="28">
        <f t="shared" si="18"/>
        <v>337.71</v>
      </c>
      <c r="G267" s="28">
        <f t="shared" si="18"/>
        <v>337.54833333333335</v>
      </c>
      <c r="H267" s="28">
        <f t="shared" si="18"/>
        <v>337.38666666666671</v>
      </c>
      <c r="I267" s="28">
        <f t="shared" si="18"/>
        <v>337.22041666666672</v>
      </c>
      <c r="J267" s="28">
        <f t="shared" si="18"/>
        <v>337.06583333333333</v>
      </c>
      <c r="K267" s="28">
        <f t="shared" si="18"/>
        <v>336.92500000000001</v>
      </c>
      <c r="L267" s="28">
        <f t="shared" si="18"/>
        <v>336.7766666666667</v>
      </c>
      <c r="M267" s="28">
        <f t="shared" si="18"/>
        <v>336.64541666666668</v>
      </c>
      <c r="N267" s="28">
        <f t="shared" si="18"/>
        <v>336.53375</v>
      </c>
    </row>
    <row r="268" spans="1:14" x14ac:dyDescent="0.4">
      <c r="A268" s="1">
        <v>29342</v>
      </c>
      <c r="B268" s="28">
        <v>338.48541666666671</v>
      </c>
      <c r="C268" s="28">
        <f t="shared" si="18"/>
        <v>338.32</v>
      </c>
      <c r="D268" s="28">
        <f t="shared" si="18"/>
        <v>338.14833333333337</v>
      </c>
      <c r="E268" s="28">
        <f t="shared" si="18"/>
        <v>338.00375000000003</v>
      </c>
      <c r="F268" s="28">
        <f t="shared" si="18"/>
        <v>337.86458333333331</v>
      </c>
      <c r="G268" s="28">
        <f t="shared" si="18"/>
        <v>337.71</v>
      </c>
      <c r="H268" s="28">
        <f t="shared" si="18"/>
        <v>337.54833333333335</v>
      </c>
      <c r="I268" s="28">
        <f t="shared" si="18"/>
        <v>337.38666666666671</v>
      </c>
      <c r="J268" s="28">
        <f t="shared" si="18"/>
        <v>337.22041666666672</v>
      </c>
      <c r="K268" s="28">
        <f t="shared" si="18"/>
        <v>337.06583333333333</v>
      </c>
      <c r="L268" s="28">
        <f t="shared" si="18"/>
        <v>336.92500000000001</v>
      </c>
      <c r="M268" s="28">
        <f t="shared" si="18"/>
        <v>336.7766666666667</v>
      </c>
      <c r="N268" s="28">
        <f t="shared" si="18"/>
        <v>336.64541666666668</v>
      </c>
    </row>
    <row r="269" spans="1:14" x14ac:dyDescent="0.4">
      <c r="A269" s="1">
        <v>29373</v>
      </c>
      <c r="B269" s="28">
        <v>338.62250000000006</v>
      </c>
      <c r="C269" s="28">
        <f t="shared" si="18"/>
        <v>338.48541666666671</v>
      </c>
      <c r="D269" s="28">
        <f t="shared" si="18"/>
        <v>338.32</v>
      </c>
      <c r="E269" s="28">
        <f t="shared" si="18"/>
        <v>338.14833333333337</v>
      </c>
      <c r="F269" s="28">
        <f t="shared" si="18"/>
        <v>338.00375000000003</v>
      </c>
      <c r="G269" s="28">
        <f t="shared" si="18"/>
        <v>337.86458333333331</v>
      </c>
      <c r="H269" s="28">
        <f t="shared" si="18"/>
        <v>337.71</v>
      </c>
      <c r="I269" s="28">
        <f t="shared" si="18"/>
        <v>337.54833333333335</v>
      </c>
      <c r="J269" s="28">
        <f t="shared" si="18"/>
        <v>337.38666666666671</v>
      </c>
      <c r="K269" s="28">
        <f t="shared" si="18"/>
        <v>337.22041666666672</v>
      </c>
      <c r="L269" s="28">
        <f t="shared" si="18"/>
        <v>337.06583333333333</v>
      </c>
      <c r="M269" s="28">
        <f t="shared" si="18"/>
        <v>336.92500000000001</v>
      </c>
      <c r="N269" s="28">
        <f t="shared" si="18"/>
        <v>336.7766666666667</v>
      </c>
    </row>
    <row r="270" spans="1:14" x14ac:dyDescent="0.4">
      <c r="A270" s="1">
        <v>29403</v>
      </c>
      <c r="B270" s="28">
        <v>338.73541666666665</v>
      </c>
      <c r="C270" s="28">
        <f t="shared" si="18"/>
        <v>338.62250000000006</v>
      </c>
      <c r="D270" s="28">
        <f t="shared" si="18"/>
        <v>338.48541666666671</v>
      </c>
      <c r="E270" s="28">
        <f t="shared" si="18"/>
        <v>338.32</v>
      </c>
      <c r="F270" s="28">
        <f t="shared" si="18"/>
        <v>338.14833333333337</v>
      </c>
      <c r="G270" s="28">
        <f t="shared" si="18"/>
        <v>338.00375000000003</v>
      </c>
      <c r="H270" s="28">
        <f t="shared" si="18"/>
        <v>337.86458333333331</v>
      </c>
      <c r="I270" s="28">
        <f t="shared" si="18"/>
        <v>337.71</v>
      </c>
      <c r="J270" s="28">
        <f t="shared" si="18"/>
        <v>337.54833333333335</v>
      </c>
      <c r="K270" s="28">
        <f t="shared" si="18"/>
        <v>337.38666666666671</v>
      </c>
      <c r="L270" s="28">
        <f t="shared" si="18"/>
        <v>337.22041666666672</v>
      </c>
      <c r="M270" s="28">
        <f t="shared" si="18"/>
        <v>337.06583333333333</v>
      </c>
      <c r="N270" s="28">
        <f t="shared" si="18"/>
        <v>336.92500000000001</v>
      </c>
    </row>
    <row r="271" spans="1:14" x14ac:dyDescent="0.4">
      <c r="A271" s="1">
        <v>29434</v>
      </c>
      <c r="B271" s="28">
        <v>338.875</v>
      </c>
      <c r="C271" s="28">
        <f t="shared" si="18"/>
        <v>338.73541666666665</v>
      </c>
      <c r="D271" s="28">
        <f t="shared" si="18"/>
        <v>338.62250000000006</v>
      </c>
      <c r="E271" s="28">
        <f t="shared" si="18"/>
        <v>338.48541666666671</v>
      </c>
      <c r="F271" s="28">
        <f t="shared" si="18"/>
        <v>338.32</v>
      </c>
      <c r="G271" s="28">
        <f t="shared" si="18"/>
        <v>338.14833333333337</v>
      </c>
      <c r="H271" s="28">
        <f t="shared" si="18"/>
        <v>338.00375000000003</v>
      </c>
      <c r="I271" s="28">
        <f t="shared" si="18"/>
        <v>337.86458333333331</v>
      </c>
      <c r="J271" s="28">
        <f t="shared" si="18"/>
        <v>337.71</v>
      </c>
      <c r="K271" s="28">
        <f t="shared" si="18"/>
        <v>337.54833333333335</v>
      </c>
      <c r="L271" s="28">
        <f t="shared" si="18"/>
        <v>337.38666666666671</v>
      </c>
      <c r="M271" s="28">
        <f t="shared" si="18"/>
        <v>337.22041666666672</v>
      </c>
      <c r="N271" s="28">
        <f t="shared" si="18"/>
        <v>337.06583333333333</v>
      </c>
    </row>
    <row r="272" spans="1:14" x14ac:dyDescent="0.4">
      <c r="A272" s="1">
        <v>29465</v>
      </c>
      <c r="B272" s="28">
        <v>339.01791666666668</v>
      </c>
      <c r="C272" s="28">
        <f t="shared" si="18"/>
        <v>338.875</v>
      </c>
      <c r="D272" s="28">
        <f t="shared" si="18"/>
        <v>338.73541666666665</v>
      </c>
      <c r="E272" s="28">
        <f t="shared" si="18"/>
        <v>338.62250000000006</v>
      </c>
      <c r="F272" s="28">
        <f t="shared" si="18"/>
        <v>338.48541666666671</v>
      </c>
      <c r="G272" s="28">
        <f t="shared" si="18"/>
        <v>338.32</v>
      </c>
      <c r="H272" s="28">
        <f t="shared" si="18"/>
        <v>338.14833333333337</v>
      </c>
      <c r="I272" s="28">
        <f t="shared" si="18"/>
        <v>338.00375000000003</v>
      </c>
      <c r="J272" s="28">
        <f t="shared" si="18"/>
        <v>337.86458333333331</v>
      </c>
      <c r="K272" s="28">
        <f t="shared" si="18"/>
        <v>337.71</v>
      </c>
      <c r="L272" s="28">
        <f t="shared" si="18"/>
        <v>337.54833333333335</v>
      </c>
      <c r="M272" s="28">
        <f t="shared" si="18"/>
        <v>337.38666666666671</v>
      </c>
      <c r="N272" s="28">
        <f t="shared" si="18"/>
        <v>337.22041666666672</v>
      </c>
    </row>
    <row r="273" spans="1:14" x14ac:dyDescent="0.4">
      <c r="A273" s="1">
        <v>29495</v>
      </c>
      <c r="B273" s="28">
        <v>339.14500000000004</v>
      </c>
      <c r="C273" s="28">
        <f t="shared" si="18"/>
        <v>339.01791666666668</v>
      </c>
      <c r="D273" s="28">
        <f t="shared" si="18"/>
        <v>338.875</v>
      </c>
      <c r="E273" s="28">
        <f t="shared" si="18"/>
        <v>338.73541666666665</v>
      </c>
      <c r="F273" s="28">
        <f t="shared" si="18"/>
        <v>338.62250000000006</v>
      </c>
      <c r="G273" s="28">
        <f t="shared" si="18"/>
        <v>338.48541666666671</v>
      </c>
      <c r="H273" s="28">
        <f t="shared" si="18"/>
        <v>338.32</v>
      </c>
      <c r="I273" s="28">
        <f t="shared" si="18"/>
        <v>338.14833333333337</v>
      </c>
      <c r="J273" s="28">
        <f t="shared" si="18"/>
        <v>338.00375000000003</v>
      </c>
      <c r="K273" s="28">
        <f t="shared" si="18"/>
        <v>337.86458333333331</v>
      </c>
      <c r="L273" s="28">
        <f t="shared" si="18"/>
        <v>337.71</v>
      </c>
      <c r="M273" s="28">
        <f t="shared" si="18"/>
        <v>337.54833333333335</v>
      </c>
      <c r="N273" s="28">
        <f t="shared" si="18"/>
        <v>337.38666666666671</v>
      </c>
    </row>
    <row r="274" spans="1:14" x14ac:dyDescent="0.4">
      <c r="A274" s="1">
        <v>29526</v>
      </c>
      <c r="B274" s="28">
        <v>339.27750000000003</v>
      </c>
      <c r="C274" s="28">
        <f t="shared" si="18"/>
        <v>339.14500000000004</v>
      </c>
      <c r="D274" s="28">
        <f t="shared" si="18"/>
        <v>339.01791666666668</v>
      </c>
      <c r="E274" s="28">
        <f t="shared" si="18"/>
        <v>338.875</v>
      </c>
      <c r="F274" s="28">
        <f t="shared" si="18"/>
        <v>338.73541666666665</v>
      </c>
      <c r="G274" s="28">
        <f t="shared" ref="G274:U337" si="19">IF(F273=0,"",F273)</f>
        <v>338.62250000000006</v>
      </c>
      <c r="H274" s="28">
        <f t="shared" si="19"/>
        <v>338.48541666666671</v>
      </c>
      <c r="I274" s="28">
        <f t="shared" si="19"/>
        <v>338.32</v>
      </c>
      <c r="J274" s="28">
        <f t="shared" si="19"/>
        <v>338.14833333333337</v>
      </c>
      <c r="K274" s="28">
        <f t="shared" si="19"/>
        <v>338.00375000000003</v>
      </c>
      <c r="L274" s="28">
        <f t="shared" si="19"/>
        <v>337.86458333333331</v>
      </c>
      <c r="M274" s="28">
        <f t="shared" si="19"/>
        <v>337.71</v>
      </c>
      <c r="N274" s="28">
        <f t="shared" si="19"/>
        <v>337.54833333333335</v>
      </c>
    </row>
    <row r="275" spans="1:14" x14ac:dyDescent="0.4">
      <c r="A275" s="1">
        <v>29556</v>
      </c>
      <c r="B275" s="28">
        <v>339.38249999999999</v>
      </c>
      <c r="C275" s="28">
        <f t="shared" ref="C275:Q338" si="20">IF(B274=0,"",B274)</f>
        <v>339.27750000000003</v>
      </c>
      <c r="D275" s="28">
        <f t="shared" si="20"/>
        <v>339.14500000000004</v>
      </c>
      <c r="E275" s="28">
        <f t="shared" si="20"/>
        <v>339.01791666666668</v>
      </c>
      <c r="F275" s="28">
        <f t="shared" si="20"/>
        <v>338.875</v>
      </c>
      <c r="G275" s="28">
        <f t="shared" si="20"/>
        <v>338.73541666666665</v>
      </c>
      <c r="H275" s="28">
        <f t="shared" si="20"/>
        <v>338.62250000000006</v>
      </c>
      <c r="I275" s="28">
        <f t="shared" si="20"/>
        <v>338.48541666666671</v>
      </c>
      <c r="J275" s="28">
        <f t="shared" si="20"/>
        <v>338.32</v>
      </c>
      <c r="K275" s="28">
        <f t="shared" si="20"/>
        <v>338.14833333333337</v>
      </c>
      <c r="L275" s="28">
        <f t="shared" si="20"/>
        <v>338.00375000000003</v>
      </c>
      <c r="M275" s="28">
        <f t="shared" si="20"/>
        <v>337.86458333333331</v>
      </c>
      <c r="N275" s="28">
        <f t="shared" si="20"/>
        <v>337.71</v>
      </c>
    </row>
    <row r="276" spans="1:14" x14ac:dyDescent="0.4">
      <c r="A276" s="1">
        <v>29587</v>
      </c>
      <c r="B276" s="28">
        <v>339.46625</v>
      </c>
      <c r="C276" s="28">
        <f t="shared" si="20"/>
        <v>339.38249999999999</v>
      </c>
      <c r="D276" s="28">
        <f t="shared" si="20"/>
        <v>339.27750000000003</v>
      </c>
      <c r="E276" s="28">
        <f t="shared" si="20"/>
        <v>339.14500000000004</v>
      </c>
      <c r="F276" s="28">
        <f t="shared" si="20"/>
        <v>339.01791666666668</v>
      </c>
      <c r="G276" s="28">
        <f t="shared" si="20"/>
        <v>338.875</v>
      </c>
      <c r="H276" s="28">
        <f t="shared" si="20"/>
        <v>338.73541666666665</v>
      </c>
      <c r="I276" s="28">
        <f t="shared" si="20"/>
        <v>338.62250000000006</v>
      </c>
      <c r="J276" s="28">
        <f t="shared" si="20"/>
        <v>338.48541666666671</v>
      </c>
      <c r="K276" s="28">
        <f t="shared" si="20"/>
        <v>338.32</v>
      </c>
      <c r="L276" s="28">
        <f t="shared" si="20"/>
        <v>338.14833333333337</v>
      </c>
      <c r="M276" s="28">
        <f t="shared" si="20"/>
        <v>338.00375000000003</v>
      </c>
      <c r="N276" s="28">
        <f t="shared" si="20"/>
        <v>337.86458333333331</v>
      </c>
    </row>
    <row r="277" spans="1:14" x14ac:dyDescent="0.4">
      <c r="A277" s="1">
        <v>29618</v>
      </c>
      <c r="B277" s="28">
        <v>339.53958333333333</v>
      </c>
      <c r="C277" s="28">
        <f t="shared" si="20"/>
        <v>339.46625</v>
      </c>
      <c r="D277" s="28">
        <f t="shared" si="20"/>
        <v>339.38249999999999</v>
      </c>
      <c r="E277" s="28">
        <f t="shared" si="20"/>
        <v>339.27750000000003</v>
      </c>
      <c r="F277" s="28">
        <f t="shared" si="20"/>
        <v>339.14500000000004</v>
      </c>
      <c r="G277" s="28">
        <f t="shared" si="20"/>
        <v>339.01791666666668</v>
      </c>
      <c r="H277" s="28">
        <f t="shared" si="20"/>
        <v>338.875</v>
      </c>
      <c r="I277" s="28">
        <f t="shared" si="20"/>
        <v>338.73541666666665</v>
      </c>
      <c r="J277" s="28">
        <f t="shared" si="20"/>
        <v>338.62250000000006</v>
      </c>
      <c r="K277" s="28">
        <f t="shared" si="20"/>
        <v>338.48541666666671</v>
      </c>
      <c r="L277" s="28">
        <f t="shared" si="20"/>
        <v>338.32</v>
      </c>
      <c r="M277" s="28">
        <f t="shared" si="20"/>
        <v>338.14833333333337</v>
      </c>
      <c r="N277" s="28">
        <f t="shared" si="20"/>
        <v>338.00375000000003</v>
      </c>
    </row>
    <row r="278" spans="1:14" x14ac:dyDescent="0.4">
      <c r="A278" s="1">
        <v>29646</v>
      </c>
      <c r="B278" s="28">
        <v>339.60791666666665</v>
      </c>
      <c r="C278" s="28">
        <f t="shared" si="20"/>
        <v>339.53958333333333</v>
      </c>
      <c r="D278" s="28">
        <f t="shared" si="20"/>
        <v>339.46625</v>
      </c>
      <c r="E278" s="28">
        <f t="shared" si="20"/>
        <v>339.38249999999999</v>
      </c>
      <c r="F278" s="28">
        <f t="shared" si="20"/>
        <v>339.27750000000003</v>
      </c>
      <c r="G278" s="28">
        <f t="shared" si="20"/>
        <v>339.14500000000004</v>
      </c>
      <c r="H278" s="28">
        <f t="shared" si="20"/>
        <v>339.01791666666668</v>
      </c>
      <c r="I278" s="28">
        <f t="shared" si="20"/>
        <v>338.875</v>
      </c>
      <c r="J278" s="28">
        <f t="shared" si="20"/>
        <v>338.73541666666665</v>
      </c>
      <c r="K278" s="28">
        <f t="shared" si="20"/>
        <v>338.62250000000006</v>
      </c>
      <c r="L278" s="28">
        <f t="shared" si="20"/>
        <v>338.48541666666671</v>
      </c>
      <c r="M278" s="28">
        <f t="shared" si="20"/>
        <v>338.32</v>
      </c>
      <c r="N278" s="28">
        <f t="shared" si="20"/>
        <v>338.14833333333337</v>
      </c>
    </row>
    <row r="279" spans="1:14" x14ac:dyDescent="0.4">
      <c r="A279" s="1">
        <v>29677</v>
      </c>
      <c r="B279" s="28">
        <v>339.67666666666668</v>
      </c>
      <c r="C279" s="28">
        <f t="shared" si="20"/>
        <v>339.60791666666665</v>
      </c>
      <c r="D279" s="28">
        <f t="shared" si="20"/>
        <v>339.53958333333333</v>
      </c>
      <c r="E279" s="28">
        <f t="shared" si="20"/>
        <v>339.46625</v>
      </c>
      <c r="F279" s="28">
        <f t="shared" si="20"/>
        <v>339.38249999999999</v>
      </c>
      <c r="G279" s="28">
        <f t="shared" si="20"/>
        <v>339.27750000000003</v>
      </c>
      <c r="H279" s="28">
        <f t="shared" si="20"/>
        <v>339.14500000000004</v>
      </c>
      <c r="I279" s="28">
        <f t="shared" si="20"/>
        <v>339.01791666666668</v>
      </c>
      <c r="J279" s="28">
        <f t="shared" si="20"/>
        <v>338.875</v>
      </c>
      <c r="K279" s="28">
        <f t="shared" si="20"/>
        <v>338.73541666666665</v>
      </c>
      <c r="L279" s="28">
        <f t="shared" si="20"/>
        <v>338.62250000000006</v>
      </c>
      <c r="M279" s="28">
        <f t="shared" si="20"/>
        <v>338.48541666666671</v>
      </c>
      <c r="N279" s="28">
        <f t="shared" si="20"/>
        <v>338.32</v>
      </c>
    </row>
    <row r="280" spans="1:14" x14ac:dyDescent="0.4">
      <c r="A280" s="1">
        <v>29707</v>
      </c>
      <c r="B280" s="28">
        <v>339.76416666666665</v>
      </c>
      <c r="C280" s="28">
        <f t="shared" si="20"/>
        <v>339.67666666666668</v>
      </c>
      <c r="D280" s="28">
        <f t="shared" si="20"/>
        <v>339.60791666666665</v>
      </c>
      <c r="E280" s="28">
        <f t="shared" si="20"/>
        <v>339.53958333333333</v>
      </c>
      <c r="F280" s="28">
        <f t="shared" si="20"/>
        <v>339.46625</v>
      </c>
      <c r="G280" s="28">
        <f t="shared" si="20"/>
        <v>339.38249999999999</v>
      </c>
      <c r="H280" s="28">
        <f t="shared" si="20"/>
        <v>339.27750000000003</v>
      </c>
      <c r="I280" s="28">
        <f t="shared" si="20"/>
        <v>339.14500000000004</v>
      </c>
      <c r="J280" s="28">
        <f t="shared" si="20"/>
        <v>339.01791666666668</v>
      </c>
      <c r="K280" s="28">
        <f t="shared" si="20"/>
        <v>338.875</v>
      </c>
      <c r="L280" s="28">
        <f t="shared" si="20"/>
        <v>338.73541666666665</v>
      </c>
      <c r="M280" s="28">
        <f t="shared" si="20"/>
        <v>338.62250000000006</v>
      </c>
      <c r="N280" s="28">
        <f t="shared" si="20"/>
        <v>338.48541666666671</v>
      </c>
    </row>
    <row r="281" spans="1:14" x14ac:dyDescent="0.4">
      <c r="A281" s="1">
        <v>29738</v>
      </c>
      <c r="B281" s="28">
        <v>339.87500000000006</v>
      </c>
      <c r="C281" s="28">
        <f t="shared" si="20"/>
        <v>339.76416666666665</v>
      </c>
      <c r="D281" s="28">
        <f t="shared" si="20"/>
        <v>339.67666666666668</v>
      </c>
      <c r="E281" s="28">
        <f t="shared" si="20"/>
        <v>339.60791666666665</v>
      </c>
      <c r="F281" s="28">
        <f t="shared" si="20"/>
        <v>339.53958333333333</v>
      </c>
      <c r="G281" s="28">
        <f t="shared" si="20"/>
        <v>339.46625</v>
      </c>
      <c r="H281" s="28">
        <f t="shared" si="20"/>
        <v>339.38249999999999</v>
      </c>
      <c r="I281" s="28">
        <f t="shared" si="20"/>
        <v>339.27750000000003</v>
      </c>
      <c r="J281" s="28">
        <f t="shared" si="20"/>
        <v>339.14500000000004</v>
      </c>
      <c r="K281" s="28">
        <f t="shared" si="20"/>
        <v>339.01791666666668</v>
      </c>
      <c r="L281" s="28">
        <f t="shared" si="20"/>
        <v>338.875</v>
      </c>
      <c r="M281" s="28">
        <f t="shared" si="20"/>
        <v>338.73541666666665</v>
      </c>
      <c r="N281" s="28">
        <f t="shared" si="20"/>
        <v>338.62250000000006</v>
      </c>
    </row>
    <row r="282" spans="1:14" x14ac:dyDescent="0.4">
      <c r="A282" s="1">
        <v>29768</v>
      </c>
      <c r="B282" s="28">
        <v>339.99625000000003</v>
      </c>
      <c r="C282" s="28">
        <f t="shared" si="20"/>
        <v>339.87500000000006</v>
      </c>
      <c r="D282" s="28">
        <f t="shared" si="20"/>
        <v>339.76416666666665</v>
      </c>
      <c r="E282" s="28">
        <f t="shared" si="20"/>
        <v>339.67666666666668</v>
      </c>
      <c r="F282" s="28">
        <f t="shared" si="20"/>
        <v>339.60791666666665</v>
      </c>
      <c r="G282" s="28">
        <f t="shared" si="20"/>
        <v>339.53958333333333</v>
      </c>
      <c r="H282" s="28">
        <f t="shared" si="20"/>
        <v>339.46625</v>
      </c>
      <c r="I282" s="28">
        <f t="shared" si="20"/>
        <v>339.38249999999999</v>
      </c>
      <c r="J282" s="28">
        <f t="shared" si="20"/>
        <v>339.27750000000003</v>
      </c>
      <c r="K282" s="28">
        <f t="shared" si="20"/>
        <v>339.14500000000004</v>
      </c>
      <c r="L282" s="28">
        <f t="shared" si="20"/>
        <v>339.01791666666668</v>
      </c>
      <c r="M282" s="28">
        <f t="shared" si="20"/>
        <v>338.875</v>
      </c>
      <c r="N282" s="28">
        <f t="shared" si="20"/>
        <v>338.73541666666665</v>
      </c>
    </row>
    <row r="283" spans="1:14" x14ac:dyDescent="0.4">
      <c r="A283" s="1">
        <v>29799</v>
      </c>
      <c r="B283" s="28">
        <v>340.10624999999999</v>
      </c>
      <c r="C283" s="28">
        <f t="shared" si="20"/>
        <v>339.99625000000003</v>
      </c>
      <c r="D283" s="28">
        <f t="shared" si="20"/>
        <v>339.87500000000006</v>
      </c>
      <c r="E283" s="28">
        <f t="shared" si="20"/>
        <v>339.76416666666665</v>
      </c>
      <c r="F283" s="28">
        <f t="shared" si="20"/>
        <v>339.67666666666668</v>
      </c>
      <c r="G283" s="28">
        <f t="shared" si="20"/>
        <v>339.60791666666665</v>
      </c>
      <c r="H283" s="28">
        <f t="shared" si="20"/>
        <v>339.53958333333333</v>
      </c>
      <c r="I283" s="28">
        <f t="shared" si="20"/>
        <v>339.46625</v>
      </c>
      <c r="J283" s="28">
        <f t="shared" si="20"/>
        <v>339.38249999999999</v>
      </c>
      <c r="K283" s="28">
        <f t="shared" si="20"/>
        <v>339.27750000000003</v>
      </c>
      <c r="L283" s="28">
        <f t="shared" si="20"/>
        <v>339.14500000000004</v>
      </c>
      <c r="M283" s="28">
        <f t="shared" si="20"/>
        <v>339.01791666666668</v>
      </c>
      <c r="N283" s="28">
        <f t="shared" si="20"/>
        <v>338.875</v>
      </c>
    </row>
    <row r="284" spans="1:14" x14ac:dyDescent="0.4">
      <c r="A284" s="1">
        <v>29830</v>
      </c>
      <c r="B284" s="28">
        <v>340.20833333333331</v>
      </c>
      <c r="C284" s="28">
        <f t="shared" si="20"/>
        <v>340.10624999999999</v>
      </c>
      <c r="D284" s="28">
        <f t="shared" si="20"/>
        <v>339.99625000000003</v>
      </c>
      <c r="E284" s="28">
        <f t="shared" si="20"/>
        <v>339.87500000000006</v>
      </c>
      <c r="F284" s="28">
        <f t="shared" si="20"/>
        <v>339.76416666666665</v>
      </c>
      <c r="G284" s="28">
        <f t="shared" si="20"/>
        <v>339.67666666666668</v>
      </c>
      <c r="H284" s="28">
        <f t="shared" si="20"/>
        <v>339.60791666666665</v>
      </c>
      <c r="I284" s="28">
        <f t="shared" si="20"/>
        <v>339.53958333333333</v>
      </c>
      <c r="J284" s="28">
        <f t="shared" si="20"/>
        <v>339.46625</v>
      </c>
      <c r="K284" s="28">
        <f t="shared" si="20"/>
        <v>339.38249999999999</v>
      </c>
      <c r="L284" s="28">
        <f t="shared" si="20"/>
        <v>339.27750000000003</v>
      </c>
      <c r="M284" s="28">
        <f t="shared" si="20"/>
        <v>339.14500000000004</v>
      </c>
      <c r="N284" s="28">
        <f t="shared" si="20"/>
        <v>339.01791666666668</v>
      </c>
    </row>
    <row r="285" spans="1:14" x14ac:dyDescent="0.4">
      <c r="A285" s="1">
        <v>29860</v>
      </c>
      <c r="B285" s="28">
        <v>340.3079166666667</v>
      </c>
      <c r="C285" s="28">
        <f t="shared" si="20"/>
        <v>340.20833333333331</v>
      </c>
      <c r="D285" s="28">
        <f t="shared" si="20"/>
        <v>340.10624999999999</v>
      </c>
      <c r="E285" s="28">
        <f t="shared" si="20"/>
        <v>339.99625000000003</v>
      </c>
      <c r="F285" s="28">
        <f t="shared" si="20"/>
        <v>339.87500000000006</v>
      </c>
      <c r="G285" s="28">
        <f t="shared" si="20"/>
        <v>339.76416666666665</v>
      </c>
      <c r="H285" s="28">
        <f t="shared" si="20"/>
        <v>339.67666666666668</v>
      </c>
      <c r="I285" s="28">
        <f t="shared" si="20"/>
        <v>339.60791666666665</v>
      </c>
      <c r="J285" s="28">
        <f t="shared" si="20"/>
        <v>339.53958333333333</v>
      </c>
      <c r="K285" s="28">
        <f t="shared" si="20"/>
        <v>339.46625</v>
      </c>
      <c r="L285" s="28">
        <f t="shared" si="20"/>
        <v>339.38249999999999</v>
      </c>
      <c r="M285" s="28">
        <f t="shared" si="20"/>
        <v>339.27750000000003</v>
      </c>
      <c r="N285" s="28">
        <f t="shared" si="20"/>
        <v>339.14500000000004</v>
      </c>
    </row>
    <row r="286" spans="1:14" x14ac:dyDescent="0.4">
      <c r="A286" s="1">
        <v>29891</v>
      </c>
      <c r="B286" s="28">
        <v>340.40375</v>
      </c>
      <c r="C286" s="28">
        <f t="shared" si="20"/>
        <v>340.3079166666667</v>
      </c>
      <c r="D286" s="28">
        <f t="shared" si="20"/>
        <v>340.20833333333331</v>
      </c>
      <c r="E286" s="28">
        <f t="shared" si="20"/>
        <v>340.10624999999999</v>
      </c>
      <c r="F286" s="28">
        <f t="shared" si="20"/>
        <v>339.99625000000003</v>
      </c>
      <c r="G286" s="28">
        <f t="shared" si="20"/>
        <v>339.87500000000006</v>
      </c>
      <c r="H286" s="28">
        <f t="shared" si="20"/>
        <v>339.76416666666665</v>
      </c>
      <c r="I286" s="28">
        <f t="shared" si="20"/>
        <v>339.67666666666668</v>
      </c>
      <c r="J286" s="28">
        <f t="shared" si="20"/>
        <v>339.60791666666665</v>
      </c>
      <c r="K286" s="28">
        <f t="shared" si="20"/>
        <v>339.53958333333333</v>
      </c>
      <c r="L286" s="28">
        <f t="shared" si="20"/>
        <v>339.46625</v>
      </c>
      <c r="M286" s="28">
        <f t="shared" si="20"/>
        <v>339.38249999999999</v>
      </c>
      <c r="N286" s="28">
        <f t="shared" si="20"/>
        <v>339.27750000000003</v>
      </c>
    </row>
    <row r="287" spans="1:14" x14ac:dyDescent="0.4">
      <c r="A287" s="1">
        <v>29921</v>
      </c>
      <c r="B287" s="28">
        <v>340.50083333333333</v>
      </c>
      <c r="C287" s="28">
        <f t="shared" si="20"/>
        <v>340.40375</v>
      </c>
      <c r="D287" s="28">
        <f t="shared" si="20"/>
        <v>340.3079166666667</v>
      </c>
      <c r="E287" s="28">
        <f t="shared" si="20"/>
        <v>340.20833333333331</v>
      </c>
      <c r="F287" s="28">
        <f t="shared" si="20"/>
        <v>340.10624999999999</v>
      </c>
      <c r="G287" s="28">
        <f t="shared" si="20"/>
        <v>339.99625000000003</v>
      </c>
      <c r="H287" s="28">
        <f t="shared" si="20"/>
        <v>339.87500000000006</v>
      </c>
      <c r="I287" s="28">
        <f t="shared" si="20"/>
        <v>339.76416666666665</v>
      </c>
      <c r="J287" s="28">
        <f t="shared" si="20"/>
        <v>339.67666666666668</v>
      </c>
      <c r="K287" s="28">
        <f t="shared" si="20"/>
        <v>339.60791666666665</v>
      </c>
      <c r="L287" s="28">
        <f t="shared" si="20"/>
        <v>339.53958333333333</v>
      </c>
      <c r="M287" s="28">
        <f t="shared" si="20"/>
        <v>339.46625</v>
      </c>
      <c r="N287" s="28">
        <f t="shared" si="20"/>
        <v>339.38249999999999</v>
      </c>
    </row>
    <row r="288" spans="1:14" x14ac:dyDescent="0.4">
      <c r="A288" s="1">
        <v>29952</v>
      </c>
      <c r="B288" s="28">
        <v>340.61208333333332</v>
      </c>
      <c r="C288" s="28">
        <f t="shared" si="20"/>
        <v>340.50083333333333</v>
      </c>
      <c r="D288" s="28">
        <f t="shared" si="20"/>
        <v>340.40375</v>
      </c>
      <c r="E288" s="28">
        <f t="shared" si="20"/>
        <v>340.3079166666667</v>
      </c>
      <c r="F288" s="28">
        <f t="shared" si="20"/>
        <v>340.20833333333331</v>
      </c>
      <c r="G288" s="28">
        <f t="shared" si="20"/>
        <v>340.10624999999999</v>
      </c>
      <c r="H288" s="28">
        <f t="shared" si="20"/>
        <v>339.99625000000003</v>
      </c>
      <c r="I288" s="28">
        <f t="shared" si="20"/>
        <v>339.87500000000006</v>
      </c>
      <c r="J288" s="28">
        <f t="shared" si="20"/>
        <v>339.76416666666665</v>
      </c>
      <c r="K288" s="28">
        <f t="shared" si="20"/>
        <v>339.67666666666668</v>
      </c>
      <c r="L288" s="28">
        <f t="shared" si="20"/>
        <v>339.60791666666665</v>
      </c>
      <c r="M288" s="28">
        <f t="shared" si="20"/>
        <v>339.53958333333333</v>
      </c>
      <c r="N288" s="28">
        <f t="shared" si="20"/>
        <v>339.46625</v>
      </c>
    </row>
    <row r="289" spans="1:14" x14ac:dyDescent="0.4">
      <c r="A289" s="1">
        <v>29983</v>
      </c>
      <c r="B289" s="28">
        <v>340.73500000000001</v>
      </c>
      <c r="C289" s="28">
        <f t="shared" si="20"/>
        <v>340.61208333333332</v>
      </c>
      <c r="D289" s="28">
        <f t="shared" si="20"/>
        <v>340.50083333333333</v>
      </c>
      <c r="E289" s="28">
        <f t="shared" si="20"/>
        <v>340.40375</v>
      </c>
      <c r="F289" s="28">
        <f t="shared" si="20"/>
        <v>340.3079166666667</v>
      </c>
      <c r="G289" s="28">
        <f t="shared" si="20"/>
        <v>340.20833333333331</v>
      </c>
      <c r="H289" s="28">
        <f t="shared" si="20"/>
        <v>340.10624999999999</v>
      </c>
      <c r="I289" s="28">
        <f t="shared" si="20"/>
        <v>339.99625000000003</v>
      </c>
      <c r="J289" s="28">
        <f t="shared" si="20"/>
        <v>339.87500000000006</v>
      </c>
      <c r="K289" s="28">
        <f t="shared" si="20"/>
        <v>339.76416666666665</v>
      </c>
      <c r="L289" s="28">
        <f t="shared" si="20"/>
        <v>339.67666666666668</v>
      </c>
      <c r="M289" s="28">
        <f t="shared" si="20"/>
        <v>339.60791666666665</v>
      </c>
      <c r="N289" s="28">
        <f t="shared" si="20"/>
        <v>339.53958333333333</v>
      </c>
    </row>
    <row r="290" spans="1:14" x14ac:dyDescent="0.4">
      <c r="A290" s="1">
        <v>30011</v>
      </c>
      <c r="B290" s="28">
        <v>340.84625000000005</v>
      </c>
      <c r="C290" s="28">
        <f t="shared" si="20"/>
        <v>340.73500000000001</v>
      </c>
      <c r="D290" s="28">
        <f t="shared" si="20"/>
        <v>340.61208333333332</v>
      </c>
      <c r="E290" s="28">
        <f t="shared" si="20"/>
        <v>340.50083333333333</v>
      </c>
      <c r="F290" s="28">
        <f t="shared" si="20"/>
        <v>340.40375</v>
      </c>
      <c r="G290" s="28">
        <f t="shared" si="20"/>
        <v>340.3079166666667</v>
      </c>
      <c r="H290" s="28">
        <f t="shared" si="20"/>
        <v>340.20833333333331</v>
      </c>
      <c r="I290" s="28">
        <f t="shared" si="20"/>
        <v>340.10624999999999</v>
      </c>
      <c r="J290" s="28">
        <f t="shared" si="20"/>
        <v>339.99625000000003</v>
      </c>
      <c r="K290" s="28">
        <f t="shared" si="20"/>
        <v>339.87500000000006</v>
      </c>
      <c r="L290" s="28">
        <f t="shared" si="20"/>
        <v>339.76416666666665</v>
      </c>
      <c r="M290" s="28">
        <f t="shared" si="20"/>
        <v>339.67666666666668</v>
      </c>
      <c r="N290" s="28">
        <f t="shared" si="20"/>
        <v>339.60791666666665</v>
      </c>
    </row>
    <row r="291" spans="1:14" x14ac:dyDescent="0.4">
      <c r="A291" s="1">
        <v>30042</v>
      </c>
      <c r="B291" s="28">
        <v>340.94166666666672</v>
      </c>
      <c r="C291" s="28">
        <f t="shared" si="20"/>
        <v>340.84625000000005</v>
      </c>
      <c r="D291" s="28">
        <f t="shared" si="20"/>
        <v>340.73500000000001</v>
      </c>
      <c r="E291" s="28">
        <f t="shared" si="20"/>
        <v>340.61208333333332</v>
      </c>
      <c r="F291" s="28">
        <f t="shared" si="20"/>
        <v>340.50083333333333</v>
      </c>
      <c r="G291" s="28">
        <f t="shared" si="20"/>
        <v>340.40375</v>
      </c>
      <c r="H291" s="28">
        <f t="shared" si="20"/>
        <v>340.3079166666667</v>
      </c>
      <c r="I291" s="28">
        <f t="shared" si="20"/>
        <v>340.20833333333331</v>
      </c>
      <c r="J291" s="28">
        <f t="shared" si="20"/>
        <v>340.10624999999999</v>
      </c>
      <c r="K291" s="28">
        <f t="shared" si="20"/>
        <v>339.99625000000003</v>
      </c>
      <c r="L291" s="28">
        <f t="shared" si="20"/>
        <v>339.87500000000006</v>
      </c>
      <c r="M291" s="28">
        <f t="shared" si="20"/>
        <v>339.76416666666665</v>
      </c>
      <c r="N291" s="28">
        <f t="shared" si="20"/>
        <v>339.67666666666668</v>
      </c>
    </row>
    <row r="292" spans="1:14" x14ac:dyDescent="0.4">
      <c r="A292" s="1">
        <v>30072</v>
      </c>
      <c r="B292" s="28">
        <v>341.02083333333331</v>
      </c>
      <c r="C292" s="28">
        <f t="shared" si="20"/>
        <v>340.94166666666672</v>
      </c>
      <c r="D292" s="28">
        <f t="shared" si="20"/>
        <v>340.84625000000005</v>
      </c>
      <c r="E292" s="28">
        <f t="shared" si="20"/>
        <v>340.73500000000001</v>
      </c>
      <c r="F292" s="28">
        <f t="shared" si="20"/>
        <v>340.61208333333332</v>
      </c>
      <c r="G292" s="28">
        <f t="shared" si="20"/>
        <v>340.50083333333333</v>
      </c>
      <c r="H292" s="28">
        <f t="shared" si="20"/>
        <v>340.40375</v>
      </c>
      <c r="I292" s="28">
        <f t="shared" si="20"/>
        <v>340.3079166666667</v>
      </c>
      <c r="J292" s="28">
        <f t="shared" si="20"/>
        <v>340.20833333333331</v>
      </c>
      <c r="K292" s="28">
        <f t="shared" si="20"/>
        <v>340.10624999999999</v>
      </c>
      <c r="L292" s="28">
        <f t="shared" si="20"/>
        <v>339.99625000000003</v>
      </c>
      <c r="M292" s="28">
        <f t="shared" si="20"/>
        <v>339.87500000000006</v>
      </c>
      <c r="N292" s="28">
        <f t="shared" si="20"/>
        <v>339.76416666666665</v>
      </c>
    </row>
    <row r="293" spans="1:14" x14ac:dyDescent="0.4">
      <c r="A293" s="1">
        <v>30103</v>
      </c>
      <c r="B293" s="28">
        <v>341.09500000000003</v>
      </c>
      <c r="C293" s="28">
        <f t="shared" si="20"/>
        <v>341.02083333333331</v>
      </c>
      <c r="D293" s="28">
        <f t="shared" si="20"/>
        <v>340.94166666666672</v>
      </c>
      <c r="E293" s="28">
        <f t="shared" si="20"/>
        <v>340.84625000000005</v>
      </c>
      <c r="F293" s="28">
        <f t="shared" si="20"/>
        <v>340.73500000000001</v>
      </c>
      <c r="G293" s="28">
        <f t="shared" si="20"/>
        <v>340.61208333333332</v>
      </c>
      <c r="H293" s="28">
        <f t="shared" si="20"/>
        <v>340.50083333333333</v>
      </c>
      <c r="I293" s="28">
        <f t="shared" si="20"/>
        <v>340.40375</v>
      </c>
      <c r="J293" s="28">
        <f t="shared" si="20"/>
        <v>340.3079166666667</v>
      </c>
      <c r="K293" s="28">
        <f t="shared" si="20"/>
        <v>340.20833333333331</v>
      </c>
      <c r="L293" s="28">
        <f t="shared" si="20"/>
        <v>340.10624999999999</v>
      </c>
      <c r="M293" s="28">
        <f t="shared" si="20"/>
        <v>339.99625000000003</v>
      </c>
      <c r="N293" s="28">
        <f t="shared" si="20"/>
        <v>339.87500000000006</v>
      </c>
    </row>
    <row r="294" spans="1:14" x14ac:dyDescent="0.4">
      <c r="A294" s="1">
        <v>30133</v>
      </c>
      <c r="B294" s="28">
        <v>341.15791666666667</v>
      </c>
      <c r="C294" s="28">
        <f t="shared" si="20"/>
        <v>341.09500000000003</v>
      </c>
      <c r="D294" s="28">
        <f t="shared" si="20"/>
        <v>341.02083333333331</v>
      </c>
      <c r="E294" s="28">
        <f t="shared" si="20"/>
        <v>340.94166666666672</v>
      </c>
      <c r="F294" s="28">
        <f t="shared" si="20"/>
        <v>340.84625000000005</v>
      </c>
      <c r="G294" s="28">
        <f t="shared" si="20"/>
        <v>340.73500000000001</v>
      </c>
      <c r="H294" s="28">
        <f t="shared" si="20"/>
        <v>340.61208333333332</v>
      </c>
      <c r="I294" s="28">
        <f t="shared" si="20"/>
        <v>340.50083333333333</v>
      </c>
      <c r="J294" s="28">
        <f t="shared" si="20"/>
        <v>340.40375</v>
      </c>
      <c r="K294" s="28">
        <f t="shared" si="20"/>
        <v>340.3079166666667</v>
      </c>
      <c r="L294" s="28">
        <f t="shared" si="20"/>
        <v>340.20833333333331</v>
      </c>
      <c r="M294" s="28">
        <f t="shared" si="20"/>
        <v>340.10624999999999</v>
      </c>
      <c r="N294" s="28">
        <f t="shared" si="20"/>
        <v>339.99625000000003</v>
      </c>
    </row>
    <row r="295" spans="1:14" x14ac:dyDescent="0.4">
      <c r="A295" s="1">
        <v>30164</v>
      </c>
      <c r="B295" s="28">
        <v>341.22208333333333</v>
      </c>
      <c r="C295" s="28">
        <f t="shared" si="20"/>
        <v>341.15791666666667</v>
      </c>
      <c r="D295" s="28">
        <f t="shared" si="20"/>
        <v>341.09500000000003</v>
      </c>
      <c r="E295" s="28">
        <f t="shared" si="20"/>
        <v>341.02083333333331</v>
      </c>
      <c r="F295" s="28">
        <f t="shared" si="20"/>
        <v>340.94166666666672</v>
      </c>
      <c r="G295" s="28">
        <f t="shared" si="20"/>
        <v>340.84625000000005</v>
      </c>
      <c r="H295" s="28">
        <f t="shared" si="20"/>
        <v>340.73500000000001</v>
      </c>
      <c r="I295" s="28">
        <f t="shared" si="20"/>
        <v>340.61208333333332</v>
      </c>
      <c r="J295" s="28">
        <f t="shared" si="20"/>
        <v>340.50083333333333</v>
      </c>
      <c r="K295" s="28">
        <f t="shared" si="20"/>
        <v>340.40375</v>
      </c>
      <c r="L295" s="28">
        <f t="shared" si="20"/>
        <v>340.3079166666667</v>
      </c>
      <c r="M295" s="28">
        <f t="shared" si="20"/>
        <v>340.20833333333331</v>
      </c>
      <c r="N295" s="28">
        <f t="shared" si="20"/>
        <v>340.10624999999999</v>
      </c>
    </row>
    <row r="296" spans="1:14" x14ac:dyDescent="0.4">
      <c r="A296" s="1">
        <v>30195</v>
      </c>
      <c r="B296" s="28">
        <v>341.2766666666667</v>
      </c>
      <c r="C296" s="28">
        <f t="shared" si="20"/>
        <v>341.22208333333333</v>
      </c>
      <c r="D296" s="28">
        <f t="shared" si="20"/>
        <v>341.15791666666667</v>
      </c>
      <c r="E296" s="28">
        <f t="shared" si="20"/>
        <v>341.09500000000003</v>
      </c>
      <c r="F296" s="28">
        <f t="shared" ref="F296:U311" si="21">IF(E295=0,"",E295)</f>
        <v>341.02083333333331</v>
      </c>
      <c r="G296" s="28">
        <f t="shared" si="21"/>
        <v>340.94166666666672</v>
      </c>
      <c r="H296" s="28">
        <f t="shared" si="21"/>
        <v>340.84625000000005</v>
      </c>
      <c r="I296" s="28">
        <f t="shared" si="21"/>
        <v>340.73500000000001</v>
      </c>
      <c r="J296" s="28">
        <f t="shared" si="21"/>
        <v>340.61208333333332</v>
      </c>
      <c r="K296" s="28">
        <f t="shared" si="21"/>
        <v>340.50083333333333</v>
      </c>
      <c r="L296" s="28">
        <f t="shared" si="21"/>
        <v>340.40375</v>
      </c>
      <c r="M296" s="28">
        <f t="shared" si="21"/>
        <v>340.3079166666667</v>
      </c>
      <c r="N296" s="28">
        <f t="shared" si="21"/>
        <v>340.20833333333331</v>
      </c>
    </row>
    <row r="297" spans="1:14" x14ac:dyDescent="0.4">
      <c r="A297" s="1">
        <v>30225</v>
      </c>
      <c r="B297" s="28">
        <v>341.35041666666666</v>
      </c>
      <c r="C297" s="28">
        <f t="shared" ref="C297:N360" si="22">IF(B296=0,"",B296)</f>
        <v>341.2766666666667</v>
      </c>
      <c r="D297" s="28">
        <f t="shared" si="22"/>
        <v>341.22208333333333</v>
      </c>
      <c r="E297" s="28">
        <f t="shared" si="22"/>
        <v>341.15791666666667</v>
      </c>
      <c r="F297" s="28">
        <f t="shared" si="22"/>
        <v>341.09500000000003</v>
      </c>
      <c r="G297" s="28">
        <f t="shared" si="22"/>
        <v>341.02083333333331</v>
      </c>
      <c r="H297" s="28">
        <f t="shared" si="22"/>
        <v>340.94166666666672</v>
      </c>
      <c r="I297" s="28">
        <f t="shared" si="22"/>
        <v>340.84625000000005</v>
      </c>
      <c r="J297" s="28">
        <f t="shared" si="22"/>
        <v>340.73500000000001</v>
      </c>
      <c r="K297" s="28">
        <f t="shared" si="22"/>
        <v>340.61208333333332</v>
      </c>
      <c r="L297" s="28">
        <f t="shared" si="22"/>
        <v>340.50083333333333</v>
      </c>
      <c r="M297" s="28">
        <f t="shared" si="22"/>
        <v>340.40375</v>
      </c>
      <c r="N297" s="28">
        <f t="shared" si="22"/>
        <v>340.3079166666667</v>
      </c>
    </row>
    <row r="298" spans="1:14" x14ac:dyDescent="0.4">
      <c r="A298" s="1">
        <v>30256</v>
      </c>
      <c r="B298" s="28">
        <v>341.47499999999997</v>
      </c>
      <c r="C298" s="28">
        <f t="shared" si="22"/>
        <v>341.35041666666666</v>
      </c>
      <c r="D298" s="28">
        <f t="shared" si="22"/>
        <v>341.2766666666667</v>
      </c>
      <c r="E298" s="28">
        <f t="shared" si="22"/>
        <v>341.22208333333333</v>
      </c>
      <c r="F298" s="28">
        <f t="shared" si="22"/>
        <v>341.15791666666667</v>
      </c>
      <c r="G298" s="28">
        <f t="shared" si="22"/>
        <v>341.09500000000003</v>
      </c>
      <c r="H298" s="28">
        <f t="shared" si="22"/>
        <v>341.02083333333331</v>
      </c>
      <c r="I298" s="28">
        <f t="shared" si="22"/>
        <v>340.94166666666672</v>
      </c>
      <c r="J298" s="28">
        <f t="shared" si="22"/>
        <v>340.84625000000005</v>
      </c>
      <c r="K298" s="28">
        <f t="shared" si="22"/>
        <v>340.73500000000001</v>
      </c>
      <c r="L298" s="28">
        <f t="shared" si="22"/>
        <v>340.61208333333332</v>
      </c>
      <c r="M298" s="28">
        <f t="shared" si="22"/>
        <v>340.50083333333333</v>
      </c>
      <c r="N298" s="28">
        <f t="shared" si="22"/>
        <v>340.40375</v>
      </c>
    </row>
    <row r="299" spans="1:14" x14ac:dyDescent="0.4">
      <c r="A299" s="1">
        <v>30286</v>
      </c>
      <c r="B299" s="28">
        <v>341.62458333333331</v>
      </c>
      <c r="C299" s="28">
        <f t="shared" si="22"/>
        <v>341.47499999999997</v>
      </c>
      <c r="D299" s="28">
        <f t="shared" si="22"/>
        <v>341.35041666666666</v>
      </c>
      <c r="E299" s="28">
        <f t="shared" si="22"/>
        <v>341.2766666666667</v>
      </c>
      <c r="F299" s="28">
        <f t="shared" si="22"/>
        <v>341.22208333333333</v>
      </c>
      <c r="G299" s="28">
        <f t="shared" si="22"/>
        <v>341.15791666666667</v>
      </c>
      <c r="H299" s="28">
        <f t="shared" si="22"/>
        <v>341.09500000000003</v>
      </c>
      <c r="I299" s="28">
        <f t="shared" si="22"/>
        <v>341.02083333333331</v>
      </c>
      <c r="J299" s="28">
        <f t="shared" si="22"/>
        <v>340.94166666666672</v>
      </c>
      <c r="K299" s="28">
        <f t="shared" si="22"/>
        <v>340.84625000000005</v>
      </c>
      <c r="L299" s="28">
        <f t="shared" si="22"/>
        <v>340.73500000000001</v>
      </c>
      <c r="M299" s="28">
        <f t="shared" si="22"/>
        <v>340.61208333333332</v>
      </c>
      <c r="N299" s="28">
        <f t="shared" si="22"/>
        <v>340.50083333333333</v>
      </c>
    </row>
    <row r="300" spans="1:14" x14ac:dyDescent="0.4">
      <c r="A300" s="1">
        <v>30317</v>
      </c>
      <c r="B300" s="28">
        <v>341.78666666666663</v>
      </c>
      <c r="C300" s="28">
        <f t="shared" si="22"/>
        <v>341.62458333333331</v>
      </c>
      <c r="D300" s="28">
        <f t="shared" si="22"/>
        <v>341.47499999999997</v>
      </c>
      <c r="E300" s="28">
        <f t="shared" si="22"/>
        <v>341.35041666666666</v>
      </c>
      <c r="F300" s="28">
        <f t="shared" si="22"/>
        <v>341.2766666666667</v>
      </c>
      <c r="G300" s="28">
        <f t="shared" si="22"/>
        <v>341.22208333333333</v>
      </c>
      <c r="H300" s="28">
        <f t="shared" si="22"/>
        <v>341.15791666666667</v>
      </c>
      <c r="I300" s="28">
        <f t="shared" si="22"/>
        <v>341.09500000000003</v>
      </c>
      <c r="J300" s="28">
        <f t="shared" si="22"/>
        <v>341.02083333333331</v>
      </c>
      <c r="K300" s="28">
        <f t="shared" si="22"/>
        <v>340.94166666666672</v>
      </c>
      <c r="L300" s="28">
        <f t="shared" si="22"/>
        <v>340.84625000000005</v>
      </c>
      <c r="M300" s="28">
        <f t="shared" si="22"/>
        <v>340.73500000000001</v>
      </c>
      <c r="N300" s="28">
        <f t="shared" si="22"/>
        <v>340.61208333333332</v>
      </c>
    </row>
    <row r="301" spans="1:14" x14ac:dyDescent="0.4">
      <c r="A301" s="1">
        <v>30348</v>
      </c>
      <c r="B301" s="28">
        <v>341.97374999999994</v>
      </c>
      <c r="C301" s="28">
        <f t="shared" si="22"/>
        <v>341.78666666666663</v>
      </c>
      <c r="D301" s="28">
        <f t="shared" si="22"/>
        <v>341.62458333333331</v>
      </c>
      <c r="E301" s="28">
        <f t="shared" si="22"/>
        <v>341.47499999999997</v>
      </c>
      <c r="F301" s="28">
        <f t="shared" si="22"/>
        <v>341.35041666666666</v>
      </c>
      <c r="G301" s="28">
        <f t="shared" si="22"/>
        <v>341.2766666666667</v>
      </c>
      <c r="H301" s="28">
        <f t="shared" si="22"/>
        <v>341.22208333333333</v>
      </c>
      <c r="I301" s="28">
        <f t="shared" si="22"/>
        <v>341.15791666666667</v>
      </c>
      <c r="J301" s="28">
        <f t="shared" si="22"/>
        <v>341.09500000000003</v>
      </c>
      <c r="K301" s="28">
        <f t="shared" si="22"/>
        <v>341.02083333333331</v>
      </c>
      <c r="L301" s="28">
        <f t="shared" si="22"/>
        <v>340.94166666666672</v>
      </c>
      <c r="M301" s="28">
        <f t="shared" si="22"/>
        <v>340.84625000000005</v>
      </c>
      <c r="N301" s="28">
        <f t="shared" si="22"/>
        <v>340.73500000000001</v>
      </c>
    </row>
    <row r="302" spans="1:14" x14ac:dyDescent="0.4">
      <c r="A302" s="1">
        <v>30376</v>
      </c>
      <c r="B302" s="28">
        <v>342.15958333333327</v>
      </c>
      <c r="C302" s="28">
        <f t="shared" si="22"/>
        <v>341.97374999999994</v>
      </c>
      <c r="D302" s="28">
        <f t="shared" si="22"/>
        <v>341.78666666666663</v>
      </c>
      <c r="E302" s="28">
        <f t="shared" si="22"/>
        <v>341.62458333333331</v>
      </c>
      <c r="F302" s="28">
        <f t="shared" si="22"/>
        <v>341.47499999999997</v>
      </c>
      <c r="G302" s="28">
        <f t="shared" si="22"/>
        <v>341.35041666666666</v>
      </c>
      <c r="H302" s="28">
        <f t="shared" si="22"/>
        <v>341.2766666666667</v>
      </c>
      <c r="I302" s="28">
        <f t="shared" si="22"/>
        <v>341.22208333333333</v>
      </c>
      <c r="J302" s="28">
        <f t="shared" si="22"/>
        <v>341.15791666666667</v>
      </c>
      <c r="K302" s="28">
        <f t="shared" si="22"/>
        <v>341.09500000000003</v>
      </c>
      <c r="L302" s="28">
        <f t="shared" si="22"/>
        <v>341.02083333333331</v>
      </c>
      <c r="M302" s="28">
        <f t="shared" si="22"/>
        <v>340.94166666666672</v>
      </c>
      <c r="N302" s="28">
        <f t="shared" si="22"/>
        <v>340.84625000000005</v>
      </c>
    </row>
    <row r="303" spans="1:14" x14ac:dyDescent="0.4">
      <c r="A303" s="1">
        <v>30407</v>
      </c>
      <c r="B303" s="28">
        <v>342.32708333333335</v>
      </c>
      <c r="C303" s="28">
        <f t="shared" si="22"/>
        <v>342.15958333333327</v>
      </c>
      <c r="D303" s="28">
        <f t="shared" si="22"/>
        <v>341.97374999999994</v>
      </c>
      <c r="E303" s="28">
        <f t="shared" si="22"/>
        <v>341.78666666666663</v>
      </c>
      <c r="F303" s="28">
        <f t="shared" si="22"/>
        <v>341.62458333333331</v>
      </c>
      <c r="G303" s="28">
        <f t="shared" si="22"/>
        <v>341.47499999999997</v>
      </c>
      <c r="H303" s="28">
        <f t="shared" si="22"/>
        <v>341.35041666666666</v>
      </c>
      <c r="I303" s="28">
        <f t="shared" si="22"/>
        <v>341.2766666666667</v>
      </c>
      <c r="J303" s="28">
        <f t="shared" si="22"/>
        <v>341.22208333333333</v>
      </c>
      <c r="K303" s="28">
        <f t="shared" si="22"/>
        <v>341.15791666666667</v>
      </c>
      <c r="L303" s="28">
        <f t="shared" si="22"/>
        <v>341.09500000000003</v>
      </c>
      <c r="M303" s="28">
        <f t="shared" si="22"/>
        <v>341.02083333333331</v>
      </c>
      <c r="N303" s="28">
        <f t="shared" si="22"/>
        <v>340.94166666666672</v>
      </c>
    </row>
    <row r="304" spans="1:14" x14ac:dyDescent="0.4">
      <c r="A304" s="1">
        <v>30437</v>
      </c>
      <c r="B304" s="28">
        <v>342.49458333333331</v>
      </c>
      <c r="C304" s="28">
        <f t="shared" si="22"/>
        <v>342.32708333333335</v>
      </c>
      <c r="D304" s="28">
        <f t="shared" si="22"/>
        <v>342.15958333333327</v>
      </c>
      <c r="E304" s="28">
        <f t="shared" si="22"/>
        <v>341.97374999999994</v>
      </c>
      <c r="F304" s="28">
        <f t="shared" si="22"/>
        <v>341.78666666666663</v>
      </c>
      <c r="G304" s="28">
        <f t="shared" si="22"/>
        <v>341.62458333333331</v>
      </c>
      <c r="H304" s="28">
        <f t="shared" si="22"/>
        <v>341.47499999999997</v>
      </c>
      <c r="I304" s="28">
        <f t="shared" si="22"/>
        <v>341.35041666666666</v>
      </c>
      <c r="J304" s="28">
        <f t="shared" si="22"/>
        <v>341.2766666666667</v>
      </c>
      <c r="K304" s="28">
        <f t="shared" si="22"/>
        <v>341.22208333333333</v>
      </c>
      <c r="L304" s="28">
        <f t="shared" si="22"/>
        <v>341.15791666666667</v>
      </c>
      <c r="M304" s="28">
        <f t="shared" si="22"/>
        <v>341.09500000000003</v>
      </c>
      <c r="N304" s="28">
        <f t="shared" si="22"/>
        <v>341.02083333333331</v>
      </c>
    </row>
    <row r="305" spans="1:14" x14ac:dyDescent="0.4">
      <c r="A305" s="1">
        <v>30468</v>
      </c>
      <c r="B305" s="28">
        <v>342.67749999999995</v>
      </c>
      <c r="C305" s="28">
        <f t="shared" si="22"/>
        <v>342.49458333333331</v>
      </c>
      <c r="D305" s="28">
        <f t="shared" si="22"/>
        <v>342.32708333333335</v>
      </c>
      <c r="E305" s="28">
        <f t="shared" si="22"/>
        <v>342.15958333333327</v>
      </c>
      <c r="F305" s="28">
        <f t="shared" si="22"/>
        <v>341.97374999999994</v>
      </c>
      <c r="G305" s="28">
        <f t="shared" si="22"/>
        <v>341.78666666666663</v>
      </c>
      <c r="H305" s="28">
        <f t="shared" si="22"/>
        <v>341.62458333333331</v>
      </c>
      <c r="I305" s="28">
        <f t="shared" si="22"/>
        <v>341.47499999999997</v>
      </c>
      <c r="J305" s="28">
        <f t="shared" si="22"/>
        <v>341.35041666666666</v>
      </c>
      <c r="K305" s="28">
        <f t="shared" si="22"/>
        <v>341.2766666666667</v>
      </c>
      <c r="L305" s="28">
        <f t="shared" si="22"/>
        <v>341.22208333333333</v>
      </c>
      <c r="M305" s="28">
        <f t="shared" si="22"/>
        <v>341.15791666666667</v>
      </c>
      <c r="N305" s="28">
        <f t="shared" si="22"/>
        <v>341.09500000000003</v>
      </c>
    </row>
    <row r="306" spans="1:14" x14ac:dyDescent="0.4">
      <c r="A306" s="1">
        <v>30498</v>
      </c>
      <c r="B306" s="28">
        <v>342.87833333333327</v>
      </c>
      <c r="C306" s="28">
        <f t="shared" si="22"/>
        <v>342.67749999999995</v>
      </c>
      <c r="D306" s="28">
        <f t="shared" si="22"/>
        <v>342.49458333333331</v>
      </c>
      <c r="E306" s="28">
        <f t="shared" si="22"/>
        <v>342.32708333333335</v>
      </c>
      <c r="F306" s="28">
        <f t="shared" si="22"/>
        <v>342.15958333333327</v>
      </c>
      <c r="G306" s="28">
        <f t="shared" si="22"/>
        <v>341.97374999999994</v>
      </c>
      <c r="H306" s="28">
        <f t="shared" si="22"/>
        <v>341.78666666666663</v>
      </c>
      <c r="I306" s="28">
        <f t="shared" si="22"/>
        <v>341.62458333333331</v>
      </c>
      <c r="J306" s="28">
        <f t="shared" si="22"/>
        <v>341.47499999999997</v>
      </c>
      <c r="K306" s="28">
        <f t="shared" si="22"/>
        <v>341.35041666666666</v>
      </c>
      <c r="L306" s="28">
        <f t="shared" si="22"/>
        <v>341.2766666666667</v>
      </c>
      <c r="M306" s="28">
        <f t="shared" si="22"/>
        <v>341.22208333333333</v>
      </c>
      <c r="N306" s="28">
        <f t="shared" si="22"/>
        <v>341.15791666666667</v>
      </c>
    </row>
    <row r="307" spans="1:14" x14ac:dyDescent="0.4">
      <c r="A307" s="1">
        <v>30529</v>
      </c>
      <c r="B307" s="28">
        <v>343.05749999999995</v>
      </c>
      <c r="C307" s="28">
        <f t="shared" si="22"/>
        <v>342.87833333333327</v>
      </c>
      <c r="D307" s="28">
        <f t="shared" si="22"/>
        <v>342.67749999999995</v>
      </c>
      <c r="E307" s="28">
        <f t="shared" si="22"/>
        <v>342.49458333333331</v>
      </c>
      <c r="F307" s="28">
        <f t="shared" si="22"/>
        <v>342.32708333333335</v>
      </c>
      <c r="G307" s="28">
        <f t="shared" si="22"/>
        <v>342.15958333333327</v>
      </c>
      <c r="H307" s="28">
        <f t="shared" si="22"/>
        <v>341.97374999999994</v>
      </c>
      <c r="I307" s="28">
        <f t="shared" si="22"/>
        <v>341.78666666666663</v>
      </c>
      <c r="J307" s="28">
        <f t="shared" si="22"/>
        <v>341.62458333333331</v>
      </c>
      <c r="K307" s="28">
        <f t="shared" si="22"/>
        <v>341.47499999999997</v>
      </c>
      <c r="L307" s="28">
        <f t="shared" si="22"/>
        <v>341.35041666666666</v>
      </c>
      <c r="M307" s="28">
        <f t="shared" si="22"/>
        <v>341.2766666666667</v>
      </c>
      <c r="N307" s="28">
        <f t="shared" si="22"/>
        <v>341.22208333333333</v>
      </c>
    </row>
    <row r="308" spans="1:14" x14ac:dyDescent="0.4">
      <c r="A308" s="1">
        <v>30560</v>
      </c>
      <c r="B308" s="28">
        <v>343.23083333333335</v>
      </c>
      <c r="C308" s="28">
        <f t="shared" si="22"/>
        <v>343.05749999999995</v>
      </c>
      <c r="D308" s="28">
        <f t="shared" si="22"/>
        <v>342.87833333333327</v>
      </c>
      <c r="E308" s="28">
        <f t="shared" si="22"/>
        <v>342.67749999999995</v>
      </c>
      <c r="F308" s="28">
        <f t="shared" si="22"/>
        <v>342.49458333333331</v>
      </c>
      <c r="G308" s="28">
        <f t="shared" si="22"/>
        <v>342.32708333333335</v>
      </c>
      <c r="H308" s="28">
        <f t="shared" si="22"/>
        <v>342.15958333333327</v>
      </c>
      <c r="I308" s="28">
        <f t="shared" si="22"/>
        <v>341.97374999999994</v>
      </c>
      <c r="J308" s="28">
        <f t="shared" si="22"/>
        <v>341.78666666666663</v>
      </c>
      <c r="K308" s="28">
        <f t="shared" si="22"/>
        <v>341.62458333333331</v>
      </c>
      <c r="L308" s="28">
        <f t="shared" si="22"/>
        <v>341.47499999999997</v>
      </c>
      <c r="M308" s="28">
        <f t="shared" si="22"/>
        <v>341.35041666666666</v>
      </c>
      <c r="N308" s="28">
        <f t="shared" si="22"/>
        <v>341.2766666666667</v>
      </c>
    </row>
    <row r="309" spans="1:14" x14ac:dyDescent="0.4">
      <c r="A309" s="1">
        <v>30590</v>
      </c>
      <c r="B309" s="28">
        <v>343.40958333333333</v>
      </c>
      <c r="C309" s="28">
        <f t="shared" si="22"/>
        <v>343.23083333333335</v>
      </c>
      <c r="D309" s="28">
        <f t="shared" si="22"/>
        <v>343.05749999999995</v>
      </c>
      <c r="E309" s="28">
        <f t="shared" si="22"/>
        <v>342.87833333333327</v>
      </c>
      <c r="F309" s="28">
        <f t="shared" si="22"/>
        <v>342.67749999999995</v>
      </c>
      <c r="G309" s="28">
        <f t="shared" si="22"/>
        <v>342.49458333333331</v>
      </c>
      <c r="H309" s="28">
        <f t="shared" si="22"/>
        <v>342.32708333333335</v>
      </c>
      <c r="I309" s="28">
        <f t="shared" si="22"/>
        <v>342.15958333333327</v>
      </c>
      <c r="J309" s="28">
        <f t="shared" si="22"/>
        <v>341.97374999999994</v>
      </c>
      <c r="K309" s="28">
        <f t="shared" si="22"/>
        <v>341.78666666666663</v>
      </c>
      <c r="L309" s="28">
        <f t="shared" si="22"/>
        <v>341.62458333333331</v>
      </c>
      <c r="M309" s="28">
        <f t="shared" si="22"/>
        <v>341.47499999999997</v>
      </c>
      <c r="N309" s="28">
        <f t="shared" si="22"/>
        <v>341.35041666666666</v>
      </c>
    </row>
    <row r="310" spans="1:14" x14ac:dyDescent="0.4">
      <c r="A310" s="1">
        <v>30621</v>
      </c>
      <c r="B310" s="28">
        <v>343.56708333333336</v>
      </c>
      <c r="C310" s="28">
        <f t="shared" si="22"/>
        <v>343.40958333333333</v>
      </c>
      <c r="D310" s="28">
        <f t="shared" si="22"/>
        <v>343.23083333333335</v>
      </c>
      <c r="E310" s="28">
        <f t="shared" si="22"/>
        <v>343.05749999999995</v>
      </c>
      <c r="F310" s="28">
        <f t="shared" si="22"/>
        <v>342.87833333333327</v>
      </c>
      <c r="G310" s="28">
        <f t="shared" si="22"/>
        <v>342.67749999999995</v>
      </c>
      <c r="H310" s="28">
        <f t="shared" si="22"/>
        <v>342.49458333333331</v>
      </c>
      <c r="I310" s="28">
        <f t="shared" si="22"/>
        <v>342.32708333333335</v>
      </c>
      <c r="J310" s="28">
        <f t="shared" si="22"/>
        <v>342.15958333333327</v>
      </c>
      <c r="K310" s="28">
        <f t="shared" si="22"/>
        <v>341.97374999999994</v>
      </c>
      <c r="L310" s="28">
        <f t="shared" si="22"/>
        <v>341.78666666666663</v>
      </c>
      <c r="M310" s="28">
        <f t="shared" si="22"/>
        <v>341.62458333333331</v>
      </c>
      <c r="N310" s="28">
        <f t="shared" si="22"/>
        <v>341.47499999999997</v>
      </c>
    </row>
    <row r="311" spans="1:14" x14ac:dyDescent="0.4">
      <c r="A311" s="1">
        <v>30651</v>
      </c>
      <c r="B311" s="28">
        <v>343.69833333333332</v>
      </c>
      <c r="C311" s="28">
        <f t="shared" si="22"/>
        <v>343.56708333333336</v>
      </c>
      <c r="D311" s="28">
        <f t="shared" si="22"/>
        <v>343.40958333333333</v>
      </c>
      <c r="E311" s="28">
        <f t="shared" si="22"/>
        <v>343.23083333333335</v>
      </c>
      <c r="F311" s="28">
        <f t="shared" si="22"/>
        <v>343.05749999999995</v>
      </c>
      <c r="G311" s="28">
        <f t="shared" si="22"/>
        <v>342.87833333333327</v>
      </c>
      <c r="H311" s="28">
        <f t="shared" si="22"/>
        <v>342.67749999999995</v>
      </c>
      <c r="I311" s="28">
        <f t="shared" si="22"/>
        <v>342.49458333333331</v>
      </c>
      <c r="J311" s="28">
        <f t="shared" si="22"/>
        <v>342.32708333333335</v>
      </c>
      <c r="K311" s="28">
        <f t="shared" si="22"/>
        <v>342.15958333333327</v>
      </c>
      <c r="L311" s="28">
        <f t="shared" si="22"/>
        <v>341.97374999999994</v>
      </c>
      <c r="M311" s="28">
        <f t="shared" si="22"/>
        <v>341.78666666666663</v>
      </c>
      <c r="N311" s="28">
        <f t="shared" si="22"/>
        <v>341.62458333333331</v>
      </c>
    </row>
    <row r="312" spans="1:14" x14ac:dyDescent="0.4">
      <c r="A312" s="1">
        <v>30682</v>
      </c>
      <c r="B312" s="28">
        <v>343.81874999999997</v>
      </c>
      <c r="C312" s="28">
        <f t="shared" si="22"/>
        <v>343.69833333333332</v>
      </c>
      <c r="D312" s="28">
        <f t="shared" si="22"/>
        <v>343.56708333333336</v>
      </c>
      <c r="E312" s="28">
        <f t="shared" si="22"/>
        <v>343.40958333333333</v>
      </c>
      <c r="F312" s="28">
        <f t="shared" si="22"/>
        <v>343.23083333333335</v>
      </c>
      <c r="G312" s="28">
        <f t="shared" si="22"/>
        <v>343.05749999999995</v>
      </c>
      <c r="H312" s="28">
        <f t="shared" si="22"/>
        <v>342.87833333333327</v>
      </c>
      <c r="I312" s="28">
        <f t="shared" si="22"/>
        <v>342.67749999999995</v>
      </c>
      <c r="J312" s="28">
        <f t="shared" si="22"/>
        <v>342.49458333333331</v>
      </c>
      <c r="K312" s="28">
        <f t="shared" si="22"/>
        <v>342.32708333333335</v>
      </c>
      <c r="L312" s="28">
        <f t="shared" si="22"/>
        <v>342.15958333333327</v>
      </c>
      <c r="M312" s="28">
        <f t="shared" si="22"/>
        <v>341.97374999999994</v>
      </c>
      <c r="N312" s="28">
        <f t="shared" si="22"/>
        <v>341.78666666666663</v>
      </c>
    </row>
    <row r="313" spans="1:14" x14ac:dyDescent="0.4">
      <c r="A313" s="1">
        <v>30713</v>
      </c>
      <c r="B313" s="28">
        <v>343.91499999999996</v>
      </c>
      <c r="C313" s="28">
        <f t="shared" si="22"/>
        <v>343.81874999999997</v>
      </c>
      <c r="D313" s="28">
        <f t="shared" si="22"/>
        <v>343.69833333333332</v>
      </c>
      <c r="E313" s="28">
        <f t="shared" si="22"/>
        <v>343.56708333333336</v>
      </c>
      <c r="F313" s="28">
        <f t="shared" si="22"/>
        <v>343.40958333333333</v>
      </c>
      <c r="G313" s="28">
        <f t="shared" si="22"/>
        <v>343.23083333333335</v>
      </c>
      <c r="H313" s="28">
        <f t="shared" si="22"/>
        <v>343.05749999999995</v>
      </c>
      <c r="I313" s="28">
        <f t="shared" si="22"/>
        <v>342.87833333333327</v>
      </c>
      <c r="J313" s="28">
        <f t="shared" si="22"/>
        <v>342.67749999999995</v>
      </c>
      <c r="K313" s="28">
        <f t="shared" si="22"/>
        <v>342.49458333333331</v>
      </c>
      <c r="L313" s="28">
        <f t="shared" si="22"/>
        <v>342.32708333333335</v>
      </c>
      <c r="M313" s="28">
        <f t="shared" si="22"/>
        <v>342.15958333333327</v>
      </c>
      <c r="N313" s="28">
        <f t="shared" si="22"/>
        <v>341.97374999999994</v>
      </c>
    </row>
    <row r="314" spans="1:14" x14ac:dyDescent="0.4">
      <c r="A314" s="1">
        <v>30742</v>
      </c>
      <c r="B314" s="28">
        <v>344.0025</v>
      </c>
      <c r="C314" s="28">
        <f t="shared" si="22"/>
        <v>343.91499999999996</v>
      </c>
      <c r="D314" s="28">
        <f t="shared" si="22"/>
        <v>343.81874999999997</v>
      </c>
      <c r="E314" s="28">
        <f t="shared" si="22"/>
        <v>343.69833333333332</v>
      </c>
      <c r="F314" s="28">
        <f t="shared" si="22"/>
        <v>343.56708333333336</v>
      </c>
      <c r="G314" s="28">
        <f t="shared" si="22"/>
        <v>343.40958333333333</v>
      </c>
      <c r="H314" s="28">
        <f t="shared" si="22"/>
        <v>343.23083333333335</v>
      </c>
      <c r="I314" s="28">
        <f t="shared" si="22"/>
        <v>343.05749999999995</v>
      </c>
      <c r="J314" s="28">
        <f t="shared" si="22"/>
        <v>342.87833333333327</v>
      </c>
      <c r="K314" s="28">
        <f t="shared" si="22"/>
        <v>342.67749999999995</v>
      </c>
      <c r="L314" s="28">
        <f t="shared" si="22"/>
        <v>342.49458333333331</v>
      </c>
      <c r="M314" s="28">
        <f t="shared" si="22"/>
        <v>342.32708333333335</v>
      </c>
      <c r="N314" s="28">
        <f t="shared" si="22"/>
        <v>342.15958333333327</v>
      </c>
    </row>
    <row r="315" spans="1:14" x14ac:dyDescent="0.4">
      <c r="A315" s="1">
        <v>30773</v>
      </c>
      <c r="B315" s="28">
        <v>344.10916666666668</v>
      </c>
      <c r="C315" s="28">
        <f t="shared" si="22"/>
        <v>344.0025</v>
      </c>
      <c r="D315" s="28">
        <f t="shared" si="22"/>
        <v>343.91499999999996</v>
      </c>
      <c r="E315" s="28">
        <f t="shared" si="22"/>
        <v>343.81874999999997</v>
      </c>
      <c r="F315" s="28">
        <f t="shared" si="22"/>
        <v>343.69833333333332</v>
      </c>
      <c r="G315" s="28">
        <f t="shared" si="22"/>
        <v>343.56708333333336</v>
      </c>
      <c r="H315" s="28">
        <f t="shared" si="22"/>
        <v>343.40958333333333</v>
      </c>
      <c r="I315" s="28">
        <f t="shared" si="22"/>
        <v>343.23083333333335</v>
      </c>
      <c r="J315" s="28">
        <f t="shared" si="22"/>
        <v>343.05749999999995</v>
      </c>
      <c r="K315" s="28">
        <f t="shared" si="22"/>
        <v>342.87833333333327</v>
      </c>
      <c r="L315" s="28">
        <f t="shared" si="22"/>
        <v>342.67749999999995</v>
      </c>
      <c r="M315" s="28">
        <f t="shared" si="22"/>
        <v>342.49458333333331</v>
      </c>
      <c r="N315" s="28">
        <f t="shared" si="22"/>
        <v>342.32708333333335</v>
      </c>
    </row>
    <row r="316" spans="1:14" x14ac:dyDescent="0.4">
      <c r="A316" s="1">
        <v>30803</v>
      </c>
      <c r="B316" s="28">
        <v>344.24208333333331</v>
      </c>
      <c r="C316" s="28">
        <f t="shared" si="22"/>
        <v>344.10916666666668</v>
      </c>
      <c r="D316" s="28">
        <f t="shared" si="22"/>
        <v>344.0025</v>
      </c>
      <c r="E316" s="28">
        <f t="shared" si="22"/>
        <v>343.91499999999996</v>
      </c>
      <c r="F316" s="28">
        <f t="shared" si="22"/>
        <v>343.81874999999997</v>
      </c>
      <c r="G316" s="28">
        <f t="shared" si="22"/>
        <v>343.69833333333332</v>
      </c>
      <c r="H316" s="28">
        <f t="shared" si="22"/>
        <v>343.56708333333336</v>
      </c>
      <c r="I316" s="28">
        <f t="shared" si="22"/>
        <v>343.40958333333333</v>
      </c>
      <c r="J316" s="28">
        <f t="shared" si="22"/>
        <v>343.23083333333335</v>
      </c>
      <c r="K316" s="28">
        <f t="shared" si="22"/>
        <v>343.05749999999995</v>
      </c>
      <c r="L316" s="28">
        <f t="shared" si="22"/>
        <v>342.87833333333327</v>
      </c>
      <c r="M316" s="28">
        <f t="shared" si="22"/>
        <v>342.67749999999995</v>
      </c>
      <c r="N316" s="28">
        <f t="shared" si="22"/>
        <v>342.49458333333331</v>
      </c>
    </row>
    <row r="317" spans="1:14" x14ac:dyDescent="0.4">
      <c r="A317" s="1">
        <v>30834</v>
      </c>
      <c r="B317" s="28">
        <v>344.36958333333331</v>
      </c>
      <c r="C317" s="28">
        <f t="shared" si="22"/>
        <v>344.24208333333331</v>
      </c>
      <c r="D317" s="28">
        <f t="shared" si="22"/>
        <v>344.10916666666668</v>
      </c>
      <c r="E317" s="28">
        <f t="shared" si="22"/>
        <v>344.0025</v>
      </c>
      <c r="F317" s="28">
        <f t="shared" si="22"/>
        <v>343.91499999999996</v>
      </c>
      <c r="G317" s="28">
        <f t="shared" si="22"/>
        <v>343.81874999999997</v>
      </c>
      <c r="H317" s="28">
        <f t="shared" si="22"/>
        <v>343.69833333333332</v>
      </c>
      <c r="I317" s="28">
        <f t="shared" si="22"/>
        <v>343.56708333333336</v>
      </c>
      <c r="J317" s="28">
        <f t="shared" si="22"/>
        <v>343.40958333333333</v>
      </c>
      <c r="K317" s="28">
        <f t="shared" si="22"/>
        <v>343.23083333333335</v>
      </c>
      <c r="L317" s="28">
        <f t="shared" si="22"/>
        <v>343.05749999999995</v>
      </c>
      <c r="M317" s="28">
        <f t="shared" si="22"/>
        <v>342.87833333333327</v>
      </c>
      <c r="N317" s="28">
        <f t="shared" si="22"/>
        <v>342.67749999999995</v>
      </c>
    </row>
    <row r="318" spans="1:14" x14ac:dyDescent="0.4">
      <c r="A318" s="1">
        <v>30864</v>
      </c>
      <c r="B318" s="28">
        <v>344.47375000000005</v>
      </c>
      <c r="C318" s="28">
        <f t="shared" si="22"/>
        <v>344.36958333333331</v>
      </c>
      <c r="D318" s="28">
        <f t="shared" si="22"/>
        <v>344.24208333333331</v>
      </c>
      <c r="E318" s="28">
        <f t="shared" si="22"/>
        <v>344.10916666666668</v>
      </c>
      <c r="F318" s="28">
        <f t="shared" ref="C318:Q381" si="23">IF(E317=0,"",E317)</f>
        <v>344.0025</v>
      </c>
      <c r="G318" s="28">
        <f t="shared" si="23"/>
        <v>343.91499999999996</v>
      </c>
      <c r="H318" s="28">
        <f t="shared" si="23"/>
        <v>343.81874999999997</v>
      </c>
      <c r="I318" s="28">
        <f t="shared" si="23"/>
        <v>343.69833333333332</v>
      </c>
      <c r="J318" s="28">
        <f t="shared" si="23"/>
        <v>343.56708333333336</v>
      </c>
      <c r="K318" s="28">
        <f t="shared" si="23"/>
        <v>343.40958333333333</v>
      </c>
      <c r="L318" s="28">
        <f t="shared" si="23"/>
        <v>343.23083333333335</v>
      </c>
      <c r="M318" s="28">
        <f t="shared" si="23"/>
        <v>343.05749999999995</v>
      </c>
      <c r="N318" s="28">
        <f t="shared" si="23"/>
        <v>342.87833333333327</v>
      </c>
    </row>
    <row r="319" spans="1:14" x14ac:dyDescent="0.4">
      <c r="A319" s="1">
        <v>30895</v>
      </c>
      <c r="B319" s="28">
        <v>344.58875000000006</v>
      </c>
      <c r="C319" s="28">
        <f t="shared" si="23"/>
        <v>344.47375000000005</v>
      </c>
      <c r="D319" s="28">
        <f t="shared" si="23"/>
        <v>344.36958333333331</v>
      </c>
      <c r="E319" s="28">
        <f t="shared" si="23"/>
        <v>344.24208333333331</v>
      </c>
      <c r="F319" s="28">
        <f t="shared" si="23"/>
        <v>344.10916666666668</v>
      </c>
      <c r="G319" s="28">
        <f t="shared" si="23"/>
        <v>344.0025</v>
      </c>
      <c r="H319" s="28">
        <f t="shared" si="23"/>
        <v>343.91499999999996</v>
      </c>
      <c r="I319" s="28">
        <f t="shared" si="23"/>
        <v>343.81874999999997</v>
      </c>
      <c r="J319" s="28">
        <f t="shared" si="23"/>
        <v>343.69833333333332</v>
      </c>
      <c r="K319" s="28">
        <f t="shared" si="23"/>
        <v>343.56708333333336</v>
      </c>
      <c r="L319" s="28">
        <f t="shared" si="23"/>
        <v>343.40958333333333</v>
      </c>
      <c r="M319" s="28">
        <f t="shared" si="23"/>
        <v>343.23083333333335</v>
      </c>
      <c r="N319" s="28">
        <f t="shared" si="23"/>
        <v>343.05749999999995</v>
      </c>
    </row>
    <row r="320" spans="1:14" x14ac:dyDescent="0.4">
      <c r="A320" s="1">
        <v>30926</v>
      </c>
      <c r="B320" s="28">
        <v>344.74</v>
      </c>
      <c r="C320" s="28">
        <f t="shared" si="23"/>
        <v>344.58875000000006</v>
      </c>
      <c r="D320" s="28">
        <f t="shared" si="23"/>
        <v>344.47375000000005</v>
      </c>
      <c r="E320" s="28">
        <f t="shared" si="23"/>
        <v>344.36958333333331</v>
      </c>
      <c r="F320" s="28">
        <f t="shared" si="23"/>
        <v>344.24208333333331</v>
      </c>
      <c r="G320" s="28">
        <f t="shared" si="23"/>
        <v>344.10916666666668</v>
      </c>
      <c r="H320" s="28">
        <f t="shared" si="23"/>
        <v>344.0025</v>
      </c>
      <c r="I320" s="28">
        <f t="shared" si="23"/>
        <v>343.91499999999996</v>
      </c>
      <c r="J320" s="28">
        <f t="shared" si="23"/>
        <v>343.81874999999997</v>
      </c>
      <c r="K320" s="28">
        <f t="shared" si="23"/>
        <v>343.69833333333332</v>
      </c>
      <c r="L320" s="28">
        <f t="shared" si="23"/>
        <v>343.56708333333336</v>
      </c>
      <c r="M320" s="28">
        <f t="shared" si="23"/>
        <v>343.40958333333333</v>
      </c>
      <c r="N320" s="28">
        <f t="shared" si="23"/>
        <v>343.23083333333335</v>
      </c>
    </row>
    <row r="321" spans="1:14" x14ac:dyDescent="0.4">
      <c r="A321" s="1">
        <v>30956</v>
      </c>
      <c r="B321" s="28">
        <v>344.88333333333338</v>
      </c>
      <c r="C321" s="28">
        <f t="shared" si="23"/>
        <v>344.74</v>
      </c>
      <c r="D321" s="28">
        <f t="shared" si="23"/>
        <v>344.58875000000006</v>
      </c>
      <c r="E321" s="28">
        <f t="shared" si="23"/>
        <v>344.47375000000005</v>
      </c>
      <c r="F321" s="28">
        <f t="shared" si="23"/>
        <v>344.36958333333331</v>
      </c>
      <c r="G321" s="28">
        <f t="shared" si="23"/>
        <v>344.24208333333331</v>
      </c>
      <c r="H321" s="28">
        <f t="shared" si="23"/>
        <v>344.10916666666668</v>
      </c>
      <c r="I321" s="28">
        <f t="shared" si="23"/>
        <v>344.0025</v>
      </c>
      <c r="J321" s="28">
        <f t="shared" si="23"/>
        <v>343.91499999999996</v>
      </c>
      <c r="K321" s="28">
        <f t="shared" si="23"/>
        <v>343.81874999999997</v>
      </c>
      <c r="L321" s="28">
        <f t="shared" si="23"/>
        <v>343.69833333333332</v>
      </c>
      <c r="M321" s="28">
        <f t="shared" si="23"/>
        <v>343.56708333333336</v>
      </c>
      <c r="N321" s="28">
        <f t="shared" si="23"/>
        <v>343.40958333333333</v>
      </c>
    </row>
    <row r="322" spans="1:14" x14ac:dyDescent="0.4">
      <c r="A322" s="1">
        <v>30987</v>
      </c>
      <c r="B322" s="28">
        <v>345</v>
      </c>
      <c r="C322" s="28">
        <f t="shared" si="23"/>
        <v>344.88333333333338</v>
      </c>
      <c r="D322" s="28">
        <f t="shared" si="23"/>
        <v>344.74</v>
      </c>
      <c r="E322" s="28">
        <f t="shared" si="23"/>
        <v>344.58875000000006</v>
      </c>
      <c r="F322" s="28">
        <f t="shared" si="23"/>
        <v>344.47375000000005</v>
      </c>
      <c r="G322" s="28">
        <f t="shared" si="23"/>
        <v>344.36958333333331</v>
      </c>
      <c r="H322" s="28">
        <f t="shared" si="23"/>
        <v>344.24208333333331</v>
      </c>
      <c r="I322" s="28">
        <f t="shared" si="23"/>
        <v>344.10916666666668</v>
      </c>
      <c r="J322" s="28">
        <f t="shared" si="23"/>
        <v>344.0025</v>
      </c>
      <c r="K322" s="28">
        <f t="shared" si="23"/>
        <v>343.91499999999996</v>
      </c>
      <c r="L322" s="28">
        <f t="shared" si="23"/>
        <v>343.81874999999997</v>
      </c>
      <c r="M322" s="28">
        <f t="shared" si="23"/>
        <v>343.69833333333332</v>
      </c>
      <c r="N322" s="28">
        <f t="shared" si="23"/>
        <v>343.56708333333336</v>
      </c>
    </row>
    <row r="323" spans="1:14" x14ac:dyDescent="0.4">
      <c r="A323" s="1">
        <v>31017</v>
      </c>
      <c r="B323" s="28">
        <v>345.1229166666667</v>
      </c>
      <c r="C323" s="28">
        <f t="shared" si="23"/>
        <v>345</v>
      </c>
      <c r="D323" s="28">
        <f t="shared" si="23"/>
        <v>344.88333333333338</v>
      </c>
      <c r="E323" s="28">
        <f t="shared" si="23"/>
        <v>344.74</v>
      </c>
      <c r="F323" s="28">
        <f t="shared" si="23"/>
        <v>344.58875000000006</v>
      </c>
      <c r="G323" s="28">
        <f t="shared" si="23"/>
        <v>344.47375000000005</v>
      </c>
      <c r="H323" s="28">
        <f t="shared" si="23"/>
        <v>344.36958333333331</v>
      </c>
      <c r="I323" s="28">
        <f t="shared" si="23"/>
        <v>344.24208333333331</v>
      </c>
      <c r="J323" s="28">
        <f t="shared" si="23"/>
        <v>344.10916666666668</v>
      </c>
      <c r="K323" s="28">
        <f t="shared" si="23"/>
        <v>344.0025</v>
      </c>
      <c r="L323" s="28">
        <f t="shared" si="23"/>
        <v>343.91499999999996</v>
      </c>
      <c r="M323" s="28">
        <f t="shared" si="23"/>
        <v>343.81874999999997</v>
      </c>
      <c r="N323" s="28">
        <f t="shared" si="23"/>
        <v>343.69833333333332</v>
      </c>
    </row>
    <row r="324" spans="1:14" x14ac:dyDescent="0.4">
      <c r="A324" s="1">
        <v>31048</v>
      </c>
      <c r="B324" s="28">
        <v>345.23208333333332</v>
      </c>
      <c r="C324" s="28">
        <f t="shared" si="23"/>
        <v>345.1229166666667</v>
      </c>
      <c r="D324" s="28">
        <f t="shared" si="23"/>
        <v>345</v>
      </c>
      <c r="E324" s="28">
        <f t="shared" si="23"/>
        <v>344.88333333333338</v>
      </c>
      <c r="F324" s="28">
        <f t="shared" si="23"/>
        <v>344.74</v>
      </c>
      <c r="G324" s="28">
        <f t="shared" si="23"/>
        <v>344.58875000000006</v>
      </c>
      <c r="H324" s="28">
        <f t="shared" si="23"/>
        <v>344.47375000000005</v>
      </c>
      <c r="I324" s="28">
        <f t="shared" si="23"/>
        <v>344.36958333333331</v>
      </c>
      <c r="J324" s="28">
        <f t="shared" si="23"/>
        <v>344.24208333333331</v>
      </c>
      <c r="K324" s="28">
        <f t="shared" si="23"/>
        <v>344.10916666666668</v>
      </c>
      <c r="L324" s="28">
        <f t="shared" si="23"/>
        <v>344.0025</v>
      </c>
      <c r="M324" s="28">
        <f t="shared" si="23"/>
        <v>343.91499999999996</v>
      </c>
      <c r="N324" s="28">
        <f t="shared" si="23"/>
        <v>343.81874999999997</v>
      </c>
    </row>
    <row r="325" spans="1:14" x14ac:dyDescent="0.4">
      <c r="A325" s="1">
        <v>31079</v>
      </c>
      <c r="B325" s="28">
        <v>345.33874999999995</v>
      </c>
      <c r="C325" s="28">
        <f t="shared" si="23"/>
        <v>345.23208333333332</v>
      </c>
      <c r="D325" s="28">
        <f t="shared" si="23"/>
        <v>345.1229166666667</v>
      </c>
      <c r="E325" s="28">
        <f t="shared" si="23"/>
        <v>345</v>
      </c>
      <c r="F325" s="28">
        <f t="shared" si="23"/>
        <v>344.88333333333338</v>
      </c>
      <c r="G325" s="28">
        <f t="shared" si="23"/>
        <v>344.74</v>
      </c>
      <c r="H325" s="28">
        <f t="shared" si="23"/>
        <v>344.58875000000006</v>
      </c>
      <c r="I325" s="28">
        <f t="shared" si="23"/>
        <v>344.47375000000005</v>
      </c>
      <c r="J325" s="28">
        <f t="shared" si="23"/>
        <v>344.36958333333331</v>
      </c>
      <c r="K325" s="28">
        <f t="shared" si="23"/>
        <v>344.24208333333331</v>
      </c>
      <c r="L325" s="28">
        <f t="shared" si="23"/>
        <v>344.10916666666668</v>
      </c>
      <c r="M325" s="28">
        <f t="shared" si="23"/>
        <v>344.0025</v>
      </c>
      <c r="N325" s="28">
        <f t="shared" si="23"/>
        <v>343.91499999999996</v>
      </c>
    </row>
    <row r="326" spans="1:14" x14ac:dyDescent="0.4">
      <c r="A326" s="1">
        <v>31107</v>
      </c>
      <c r="B326" s="28">
        <v>345.48083333333335</v>
      </c>
      <c r="C326" s="28">
        <f t="shared" si="23"/>
        <v>345.33874999999995</v>
      </c>
      <c r="D326" s="28">
        <f t="shared" si="23"/>
        <v>345.23208333333332</v>
      </c>
      <c r="E326" s="28">
        <f t="shared" si="23"/>
        <v>345.1229166666667</v>
      </c>
      <c r="F326" s="28">
        <f t="shared" si="23"/>
        <v>345</v>
      </c>
      <c r="G326" s="28">
        <f t="shared" si="23"/>
        <v>344.88333333333338</v>
      </c>
      <c r="H326" s="28">
        <f t="shared" si="23"/>
        <v>344.74</v>
      </c>
      <c r="I326" s="28">
        <f t="shared" si="23"/>
        <v>344.58875000000006</v>
      </c>
      <c r="J326" s="28">
        <f t="shared" si="23"/>
        <v>344.47375000000005</v>
      </c>
      <c r="K326" s="28">
        <f t="shared" si="23"/>
        <v>344.36958333333331</v>
      </c>
      <c r="L326" s="28">
        <f t="shared" si="23"/>
        <v>344.24208333333331</v>
      </c>
      <c r="M326" s="28">
        <f t="shared" si="23"/>
        <v>344.10916666666668</v>
      </c>
      <c r="N326" s="28">
        <f t="shared" si="23"/>
        <v>344.0025</v>
      </c>
    </row>
    <row r="327" spans="1:14" x14ac:dyDescent="0.4">
      <c r="A327" s="1">
        <v>31138</v>
      </c>
      <c r="B327" s="28">
        <v>345.62541666666669</v>
      </c>
      <c r="C327" s="28">
        <f t="shared" si="23"/>
        <v>345.48083333333335</v>
      </c>
      <c r="D327" s="28">
        <f t="shared" si="23"/>
        <v>345.33874999999995</v>
      </c>
      <c r="E327" s="28">
        <f t="shared" si="23"/>
        <v>345.23208333333332</v>
      </c>
      <c r="F327" s="28">
        <f t="shared" si="23"/>
        <v>345.1229166666667</v>
      </c>
      <c r="G327" s="28">
        <f t="shared" si="23"/>
        <v>345</v>
      </c>
      <c r="H327" s="28">
        <f t="shared" si="23"/>
        <v>344.88333333333338</v>
      </c>
      <c r="I327" s="28">
        <f t="shared" si="23"/>
        <v>344.74</v>
      </c>
      <c r="J327" s="28">
        <f t="shared" si="23"/>
        <v>344.58875000000006</v>
      </c>
      <c r="K327" s="28">
        <f t="shared" si="23"/>
        <v>344.47375000000005</v>
      </c>
      <c r="L327" s="28">
        <f t="shared" si="23"/>
        <v>344.36958333333331</v>
      </c>
      <c r="M327" s="28">
        <f t="shared" si="23"/>
        <v>344.24208333333331</v>
      </c>
      <c r="N327" s="28">
        <f t="shared" si="23"/>
        <v>344.10916666666668</v>
      </c>
    </row>
    <row r="328" spans="1:14" x14ac:dyDescent="0.4">
      <c r="A328" s="1">
        <v>31168</v>
      </c>
      <c r="B328" s="28">
        <v>345.7383333333334</v>
      </c>
      <c r="C328" s="28">
        <f t="shared" si="23"/>
        <v>345.62541666666669</v>
      </c>
      <c r="D328" s="28">
        <f t="shared" si="23"/>
        <v>345.48083333333335</v>
      </c>
      <c r="E328" s="28">
        <f t="shared" si="23"/>
        <v>345.33874999999995</v>
      </c>
      <c r="F328" s="28">
        <f t="shared" si="23"/>
        <v>345.23208333333332</v>
      </c>
      <c r="G328" s="28">
        <f t="shared" si="23"/>
        <v>345.1229166666667</v>
      </c>
      <c r="H328" s="28">
        <f t="shared" si="23"/>
        <v>345</v>
      </c>
      <c r="I328" s="28">
        <f t="shared" si="23"/>
        <v>344.88333333333338</v>
      </c>
      <c r="J328" s="28">
        <f t="shared" si="23"/>
        <v>344.74</v>
      </c>
      <c r="K328" s="28">
        <f t="shared" si="23"/>
        <v>344.58875000000006</v>
      </c>
      <c r="L328" s="28">
        <f t="shared" si="23"/>
        <v>344.47375000000005</v>
      </c>
      <c r="M328" s="28">
        <f t="shared" si="23"/>
        <v>344.36958333333331</v>
      </c>
      <c r="N328" s="28">
        <f t="shared" si="23"/>
        <v>344.24208333333331</v>
      </c>
    </row>
    <row r="329" spans="1:14" x14ac:dyDescent="0.4">
      <c r="A329" s="1">
        <v>31199</v>
      </c>
      <c r="B329" s="28">
        <v>345.84666666666675</v>
      </c>
      <c r="C329" s="28">
        <f t="shared" si="23"/>
        <v>345.7383333333334</v>
      </c>
      <c r="D329" s="28">
        <f t="shared" si="23"/>
        <v>345.62541666666669</v>
      </c>
      <c r="E329" s="28">
        <f t="shared" si="23"/>
        <v>345.48083333333335</v>
      </c>
      <c r="F329" s="28">
        <f t="shared" si="23"/>
        <v>345.33874999999995</v>
      </c>
      <c r="G329" s="28">
        <f t="shared" si="23"/>
        <v>345.23208333333332</v>
      </c>
      <c r="H329" s="28">
        <f t="shared" si="23"/>
        <v>345.1229166666667</v>
      </c>
      <c r="I329" s="28">
        <f t="shared" si="23"/>
        <v>345</v>
      </c>
      <c r="J329" s="28">
        <f t="shared" si="23"/>
        <v>344.88333333333338</v>
      </c>
      <c r="K329" s="28">
        <f t="shared" si="23"/>
        <v>344.74</v>
      </c>
      <c r="L329" s="28">
        <f t="shared" si="23"/>
        <v>344.58875000000006</v>
      </c>
      <c r="M329" s="28">
        <f t="shared" si="23"/>
        <v>344.47375000000005</v>
      </c>
      <c r="N329" s="28">
        <f t="shared" si="23"/>
        <v>344.36958333333331</v>
      </c>
    </row>
    <row r="330" spans="1:14" x14ac:dyDescent="0.4">
      <c r="A330" s="1">
        <v>31229</v>
      </c>
      <c r="B330" s="28">
        <v>345.95791666666673</v>
      </c>
      <c r="C330" s="28">
        <f t="shared" si="23"/>
        <v>345.84666666666675</v>
      </c>
      <c r="D330" s="28">
        <f t="shared" si="23"/>
        <v>345.7383333333334</v>
      </c>
      <c r="E330" s="28">
        <f t="shared" si="23"/>
        <v>345.62541666666669</v>
      </c>
      <c r="F330" s="28">
        <f t="shared" si="23"/>
        <v>345.48083333333335</v>
      </c>
      <c r="G330" s="28">
        <f t="shared" si="23"/>
        <v>345.33874999999995</v>
      </c>
      <c r="H330" s="28">
        <f t="shared" si="23"/>
        <v>345.23208333333332</v>
      </c>
      <c r="I330" s="28">
        <f t="shared" si="23"/>
        <v>345.1229166666667</v>
      </c>
      <c r="J330" s="28">
        <f t="shared" si="23"/>
        <v>345</v>
      </c>
      <c r="K330" s="28">
        <f t="shared" si="23"/>
        <v>344.88333333333338</v>
      </c>
      <c r="L330" s="28">
        <f t="shared" si="23"/>
        <v>344.74</v>
      </c>
      <c r="M330" s="28">
        <f t="shared" si="23"/>
        <v>344.58875000000006</v>
      </c>
      <c r="N330" s="28">
        <f t="shared" si="23"/>
        <v>344.47375000000005</v>
      </c>
    </row>
    <row r="331" spans="1:14" x14ac:dyDescent="0.4">
      <c r="A331" s="1">
        <v>31260</v>
      </c>
      <c r="B331" s="28">
        <v>346.05333333333334</v>
      </c>
      <c r="C331" s="28">
        <f t="shared" si="23"/>
        <v>345.95791666666673</v>
      </c>
      <c r="D331" s="28">
        <f t="shared" si="23"/>
        <v>345.84666666666675</v>
      </c>
      <c r="E331" s="28">
        <f t="shared" si="23"/>
        <v>345.7383333333334</v>
      </c>
      <c r="F331" s="28">
        <f t="shared" si="23"/>
        <v>345.62541666666669</v>
      </c>
      <c r="G331" s="28">
        <f t="shared" si="23"/>
        <v>345.48083333333335</v>
      </c>
      <c r="H331" s="28">
        <f t="shared" si="23"/>
        <v>345.33874999999995</v>
      </c>
      <c r="I331" s="28">
        <f t="shared" si="23"/>
        <v>345.23208333333332</v>
      </c>
      <c r="J331" s="28">
        <f t="shared" si="23"/>
        <v>345.1229166666667</v>
      </c>
      <c r="K331" s="28">
        <f t="shared" si="23"/>
        <v>345</v>
      </c>
      <c r="L331" s="28">
        <f t="shared" si="23"/>
        <v>344.88333333333338</v>
      </c>
      <c r="M331" s="28">
        <f t="shared" si="23"/>
        <v>344.74</v>
      </c>
      <c r="N331" s="28">
        <f t="shared" si="23"/>
        <v>344.58875000000006</v>
      </c>
    </row>
    <row r="332" spans="1:14" x14ac:dyDescent="0.4">
      <c r="A332" s="1">
        <v>31291</v>
      </c>
      <c r="B332" s="28">
        <v>346.11124999999998</v>
      </c>
      <c r="C332" s="28">
        <f t="shared" si="23"/>
        <v>346.05333333333334</v>
      </c>
      <c r="D332" s="28">
        <f t="shared" si="23"/>
        <v>345.95791666666673</v>
      </c>
      <c r="E332" s="28">
        <f t="shared" si="23"/>
        <v>345.84666666666675</v>
      </c>
      <c r="F332" s="28">
        <f t="shared" si="23"/>
        <v>345.7383333333334</v>
      </c>
      <c r="G332" s="28">
        <f t="shared" si="23"/>
        <v>345.62541666666669</v>
      </c>
      <c r="H332" s="28">
        <f t="shared" si="23"/>
        <v>345.48083333333335</v>
      </c>
      <c r="I332" s="28">
        <f t="shared" si="23"/>
        <v>345.33874999999995</v>
      </c>
      <c r="J332" s="28">
        <f t="shared" si="23"/>
        <v>345.23208333333332</v>
      </c>
      <c r="K332" s="28">
        <f t="shared" si="23"/>
        <v>345.1229166666667</v>
      </c>
      <c r="L332" s="28">
        <f t="shared" si="23"/>
        <v>345</v>
      </c>
      <c r="M332" s="28">
        <f t="shared" si="23"/>
        <v>344.88333333333338</v>
      </c>
      <c r="N332" s="28">
        <f t="shared" si="23"/>
        <v>344.74</v>
      </c>
    </row>
    <row r="333" spans="1:14" x14ac:dyDescent="0.4">
      <c r="A333" s="1">
        <v>31321</v>
      </c>
      <c r="B333" s="28">
        <v>346.17916666666662</v>
      </c>
      <c r="C333" s="28">
        <f t="shared" si="23"/>
        <v>346.11124999999998</v>
      </c>
      <c r="D333" s="28">
        <f t="shared" si="23"/>
        <v>346.05333333333334</v>
      </c>
      <c r="E333" s="28">
        <f t="shared" si="23"/>
        <v>345.95791666666673</v>
      </c>
      <c r="F333" s="28">
        <f t="shared" si="23"/>
        <v>345.84666666666675</v>
      </c>
      <c r="G333" s="28">
        <f t="shared" si="23"/>
        <v>345.7383333333334</v>
      </c>
      <c r="H333" s="28">
        <f t="shared" si="23"/>
        <v>345.62541666666669</v>
      </c>
      <c r="I333" s="28">
        <f t="shared" si="23"/>
        <v>345.48083333333335</v>
      </c>
      <c r="J333" s="28">
        <f t="shared" si="23"/>
        <v>345.33874999999995</v>
      </c>
      <c r="K333" s="28">
        <f t="shared" si="23"/>
        <v>345.23208333333332</v>
      </c>
      <c r="L333" s="28">
        <f t="shared" si="23"/>
        <v>345.1229166666667</v>
      </c>
      <c r="M333" s="28">
        <f t="shared" si="23"/>
        <v>345</v>
      </c>
      <c r="N333" s="28">
        <f t="shared" si="23"/>
        <v>344.88333333333338</v>
      </c>
    </row>
    <row r="334" spans="1:14" x14ac:dyDescent="0.4">
      <c r="A334" s="1">
        <v>31352</v>
      </c>
      <c r="B334" s="28">
        <v>346.28291666666661</v>
      </c>
      <c r="C334" s="28">
        <f t="shared" si="23"/>
        <v>346.17916666666662</v>
      </c>
      <c r="D334" s="28">
        <f t="shared" si="23"/>
        <v>346.11124999999998</v>
      </c>
      <c r="E334" s="28">
        <f t="shared" si="23"/>
        <v>346.05333333333334</v>
      </c>
      <c r="F334" s="28">
        <f t="shared" si="23"/>
        <v>345.95791666666673</v>
      </c>
      <c r="G334" s="28">
        <f t="shared" si="23"/>
        <v>345.84666666666675</v>
      </c>
      <c r="H334" s="28">
        <f t="shared" si="23"/>
        <v>345.7383333333334</v>
      </c>
      <c r="I334" s="28">
        <f t="shared" si="23"/>
        <v>345.62541666666669</v>
      </c>
      <c r="J334" s="28">
        <f t="shared" si="23"/>
        <v>345.48083333333335</v>
      </c>
      <c r="K334" s="28">
        <f t="shared" si="23"/>
        <v>345.33874999999995</v>
      </c>
      <c r="L334" s="28">
        <f t="shared" si="23"/>
        <v>345.23208333333332</v>
      </c>
      <c r="M334" s="28">
        <f t="shared" si="23"/>
        <v>345.1229166666667</v>
      </c>
      <c r="N334" s="28">
        <f t="shared" si="23"/>
        <v>345</v>
      </c>
    </row>
    <row r="335" spans="1:14" x14ac:dyDescent="0.4">
      <c r="A335" s="1">
        <v>31382</v>
      </c>
      <c r="B335" s="28">
        <v>346.39083333333332</v>
      </c>
      <c r="C335" s="28">
        <f t="shared" si="23"/>
        <v>346.28291666666661</v>
      </c>
      <c r="D335" s="28">
        <f t="shared" si="23"/>
        <v>346.17916666666662</v>
      </c>
      <c r="E335" s="28">
        <f t="shared" si="23"/>
        <v>346.11124999999998</v>
      </c>
      <c r="F335" s="28">
        <f t="shared" si="23"/>
        <v>346.05333333333334</v>
      </c>
      <c r="G335" s="28">
        <f t="shared" si="23"/>
        <v>345.95791666666673</v>
      </c>
      <c r="H335" s="28">
        <f t="shared" si="23"/>
        <v>345.84666666666675</v>
      </c>
      <c r="I335" s="28">
        <f t="shared" si="23"/>
        <v>345.7383333333334</v>
      </c>
      <c r="J335" s="28">
        <f t="shared" si="23"/>
        <v>345.62541666666669</v>
      </c>
      <c r="K335" s="28">
        <f t="shared" si="23"/>
        <v>345.48083333333335</v>
      </c>
      <c r="L335" s="28">
        <f t="shared" si="23"/>
        <v>345.33874999999995</v>
      </c>
      <c r="M335" s="28">
        <f t="shared" si="23"/>
        <v>345.23208333333332</v>
      </c>
      <c r="N335" s="28">
        <f t="shared" si="23"/>
        <v>345.1229166666667</v>
      </c>
    </row>
    <row r="336" spans="1:14" x14ac:dyDescent="0.4">
      <c r="A336" s="1">
        <v>31413</v>
      </c>
      <c r="B336" s="28">
        <v>346.5025</v>
      </c>
      <c r="C336" s="28">
        <f t="shared" si="23"/>
        <v>346.39083333333332</v>
      </c>
      <c r="D336" s="28">
        <f t="shared" si="23"/>
        <v>346.28291666666661</v>
      </c>
      <c r="E336" s="28">
        <f t="shared" si="23"/>
        <v>346.17916666666662</v>
      </c>
      <c r="F336" s="28">
        <f t="shared" si="23"/>
        <v>346.11124999999998</v>
      </c>
      <c r="G336" s="28">
        <f t="shared" si="23"/>
        <v>346.05333333333334</v>
      </c>
      <c r="H336" s="28">
        <f t="shared" si="23"/>
        <v>345.95791666666673</v>
      </c>
      <c r="I336" s="28">
        <f t="shared" si="23"/>
        <v>345.84666666666675</v>
      </c>
      <c r="J336" s="28">
        <f t="shared" si="23"/>
        <v>345.7383333333334</v>
      </c>
      <c r="K336" s="28">
        <f t="shared" si="23"/>
        <v>345.62541666666669</v>
      </c>
      <c r="L336" s="28">
        <f t="shared" si="23"/>
        <v>345.48083333333335</v>
      </c>
      <c r="M336" s="28">
        <f t="shared" si="23"/>
        <v>345.33874999999995</v>
      </c>
      <c r="N336" s="28">
        <f t="shared" si="23"/>
        <v>345.23208333333332</v>
      </c>
    </row>
    <row r="337" spans="1:14" x14ac:dyDescent="0.4">
      <c r="A337" s="1">
        <v>31444</v>
      </c>
      <c r="B337" s="28">
        <v>346.61124999999993</v>
      </c>
      <c r="C337" s="28">
        <f t="shared" si="23"/>
        <v>346.5025</v>
      </c>
      <c r="D337" s="28">
        <f t="shared" si="23"/>
        <v>346.39083333333332</v>
      </c>
      <c r="E337" s="28">
        <f t="shared" si="23"/>
        <v>346.28291666666661</v>
      </c>
      <c r="F337" s="28">
        <f t="shared" si="23"/>
        <v>346.17916666666662</v>
      </c>
      <c r="G337" s="28">
        <f t="shared" si="23"/>
        <v>346.11124999999998</v>
      </c>
      <c r="H337" s="28">
        <f t="shared" si="23"/>
        <v>346.05333333333334</v>
      </c>
      <c r="I337" s="28">
        <f t="shared" si="23"/>
        <v>345.95791666666673</v>
      </c>
      <c r="J337" s="28">
        <f t="shared" si="23"/>
        <v>345.84666666666675</v>
      </c>
      <c r="K337" s="28">
        <f t="shared" si="23"/>
        <v>345.7383333333334</v>
      </c>
      <c r="L337" s="28">
        <f t="shared" si="23"/>
        <v>345.62541666666669</v>
      </c>
      <c r="M337" s="28">
        <f t="shared" si="23"/>
        <v>345.48083333333335</v>
      </c>
      <c r="N337" s="28">
        <f t="shared" si="23"/>
        <v>345.33874999999995</v>
      </c>
    </row>
    <row r="338" spans="1:14" x14ac:dyDescent="0.4">
      <c r="A338" s="1">
        <v>31472</v>
      </c>
      <c r="B338" s="28">
        <v>346.73583333333323</v>
      </c>
      <c r="C338" s="28">
        <f t="shared" si="23"/>
        <v>346.61124999999993</v>
      </c>
      <c r="D338" s="28">
        <f t="shared" si="23"/>
        <v>346.5025</v>
      </c>
      <c r="E338" s="28">
        <f t="shared" si="23"/>
        <v>346.39083333333332</v>
      </c>
      <c r="F338" s="28">
        <f t="shared" si="23"/>
        <v>346.28291666666661</v>
      </c>
      <c r="G338" s="28">
        <f t="shared" si="23"/>
        <v>346.17916666666662</v>
      </c>
      <c r="H338" s="28">
        <f t="shared" si="23"/>
        <v>346.11124999999998</v>
      </c>
      <c r="I338" s="28">
        <f t="shared" si="23"/>
        <v>346.05333333333334</v>
      </c>
      <c r="J338" s="28">
        <f t="shared" si="23"/>
        <v>345.95791666666673</v>
      </c>
      <c r="K338" s="28">
        <f t="shared" si="23"/>
        <v>345.84666666666675</v>
      </c>
      <c r="L338" s="28">
        <f t="shared" si="23"/>
        <v>345.7383333333334</v>
      </c>
      <c r="M338" s="28">
        <f t="shared" si="23"/>
        <v>345.62541666666669</v>
      </c>
      <c r="N338" s="28">
        <f t="shared" si="23"/>
        <v>345.48083333333335</v>
      </c>
    </row>
    <row r="339" spans="1:14" x14ac:dyDescent="0.4">
      <c r="A339" s="1">
        <v>31503</v>
      </c>
      <c r="B339" s="28">
        <v>346.86624999999998</v>
      </c>
      <c r="C339" s="28">
        <f t="shared" si="23"/>
        <v>346.73583333333323</v>
      </c>
      <c r="D339" s="28">
        <f t="shared" si="23"/>
        <v>346.61124999999993</v>
      </c>
      <c r="E339" s="28">
        <f t="shared" si="23"/>
        <v>346.5025</v>
      </c>
      <c r="F339" s="28">
        <f t="shared" si="23"/>
        <v>346.39083333333332</v>
      </c>
      <c r="G339" s="28">
        <f t="shared" si="23"/>
        <v>346.28291666666661</v>
      </c>
      <c r="H339" s="28">
        <f t="shared" si="23"/>
        <v>346.17916666666662</v>
      </c>
      <c r="I339" s="28">
        <f t="shared" ref="I339:T402" si="24">IF(H338=0,"",H338)</f>
        <v>346.11124999999998</v>
      </c>
      <c r="J339" s="28">
        <f t="shared" si="24"/>
        <v>346.05333333333334</v>
      </c>
      <c r="K339" s="28">
        <f t="shared" si="24"/>
        <v>345.95791666666673</v>
      </c>
      <c r="L339" s="28">
        <f t="shared" si="24"/>
        <v>345.84666666666675</v>
      </c>
      <c r="M339" s="28">
        <f t="shared" si="24"/>
        <v>345.7383333333334</v>
      </c>
      <c r="N339" s="28">
        <f t="shared" si="24"/>
        <v>345.62541666666669</v>
      </c>
    </row>
    <row r="340" spans="1:14" x14ac:dyDescent="0.4">
      <c r="A340" s="1">
        <v>31533</v>
      </c>
      <c r="B340" s="28">
        <v>346.98250000000002</v>
      </c>
      <c r="C340" s="28">
        <f t="shared" ref="C340:N403" si="25">IF(B339=0,"",B339)</f>
        <v>346.86624999999998</v>
      </c>
      <c r="D340" s="28">
        <f t="shared" si="25"/>
        <v>346.73583333333323</v>
      </c>
      <c r="E340" s="28">
        <f t="shared" si="25"/>
        <v>346.61124999999993</v>
      </c>
      <c r="F340" s="28">
        <f t="shared" si="25"/>
        <v>346.5025</v>
      </c>
      <c r="G340" s="28">
        <f t="shared" si="25"/>
        <v>346.39083333333332</v>
      </c>
      <c r="H340" s="28">
        <f t="shared" si="25"/>
        <v>346.28291666666661</v>
      </c>
      <c r="I340" s="28">
        <f t="shared" si="25"/>
        <v>346.17916666666662</v>
      </c>
      <c r="J340" s="28">
        <f t="shared" si="25"/>
        <v>346.11124999999998</v>
      </c>
      <c r="K340" s="28">
        <f t="shared" si="25"/>
        <v>346.05333333333334</v>
      </c>
      <c r="L340" s="28">
        <f t="shared" si="25"/>
        <v>345.95791666666673</v>
      </c>
      <c r="M340" s="28">
        <f t="shared" si="25"/>
        <v>345.84666666666675</v>
      </c>
      <c r="N340" s="28">
        <f t="shared" si="25"/>
        <v>345.7383333333334</v>
      </c>
    </row>
    <row r="341" spans="1:14" x14ac:dyDescent="0.4">
      <c r="A341" s="1">
        <v>31564</v>
      </c>
      <c r="B341" s="28">
        <v>347.09750000000003</v>
      </c>
      <c r="C341" s="28">
        <f t="shared" si="25"/>
        <v>346.98250000000002</v>
      </c>
      <c r="D341" s="28">
        <f t="shared" si="25"/>
        <v>346.86624999999998</v>
      </c>
      <c r="E341" s="28">
        <f t="shared" si="25"/>
        <v>346.73583333333323</v>
      </c>
      <c r="F341" s="28">
        <f t="shared" si="25"/>
        <v>346.61124999999993</v>
      </c>
      <c r="G341" s="28">
        <f t="shared" si="25"/>
        <v>346.5025</v>
      </c>
      <c r="H341" s="28">
        <f t="shared" si="25"/>
        <v>346.39083333333332</v>
      </c>
      <c r="I341" s="28">
        <f t="shared" si="25"/>
        <v>346.28291666666661</v>
      </c>
      <c r="J341" s="28">
        <f t="shared" si="25"/>
        <v>346.17916666666662</v>
      </c>
      <c r="K341" s="28">
        <f t="shared" si="25"/>
        <v>346.11124999999998</v>
      </c>
      <c r="L341" s="28">
        <f t="shared" si="25"/>
        <v>346.05333333333334</v>
      </c>
      <c r="M341" s="28">
        <f t="shared" si="25"/>
        <v>345.95791666666673</v>
      </c>
      <c r="N341" s="28">
        <f t="shared" si="25"/>
        <v>345.84666666666675</v>
      </c>
    </row>
    <row r="342" spans="1:14" x14ac:dyDescent="0.4">
      <c r="A342" s="1">
        <v>31594</v>
      </c>
      <c r="B342" s="28">
        <v>347.22499999999997</v>
      </c>
      <c r="C342" s="28">
        <f t="shared" si="25"/>
        <v>347.09750000000003</v>
      </c>
      <c r="D342" s="28">
        <f t="shared" si="25"/>
        <v>346.98250000000002</v>
      </c>
      <c r="E342" s="28">
        <f t="shared" si="25"/>
        <v>346.86624999999998</v>
      </c>
      <c r="F342" s="28">
        <f t="shared" si="25"/>
        <v>346.73583333333323</v>
      </c>
      <c r="G342" s="28">
        <f t="shared" si="25"/>
        <v>346.61124999999993</v>
      </c>
      <c r="H342" s="28">
        <f t="shared" si="25"/>
        <v>346.5025</v>
      </c>
      <c r="I342" s="28">
        <f t="shared" si="25"/>
        <v>346.39083333333332</v>
      </c>
      <c r="J342" s="28">
        <f t="shared" si="25"/>
        <v>346.28291666666661</v>
      </c>
      <c r="K342" s="28">
        <f t="shared" si="25"/>
        <v>346.17916666666662</v>
      </c>
      <c r="L342" s="28">
        <f t="shared" si="25"/>
        <v>346.11124999999998</v>
      </c>
      <c r="M342" s="28">
        <f t="shared" si="25"/>
        <v>346.05333333333334</v>
      </c>
      <c r="N342" s="28">
        <f t="shared" si="25"/>
        <v>345.95791666666673</v>
      </c>
    </row>
    <row r="343" spans="1:14" x14ac:dyDescent="0.4">
      <c r="A343" s="1">
        <v>31625</v>
      </c>
      <c r="B343" s="28">
        <v>347.36041666666665</v>
      </c>
      <c r="C343" s="28">
        <f t="shared" si="25"/>
        <v>347.22499999999997</v>
      </c>
      <c r="D343" s="28">
        <f t="shared" si="25"/>
        <v>347.09750000000003</v>
      </c>
      <c r="E343" s="28">
        <f t="shared" si="25"/>
        <v>346.98250000000002</v>
      </c>
      <c r="F343" s="28">
        <f t="shared" si="25"/>
        <v>346.86624999999998</v>
      </c>
      <c r="G343" s="28">
        <f t="shared" si="25"/>
        <v>346.73583333333323</v>
      </c>
      <c r="H343" s="28">
        <f t="shared" si="25"/>
        <v>346.61124999999993</v>
      </c>
      <c r="I343" s="28">
        <f t="shared" si="25"/>
        <v>346.5025</v>
      </c>
      <c r="J343" s="28">
        <f t="shared" si="25"/>
        <v>346.39083333333332</v>
      </c>
      <c r="K343" s="28">
        <f t="shared" si="25"/>
        <v>346.28291666666661</v>
      </c>
      <c r="L343" s="28">
        <f t="shared" si="25"/>
        <v>346.17916666666662</v>
      </c>
      <c r="M343" s="28">
        <f t="shared" si="25"/>
        <v>346.11124999999998</v>
      </c>
      <c r="N343" s="28">
        <f t="shared" si="25"/>
        <v>346.05333333333334</v>
      </c>
    </row>
    <row r="344" spans="1:14" x14ac:dyDescent="0.4">
      <c r="A344" s="1">
        <v>31656</v>
      </c>
      <c r="B344" s="28">
        <v>347.48958333333331</v>
      </c>
      <c r="C344" s="28">
        <f t="shared" si="25"/>
        <v>347.36041666666665</v>
      </c>
      <c r="D344" s="28">
        <f t="shared" si="25"/>
        <v>347.22499999999997</v>
      </c>
      <c r="E344" s="28">
        <f t="shared" si="25"/>
        <v>347.09750000000003</v>
      </c>
      <c r="F344" s="28">
        <f t="shared" si="25"/>
        <v>346.98250000000002</v>
      </c>
      <c r="G344" s="28">
        <f t="shared" si="25"/>
        <v>346.86624999999998</v>
      </c>
      <c r="H344" s="28">
        <f t="shared" si="25"/>
        <v>346.73583333333323</v>
      </c>
      <c r="I344" s="28">
        <f t="shared" si="25"/>
        <v>346.61124999999993</v>
      </c>
      <c r="J344" s="28">
        <f t="shared" si="25"/>
        <v>346.5025</v>
      </c>
      <c r="K344" s="28">
        <f t="shared" si="25"/>
        <v>346.39083333333332</v>
      </c>
      <c r="L344" s="28">
        <f t="shared" si="25"/>
        <v>346.28291666666661</v>
      </c>
      <c r="M344" s="28">
        <f t="shared" si="25"/>
        <v>346.17916666666662</v>
      </c>
      <c r="N344" s="28">
        <f t="shared" si="25"/>
        <v>346.11124999999998</v>
      </c>
    </row>
    <row r="345" spans="1:14" x14ac:dyDescent="0.4">
      <c r="A345" s="1">
        <v>31686</v>
      </c>
      <c r="B345" s="28">
        <v>347.61458333333331</v>
      </c>
      <c r="C345" s="28">
        <f t="shared" si="25"/>
        <v>347.48958333333331</v>
      </c>
      <c r="D345" s="28">
        <f t="shared" si="25"/>
        <v>347.36041666666665</v>
      </c>
      <c r="E345" s="28">
        <f t="shared" si="25"/>
        <v>347.22499999999997</v>
      </c>
      <c r="F345" s="28">
        <f t="shared" si="25"/>
        <v>347.09750000000003</v>
      </c>
      <c r="G345" s="28">
        <f t="shared" si="25"/>
        <v>346.98250000000002</v>
      </c>
      <c r="H345" s="28">
        <f t="shared" si="25"/>
        <v>346.86624999999998</v>
      </c>
      <c r="I345" s="28">
        <f t="shared" si="25"/>
        <v>346.73583333333323</v>
      </c>
      <c r="J345" s="28">
        <f t="shared" si="25"/>
        <v>346.61124999999993</v>
      </c>
      <c r="K345" s="28">
        <f t="shared" si="25"/>
        <v>346.5025</v>
      </c>
      <c r="L345" s="28">
        <f t="shared" si="25"/>
        <v>346.39083333333332</v>
      </c>
      <c r="M345" s="28">
        <f t="shared" si="25"/>
        <v>346.28291666666661</v>
      </c>
      <c r="N345" s="28">
        <f t="shared" si="25"/>
        <v>346.17916666666662</v>
      </c>
    </row>
    <row r="346" spans="1:14" x14ac:dyDescent="0.4">
      <c r="A346" s="1">
        <v>31717</v>
      </c>
      <c r="B346" s="28">
        <v>347.74208333333331</v>
      </c>
      <c r="C346" s="28">
        <f t="shared" si="25"/>
        <v>347.61458333333331</v>
      </c>
      <c r="D346" s="28">
        <f t="shared" si="25"/>
        <v>347.48958333333331</v>
      </c>
      <c r="E346" s="28">
        <f t="shared" si="25"/>
        <v>347.36041666666665</v>
      </c>
      <c r="F346" s="28">
        <f t="shared" si="25"/>
        <v>347.22499999999997</v>
      </c>
      <c r="G346" s="28">
        <f t="shared" si="25"/>
        <v>347.09750000000003</v>
      </c>
      <c r="H346" s="28">
        <f t="shared" si="25"/>
        <v>346.98250000000002</v>
      </c>
      <c r="I346" s="28">
        <f t="shared" si="25"/>
        <v>346.86624999999998</v>
      </c>
      <c r="J346" s="28">
        <f t="shared" si="25"/>
        <v>346.73583333333323</v>
      </c>
      <c r="K346" s="28">
        <f t="shared" si="25"/>
        <v>346.61124999999993</v>
      </c>
      <c r="L346" s="28">
        <f t="shared" si="25"/>
        <v>346.5025</v>
      </c>
      <c r="M346" s="28">
        <f t="shared" si="25"/>
        <v>346.39083333333332</v>
      </c>
      <c r="N346" s="28">
        <f t="shared" si="25"/>
        <v>346.28291666666661</v>
      </c>
    </row>
    <row r="347" spans="1:14" x14ac:dyDescent="0.4">
      <c r="A347" s="1">
        <v>31747</v>
      </c>
      <c r="B347" s="28">
        <v>347.88125000000008</v>
      </c>
      <c r="C347" s="28">
        <f t="shared" si="25"/>
        <v>347.74208333333331</v>
      </c>
      <c r="D347" s="28">
        <f t="shared" si="25"/>
        <v>347.61458333333331</v>
      </c>
      <c r="E347" s="28">
        <f t="shared" si="25"/>
        <v>347.48958333333331</v>
      </c>
      <c r="F347" s="28">
        <f t="shared" si="25"/>
        <v>347.36041666666665</v>
      </c>
      <c r="G347" s="28">
        <f t="shared" si="25"/>
        <v>347.22499999999997</v>
      </c>
      <c r="H347" s="28">
        <f t="shared" si="25"/>
        <v>347.09750000000003</v>
      </c>
      <c r="I347" s="28">
        <f t="shared" si="25"/>
        <v>346.98250000000002</v>
      </c>
      <c r="J347" s="28">
        <f t="shared" si="25"/>
        <v>346.86624999999998</v>
      </c>
      <c r="K347" s="28">
        <f t="shared" si="25"/>
        <v>346.73583333333323</v>
      </c>
      <c r="L347" s="28">
        <f t="shared" si="25"/>
        <v>346.61124999999993</v>
      </c>
      <c r="M347" s="28">
        <f t="shared" si="25"/>
        <v>346.5025</v>
      </c>
      <c r="N347" s="28">
        <f t="shared" si="25"/>
        <v>346.39083333333332</v>
      </c>
    </row>
    <row r="348" spans="1:14" x14ac:dyDescent="0.4">
      <c r="A348" s="1">
        <v>31778</v>
      </c>
      <c r="B348" s="28">
        <v>348.01791666666662</v>
      </c>
      <c r="C348" s="28">
        <f t="shared" si="25"/>
        <v>347.88125000000008</v>
      </c>
      <c r="D348" s="28">
        <f t="shared" si="25"/>
        <v>347.74208333333331</v>
      </c>
      <c r="E348" s="28">
        <f t="shared" si="25"/>
        <v>347.61458333333331</v>
      </c>
      <c r="F348" s="28">
        <f t="shared" si="25"/>
        <v>347.48958333333331</v>
      </c>
      <c r="G348" s="28">
        <f t="shared" si="25"/>
        <v>347.36041666666665</v>
      </c>
      <c r="H348" s="28">
        <f t="shared" si="25"/>
        <v>347.22499999999997</v>
      </c>
      <c r="I348" s="28">
        <f t="shared" si="25"/>
        <v>347.09750000000003</v>
      </c>
      <c r="J348" s="28">
        <f t="shared" si="25"/>
        <v>346.98250000000002</v>
      </c>
      <c r="K348" s="28">
        <f t="shared" si="25"/>
        <v>346.86624999999998</v>
      </c>
      <c r="L348" s="28">
        <f t="shared" si="25"/>
        <v>346.73583333333323</v>
      </c>
      <c r="M348" s="28">
        <f t="shared" si="25"/>
        <v>346.61124999999993</v>
      </c>
      <c r="N348" s="28">
        <f t="shared" si="25"/>
        <v>346.5025</v>
      </c>
    </row>
    <row r="349" spans="1:14" x14ac:dyDescent="0.4">
      <c r="A349" s="1">
        <v>31809</v>
      </c>
      <c r="B349" s="28">
        <v>348.17500000000001</v>
      </c>
      <c r="C349" s="28">
        <f t="shared" si="25"/>
        <v>348.01791666666662</v>
      </c>
      <c r="D349" s="28">
        <f t="shared" si="25"/>
        <v>347.88125000000008</v>
      </c>
      <c r="E349" s="28">
        <f t="shared" si="25"/>
        <v>347.74208333333331</v>
      </c>
      <c r="F349" s="28">
        <f t="shared" si="25"/>
        <v>347.61458333333331</v>
      </c>
      <c r="G349" s="28">
        <f t="shared" si="25"/>
        <v>347.48958333333331</v>
      </c>
      <c r="H349" s="28">
        <f t="shared" si="25"/>
        <v>347.36041666666665</v>
      </c>
      <c r="I349" s="28">
        <f t="shared" si="25"/>
        <v>347.22499999999997</v>
      </c>
      <c r="J349" s="28">
        <f t="shared" si="25"/>
        <v>347.09750000000003</v>
      </c>
      <c r="K349" s="28">
        <f t="shared" si="25"/>
        <v>346.98250000000002</v>
      </c>
      <c r="L349" s="28">
        <f t="shared" si="25"/>
        <v>346.86624999999998</v>
      </c>
      <c r="M349" s="28">
        <f t="shared" si="25"/>
        <v>346.73583333333323</v>
      </c>
      <c r="N349" s="28">
        <f t="shared" si="25"/>
        <v>346.61124999999993</v>
      </c>
    </row>
    <row r="350" spans="1:14" x14ac:dyDescent="0.4">
      <c r="A350" s="1">
        <v>31837</v>
      </c>
      <c r="B350" s="28">
        <v>348.33333333333331</v>
      </c>
      <c r="C350" s="28">
        <f t="shared" si="25"/>
        <v>348.17500000000001</v>
      </c>
      <c r="D350" s="28">
        <f t="shared" si="25"/>
        <v>348.01791666666662</v>
      </c>
      <c r="E350" s="28">
        <f t="shared" si="25"/>
        <v>347.88125000000008</v>
      </c>
      <c r="F350" s="28">
        <f t="shared" si="25"/>
        <v>347.74208333333331</v>
      </c>
      <c r="G350" s="28">
        <f t="shared" si="25"/>
        <v>347.61458333333331</v>
      </c>
      <c r="H350" s="28">
        <f t="shared" si="25"/>
        <v>347.48958333333331</v>
      </c>
      <c r="I350" s="28">
        <f t="shared" si="25"/>
        <v>347.36041666666665</v>
      </c>
      <c r="J350" s="28">
        <f t="shared" si="25"/>
        <v>347.22499999999997</v>
      </c>
      <c r="K350" s="28">
        <f t="shared" si="25"/>
        <v>347.09750000000003</v>
      </c>
      <c r="L350" s="28">
        <f t="shared" si="25"/>
        <v>346.98250000000002</v>
      </c>
      <c r="M350" s="28">
        <f t="shared" si="25"/>
        <v>346.86624999999998</v>
      </c>
      <c r="N350" s="28">
        <f t="shared" si="25"/>
        <v>346.73583333333323</v>
      </c>
    </row>
    <row r="351" spans="1:14" x14ac:dyDescent="0.4">
      <c r="A351" s="1">
        <v>31868</v>
      </c>
      <c r="B351" s="28">
        <v>348.49125000000004</v>
      </c>
      <c r="C351" s="28">
        <f t="shared" si="25"/>
        <v>348.33333333333331</v>
      </c>
      <c r="D351" s="28">
        <f t="shared" si="25"/>
        <v>348.17500000000001</v>
      </c>
      <c r="E351" s="28">
        <f t="shared" si="25"/>
        <v>348.01791666666662</v>
      </c>
      <c r="F351" s="28">
        <f t="shared" si="25"/>
        <v>347.88125000000008</v>
      </c>
      <c r="G351" s="28">
        <f t="shared" si="25"/>
        <v>347.74208333333331</v>
      </c>
      <c r="H351" s="28">
        <f t="shared" si="25"/>
        <v>347.61458333333331</v>
      </c>
      <c r="I351" s="28">
        <f t="shared" si="25"/>
        <v>347.48958333333331</v>
      </c>
      <c r="J351" s="28">
        <f t="shared" si="25"/>
        <v>347.36041666666665</v>
      </c>
      <c r="K351" s="28">
        <f t="shared" si="25"/>
        <v>347.22499999999997</v>
      </c>
      <c r="L351" s="28">
        <f t="shared" si="25"/>
        <v>347.09750000000003</v>
      </c>
      <c r="M351" s="28">
        <f t="shared" si="25"/>
        <v>346.98250000000002</v>
      </c>
      <c r="N351" s="28">
        <f t="shared" si="25"/>
        <v>346.86624999999998</v>
      </c>
    </row>
    <row r="352" spans="1:14" x14ac:dyDescent="0.4">
      <c r="A352" s="1">
        <v>31898</v>
      </c>
      <c r="B352" s="28">
        <v>348.67208333333338</v>
      </c>
      <c r="C352" s="28">
        <f t="shared" si="25"/>
        <v>348.49125000000004</v>
      </c>
      <c r="D352" s="28">
        <f t="shared" si="25"/>
        <v>348.33333333333331</v>
      </c>
      <c r="E352" s="28">
        <f t="shared" si="25"/>
        <v>348.17500000000001</v>
      </c>
      <c r="F352" s="28">
        <f t="shared" si="25"/>
        <v>348.01791666666662</v>
      </c>
      <c r="G352" s="28">
        <f t="shared" si="25"/>
        <v>347.88125000000008</v>
      </c>
      <c r="H352" s="28">
        <f t="shared" si="25"/>
        <v>347.74208333333331</v>
      </c>
      <c r="I352" s="28">
        <f t="shared" si="25"/>
        <v>347.61458333333331</v>
      </c>
      <c r="J352" s="28">
        <f t="shared" si="25"/>
        <v>347.48958333333331</v>
      </c>
      <c r="K352" s="28">
        <f t="shared" si="25"/>
        <v>347.36041666666665</v>
      </c>
      <c r="L352" s="28">
        <f t="shared" si="25"/>
        <v>347.22499999999997</v>
      </c>
      <c r="M352" s="28">
        <f t="shared" si="25"/>
        <v>347.09750000000003</v>
      </c>
      <c r="N352" s="28">
        <f t="shared" si="25"/>
        <v>346.98250000000002</v>
      </c>
    </row>
    <row r="353" spans="1:14" x14ac:dyDescent="0.4">
      <c r="A353" s="1">
        <v>31929</v>
      </c>
      <c r="B353" s="28">
        <v>348.84749999999991</v>
      </c>
      <c r="C353" s="28">
        <f t="shared" si="25"/>
        <v>348.67208333333338</v>
      </c>
      <c r="D353" s="28">
        <f t="shared" si="25"/>
        <v>348.49125000000004</v>
      </c>
      <c r="E353" s="28">
        <f t="shared" si="25"/>
        <v>348.33333333333331</v>
      </c>
      <c r="F353" s="28">
        <f t="shared" si="25"/>
        <v>348.17500000000001</v>
      </c>
      <c r="G353" s="28">
        <f t="shared" si="25"/>
        <v>348.01791666666662</v>
      </c>
      <c r="H353" s="28">
        <f t="shared" si="25"/>
        <v>347.88125000000008</v>
      </c>
      <c r="I353" s="28">
        <f t="shared" si="25"/>
        <v>347.74208333333331</v>
      </c>
      <c r="J353" s="28">
        <f t="shared" si="25"/>
        <v>347.61458333333331</v>
      </c>
      <c r="K353" s="28">
        <f t="shared" si="25"/>
        <v>347.48958333333331</v>
      </c>
      <c r="L353" s="28">
        <f t="shared" si="25"/>
        <v>347.36041666666665</v>
      </c>
      <c r="M353" s="28">
        <f t="shared" si="25"/>
        <v>347.22499999999997</v>
      </c>
      <c r="N353" s="28">
        <f t="shared" si="25"/>
        <v>347.09750000000003</v>
      </c>
    </row>
    <row r="354" spans="1:14" x14ac:dyDescent="0.4">
      <c r="A354" s="1">
        <v>31959</v>
      </c>
      <c r="B354" s="28">
        <v>349.03375</v>
      </c>
      <c r="C354" s="28">
        <f t="shared" si="25"/>
        <v>348.84749999999991</v>
      </c>
      <c r="D354" s="28">
        <f t="shared" si="25"/>
        <v>348.67208333333338</v>
      </c>
      <c r="E354" s="28">
        <f t="shared" si="25"/>
        <v>348.49125000000004</v>
      </c>
      <c r="F354" s="28">
        <f t="shared" si="25"/>
        <v>348.33333333333331</v>
      </c>
      <c r="G354" s="28">
        <f t="shared" si="25"/>
        <v>348.17500000000001</v>
      </c>
      <c r="H354" s="28">
        <f t="shared" si="25"/>
        <v>348.01791666666662</v>
      </c>
      <c r="I354" s="28">
        <f t="shared" si="25"/>
        <v>347.88125000000008</v>
      </c>
      <c r="J354" s="28">
        <f t="shared" si="25"/>
        <v>347.74208333333331</v>
      </c>
      <c r="K354" s="28">
        <f t="shared" si="25"/>
        <v>347.61458333333331</v>
      </c>
      <c r="L354" s="28">
        <f t="shared" si="25"/>
        <v>347.48958333333331</v>
      </c>
      <c r="M354" s="28">
        <f t="shared" si="25"/>
        <v>347.36041666666665</v>
      </c>
      <c r="N354" s="28">
        <f t="shared" si="25"/>
        <v>347.22499999999997</v>
      </c>
    </row>
    <row r="355" spans="1:14" x14ac:dyDescent="0.4">
      <c r="A355" s="1">
        <v>31990</v>
      </c>
      <c r="B355" s="28">
        <v>349.26958333333329</v>
      </c>
      <c r="C355" s="28">
        <f t="shared" si="25"/>
        <v>349.03375</v>
      </c>
      <c r="D355" s="28">
        <f t="shared" si="25"/>
        <v>348.84749999999991</v>
      </c>
      <c r="E355" s="28">
        <f t="shared" si="25"/>
        <v>348.67208333333338</v>
      </c>
      <c r="F355" s="28">
        <f t="shared" si="25"/>
        <v>348.49125000000004</v>
      </c>
      <c r="G355" s="28">
        <f t="shared" si="25"/>
        <v>348.33333333333331</v>
      </c>
      <c r="H355" s="28">
        <f t="shared" si="25"/>
        <v>348.17500000000001</v>
      </c>
      <c r="I355" s="28">
        <f t="shared" si="25"/>
        <v>348.01791666666662</v>
      </c>
      <c r="J355" s="28">
        <f t="shared" si="25"/>
        <v>347.88125000000008</v>
      </c>
      <c r="K355" s="28">
        <f t="shared" si="25"/>
        <v>347.74208333333331</v>
      </c>
      <c r="L355" s="28">
        <f t="shared" si="25"/>
        <v>347.61458333333331</v>
      </c>
      <c r="M355" s="28">
        <f t="shared" si="25"/>
        <v>347.48958333333331</v>
      </c>
      <c r="N355" s="28">
        <f t="shared" si="25"/>
        <v>347.36041666666665</v>
      </c>
    </row>
    <row r="356" spans="1:14" x14ac:dyDescent="0.4">
      <c r="A356" s="1">
        <v>32021</v>
      </c>
      <c r="B356" s="28">
        <v>349.5216666666667</v>
      </c>
      <c r="C356" s="28">
        <f t="shared" si="25"/>
        <v>349.26958333333329</v>
      </c>
      <c r="D356" s="28">
        <f t="shared" si="25"/>
        <v>349.03375</v>
      </c>
      <c r="E356" s="28">
        <f t="shared" si="25"/>
        <v>348.84749999999991</v>
      </c>
      <c r="F356" s="28">
        <f t="shared" si="25"/>
        <v>348.67208333333338</v>
      </c>
      <c r="G356" s="28">
        <f t="shared" si="25"/>
        <v>348.49125000000004</v>
      </c>
      <c r="H356" s="28">
        <f t="shared" si="25"/>
        <v>348.33333333333331</v>
      </c>
      <c r="I356" s="28">
        <f t="shared" si="25"/>
        <v>348.17500000000001</v>
      </c>
      <c r="J356" s="28">
        <f t="shared" si="25"/>
        <v>348.01791666666662</v>
      </c>
      <c r="K356" s="28">
        <f t="shared" si="25"/>
        <v>347.88125000000008</v>
      </c>
      <c r="L356" s="28">
        <f t="shared" si="25"/>
        <v>347.74208333333331</v>
      </c>
      <c r="M356" s="28">
        <f t="shared" si="25"/>
        <v>347.61458333333331</v>
      </c>
      <c r="N356" s="28">
        <f t="shared" si="25"/>
        <v>347.48958333333331</v>
      </c>
    </row>
    <row r="357" spans="1:14" x14ac:dyDescent="0.4">
      <c r="A357" s="1">
        <v>32051</v>
      </c>
      <c r="B357" s="28">
        <v>349.74708333333336</v>
      </c>
      <c r="C357" s="28">
        <f t="shared" si="25"/>
        <v>349.5216666666667</v>
      </c>
      <c r="D357" s="28">
        <f t="shared" si="25"/>
        <v>349.26958333333329</v>
      </c>
      <c r="E357" s="28">
        <f t="shared" si="25"/>
        <v>349.03375</v>
      </c>
      <c r="F357" s="28">
        <f t="shared" si="25"/>
        <v>348.84749999999991</v>
      </c>
      <c r="G357" s="28">
        <f t="shared" si="25"/>
        <v>348.67208333333338</v>
      </c>
      <c r="H357" s="28">
        <f t="shared" si="25"/>
        <v>348.49125000000004</v>
      </c>
      <c r="I357" s="28">
        <f t="shared" si="25"/>
        <v>348.33333333333331</v>
      </c>
      <c r="J357" s="28">
        <f t="shared" si="25"/>
        <v>348.17500000000001</v>
      </c>
      <c r="K357" s="28">
        <f t="shared" si="25"/>
        <v>348.01791666666662</v>
      </c>
      <c r="L357" s="28">
        <f t="shared" si="25"/>
        <v>347.88125000000008</v>
      </c>
      <c r="M357" s="28">
        <f t="shared" si="25"/>
        <v>347.74208333333331</v>
      </c>
      <c r="N357" s="28">
        <f t="shared" si="25"/>
        <v>347.61458333333331</v>
      </c>
    </row>
    <row r="358" spans="1:14" x14ac:dyDescent="0.4">
      <c r="A358" s="1">
        <v>32082</v>
      </c>
      <c r="B358" s="28">
        <v>349.95458333333335</v>
      </c>
      <c r="C358" s="28">
        <f t="shared" si="25"/>
        <v>349.74708333333336</v>
      </c>
      <c r="D358" s="28">
        <f t="shared" si="25"/>
        <v>349.5216666666667</v>
      </c>
      <c r="E358" s="28">
        <f t="shared" si="25"/>
        <v>349.26958333333329</v>
      </c>
      <c r="F358" s="28">
        <f t="shared" si="25"/>
        <v>349.03375</v>
      </c>
      <c r="G358" s="28">
        <f t="shared" si="25"/>
        <v>348.84749999999991</v>
      </c>
      <c r="H358" s="28">
        <f t="shared" si="25"/>
        <v>348.67208333333338</v>
      </c>
      <c r="I358" s="28">
        <f t="shared" si="25"/>
        <v>348.49125000000004</v>
      </c>
      <c r="J358" s="28">
        <f t="shared" si="25"/>
        <v>348.33333333333331</v>
      </c>
      <c r="K358" s="28">
        <f t="shared" si="25"/>
        <v>348.17500000000001</v>
      </c>
      <c r="L358" s="28">
        <f t="shared" si="25"/>
        <v>348.01791666666662</v>
      </c>
      <c r="M358" s="28">
        <f t="shared" si="25"/>
        <v>347.88125000000008</v>
      </c>
      <c r="N358" s="28">
        <f t="shared" si="25"/>
        <v>347.74208333333331</v>
      </c>
    </row>
    <row r="359" spans="1:14" x14ac:dyDescent="0.4">
      <c r="A359" s="1">
        <v>32112</v>
      </c>
      <c r="B359" s="28">
        <v>350.15916666666664</v>
      </c>
      <c r="C359" s="28">
        <f t="shared" si="25"/>
        <v>349.95458333333335</v>
      </c>
      <c r="D359" s="28">
        <f t="shared" si="25"/>
        <v>349.74708333333336</v>
      </c>
      <c r="E359" s="28">
        <f t="shared" si="25"/>
        <v>349.5216666666667</v>
      </c>
      <c r="F359" s="28">
        <f t="shared" si="25"/>
        <v>349.26958333333329</v>
      </c>
      <c r="G359" s="28">
        <f t="shared" si="25"/>
        <v>349.03375</v>
      </c>
      <c r="H359" s="28">
        <f t="shared" si="25"/>
        <v>348.84749999999991</v>
      </c>
      <c r="I359" s="28">
        <f t="shared" si="25"/>
        <v>348.67208333333338</v>
      </c>
      <c r="J359" s="28">
        <f t="shared" si="25"/>
        <v>348.49125000000004</v>
      </c>
      <c r="K359" s="28">
        <f t="shared" si="25"/>
        <v>348.33333333333331</v>
      </c>
      <c r="L359" s="28">
        <f t="shared" si="25"/>
        <v>348.17500000000001</v>
      </c>
      <c r="M359" s="28">
        <f t="shared" si="25"/>
        <v>348.01791666666662</v>
      </c>
      <c r="N359" s="28">
        <f t="shared" si="25"/>
        <v>347.88125000000008</v>
      </c>
    </row>
    <row r="360" spans="1:14" x14ac:dyDescent="0.4">
      <c r="A360" s="1">
        <v>32143</v>
      </c>
      <c r="B360" s="28">
        <v>350.38458333333341</v>
      </c>
      <c r="C360" s="28">
        <f t="shared" si="25"/>
        <v>350.15916666666664</v>
      </c>
      <c r="D360" s="28">
        <f t="shared" si="25"/>
        <v>349.95458333333335</v>
      </c>
      <c r="E360" s="28">
        <f t="shared" si="25"/>
        <v>349.74708333333336</v>
      </c>
      <c r="F360" s="28">
        <f t="shared" si="25"/>
        <v>349.5216666666667</v>
      </c>
      <c r="G360" s="28">
        <f t="shared" si="25"/>
        <v>349.26958333333329</v>
      </c>
      <c r="H360" s="28">
        <f t="shared" si="25"/>
        <v>349.03375</v>
      </c>
      <c r="I360" s="28">
        <f t="shared" si="25"/>
        <v>348.84749999999991</v>
      </c>
      <c r="J360" s="28">
        <f t="shared" si="25"/>
        <v>348.67208333333338</v>
      </c>
      <c r="K360" s="28">
        <f t="shared" si="25"/>
        <v>348.49125000000004</v>
      </c>
      <c r="L360" s="28">
        <f t="shared" si="25"/>
        <v>348.33333333333331</v>
      </c>
      <c r="M360" s="28">
        <f t="shared" si="25"/>
        <v>348.17500000000001</v>
      </c>
      <c r="N360" s="28">
        <f t="shared" si="25"/>
        <v>348.01791666666662</v>
      </c>
    </row>
    <row r="361" spans="1:14" x14ac:dyDescent="0.4">
      <c r="A361" s="1">
        <v>32174</v>
      </c>
      <c r="B361" s="28">
        <v>350.60124999999999</v>
      </c>
      <c r="C361" s="28">
        <f t="shared" si="25"/>
        <v>350.38458333333341</v>
      </c>
      <c r="D361" s="28">
        <f t="shared" si="25"/>
        <v>350.15916666666664</v>
      </c>
      <c r="E361" s="28">
        <f t="shared" si="25"/>
        <v>349.95458333333335</v>
      </c>
      <c r="F361" s="28">
        <f t="shared" ref="D361:R376" si="26">IF(E360=0,"",E360)</f>
        <v>349.74708333333336</v>
      </c>
      <c r="G361" s="28">
        <f t="shared" si="26"/>
        <v>349.5216666666667</v>
      </c>
      <c r="H361" s="28">
        <f t="shared" si="26"/>
        <v>349.26958333333329</v>
      </c>
      <c r="I361" s="28">
        <f t="shared" si="26"/>
        <v>349.03375</v>
      </c>
      <c r="J361" s="28">
        <f t="shared" si="26"/>
        <v>348.84749999999991</v>
      </c>
      <c r="K361" s="28">
        <f t="shared" si="26"/>
        <v>348.67208333333338</v>
      </c>
      <c r="L361" s="28">
        <f t="shared" si="26"/>
        <v>348.49125000000004</v>
      </c>
      <c r="M361" s="28">
        <f t="shared" si="26"/>
        <v>348.33333333333331</v>
      </c>
      <c r="N361" s="28">
        <f t="shared" si="26"/>
        <v>348.17500000000001</v>
      </c>
    </row>
    <row r="362" spans="1:14" x14ac:dyDescent="0.4">
      <c r="A362" s="1">
        <v>32203</v>
      </c>
      <c r="B362" s="28">
        <v>350.79333333333329</v>
      </c>
      <c r="C362" s="28">
        <f t="shared" ref="C362:N425" si="27">IF(B361=0,"",B361)</f>
        <v>350.60124999999999</v>
      </c>
      <c r="D362" s="28">
        <f t="shared" si="26"/>
        <v>350.38458333333341</v>
      </c>
      <c r="E362" s="28">
        <f t="shared" si="26"/>
        <v>350.15916666666664</v>
      </c>
      <c r="F362" s="28">
        <f t="shared" si="26"/>
        <v>349.95458333333335</v>
      </c>
      <c r="G362" s="28">
        <f t="shared" si="26"/>
        <v>349.74708333333336</v>
      </c>
      <c r="H362" s="28">
        <f t="shared" si="26"/>
        <v>349.5216666666667</v>
      </c>
      <c r="I362" s="28">
        <f t="shared" si="26"/>
        <v>349.26958333333329</v>
      </c>
      <c r="J362" s="28">
        <f t="shared" si="26"/>
        <v>349.03375</v>
      </c>
      <c r="K362" s="28">
        <f t="shared" si="26"/>
        <v>348.84749999999991</v>
      </c>
      <c r="L362" s="28">
        <f t="shared" si="26"/>
        <v>348.67208333333338</v>
      </c>
      <c r="M362" s="28">
        <f t="shared" si="26"/>
        <v>348.49125000000004</v>
      </c>
      <c r="N362" s="28">
        <f t="shared" si="26"/>
        <v>348.33333333333331</v>
      </c>
    </row>
    <row r="363" spans="1:14" x14ac:dyDescent="0.4">
      <c r="A363" s="1">
        <v>32234</v>
      </c>
      <c r="B363" s="28">
        <v>350.99333333333334</v>
      </c>
      <c r="C363" s="28">
        <f t="shared" si="27"/>
        <v>350.79333333333329</v>
      </c>
      <c r="D363" s="28">
        <f t="shared" si="26"/>
        <v>350.60124999999999</v>
      </c>
      <c r="E363" s="28">
        <f t="shared" si="26"/>
        <v>350.38458333333341</v>
      </c>
      <c r="F363" s="28">
        <f t="shared" si="26"/>
        <v>350.15916666666664</v>
      </c>
      <c r="G363" s="28">
        <f t="shared" si="26"/>
        <v>349.95458333333335</v>
      </c>
      <c r="H363" s="28">
        <f t="shared" si="26"/>
        <v>349.74708333333336</v>
      </c>
      <c r="I363" s="28">
        <f t="shared" si="26"/>
        <v>349.5216666666667</v>
      </c>
      <c r="J363" s="28">
        <f t="shared" si="26"/>
        <v>349.26958333333329</v>
      </c>
      <c r="K363" s="28">
        <f t="shared" si="26"/>
        <v>349.03375</v>
      </c>
      <c r="L363" s="28">
        <f t="shared" si="26"/>
        <v>348.84749999999991</v>
      </c>
      <c r="M363" s="28">
        <f t="shared" si="26"/>
        <v>348.67208333333338</v>
      </c>
      <c r="N363" s="28">
        <f t="shared" si="26"/>
        <v>348.49125000000004</v>
      </c>
    </row>
    <row r="364" spans="1:14" x14ac:dyDescent="0.4">
      <c r="A364" s="1">
        <v>32264</v>
      </c>
      <c r="B364" s="28">
        <v>351.19250000000005</v>
      </c>
      <c r="C364" s="28">
        <f t="shared" si="27"/>
        <v>350.99333333333334</v>
      </c>
      <c r="D364" s="28">
        <f t="shared" si="26"/>
        <v>350.79333333333329</v>
      </c>
      <c r="E364" s="28">
        <f t="shared" si="26"/>
        <v>350.60124999999999</v>
      </c>
      <c r="F364" s="28">
        <f t="shared" si="26"/>
        <v>350.38458333333341</v>
      </c>
      <c r="G364" s="28">
        <f t="shared" si="26"/>
        <v>350.15916666666664</v>
      </c>
      <c r="H364" s="28">
        <f t="shared" si="26"/>
        <v>349.95458333333335</v>
      </c>
      <c r="I364" s="28">
        <f t="shared" si="26"/>
        <v>349.74708333333336</v>
      </c>
      <c r="J364" s="28">
        <f t="shared" si="26"/>
        <v>349.5216666666667</v>
      </c>
      <c r="K364" s="28">
        <f t="shared" si="26"/>
        <v>349.26958333333329</v>
      </c>
      <c r="L364" s="28">
        <f t="shared" si="26"/>
        <v>349.03375</v>
      </c>
      <c r="M364" s="28">
        <f t="shared" si="26"/>
        <v>348.84749999999991</v>
      </c>
      <c r="N364" s="28">
        <f t="shared" si="26"/>
        <v>348.67208333333338</v>
      </c>
    </row>
    <row r="365" spans="1:14" x14ac:dyDescent="0.4">
      <c r="A365" s="1">
        <v>32295</v>
      </c>
      <c r="B365" s="28">
        <v>351.38583333333332</v>
      </c>
      <c r="C365" s="28">
        <f t="shared" si="27"/>
        <v>351.19250000000005</v>
      </c>
      <c r="D365" s="28">
        <f t="shared" si="26"/>
        <v>350.99333333333334</v>
      </c>
      <c r="E365" s="28">
        <f t="shared" si="26"/>
        <v>350.79333333333329</v>
      </c>
      <c r="F365" s="28">
        <f t="shared" si="26"/>
        <v>350.60124999999999</v>
      </c>
      <c r="G365" s="28">
        <f t="shared" si="26"/>
        <v>350.38458333333341</v>
      </c>
      <c r="H365" s="28">
        <f t="shared" si="26"/>
        <v>350.15916666666664</v>
      </c>
      <c r="I365" s="28">
        <f t="shared" si="26"/>
        <v>349.95458333333335</v>
      </c>
      <c r="J365" s="28">
        <f t="shared" si="26"/>
        <v>349.74708333333336</v>
      </c>
      <c r="K365" s="28">
        <f t="shared" si="26"/>
        <v>349.5216666666667</v>
      </c>
      <c r="L365" s="28">
        <f t="shared" si="26"/>
        <v>349.26958333333329</v>
      </c>
      <c r="M365" s="28">
        <f t="shared" si="26"/>
        <v>349.03375</v>
      </c>
      <c r="N365" s="28">
        <f t="shared" si="26"/>
        <v>348.84749999999991</v>
      </c>
    </row>
    <row r="366" spans="1:14" x14ac:dyDescent="0.4">
      <c r="A366" s="1">
        <v>32325</v>
      </c>
      <c r="B366" s="28">
        <v>351.58208333333329</v>
      </c>
      <c r="C366" s="28">
        <f t="shared" si="27"/>
        <v>351.38583333333332</v>
      </c>
      <c r="D366" s="28">
        <f t="shared" si="26"/>
        <v>351.19250000000005</v>
      </c>
      <c r="E366" s="28">
        <f t="shared" si="26"/>
        <v>350.99333333333334</v>
      </c>
      <c r="F366" s="28">
        <f t="shared" si="26"/>
        <v>350.79333333333329</v>
      </c>
      <c r="G366" s="28">
        <f t="shared" si="26"/>
        <v>350.60124999999999</v>
      </c>
      <c r="H366" s="28">
        <f t="shared" si="26"/>
        <v>350.38458333333341</v>
      </c>
      <c r="I366" s="28">
        <f t="shared" si="26"/>
        <v>350.15916666666664</v>
      </c>
      <c r="J366" s="28">
        <f t="shared" si="26"/>
        <v>349.95458333333335</v>
      </c>
      <c r="K366" s="28">
        <f t="shared" si="26"/>
        <v>349.74708333333336</v>
      </c>
      <c r="L366" s="28">
        <f t="shared" si="26"/>
        <v>349.5216666666667</v>
      </c>
      <c r="M366" s="28">
        <f t="shared" si="26"/>
        <v>349.26958333333329</v>
      </c>
      <c r="N366" s="28">
        <f t="shared" si="26"/>
        <v>349.03375</v>
      </c>
    </row>
    <row r="367" spans="1:14" x14ac:dyDescent="0.4">
      <c r="A367" s="1">
        <v>32356</v>
      </c>
      <c r="B367" s="28">
        <v>351.73499999999996</v>
      </c>
      <c r="C367" s="28">
        <f t="shared" si="27"/>
        <v>351.58208333333329</v>
      </c>
      <c r="D367" s="28">
        <f t="shared" si="26"/>
        <v>351.38583333333332</v>
      </c>
      <c r="E367" s="28">
        <f t="shared" si="26"/>
        <v>351.19250000000005</v>
      </c>
      <c r="F367" s="28">
        <f t="shared" si="26"/>
        <v>350.99333333333334</v>
      </c>
      <c r="G367" s="28">
        <f t="shared" si="26"/>
        <v>350.79333333333329</v>
      </c>
      <c r="H367" s="28">
        <f t="shared" si="26"/>
        <v>350.60124999999999</v>
      </c>
      <c r="I367" s="28">
        <f t="shared" si="26"/>
        <v>350.38458333333341</v>
      </c>
      <c r="J367" s="28">
        <f t="shared" si="26"/>
        <v>350.15916666666664</v>
      </c>
      <c r="K367" s="28">
        <f t="shared" si="26"/>
        <v>349.95458333333335</v>
      </c>
      <c r="L367" s="28">
        <f t="shared" si="26"/>
        <v>349.74708333333336</v>
      </c>
      <c r="M367" s="28">
        <f t="shared" si="26"/>
        <v>349.5216666666667</v>
      </c>
      <c r="N367" s="28">
        <f t="shared" si="26"/>
        <v>349.26958333333329</v>
      </c>
    </row>
    <row r="368" spans="1:14" x14ac:dyDescent="0.4">
      <c r="A368" s="1">
        <v>32387</v>
      </c>
      <c r="B368" s="28">
        <v>351.85166666666669</v>
      </c>
      <c r="C368" s="28">
        <f t="shared" si="27"/>
        <v>351.73499999999996</v>
      </c>
      <c r="D368" s="28">
        <f t="shared" si="27"/>
        <v>351.58208333333329</v>
      </c>
      <c r="E368" s="28">
        <f t="shared" si="27"/>
        <v>351.38583333333332</v>
      </c>
      <c r="F368" s="28">
        <f t="shared" si="27"/>
        <v>351.19250000000005</v>
      </c>
      <c r="G368" s="28">
        <f t="shared" si="27"/>
        <v>350.99333333333334</v>
      </c>
      <c r="H368" s="28">
        <f t="shared" si="27"/>
        <v>350.79333333333329</v>
      </c>
      <c r="I368" s="28">
        <f t="shared" si="27"/>
        <v>350.60124999999999</v>
      </c>
      <c r="J368" s="28">
        <f t="shared" si="27"/>
        <v>350.38458333333341</v>
      </c>
      <c r="K368" s="28">
        <f t="shared" si="27"/>
        <v>350.15916666666664</v>
      </c>
      <c r="L368" s="28">
        <f t="shared" si="27"/>
        <v>349.95458333333335</v>
      </c>
      <c r="M368" s="28">
        <f t="shared" si="27"/>
        <v>349.74708333333336</v>
      </c>
      <c r="N368" s="28">
        <f t="shared" si="27"/>
        <v>349.5216666666667</v>
      </c>
    </row>
    <row r="369" spans="1:14" x14ac:dyDescent="0.4">
      <c r="A369" s="1">
        <v>32417</v>
      </c>
      <c r="B369" s="28">
        <v>351.98874999999998</v>
      </c>
      <c r="C369" s="28">
        <f t="shared" si="27"/>
        <v>351.85166666666669</v>
      </c>
      <c r="D369" s="28">
        <f t="shared" si="27"/>
        <v>351.73499999999996</v>
      </c>
      <c r="E369" s="28">
        <f t="shared" si="27"/>
        <v>351.58208333333329</v>
      </c>
      <c r="F369" s="28">
        <f t="shared" si="27"/>
        <v>351.38583333333332</v>
      </c>
      <c r="G369" s="28">
        <f t="shared" si="27"/>
        <v>351.19250000000005</v>
      </c>
      <c r="H369" s="28">
        <f t="shared" si="27"/>
        <v>350.99333333333334</v>
      </c>
      <c r="I369" s="28">
        <f t="shared" si="27"/>
        <v>350.79333333333329</v>
      </c>
      <c r="J369" s="28">
        <f t="shared" si="27"/>
        <v>350.60124999999999</v>
      </c>
      <c r="K369" s="28">
        <f t="shared" si="27"/>
        <v>350.38458333333341</v>
      </c>
      <c r="L369" s="28">
        <f t="shared" si="27"/>
        <v>350.15916666666664</v>
      </c>
      <c r="M369" s="28">
        <f t="shared" si="27"/>
        <v>349.95458333333335</v>
      </c>
      <c r="N369" s="28">
        <f t="shared" si="27"/>
        <v>349.74708333333336</v>
      </c>
    </row>
    <row r="370" spans="1:14" x14ac:dyDescent="0.4">
      <c r="A370" s="1">
        <v>32448</v>
      </c>
      <c r="B370" s="28">
        <v>352.12541666666658</v>
      </c>
      <c r="C370" s="28">
        <f t="shared" si="27"/>
        <v>351.98874999999998</v>
      </c>
      <c r="D370" s="28">
        <f t="shared" si="27"/>
        <v>351.85166666666669</v>
      </c>
      <c r="E370" s="28">
        <f t="shared" si="27"/>
        <v>351.73499999999996</v>
      </c>
      <c r="F370" s="28">
        <f t="shared" si="27"/>
        <v>351.58208333333329</v>
      </c>
      <c r="G370" s="28">
        <f t="shared" si="27"/>
        <v>351.38583333333332</v>
      </c>
      <c r="H370" s="28">
        <f t="shared" si="27"/>
        <v>351.19250000000005</v>
      </c>
      <c r="I370" s="28">
        <f t="shared" si="27"/>
        <v>350.99333333333334</v>
      </c>
      <c r="J370" s="28">
        <f t="shared" si="27"/>
        <v>350.79333333333329</v>
      </c>
      <c r="K370" s="28">
        <f t="shared" si="27"/>
        <v>350.60124999999999</v>
      </c>
      <c r="L370" s="28">
        <f t="shared" si="27"/>
        <v>350.38458333333341</v>
      </c>
      <c r="M370" s="28">
        <f t="shared" si="27"/>
        <v>350.15916666666664</v>
      </c>
      <c r="N370" s="28">
        <f t="shared" si="27"/>
        <v>349.95458333333335</v>
      </c>
    </row>
    <row r="371" spans="1:14" x14ac:dyDescent="0.4">
      <c r="A371" s="1">
        <v>32478</v>
      </c>
      <c r="B371" s="28">
        <v>352.24083333333334</v>
      </c>
      <c r="C371" s="28">
        <f t="shared" si="27"/>
        <v>352.12541666666658</v>
      </c>
      <c r="D371" s="28">
        <f t="shared" si="27"/>
        <v>351.98874999999998</v>
      </c>
      <c r="E371" s="28">
        <f t="shared" si="27"/>
        <v>351.85166666666669</v>
      </c>
      <c r="F371" s="28">
        <f t="shared" si="27"/>
        <v>351.73499999999996</v>
      </c>
      <c r="G371" s="28">
        <f t="shared" si="27"/>
        <v>351.58208333333329</v>
      </c>
      <c r="H371" s="28">
        <f t="shared" si="27"/>
        <v>351.38583333333332</v>
      </c>
      <c r="I371" s="28">
        <f t="shared" si="27"/>
        <v>351.19250000000005</v>
      </c>
      <c r="J371" s="28">
        <f t="shared" si="27"/>
        <v>350.99333333333334</v>
      </c>
      <c r="K371" s="28">
        <f t="shared" si="27"/>
        <v>350.79333333333329</v>
      </c>
      <c r="L371" s="28">
        <f t="shared" si="27"/>
        <v>350.60124999999999</v>
      </c>
      <c r="M371" s="28">
        <f t="shared" si="27"/>
        <v>350.38458333333341</v>
      </c>
      <c r="N371" s="28">
        <f t="shared" si="27"/>
        <v>350.15916666666664</v>
      </c>
    </row>
    <row r="372" spans="1:14" x14ac:dyDescent="0.4">
      <c r="A372" s="1">
        <v>32509</v>
      </c>
      <c r="B372" s="28">
        <v>352.35916666666662</v>
      </c>
      <c r="C372" s="28">
        <f t="shared" si="27"/>
        <v>352.24083333333334</v>
      </c>
      <c r="D372" s="28">
        <f t="shared" si="27"/>
        <v>352.12541666666658</v>
      </c>
      <c r="E372" s="28">
        <f t="shared" si="27"/>
        <v>351.98874999999998</v>
      </c>
      <c r="F372" s="28">
        <f t="shared" si="27"/>
        <v>351.85166666666669</v>
      </c>
      <c r="G372" s="28">
        <f t="shared" si="27"/>
        <v>351.73499999999996</v>
      </c>
      <c r="H372" s="28">
        <f t="shared" si="27"/>
        <v>351.58208333333329</v>
      </c>
      <c r="I372" s="28">
        <f t="shared" si="27"/>
        <v>351.38583333333332</v>
      </c>
      <c r="J372" s="28">
        <f t="shared" si="27"/>
        <v>351.19250000000005</v>
      </c>
      <c r="K372" s="28">
        <f t="shared" si="27"/>
        <v>350.99333333333334</v>
      </c>
      <c r="L372" s="28">
        <f t="shared" si="27"/>
        <v>350.79333333333329</v>
      </c>
      <c r="M372" s="28">
        <f t="shared" si="27"/>
        <v>350.60124999999999</v>
      </c>
      <c r="N372" s="28">
        <f t="shared" si="27"/>
        <v>350.38458333333341</v>
      </c>
    </row>
    <row r="373" spans="1:14" x14ac:dyDescent="0.4">
      <c r="A373" s="1">
        <v>32540</v>
      </c>
      <c r="B373" s="28">
        <v>352.47416666666663</v>
      </c>
      <c r="C373" s="28">
        <f t="shared" si="27"/>
        <v>352.35916666666662</v>
      </c>
      <c r="D373" s="28">
        <f t="shared" si="27"/>
        <v>352.24083333333334</v>
      </c>
      <c r="E373" s="28">
        <f t="shared" si="27"/>
        <v>352.12541666666658</v>
      </c>
      <c r="F373" s="28">
        <f t="shared" si="27"/>
        <v>351.98874999999998</v>
      </c>
      <c r="G373" s="28">
        <f t="shared" si="27"/>
        <v>351.85166666666669</v>
      </c>
      <c r="H373" s="28">
        <f t="shared" si="27"/>
        <v>351.73499999999996</v>
      </c>
      <c r="I373" s="28">
        <f t="shared" si="27"/>
        <v>351.58208333333329</v>
      </c>
      <c r="J373" s="28">
        <f t="shared" si="27"/>
        <v>351.38583333333332</v>
      </c>
      <c r="K373" s="28">
        <f t="shared" si="27"/>
        <v>351.19250000000005</v>
      </c>
      <c r="L373" s="28">
        <f t="shared" si="27"/>
        <v>350.99333333333334</v>
      </c>
      <c r="M373" s="28">
        <f t="shared" si="27"/>
        <v>350.79333333333329</v>
      </c>
      <c r="N373" s="28">
        <f t="shared" si="27"/>
        <v>350.60124999999999</v>
      </c>
    </row>
    <row r="374" spans="1:14" x14ac:dyDescent="0.4">
      <c r="A374" s="1">
        <v>32568</v>
      </c>
      <c r="B374" s="28">
        <v>352.57083333333327</v>
      </c>
      <c r="C374" s="28">
        <f t="shared" si="27"/>
        <v>352.47416666666663</v>
      </c>
      <c r="D374" s="28">
        <f t="shared" si="27"/>
        <v>352.35916666666662</v>
      </c>
      <c r="E374" s="28">
        <f t="shared" si="27"/>
        <v>352.24083333333334</v>
      </c>
      <c r="F374" s="28">
        <f t="shared" si="27"/>
        <v>352.12541666666658</v>
      </c>
      <c r="G374" s="28">
        <f t="shared" si="27"/>
        <v>351.98874999999998</v>
      </c>
      <c r="H374" s="28">
        <f t="shared" si="27"/>
        <v>351.85166666666669</v>
      </c>
      <c r="I374" s="28">
        <f t="shared" si="27"/>
        <v>351.73499999999996</v>
      </c>
      <c r="J374" s="28">
        <f t="shared" si="27"/>
        <v>351.58208333333329</v>
      </c>
      <c r="K374" s="28">
        <f t="shared" si="27"/>
        <v>351.38583333333332</v>
      </c>
      <c r="L374" s="28">
        <f t="shared" si="27"/>
        <v>351.19250000000005</v>
      </c>
      <c r="M374" s="28">
        <f t="shared" si="27"/>
        <v>350.99333333333334</v>
      </c>
      <c r="N374" s="28">
        <f t="shared" si="27"/>
        <v>350.79333333333329</v>
      </c>
    </row>
    <row r="375" spans="1:14" x14ac:dyDescent="0.4">
      <c r="A375" s="1">
        <v>32599</v>
      </c>
      <c r="B375" s="28">
        <v>352.66208333333333</v>
      </c>
      <c r="C375" s="28">
        <f t="shared" si="27"/>
        <v>352.57083333333327</v>
      </c>
      <c r="D375" s="28">
        <f t="shared" si="27"/>
        <v>352.47416666666663</v>
      </c>
      <c r="E375" s="28">
        <f t="shared" si="27"/>
        <v>352.35916666666662</v>
      </c>
      <c r="F375" s="28">
        <f t="shared" si="27"/>
        <v>352.24083333333334</v>
      </c>
      <c r="G375" s="28">
        <f t="shared" si="27"/>
        <v>352.12541666666658</v>
      </c>
      <c r="H375" s="28">
        <f t="shared" si="27"/>
        <v>351.98874999999998</v>
      </c>
      <c r="I375" s="28">
        <f t="shared" si="27"/>
        <v>351.85166666666669</v>
      </c>
      <c r="J375" s="28">
        <f t="shared" si="27"/>
        <v>351.73499999999996</v>
      </c>
      <c r="K375" s="28">
        <f t="shared" si="27"/>
        <v>351.58208333333329</v>
      </c>
      <c r="L375" s="28">
        <f t="shared" si="27"/>
        <v>351.38583333333332</v>
      </c>
      <c r="M375" s="28">
        <f t="shared" si="27"/>
        <v>351.19250000000005</v>
      </c>
      <c r="N375" s="28">
        <f t="shared" si="27"/>
        <v>350.99333333333334</v>
      </c>
    </row>
    <row r="376" spans="1:14" x14ac:dyDescent="0.4">
      <c r="A376" s="1">
        <v>32629</v>
      </c>
      <c r="B376" s="28">
        <v>352.7595833333333</v>
      </c>
      <c r="C376" s="28">
        <f t="shared" si="27"/>
        <v>352.66208333333333</v>
      </c>
      <c r="D376" s="28">
        <f t="shared" si="27"/>
        <v>352.57083333333327</v>
      </c>
      <c r="E376" s="28">
        <f t="shared" si="27"/>
        <v>352.47416666666663</v>
      </c>
      <c r="F376" s="28">
        <f t="shared" si="27"/>
        <v>352.35916666666662</v>
      </c>
      <c r="G376" s="28">
        <f t="shared" si="27"/>
        <v>352.24083333333334</v>
      </c>
      <c r="H376" s="28">
        <f t="shared" si="27"/>
        <v>352.12541666666658</v>
      </c>
      <c r="I376" s="28">
        <f t="shared" si="27"/>
        <v>351.98874999999998</v>
      </c>
      <c r="J376" s="28">
        <f t="shared" si="27"/>
        <v>351.85166666666669</v>
      </c>
      <c r="K376" s="28">
        <f t="shared" si="27"/>
        <v>351.73499999999996</v>
      </c>
      <c r="L376" s="28">
        <f t="shared" si="27"/>
        <v>351.58208333333329</v>
      </c>
      <c r="M376" s="28">
        <f t="shared" si="27"/>
        <v>351.38583333333332</v>
      </c>
      <c r="N376" s="28">
        <f t="shared" si="27"/>
        <v>351.19250000000005</v>
      </c>
    </row>
    <row r="377" spans="1:14" x14ac:dyDescent="0.4">
      <c r="A377" s="1">
        <v>32660</v>
      </c>
      <c r="B377" s="28">
        <v>352.85999999999996</v>
      </c>
      <c r="C377" s="28">
        <f t="shared" si="27"/>
        <v>352.7595833333333</v>
      </c>
      <c r="D377" s="28">
        <f t="shared" si="27"/>
        <v>352.66208333333333</v>
      </c>
      <c r="E377" s="28">
        <f t="shared" si="27"/>
        <v>352.57083333333327</v>
      </c>
      <c r="F377" s="28">
        <f t="shared" si="27"/>
        <v>352.47416666666663</v>
      </c>
      <c r="G377" s="28">
        <f t="shared" si="27"/>
        <v>352.35916666666662</v>
      </c>
      <c r="H377" s="28">
        <f t="shared" si="27"/>
        <v>352.24083333333334</v>
      </c>
      <c r="I377" s="28">
        <f t="shared" si="27"/>
        <v>352.12541666666658</v>
      </c>
      <c r="J377" s="28">
        <f t="shared" si="27"/>
        <v>351.98874999999998</v>
      </c>
      <c r="K377" s="28">
        <f t="shared" si="27"/>
        <v>351.85166666666669</v>
      </c>
      <c r="L377" s="28">
        <f t="shared" si="27"/>
        <v>351.73499999999996</v>
      </c>
      <c r="M377" s="28">
        <f t="shared" si="27"/>
        <v>351.58208333333329</v>
      </c>
      <c r="N377" s="28">
        <f t="shared" si="27"/>
        <v>351.38583333333332</v>
      </c>
    </row>
    <row r="378" spans="1:14" x14ac:dyDescent="0.4">
      <c r="A378" s="1">
        <v>32690</v>
      </c>
      <c r="B378" s="28">
        <v>352.94666666666672</v>
      </c>
      <c r="C378" s="28">
        <f t="shared" si="27"/>
        <v>352.85999999999996</v>
      </c>
      <c r="D378" s="28">
        <f t="shared" si="27"/>
        <v>352.7595833333333</v>
      </c>
      <c r="E378" s="28">
        <f t="shared" si="27"/>
        <v>352.66208333333333</v>
      </c>
      <c r="F378" s="28">
        <f t="shared" si="27"/>
        <v>352.57083333333327</v>
      </c>
      <c r="G378" s="28">
        <f t="shared" si="27"/>
        <v>352.47416666666663</v>
      </c>
      <c r="H378" s="28">
        <f t="shared" si="27"/>
        <v>352.35916666666662</v>
      </c>
      <c r="I378" s="28">
        <f t="shared" si="27"/>
        <v>352.24083333333334</v>
      </c>
      <c r="J378" s="28">
        <f t="shared" si="27"/>
        <v>352.12541666666658</v>
      </c>
      <c r="K378" s="28">
        <f t="shared" si="27"/>
        <v>351.98874999999998</v>
      </c>
      <c r="L378" s="28">
        <f t="shared" si="27"/>
        <v>351.85166666666669</v>
      </c>
      <c r="M378" s="28">
        <f t="shared" si="27"/>
        <v>351.73499999999996</v>
      </c>
      <c r="N378" s="28">
        <f t="shared" si="27"/>
        <v>351.58208333333329</v>
      </c>
    </row>
    <row r="379" spans="1:14" x14ac:dyDescent="0.4">
      <c r="A379" s="1">
        <v>32721</v>
      </c>
      <c r="B379" s="28">
        <v>353.05208333333343</v>
      </c>
      <c r="C379" s="28">
        <f t="shared" si="27"/>
        <v>352.94666666666672</v>
      </c>
      <c r="D379" s="28">
        <f t="shared" si="27"/>
        <v>352.85999999999996</v>
      </c>
      <c r="E379" s="28">
        <f t="shared" si="27"/>
        <v>352.7595833333333</v>
      </c>
      <c r="F379" s="28">
        <f t="shared" si="27"/>
        <v>352.66208333333333</v>
      </c>
      <c r="G379" s="28">
        <f t="shared" si="27"/>
        <v>352.57083333333327</v>
      </c>
      <c r="H379" s="28">
        <f t="shared" si="27"/>
        <v>352.47416666666663</v>
      </c>
      <c r="I379" s="28">
        <f t="shared" si="27"/>
        <v>352.35916666666662</v>
      </c>
      <c r="J379" s="28">
        <f t="shared" si="27"/>
        <v>352.24083333333334</v>
      </c>
      <c r="K379" s="28">
        <f t="shared" si="27"/>
        <v>352.12541666666658</v>
      </c>
      <c r="L379" s="28">
        <f t="shared" si="27"/>
        <v>351.98874999999998</v>
      </c>
      <c r="M379" s="28">
        <f t="shared" si="27"/>
        <v>351.85166666666669</v>
      </c>
      <c r="N379" s="28">
        <f t="shared" si="27"/>
        <v>351.73499999999996</v>
      </c>
    </row>
    <row r="380" spans="1:14" x14ac:dyDescent="0.4">
      <c r="A380" s="1">
        <v>32752</v>
      </c>
      <c r="B380" s="28">
        <v>353.19083333333333</v>
      </c>
      <c r="C380" s="28">
        <f t="shared" si="27"/>
        <v>353.05208333333343</v>
      </c>
      <c r="D380" s="28">
        <f t="shared" si="27"/>
        <v>352.94666666666672</v>
      </c>
      <c r="E380" s="28">
        <f t="shared" si="27"/>
        <v>352.85999999999996</v>
      </c>
      <c r="F380" s="28">
        <f t="shared" si="27"/>
        <v>352.7595833333333</v>
      </c>
      <c r="G380" s="28">
        <f t="shared" si="27"/>
        <v>352.66208333333333</v>
      </c>
      <c r="H380" s="28">
        <f t="shared" si="27"/>
        <v>352.57083333333327</v>
      </c>
      <c r="I380" s="28">
        <f t="shared" si="27"/>
        <v>352.47416666666663</v>
      </c>
      <c r="J380" s="28">
        <f t="shared" si="27"/>
        <v>352.35916666666662</v>
      </c>
      <c r="K380" s="28">
        <f t="shared" si="27"/>
        <v>352.24083333333334</v>
      </c>
      <c r="L380" s="28">
        <f t="shared" si="27"/>
        <v>352.12541666666658</v>
      </c>
      <c r="M380" s="28">
        <f t="shared" si="27"/>
        <v>351.98874999999998</v>
      </c>
      <c r="N380" s="28">
        <f t="shared" si="27"/>
        <v>351.85166666666669</v>
      </c>
    </row>
    <row r="381" spans="1:14" x14ac:dyDescent="0.4">
      <c r="A381" s="1">
        <v>32782</v>
      </c>
      <c r="B381" s="28">
        <v>353.29416666666663</v>
      </c>
      <c r="C381" s="28">
        <f t="shared" si="27"/>
        <v>353.19083333333333</v>
      </c>
      <c r="D381" s="28">
        <f t="shared" si="27"/>
        <v>353.05208333333343</v>
      </c>
      <c r="E381" s="28">
        <f t="shared" si="27"/>
        <v>352.94666666666672</v>
      </c>
      <c r="F381" s="28">
        <f t="shared" si="27"/>
        <v>352.85999999999996</v>
      </c>
      <c r="G381" s="28">
        <f t="shared" si="27"/>
        <v>352.7595833333333</v>
      </c>
      <c r="H381" s="28">
        <f t="shared" si="27"/>
        <v>352.66208333333333</v>
      </c>
      <c r="I381" s="28">
        <f t="shared" si="27"/>
        <v>352.57083333333327</v>
      </c>
      <c r="J381" s="28">
        <f t="shared" si="27"/>
        <v>352.47416666666663</v>
      </c>
      <c r="K381" s="28">
        <f t="shared" si="27"/>
        <v>352.35916666666662</v>
      </c>
      <c r="L381" s="28">
        <f t="shared" si="27"/>
        <v>352.24083333333334</v>
      </c>
      <c r="M381" s="28">
        <f t="shared" si="27"/>
        <v>352.12541666666658</v>
      </c>
      <c r="N381" s="28">
        <f t="shared" si="27"/>
        <v>351.98874999999998</v>
      </c>
    </row>
    <row r="382" spans="1:14" x14ac:dyDescent="0.4">
      <c r="A382" s="1">
        <v>32813</v>
      </c>
      <c r="B382" s="28">
        <v>353.38875000000002</v>
      </c>
      <c r="C382" s="28">
        <f t="shared" si="27"/>
        <v>353.29416666666663</v>
      </c>
      <c r="D382" s="28">
        <f t="shared" si="27"/>
        <v>353.19083333333333</v>
      </c>
      <c r="E382" s="28">
        <f t="shared" si="27"/>
        <v>353.05208333333343</v>
      </c>
      <c r="F382" s="28">
        <f t="shared" si="27"/>
        <v>352.94666666666672</v>
      </c>
      <c r="G382" s="28">
        <f t="shared" si="27"/>
        <v>352.85999999999996</v>
      </c>
      <c r="H382" s="28">
        <f t="shared" si="27"/>
        <v>352.7595833333333</v>
      </c>
      <c r="I382" s="28">
        <f t="shared" si="27"/>
        <v>352.66208333333333</v>
      </c>
      <c r="J382" s="28">
        <f t="shared" si="27"/>
        <v>352.57083333333327</v>
      </c>
      <c r="K382" s="28">
        <f t="shared" si="27"/>
        <v>352.47416666666663</v>
      </c>
      <c r="L382" s="28">
        <f t="shared" si="27"/>
        <v>352.35916666666662</v>
      </c>
      <c r="M382" s="28">
        <f t="shared" si="27"/>
        <v>352.24083333333334</v>
      </c>
      <c r="N382" s="28">
        <f t="shared" si="27"/>
        <v>352.12541666666658</v>
      </c>
    </row>
    <row r="383" spans="1:14" x14ac:dyDescent="0.4">
      <c r="A383" s="1">
        <v>32843</v>
      </c>
      <c r="B383" s="28">
        <v>353.49708333333336</v>
      </c>
      <c r="C383" s="28">
        <f t="shared" si="27"/>
        <v>353.38875000000002</v>
      </c>
      <c r="D383" s="28">
        <f t="shared" si="27"/>
        <v>353.29416666666663</v>
      </c>
      <c r="E383" s="28">
        <f t="shared" si="27"/>
        <v>353.19083333333333</v>
      </c>
      <c r="F383" s="28">
        <f t="shared" si="27"/>
        <v>353.05208333333343</v>
      </c>
      <c r="G383" s="28">
        <f t="shared" si="27"/>
        <v>352.94666666666672</v>
      </c>
      <c r="H383" s="28">
        <f t="shared" si="27"/>
        <v>352.85999999999996</v>
      </c>
      <c r="I383" s="28">
        <f t="shared" si="27"/>
        <v>352.7595833333333</v>
      </c>
      <c r="J383" s="28">
        <f t="shared" si="27"/>
        <v>352.66208333333333</v>
      </c>
      <c r="K383" s="28">
        <f t="shared" si="27"/>
        <v>352.57083333333327</v>
      </c>
      <c r="L383" s="28">
        <f t="shared" si="27"/>
        <v>352.47416666666663</v>
      </c>
      <c r="M383" s="28">
        <f t="shared" si="27"/>
        <v>352.35916666666662</v>
      </c>
      <c r="N383" s="28">
        <f t="shared" si="27"/>
        <v>352.24083333333334</v>
      </c>
    </row>
    <row r="384" spans="1:14" x14ac:dyDescent="0.4">
      <c r="A384" s="1">
        <v>32874</v>
      </c>
      <c r="B384" s="28">
        <v>353.58124999999995</v>
      </c>
      <c r="C384" s="28">
        <f t="shared" si="27"/>
        <v>353.49708333333336</v>
      </c>
      <c r="D384" s="28">
        <f t="shared" si="27"/>
        <v>353.38875000000002</v>
      </c>
      <c r="E384" s="28">
        <f t="shared" si="27"/>
        <v>353.29416666666663</v>
      </c>
      <c r="F384" s="28">
        <f t="shared" si="27"/>
        <v>353.19083333333333</v>
      </c>
      <c r="G384" s="28">
        <f t="shared" si="27"/>
        <v>353.05208333333343</v>
      </c>
      <c r="H384" s="28">
        <f t="shared" si="27"/>
        <v>352.94666666666672</v>
      </c>
      <c r="I384" s="28">
        <f t="shared" si="27"/>
        <v>352.85999999999996</v>
      </c>
      <c r="J384" s="28">
        <f t="shared" si="27"/>
        <v>352.7595833333333</v>
      </c>
      <c r="K384" s="28">
        <f t="shared" si="27"/>
        <v>352.66208333333333</v>
      </c>
      <c r="L384" s="28">
        <f t="shared" si="27"/>
        <v>352.57083333333327</v>
      </c>
      <c r="M384" s="28">
        <f t="shared" si="27"/>
        <v>352.47416666666663</v>
      </c>
      <c r="N384" s="28">
        <f t="shared" si="27"/>
        <v>352.35916666666662</v>
      </c>
    </row>
    <row r="385" spans="1:14" x14ac:dyDescent="0.4">
      <c r="A385" s="1">
        <v>32905</v>
      </c>
      <c r="B385" s="28">
        <v>353.67083333333335</v>
      </c>
      <c r="C385" s="28">
        <f t="shared" si="27"/>
        <v>353.58124999999995</v>
      </c>
      <c r="D385" s="28">
        <f t="shared" si="27"/>
        <v>353.49708333333336</v>
      </c>
      <c r="E385" s="28">
        <f t="shared" si="27"/>
        <v>353.38875000000002</v>
      </c>
      <c r="F385" s="28">
        <f t="shared" si="27"/>
        <v>353.29416666666663</v>
      </c>
      <c r="G385" s="28">
        <f t="shared" si="27"/>
        <v>353.19083333333333</v>
      </c>
      <c r="H385" s="28">
        <f t="shared" si="27"/>
        <v>353.05208333333343</v>
      </c>
      <c r="I385" s="28">
        <f t="shared" si="27"/>
        <v>352.94666666666672</v>
      </c>
      <c r="J385" s="28">
        <f t="shared" si="27"/>
        <v>352.85999999999996</v>
      </c>
      <c r="K385" s="28">
        <f t="shared" si="27"/>
        <v>352.7595833333333</v>
      </c>
      <c r="L385" s="28">
        <f t="shared" si="27"/>
        <v>352.66208333333333</v>
      </c>
      <c r="M385" s="28">
        <f t="shared" si="27"/>
        <v>352.57083333333327</v>
      </c>
      <c r="N385" s="28">
        <f t="shared" si="27"/>
        <v>352.47416666666663</v>
      </c>
    </row>
    <row r="386" spans="1:14" x14ac:dyDescent="0.4">
      <c r="A386" s="1">
        <v>32933</v>
      </c>
      <c r="B386" s="28">
        <v>353.77041666666668</v>
      </c>
      <c r="C386" s="28">
        <f t="shared" si="27"/>
        <v>353.67083333333335</v>
      </c>
      <c r="D386" s="28">
        <f t="shared" si="27"/>
        <v>353.58124999999995</v>
      </c>
      <c r="E386" s="28">
        <f t="shared" si="27"/>
        <v>353.49708333333336</v>
      </c>
      <c r="F386" s="28">
        <f t="shared" si="27"/>
        <v>353.38875000000002</v>
      </c>
      <c r="G386" s="28">
        <f t="shared" si="27"/>
        <v>353.29416666666663</v>
      </c>
      <c r="H386" s="28">
        <f t="shared" si="27"/>
        <v>353.19083333333333</v>
      </c>
      <c r="I386" s="28">
        <f t="shared" si="27"/>
        <v>353.05208333333343</v>
      </c>
      <c r="J386" s="28">
        <f t="shared" si="27"/>
        <v>352.94666666666672</v>
      </c>
      <c r="K386" s="28">
        <f t="shared" si="27"/>
        <v>352.85999999999996</v>
      </c>
      <c r="L386" s="28">
        <f t="shared" si="27"/>
        <v>352.7595833333333</v>
      </c>
      <c r="M386" s="28">
        <f t="shared" si="27"/>
        <v>352.66208333333333</v>
      </c>
      <c r="N386" s="28">
        <f t="shared" si="27"/>
        <v>352.57083333333327</v>
      </c>
    </row>
    <row r="387" spans="1:14" x14ac:dyDescent="0.4">
      <c r="A387" s="1">
        <v>32964</v>
      </c>
      <c r="B387" s="28">
        <v>353.86791666666664</v>
      </c>
      <c r="C387" s="28">
        <f t="shared" si="27"/>
        <v>353.77041666666668</v>
      </c>
      <c r="D387" s="28">
        <f t="shared" si="27"/>
        <v>353.67083333333335</v>
      </c>
      <c r="E387" s="28">
        <f t="shared" si="27"/>
        <v>353.58124999999995</v>
      </c>
      <c r="F387" s="28">
        <f t="shared" si="27"/>
        <v>353.49708333333336</v>
      </c>
      <c r="G387" s="28">
        <f t="shared" si="27"/>
        <v>353.38875000000002</v>
      </c>
      <c r="H387" s="28">
        <f t="shared" si="27"/>
        <v>353.29416666666663</v>
      </c>
      <c r="I387" s="28">
        <f t="shared" si="27"/>
        <v>353.19083333333333</v>
      </c>
      <c r="J387" s="28">
        <f t="shared" si="27"/>
        <v>353.05208333333343</v>
      </c>
      <c r="K387" s="28">
        <f t="shared" si="27"/>
        <v>352.94666666666672</v>
      </c>
      <c r="L387" s="28">
        <f t="shared" si="27"/>
        <v>352.85999999999996</v>
      </c>
      <c r="M387" s="28">
        <f t="shared" si="27"/>
        <v>352.7595833333333</v>
      </c>
      <c r="N387" s="28">
        <f t="shared" si="27"/>
        <v>352.66208333333333</v>
      </c>
    </row>
    <row r="388" spans="1:14" x14ac:dyDescent="0.4">
      <c r="A388" s="1">
        <v>32994</v>
      </c>
      <c r="B388" s="28">
        <v>353.98125000000005</v>
      </c>
      <c r="C388" s="28">
        <f t="shared" si="27"/>
        <v>353.86791666666664</v>
      </c>
      <c r="D388" s="28">
        <f t="shared" si="27"/>
        <v>353.77041666666668</v>
      </c>
      <c r="E388" s="28">
        <f t="shared" si="27"/>
        <v>353.67083333333335</v>
      </c>
      <c r="F388" s="28">
        <f t="shared" si="27"/>
        <v>353.58124999999995</v>
      </c>
      <c r="G388" s="28">
        <f t="shared" si="27"/>
        <v>353.49708333333336</v>
      </c>
      <c r="H388" s="28">
        <f t="shared" si="27"/>
        <v>353.38875000000002</v>
      </c>
      <c r="I388" s="28">
        <f t="shared" si="27"/>
        <v>353.29416666666663</v>
      </c>
      <c r="J388" s="28">
        <f t="shared" si="27"/>
        <v>353.19083333333333</v>
      </c>
      <c r="K388" s="28">
        <f t="shared" si="27"/>
        <v>353.05208333333343</v>
      </c>
      <c r="L388" s="28">
        <f t="shared" ref="L388:W451" si="28">IF(K387=0,"",K387)</f>
        <v>352.94666666666672</v>
      </c>
      <c r="M388" s="28">
        <f t="shared" si="28"/>
        <v>352.85999999999996</v>
      </c>
      <c r="N388" s="28">
        <f t="shared" si="28"/>
        <v>352.7595833333333</v>
      </c>
    </row>
    <row r="389" spans="1:14" x14ac:dyDescent="0.4">
      <c r="A389" s="1">
        <v>33025</v>
      </c>
      <c r="B389" s="28">
        <v>354.1154166666667</v>
      </c>
      <c r="C389" s="28">
        <f t="shared" ref="C389:N452" si="29">IF(B388=0,"",B388)</f>
        <v>353.98125000000005</v>
      </c>
      <c r="D389" s="28">
        <f t="shared" si="29"/>
        <v>353.86791666666664</v>
      </c>
      <c r="E389" s="28">
        <f t="shared" si="29"/>
        <v>353.77041666666668</v>
      </c>
      <c r="F389" s="28">
        <f t="shared" si="29"/>
        <v>353.67083333333335</v>
      </c>
      <c r="G389" s="28">
        <f t="shared" si="29"/>
        <v>353.58124999999995</v>
      </c>
      <c r="H389" s="28">
        <f t="shared" si="29"/>
        <v>353.49708333333336</v>
      </c>
      <c r="I389" s="28">
        <f t="shared" si="29"/>
        <v>353.38875000000002</v>
      </c>
      <c r="J389" s="28">
        <f t="shared" si="29"/>
        <v>353.29416666666663</v>
      </c>
      <c r="K389" s="28">
        <f t="shared" si="29"/>
        <v>353.19083333333333</v>
      </c>
      <c r="L389" s="28">
        <f t="shared" si="29"/>
        <v>353.05208333333343</v>
      </c>
      <c r="M389" s="28">
        <f t="shared" si="29"/>
        <v>352.94666666666672</v>
      </c>
      <c r="N389" s="28">
        <f t="shared" si="29"/>
        <v>352.85999999999996</v>
      </c>
    </row>
    <row r="390" spans="1:14" x14ac:dyDescent="0.4">
      <c r="A390" s="1">
        <v>33055</v>
      </c>
      <c r="B390" s="28">
        <v>354.23</v>
      </c>
      <c r="C390" s="28">
        <f t="shared" si="29"/>
        <v>354.1154166666667</v>
      </c>
      <c r="D390" s="28">
        <f t="shared" si="29"/>
        <v>353.98125000000005</v>
      </c>
      <c r="E390" s="28">
        <f t="shared" si="29"/>
        <v>353.86791666666664</v>
      </c>
      <c r="F390" s="28">
        <f t="shared" si="29"/>
        <v>353.77041666666668</v>
      </c>
      <c r="G390" s="28">
        <f t="shared" si="29"/>
        <v>353.67083333333335</v>
      </c>
      <c r="H390" s="28">
        <f t="shared" si="29"/>
        <v>353.58124999999995</v>
      </c>
      <c r="I390" s="28">
        <f t="shared" si="29"/>
        <v>353.49708333333336</v>
      </c>
      <c r="J390" s="28">
        <f t="shared" si="29"/>
        <v>353.38875000000002</v>
      </c>
      <c r="K390" s="28">
        <f t="shared" si="29"/>
        <v>353.29416666666663</v>
      </c>
      <c r="L390" s="28">
        <f t="shared" si="29"/>
        <v>353.19083333333333</v>
      </c>
      <c r="M390" s="28">
        <f t="shared" si="29"/>
        <v>353.05208333333343</v>
      </c>
      <c r="N390" s="28">
        <f t="shared" si="29"/>
        <v>352.94666666666672</v>
      </c>
    </row>
    <row r="391" spans="1:14" x14ac:dyDescent="0.4">
      <c r="A391" s="1">
        <v>33086</v>
      </c>
      <c r="B391" s="28">
        <v>354.31791666666669</v>
      </c>
      <c r="C391" s="28">
        <f t="shared" si="29"/>
        <v>354.23</v>
      </c>
      <c r="D391" s="28">
        <f t="shared" si="29"/>
        <v>354.1154166666667</v>
      </c>
      <c r="E391" s="28">
        <f t="shared" si="29"/>
        <v>353.98125000000005</v>
      </c>
      <c r="F391" s="28">
        <f t="shared" si="29"/>
        <v>353.86791666666664</v>
      </c>
      <c r="G391" s="28">
        <f t="shared" si="29"/>
        <v>353.77041666666668</v>
      </c>
      <c r="H391" s="28">
        <f t="shared" si="29"/>
        <v>353.67083333333335</v>
      </c>
      <c r="I391" s="28">
        <f t="shared" si="29"/>
        <v>353.58124999999995</v>
      </c>
      <c r="J391" s="28">
        <f t="shared" si="29"/>
        <v>353.49708333333336</v>
      </c>
      <c r="K391" s="28">
        <f t="shared" si="29"/>
        <v>353.38875000000002</v>
      </c>
      <c r="L391" s="28">
        <f t="shared" si="29"/>
        <v>353.29416666666663</v>
      </c>
      <c r="M391" s="28">
        <f t="shared" si="29"/>
        <v>353.19083333333333</v>
      </c>
      <c r="N391" s="28">
        <f t="shared" si="29"/>
        <v>353.05208333333343</v>
      </c>
    </row>
    <row r="392" spans="1:14" x14ac:dyDescent="0.4">
      <c r="A392" s="1">
        <v>33117</v>
      </c>
      <c r="B392" s="28">
        <v>354.43583333333328</v>
      </c>
      <c r="C392" s="28">
        <f t="shared" si="29"/>
        <v>354.31791666666669</v>
      </c>
      <c r="D392" s="28">
        <f t="shared" si="29"/>
        <v>354.23</v>
      </c>
      <c r="E392" s="28">
        <f t="shared" si="29"/>
        <v>354.1154166666667</v>
      </c>
      <c r="F392" s="28">
        <f t="shared" si="29"/>
        <v>353.98125000000005</v>
      </c>
      <c r="G392" s="28">
        <f t="shared" si="29"/>
        <v>353.86791666666664</v>
      </c>
      <c r="H392" s="28">
        <f t="shared" si="29"/>
        <v>353.77041666666668</v>
      </c>
      <c r="I392" s="28">
        <f t="shared" si="29"/>
        <v>353.67083333333335</v>
      </c>
      <c r="J392" s="28">
        <f t="shared" si="29"/>
        <v>353.58124999999995</v>
      </c>
      <c r="K392" s="28">
        <f t="shared" si="29"/>
        <v>353.49708333333336</v>
      </c>
      <c r="L392" s="28">
        <f t="shared" si="29"/>
        <v>353.38875000000002</v>
      </c>
      <c r="M392" s="28">
        <f t="shared" si="29"/>
        <v>353.29416666666663</v>
      </c>
      <c r="N392" s="28">
        <f t="shared" si="29"/>
        <v>353.19083333333333</v>
      </c>
    </row>
    <row r="393" spans="1:14" x14ac:dyDescent="0.4">
      <c r="A393" s="1">
        <v>33147</v>
      </c>
      <c r="B393" s="28">
        <v>354.61000000000007</v>
      </c>
      <c r="C393" s="28">
        <f t="shared" si="29"/>
        <v>354.43583333333328</v>
      </c>
      <c r="D393" s="28">
        <f t="shared" si="29"/>
        <v>354.31791666666669</v>
      </c>
      <c r="E393" s="28">
        <f t="shared" si="29"/>
        <v>354.23</v>
      </c>
      <c r="F393" s="28">
        <f t="shared" si="29"/>
        <v>354.1154166666667</v>
      </c>
      <c r="G393" s="28">
        <f t="shared" si="29"/>
        <v>353.98125000000005</v>
      </c>
      <c r="H393" s="28">
        <f t="shared" si="29"/>
        <v>353.86791666666664</v>
      </c>
      <c r="I393" s="28">
        <f t="shared" si="29"/>
        <v>353.77041666666668</v>
      </c>
      <c r="J393" s="28">
        <f t="shared" si="29"/>
        <v>353.67083333333335</v>
      </c>
      <c r="K393" s="28">
        <f t="shared" si="29"/>
        <v>353.58124999999995</v>
      </c>
      <c r="L393" s="28">
        <f t="shared" si="29"/>
        <v>353.49708333333336</v>
      </c>
      <c r="M393" s="28">
        <f t="shared" si="29"/>
        <v>353.38875000000002</v>
      </c>
      <c r="N393" s="28">
        <f t="shared" si="29"/>
        <v>353.29416666666663</v>
      </c>
    </row>
    <row r="394" spans="1:14" x14ac:dyDescent="0.4">
      <c r="A394" s="1">
        <v>33178</v>
      </c>
      <c r="B394" s="28">
        <v>354.8008333333334</v>
      </c>
      <c r="C394" s="28">
        <f t="shared" si="29"/>
        <v>354.61000000000007</v>
      </c>
      <c r="D394" s="28">
        <f t="shared" si="29"/>
        <v>354.43583333333328</v>
      </c>
      <c r="E394" s="28">
        <f t="shared" si="29"/>
        <v>354.31791666666669</v>
      </c>
      <c r="F394" s="28">
        <f t="shared" si="29"/>
        <v>354.23</v>
      </c>
      <c r="G394" s="28">
        <f t="shared" si="29"/>
        <v>354.1154166666667</v>
      </c>
      <c r="H394" s="28">
        <f t="shared" si="29"/>
        <v>353.98125000000005</v>
      </c>
      <c r="I394" s="28">
        <f t="shared" si="29"/>
        <v>353.86791666666664</v>
      </c>
      <c r="J394" s="28">
        <f t="shared" si="29"/>
        <v>353.77041666666668</v>
      </c>
      <c r="K394" s="28">
        <f t="shared" si="29"/>
        <v>353.67083333333335</v>
      </c>
      <c r="L394" s="28">
        <f t="shared" si="29"/>
        <v>353.58124999999995</v>
      </c>
      <c r="M394" s="28">
        <f t="shared" si="29"/>
        <v>353.49708333333336</v>
      </c>
      <c r="N394" s="28">
        <f t="shared" si="29"/>
        <v>353.38875000000002</v>
      </c>
    </row>
    <row r="395" spans="1:14" x14ac:dyDescent="0.4">
      <c r="A395" s="1">
        <v>33208</v>
      </c>
      <c r="B395" s="28">
        <v>354.97541666666672</v>
      </c>
      <c r="C395" s="28">
        <f t="shared" si="29"/>
        <v>354.8008333333334</v>
      </c>
      <c r="D395" s="28">
        <f t="shared" si="29"/>
        <v>354.61000000000007</v>
      </c>
      <c r="E395" s="28">
        <f t="shared" si="29"/>
        <v>354.43583333333328</v>
      </c>
      <c r="F395" s="28">
        <f t="shared" si="29"/>
        <v>354.31791666666669</v>
      </c>
      <c r="G395" s="28">
        <f t="shared" si="29"/>
        <v>354.23</v>
      </c>
      <c r="H395" s="28">
        <f t="shared" si="29"/>
        <v>354.1154166666667</v>
      </c>
      <c r="I395" s="28">
        <f t="shared" si="29"/>
        <v>353.98125000000005</v>
      </c>
      <c r="J395" s="28">
        <f t="shared" si="29"/>
        <v>353.86791666666664</v>
      </c>
      <c r="K395" s="28">
        <f t="shared" si="29"/>
        <v>353.77041666666668</v>
      </c>
      <c r="L395" s="28">
        <f t="shared" si="29"/>
        <v>353.67083333333335</v>
      </c>
      <c r="M395" s="28">
        <f t="shared" si="29"/>
        <v>353.58124999999995</v>
      </c>
      <c r="N395" s="28">
        <f t="shared" si="29"/>
        <v>353.49708333333336</v>
      </c>
    </row>
    <row r="396" spans="1:14" x14ac:dyDescent="0.4">
      <c r="A396" s="1">
        <v>33239</v>
      </c>
      <c r="B396" s="28">
        <v>355.11583333333334</v>
      </c>
      <c r="C396" s="28">
        <f t="shared" si="29"/>
        <v>354.97541666666672</v>
      </c>
      <c r="D396" s="28">
        <f t="shared" si="29"/>
        <v>354.8008333333334</v>
      </c>
      <c r="E396" s="28">
        <f t="shared" si="29"/>
        <v>354.61000000000007</v>
      </c>
      <c r="F396" s="28">
        <f t="shared" si="29"/>
        <v>354.43583333333328</v>
      </c>
      <c r="G396" s="28">
        <f t="shared" si="29"/>
        <v>354.31791666666669</v>
      </c>
      <c r="H396" s="28">
        <f t="shared" si="29"/>
        <v>354.23</v>
      </c>
      <c r="I396" s="28">
        <f t="shared" si="29"/>
        <v>354.1154166666667</v>
      </c>
      <c r="J396" s="28">
        <f t="shared" si="29"/>
        <v>353.98125000000005</v>
      </c>
      <c r="K396" s="28">
        <f t="shared" si="29"/>
        <v>353.86791666666664</v>
      </c>
      <c r="L396" s="28">
        <f t="shared" si="29"/>
        <v>353.77041666666668</v>
      </c>
      <c r="M396" s="28">
        <f t="shared" si="29"/>
        <v>353.67083333333335</v>
      </c>
      <c r="N396" s="28">
        <f t="shared" si="29"/>
        <v>353.58124999999995</v>
      </c>
    </row>
    <row r="397" spans="1:14" x14ac:dyDescent="0.4">
      <c r="A397" s="1">
        <v>33270</v>
      </c>
      <c r="B397" s="28">
        <v>355.21833333333342</v>
      </c>
      <c r="C397" s="28">
        <f t="shared" si="29"/>
        <v>355.11583333333334</v>
      </c>
      <c r="D397" s="28">
        <f t="shared" si="29"/>
        <v>354.97541666666672</v>
      </c>
      <c r="E397" s="28">
        <f t="shared" si="29"/>
        <v>354.8008333333334</v>
      </c>
      <c r="F397" s="28">
        <f t="shared" si="29"/>
        <v>354.61000000000007</v>
      </c>
      <c r="G397" s="28">
        <f t="shared" si="29"/>
        <v>354.43583333333328</v>
      </c>
      <c r="H397" s="28">
        <f t="shared" si="29"/>
        <v>354.31791666666669</v>
      </c>
      <c r="I397" s="28">
        <f t="shared" si="29"/>
        <v>354.23</v>
      </c>
      <c r="J397" s="28">
        <f t="shared" si="29"/>
        <v>354.1154166666667</v>
      </c>
      <c r="K397" s="28">
        <f t="shared" si="29"/>
        <v>353.98125000000005</v>
      </c>
      <c r="L397" s="28">
        <f t="shared" si="29"/>
        <v>353.86791666666664</v>
      </c>
      <c r="M397" s="28">
        <f t="shared" si="29"/>
        <v>353.77041666666668</v>
      </c>
      <c r="N397" s="28">
        <f t="shared" si="29"/>
        <v>353.67083333333335</v>
      </c>
    </row>
    <row r="398" spans="1:14" x14ac:dyDescent="0.4">
      <c r="A398" s="1">
        <v>33298</v>
      </c>
      <c r="B398" s="28">
        <v>355.31375000000003</v>
      </c>
      <c r="C398" s="28">
        <f t="shared" si="29"/>
        <v>355.21833333333342</v>
      </c>
      <c r="D398" s="28">
        <f t="shared" si="29"/>
        <v>355.11583333333334</v>
      </c>
      <c r="E398" s="28">
        <f t="shared" si="29"/>
        <v>354.97541666666672</v>
      </c>
      <c r="F398" s="28">
        <f t="shared" si="29"/>
        <v>354.8008333333334</v>
      </c>
      <c r="G398" s="28">
        <f t="shared" si="29"/>
        <v>354.61000000000007</v>
      </c>
      <c r="H398" s="28">
        <f t="shared" si="29"/>
        <v>354.43583333333328</v>
      </c>
      <c r="I398" s="28">
        <f t="shared" si="29"/>
        <v>354.31791666666669</v>
      </c>
      <c r="J398" s="28">
        <f t="shared" si="29"/>
        <v>354.23</v>
      </c>
      <c r="K398" s="28">
        <f t="shared" si="29"/>
        <v>354.1154166666667</v>
      </c>
      <c r="L398" s="28">
        <f t="shared" si="29"/>
        <v>353.98125000000005</v>
      </c>
      <c r="M398" s="28">
        <f t="shared" si="29"/>
        <v>353.86791666666664</v>
      </c>
      <c r="N398" s="28">
        <f t="shared" si="29"/>
        <v>353.77041666666668</v>
      </c>
    </row>
    <row r="399" spans="1:14" x14ac:dyDescent="0.4">
      <c r="A399" s="1">
        <v>33329</v>
      </c>
      <c r="B399" s="28">
        <v>355.40625</v>
      </c>
      <c r="C399" s="28">
        <f t="shared" si="29"/>
        <v>355.31375000000003</v>
      </c>
      <c r="D399" s="28">
        <f t="shared" si="29"/>
        <v>355.21833333333342</v>
      </c>
      <c r="E399" s="28">
        <f t="shared" si="29"/>
        <v>355.11583333333334</v>
      </c>
      <c r="F399" s="28">
        <f t="shared" si="29"/>
        <v>354.97541666666672</v>
      </c>
      <c r="G399" s="28">
        <f t="shared" si="29"/>
        <v>354.8008333333334</v>
      </c>
      <c r="H399" s="28">
        <f t="shared" si="29"/>
        <v>354.61000000000007</v>
      </c>
      <c r="I399" s="28">
        <f t="shared" si="29"/>
        <v>354.43583333333328</v>
      </c>
      <c r="J399" s="28">
        <f t="shared" si="29"/>
        <v>354.31791666666669</v>
      </c>
      <c r="K399" s="28">
        <f t="shared" si="29"/>
        <v>354.23</v>
      </c>
      <c r="L399" s="28">
        <f t="shared" si="29"/>
        <v>354.1154166666667</v>
      </c>
      <c r="M399" s="28">
        <f t="shared" si="29"/>
        <v>353.98125000000005</v>
      </c>
      <c r="N399" s="28">
        <f t="shared" si="29"/>
        <v>353.86791666666664</v>
      </c>
    </row>
    <row r="400" spans="1:14" x14ac:dyDescent="0.4">
      <c r="A400" s="1">
        <v>33359</v>
      </c>
      <c r="B400" s="28">
        <v>355.48749999999995</v>
      </c>
      <c r="C400" s="28">
        <f t="shared" si="29"/>
        <v>355.40625</v>
      </c>
      <c r="D400" s="28">
        <f t="shared" si="29"/>
        <v>355.31375000000003</v>
      </c>
      <c r="E400" s="28">
        <f t="shared" si="29"/>
        <v>355.21833333333342</v>
      </c>
      <c r="F400" s="28">
        <f t="shared" si="29"/>
        <v>355.11583333333334</v>
      </c>
      <c r="G400" s="28">
        <f t="shared" si="29"/>
        <v>354.97541666666672</v>
      </c>
      <c r="H400" s="28">
        <f t="shared" si="29"/>
        <v>354.8008333333334</v>
      </c>
      <c r="I400" s="28">
        <f t="shared" si="29"/>
        <v>354.61000000000007</v>
      </c>
      <c r="J400" s="28">
        <f t="shared" si="29"/>
        <v>354.43583333333328</v>
      </c>
      <c r="K400" s="28">
        <f t="shared" si="29"/>
        <v>354.31791666666669</v>
      </c>
      <c r="L400" s="28">
        <f t="shared" si="29"/>
        <v>354.23</v>
      </c>
      <c r="M400" s="28">
        <f t="shared" si="29"/>
        <v>354.1154166666667</v>
      </c>
      <c r="N400" s="28">
        <f t="shared" si="29"/>
        <v>353.98125000000005</v>
      </c>
    </row>
    <row r="401" spans="1:14" x14ac:dyDescent="0.4">
      <c r="A401" s="1">
        <v>33390</v>
      </c>
      <c r="B401" s="28">
        <v>355.55833333333334</v>
      </c>
      <c r="C401" s="28">
        <f t="shared" si="29"/>
        <v>355.48749999999995</v>
      </c>
      <c r="D401" s="28">
        <f t="shared" si="29"/>
        <v>355.40625</v>
      </c>
      <c r="E401" s="28">
        <f t="shared" si="29"/>
        <v>355.31375000000003</v>
      </c>
      <c r="F401" s="28">
        <f t="shared" si="29"/>
        <v>355.21833333333342</v>
      </c>
      <c r="G401" s="28">
        <f t="shared" si="29"/>
        <v>355.11583333333334</v>
      </c>
      <c r="H401" s="28">
        <f t="shared" si="29"/>
        <v>354.97541666666672</v>
      </c>
      <c r="I401" s="28">
        <f t="shared" si="29"/>
        <v>354.8008333333334</v>
      </c>
      <c r="J401" s="28">
        <f t="shared" si="29"/>
        <v>354.61000000000007</v>
      </c>
      <c r="K401" s="28">
        <f t="shared" si="29"/>
        <v>354.43583333333328</v>
      </c>
      <c r="L401" s="28">
        <f t="shared" si="29"/>
        <v>354.31791666666669</v>
      </c>
      <c r="M401" s="28">
        <f t="shared" si="29"/>
        <v>354.23</v>
      </c>
      <c r="N401" s="28">
        <f t="shared" si="29"/>
        <v>354.1154166666667</v>
      </c>
    </row>
    <row r="402" spans="1:14" x14ac:dyDescent="0.4">
      <c r="A402" s="1">
        <v>33420</v>
      </c>
      <c r="B402" s="28">
        <v>355.64375000000001</v>
      </c>
      <c r="C402" s="28">
        <f t="shared" si="29"/>
        <v>355.55833333333334</v>
      </c>
      <c r="D402" s="28">
        <f t="shared" si="29"/>
        <v>355.48749999999995</v>
      </c>
      <c r="E402" s="28">
        <f t="shared" si="29"/>
        <v>355.40625</v>
      </c>
      <c r="F402" s="28">
        <f t="shared" si="29"/>
        <v>355.31375000000003</v>
      </c>
      <c r="G402" s="28">
        <f t="shared" si="29"/>
        <v>355.21833333333342</v>
      </c>
      <c r="H402" s="28">
        <f t="shared" si="29"/>
        <v>355.11583333333334</v>
      </c>
      <c r="I402" s="28">
        <f t="shared" si="29"/>
        <v>354.97541666666672</v>
      </c>
      <c r="J402" s="28">
        <f t="shared" si="29"/>
        <v>354.8008333333334</v>
      </c>
      <c r="K402" s="28">
        <f t="shared" si="29"/>
        <v>354.61000000000007</v>
      </c>
      <c r="L402" s="28">
        <f t="shared" si="29"/>
        <v>354.43583333333328</v>
      </c>
      <c r="M402" s="28">
        <f t="shared" si="29"/>
        <v>354.31791666666669</v>
      </c>
      <c r="N402" s="28">
        <f t="shared" si="29"/>
        <v>354.23</v>
      </c>
    </row>
    <row r="403" spans="1:14" x14ac:dyDescent="0.4">
      <c r="A403" s="1">
        <v>33451</v>
      </c>
      <c r="B403" s="28">
        <v>355.73708333333337</v>
      </c>
      <c r="C403" s="28">
        <f t="shared" si="29"/>
        <v>355.64375000000001</v>
      </c>
      <c r="D403" s="28">
        <f t="shared" si="29"/>
        <v>355.55833333333334</v>
      </c>
      <c r="E403" s="28">
        <f t="shared" si="29"/>
        <v>355.48749999999995</v>
      </c>
      <c r="F403" s="28">
        <f t="shared" si="29"/>
        <v>355.40625</v>
      </c>
      <c r="G403" s="28">
        <f t="shared" si="29"/>
        <v>355.31375000000003</v>
      </c>
      <c r="H403" s="28">
        <f t="shared" si="29"/>
        <v>355.21833333333342</v>
      </c>
      <c r="I403" s="28">
        <f t="shared" si="29"/>
        <v>355.11583333333334</v>
      </c>
      <c r="J403" s="28">
        <f t="shared" si="29"/>
        <v>354.97541666666672</v>
      </c>
      <c r="K403" s="28">
        <f t="shared" si="29"/>
        <v>354.8008333333334</v>
      </c>
      <c r="L403" s="28">
        <f t="shared" si="29"/>
        <v>354.61000000000007</v>
      </c>
      <c r="M403" s="28">
        <f t="shared" si="29"/>
        <v>354.43583333333328</v>
      </c>
      <c r="N403" s="28">
        <f t="shared" si="29"/>
        <v>354.31791666666669</v>
      </c>
    </row>
    <row r="404" spans="1:14" x14ac:dyDescent="0.4">
      <c r="A404" s="1">
        <v>33482</v>
      </c>
      <c r="B404" s="28">
        <v>355.80458333333331</v>
      </c>
      <c r="C404" s="28">
        <f t="shared" si="29"/>
        <v>355.73708333333337</v>
      </c>
      <c r="D404" s="28">
        <f t="shared" si="29"/>
        <v>355.64375000000001</v>
      </c>
      <c r="E404" s="28">
        <f t="shared" si="29"/>
        <v>355.55833333333334</v>
      </c>
      <c r="F404" s="28">
        <f t="shared" si="29"/>
        <v>355.48749999999995</v>
      </c>
      <c r="G404" s="28">
        <f t="shared" si="29"/>
        <v>355.40625</v>
      </c>
      <c r="H404" s="28">
        <f t="shared" si="29"/>
        <v>355.31375000000003</v>
      </c>
      <c r="I404" s="28">
        <f t="shared" si="29"/>
        <v>355.21833333333342</v>
      </c>
      <c r="J404" s="28">
        <f t="shared" si="29"/>
        <v>355.11583333333334</v>
      </c>
      <c r="K404" s="28">
        <f t="shared" si="29"/>
        <v>354.97541666666672</v>
      </c>
      <c r="L404" s="28">
        <f t="shared" si="29"/>
        <v>354.8008333333334</v>
      </c>
      <c r="M404" s="28">
        <f t="shared" si="29"/>
        <v>354.61000000000007</v>
      </c>
      <c r="N404" s="28">
        <f t="shared" si="29"/>
        <v>354.43583333333328</v>
      </c>
    </row>
    <row r="405" spans="1:14" x14ac:dyDescent="0.4">
      <c r="A405" s="1">
        <v>33512</v>
      </c>
      <c r="B405" s="28">
        <v>355.85458333333332</v>
      </c>
      <c r="C405" s="28">
        <f t="shared" si="29"/>
        <v>355.80458333333331</v>
      </c>
      <c r="D405" s="28">
        <f t="shared" si="29"/>
        <v>355.73708333333337</v>
      </c>
      <c r="E405" s="28">
        <f t="shared" si="29"/>
        <v>355.64375000000001</v>
      </c>
      <c r="F405" s="28">
        <f t="shared" si="29"/>
        <v>355.55833333333334</v>
      </c>
      <c r="G405" s="28">
        <f t="shared" si="29"/>
        <v>355.48749999999995</v>
      </c>
      <c r="H405" s="28">
        <f t="shared" si="29"/>
        <v>355.40625</v>
      </c>
      <c r="I405" s="28">
        <f t="shared" si="29"/>
        <v>355.31375000000003</v>
      </c>
      <c r="J405" s="28">
        <f t="shared" si="29"/>
        <v>355.21833333333342</v>
      </c>
      <c r="K405" s="28">
        <f t="shared" si="29"/>
        <v>355.11583333333334</v>
      </c>
      <c r="L405" s="28">
        <f t="shared" si="29"/>
        <v>354.97541666666672</v>
      </c>
      <c r="M405" s="28">
        <f t="shared" si="29"/>
        <v>354.8008333333334</v>
      </c>
      <c r="N405" s="28">
        <f t="shared" si="29"/>
        <v>354.61000000000007</v>
      </c>
    </row>
    <row r="406" spans="1:14" x14ac:dyDescent="0.4">
      <c r="A406" s="1">
        <v>33543</v>
      </c>
      <c r="B406" s="28">
        <v>355.89083333333332</v>
      </c>
      <c r="C406" s="28">
        <f t="shared" si="29"/>
        <v>355.85458333333332</v>
      </c>
      <c r="D406" s="28">
        <f t="shared" si="29"/>
        <v>355.80458333333331</v>
      </c>
      <c r="E406" s="28">
        <f t="shared" si="29"/>
        <v>355.73708333333337</v>
      </c>
      <c r="F406" s="28">
        <f t="shared" si="29"/>
        <v>355.64375000000001</v>
      </c>
      <c r="G406" s="28">
        <f t="shared" si="29"/>
        <v>355.55833333333334</v>
      </c>
      <c r="H406" s="28">
        <f t="shared" si="29"/>
        <v>355.48749999999995</v>
      </c>
      <c r="I406" s="28">
        <f t="shared" si="29"/>
        <v>355.40625</v>
      </c>
      <c r="J406" s="28">
        <f t="shared" si="29"/>
        <v>355.31375000000003</v>
      </c>
      <c r="K406" s="28">
        <f t="shared" si="29"/>
        <v>355.21833333333342</v>
      </c>
      <c r="L406" s="28">
        <f t="shared" si="29"/>
        <v>355.11583333333334</v>
      </c>
      <c r="M406" s="28">
        <f t="shared" si="29"/>
        <v>354.97541666666672</v>
      </c>
      <c r="N406" s="28">
        <f t="shared" si="29"/>
        <v>354.8008333333334</v>
      </c>
    </row>
    <row r="407" spans="1:14" x14ac:dyDescent="0.4">
      <c r="A407" s="1">
        <v>33573</v>
      </c>
      <c r="B407" s="28">
        <v>355.94624999999996</v>
      </c>
      <c r="C407" s="28">
        <f t="shared" si="29"/>
        <v>355.89083333333332</v>
      </c>
      <c r="D407" s="28">
        <f t="shared" si="29"/>
        <v>355.85458333333332</v>
      </c>
      <c r="E407" s="28">
        <f t="shared" si="29"/>
        <v>355.80458333333331</v>
      </c>
      <c r="F407" s="28">
        <f t="shared" si="29"/>
        <v>355.73708333333337</v>
      </c>
      <c r="G407" s="28">
        <f t="shared" si="29"/>
        <v>355.64375000000001</v>
      </c>
      <c r="H407" s="28">
        <f t="shared" si="29"/>
        <v>355.55833333333334</v>
      </c>
      <c r="I407" s="28">
        <f t="shared" si="29"/>
        <v>355.48749999999995</v>
      </c>
      <c r="J407" s="28">
        <f t="shared" si="29"/>
        <v>355.40625</v>
      </c>
      <c r="K407" s="28">
        <f t="shared" si="29"/>
        <v>355.31375000000003</v>
      </c>
      <c r="L407" s="28">
        <f t="shared" si="29"/>
        <v>355.21833333333342</v>
      </c>
      <c r="M407" s="28">
        <f t="shared" si="29"/>
        <v>355.11583333333334</v>
      </c>
      <c r="N407" s="28">
        <f t="shared" si="29"/>
        <v>354.97541666666672</v>
      </c>
    </row>
    <row r="408" spans="1:14" x14ac:dyDescent="0.4">
      <c r="A408" s="1">
        <v>33604</v>
      </c>
      <c r="B408" s="28">
        <v>356.02375000000001</v>
      </c>
      <c r="C408" s="28">
        <f t="shared" si="29"/>
        <v>355.94624999999996</v>
      </c>
      <c r="D408" s="28">
        <f t="shared" si="29"/>
        <v>355.89083333333332</v>
      </c>
      <c r="E408" s="28">
        <f t="shared" si="29"/>
        <v>355.85458333333332</v>
      </c>
      <c r="F408" s="28">
        <f t="shared" si="29"/>
        <v>355.80458333333331</v>
      </c>
      <c r="G408" s="28">
        <f t="shared" si="29"/>
        <v>355.73708333333337</v>
      </c>
      <c r="H408" s="28">
        <f t="shared" si="29"/>
        <v>355.64375000000001</v>
      </c>
      <c r="I408" s="28">
        <f t="shared" si="29"/>
        <v>355.55833333333334</v>
      </c>
      <c r="J408" s="28">
        <f t="shared" si="29"/>
        <v>355.48749999999995</v>
      </c>
      <c r="K408" s="28">
        <f t="shared" si="29"/>
        <v>355.40625</v>
      </c>
      <c r="L408" s="28">
        <f t="shared" si="29"/>
        <v>355.31375000000003</v>
      </c>
      <c r="M408" s="28">
        <f t="shared" si="29"/>
        <v>355.21833333333342</v>
      </c>
      <c r="N408" s="28">
        <f t="shared" si="29"/>
        <v>355.11583333333334</v>
      </c>
    </row>
    <row r="409" spans="1:14" x14ac:dyDescent="0.4">
      <c r="A409" s="1">
        <v>33635</v>
      </c>
      <c r="B409" s="28">
        <v>356.1004166666666</v>
      </c>
      <c r="C409" s="28">
        <f t="shared" si="29"/>
        <v>356.02375000000001</v>
      </c>
      <c r="D409" s="28">
        <f t="shared" si="29"/>
        <v>355.94624999999996</v>
      </c>
      <c r="E409" s="28">
        <f t="shared" si="29"/>
        <v>355.89083333333332</v>
      </c>
      <c r="F409" s="28">
        <f t="shared" si="29"/>
        <v>355.85458333333332</v>
      </c>
      <c r="G409" s="28">
        <f t="shared" si="29"/>
        <v>355.80458333333331</v>
      </c>
      <c r="H409" s="28">
        <f t="shared" si="29"/>
        <v>355.73708333333337</v>
      </c>
      <c r="I409" s="28">
        <f t="shared" si="29"/>
        <v>355.64375000000001</v>
      </c>
      <c r="J409" s="28">
        <f t="shared" si="29"/>
        <v>355.55833333333334</v>
      </c>
      <c r="K409" s="28">
        <f t="shared" si="29"/>
        <v>355.48749999999995</v>
      </c>
      <c r="L409" s="28">
        <f t="shared" si="29"/>
        <v>355.40625</v>
      </c>
      <c r="M409" s="28">
        <f t="shared" si="29"/>
        <v>355.31375000000003</v>
      </c>
      <c r="N409" s="28">
        <f t="shared" si="29"/>
        <v>355.21833333333342</v>
      </c>
    </row>
    <row r="410" spans="1:14" x14ac:dyDescent="0.4">
      <c r="A410" s="1">
        <v>33664</v>
      </c>
      <c r="B410" s="28">
        <v>356.17750000000001</v>
      </c>
      <c r="C410" s="28">
        <f t="shared" si="29"/>
        <v>356.1004166666666</v>
      </c>
      <c r="D410" s="28">
        <f t="shared" si="29"/>
        <v>356.02375000000001</v>
      </c>
      <c r="E410" s="28">
        <f t="shared" si="29"/>
        <v>355.94624999999996</v>
      </c>
      <c r="F410" s="28">
        <f t="shared" ref="D410:R425" si="30">IF(E409=0,"",E409)</f>
        <v>355.89083333333332</v>
      </c>
      <c r="G410" s="28">
        <f t="shared" si="30"/>
        <v>355.85458333333332</v>
      </c>
      <c r="H410" s="28">
        <f t="shared" si="30"/>
        <v>355.80458333333331</v>
      </c>
      <c r="I410" s="28">
        <f t="shared" si="30"/>
        <v>355.73708333333337</v>
      </c>
      <c r="J410" s="28">
        <f t="shared" si="30"/>
        <v>355.64375000000001</v>
      </c>
      <c r="K410" s="28">
        <f t="shared" si="30"/>
        <v>355.55833333333334</v>
      </c>
      <c r="L410" s="28">
        <f t="shared" si="30"/>
        <v>355.48749999999995</v>
      </c>
      <c r="M410" s="28">
        <f t="shared" si="30"/>
        <v>355.40625</v>
      </c>
      <c r="N410" s="28">
        <f t="shared" si="30"/>
        <v>355.31375000000003</v>
      </c>
    </row>
    <row r="411" spans="1:14" x14ac:dyDescent="0.4">
      <c r="A411" s="1">
        <v>33695</v>
      </c>
      <c r="B411" s="28">
        <v>356.25916666666666</v>
      </c>
      <c r="C411" s="28">
        <f t="shared" ref="C411:N474" si="31">IF(B410=0,"",B410)</f>
        <v>356.17750000000001</v>
      </c>
      <c r="D411" s="28">
        <f t="shared" si="30"/>
        <v>356.1004166666666</v>
      </c>
      <c r="E411" s="28">
        <f t="shared" si="30"/>
        <v>356.02375000000001</v>
      </c>
      <c r="F411" s="28">
        <f t="shared" si="30"/>
        <v>355.94624999999996</v>
      </c>
      <c r="G411" s="28">
        <f t="shared" si="30"/>
        <v>355.89083333333332</v>
      </c>
      <c r="H411" s="28">
        <f t="shared" si="30"/>
        <v>355.85458333333332</v>
      </c>
      <c r="I411" s="28">
        <f t="shared" si="30"/>
        <v>355.80458333333331</v>
      </c>
      <c r="J411" s="28">
        <f t="shared" si="30"/>
        <v>355.73708333333337</v>
      </c>
      <c r="K411" s="28">
        <f t="shared" si="30"/>
        <v>355.64375000000001</v>
      </c>
      <c r="L411" s="28">
        <f t="shared" si="30"/>
        <v>355.55833333333334</v>
      </c>
      <c r="M411" s="28">
        <f t="shared" si="30"/>
        <v>355.48749999999995</v>
      </c>
      <c r="N411" s="28">
        <f t="shared" si="30"/>
        <v>355.40625</v>
      </c>
    </row>
    <row r="412" spans="1:14" x14ac:dyDescent="0.4">
      <c r="A412" s="1">
        <v>33725</v>
      </c>
      <c r="B412" s="28">
        <v>356.3220833333333</v>
      </c>
      <c r="C412" s="28">
        <f t="shared" si="31"/>
        <v>356.25916666666666</v>
      </c>
      <c r="D412" s="28">
        <f t="shared" si="30"/>
        <v>356.17750000000001</v>
      </c>
      <c r="E412" s="28">
        <f t="shared" si="30"/>
        <v>356.1004166666666</v>
      </c>
      <c r="F412" s="28">
        <f t="shared" si="30"/>
        <v>356.02375000000001</v>
      </c>
      <c r="G412" s="28">
        <f t="shared" si="30"/>
        <v>355.94624999999996</v>
      </c>
      <c r="H412" s="28">
        <f t="shared" si="30"/>
        <v>355.89083333333332</v>
      </c>
      <c r="I412" s="28">
        <f t="shared" si="30"/>
        <v>355.85458333333332</v>
      </c>
      <c r="J412" s="28">
        <f t="shared" si="30"/>
        <v>355.80458333333331</v>
      </c>
      <c r="K412" s="28">
        <f t="shared" si="30"/>
        <v>355.73708333333337</v>
      </c>
      <c r="L412" s="28">
        <f t="shared" si="30"/>
        <v>355.64375000000001</v>
      </c>
      <c r="M412" s="28">
        <f t="shared" si="30"/>
        <v>355.55833333333334</v>
      </c>
      <c r="N412" s="28">
        <f t="shared" si="30"/>
        <v>355.48749999999995</v>
      </c>
    </row>
    <row r="413" spans="1:14" x14ac:dyDescent="0.4">
      <c r="A413" s="1">
        <v>33756</v>
      </c>
      <c r="B413" s="28">
        <v>356.35625000000005</v>
      </c>
      <c r="C413" s="28">
        <f t="shared" si="31"/>
        <v>356.3220833333333</v>
      </c>
      <c r="D413" s="28">
        <f t="shared" si="30"/>
        <v>356.25916666666666</v>
      </c>
      <c r="E413" s="28">
        <f t="shared" si="30"/>
        <v>356.17750000000001</v>
      </c>
      <c r="F413" s="28">
        <f t="shared" si="30"/>
        <v>356.1004166666666</v>
      </c>
      <c r="G413" s="28">
        <f t="shared" si="30"/>
        <v>356.02375000000001</v>
      </c>
      <c r="H413" s="28">
        <f t="shared" si="30"/>
        <v>355.94624999999996</v>
      </c>
      <c r="I413" s="28">
        <f t="shared" si="30"/>
        <v>355.89083333333332</v>
      </c>
      <c r="J413" s="28">
        <f t="shared" si="30"/>
        <v>355.85458333333332</v>
      </c>
      <c r="K413" s="28">
        <f t="shared" si="30"/>
        <v>355.80458333333331</v>
      </c>
      <c r="L413" s="28">
        <f t="shared" si="30"/>
        <v>355.73708333333337</v>
      </c>
      <c r="M413" s="28">
        <f t="shared" si="30"/>
        <v>355.64375000000001</v>
      </c>
      <c r="N413" s="28">
        <f t="shared" si="30"/>
        <v>355.55833333333334</v>
      </c>
    </row>
    <row r="414" spans="1:14" x14ac:dyDescent="0.4">
      <c r="A414" s="1">
        <v>33786</v>
      </c>
      <c r="B414" s="28">
        <v>356.40291666666667</v>
      </c>
      <c r="C414" s="28">
        <f t="shared" si="31"/>
        <v>356.35625000000005</v>
      </c>
      <c r="D414" s="28">
        <f t="shared" si="30"/>
        <v>356.3220833333333</v>
      </c>
      <c r="E414" s="28">
        <f t="shared" si="30"/>
        <v>356.25916666666666</v>
      </c>
      <c r="F414" s="28">
        <f t="shared" si="30"/>
        <v>356.17750000000001</v>
      </c>
      <c r="G414" s="28">
        <f t="shared" si="30"/>
        <v>356.1004166666666</v>
      </c>
      <c r="H414" s="28">
        <f t="shared" si="30"/>
        <v>356.02375000000001</v>
      </c>
      <c r="I414" s="28">
        <f t="shared" si="30"/>
        <v>355.94624999999996</v>
      </c>
      <c r="J414" s="28">
        <f t="shared" si="30"/>
        <v>355.89083333333332</v>
      </c>
      <c r="K414" s="28">
        <f t="shared" si="30"/>
        <v>355.85458333333332</v>
      </c>
      <c r="L414" s="28">
        <f t="shared" si="30"/>
        <v>355.80458333333331</v>
      </c>
      <c r="M414" s="28">
        <f t="shared" si="30"/>
        <v>355.73708333333337</v>
      </c>
      <c r="N414" s="28">
        <f t="shared" si="30"/>
        <v>355.64375000000001</v>
      </c>
    </row>
    <row r="415" spans="1:14" x14ac:dyDescent="0.4">
      <c r="A415" s="1">
        <v>33817</v>
      </c>
      <c r="B415" s="28">
        <v>356.45125000000007</v>
      </c>
      <c r="C415" s="28">
        <f t="shared" si="31"/>
        <v>356.40291666666667</v>
      </c>
      <c r="D415" s="28">
        <f t="shared" si="30"/>
        <v>356.35625000000005</v>
      </c>
      <c r="E415" s="28">
        <f t="shared" si="30"/>
        <v>356.3220833333333</v>
      </c>
      <c r="F415" s="28">
        <f t="shared" si="30"/>
        <v>356.25916666666666</v>
      </c>
      <c r="G415" s="28">
        <f t="shared" si="30"/>
        <v>356.17750000000001</v>
      </c>
      <c r="H415" s="28">
        <f t="shared" si="30"/>
        <v>356.1004166666666</v>
      </c>
      <c r="I415" s="28">
        <f t="shared" si="30"/>
        <v>356.02375000000001</v>
      </c>
      <c r="J415" s="28">
        <f t="shared" si="30"/>
        <v>355.94624999999996</v>
      </c>
      <c r="K415" s="28">
        <f t="shared" si="30"/>
        <v>355.89083333333332</v>
      </c>
      <c r="L415" s="28">
        <f t="shared" si="30"/>
        <v>355.85458333333332</v>
      </c>
      <c r="M415" s="28">
        <f t="shared" si="30"/>
        <v>355.80458333333331</v>
      </c>
      <c r="N415" s="28">
        <f t="shared" si="30"/>
        <v>355.73708333333337</v>
      </c>
    </row>
    <row r="416" spans="1:14" x14ac:dyDescent="0.4">
      <c r="A416" s="1">
        <v>33848</v>
      </c>
      <c r="B416" s="28">
        <v>356.49375000000003</v>
      </c>
      <c r="C416" s="28">
        <f t="shared" si="31"/>
        <v>356.45125000000007</v>
      </c>
      <c r="D416" s="28">
        <f t="shared" si="30"/>
        <v>356.40291666666667</v>
      </c>
      <c r="E416" s="28">
        <f t="shared" si="30"/>
        <v>356.35625000000005</v>
      </c>
      <c r="F416" s="28">
        <f t="shared" si="30"/>
        <v>356.3220833333333</v>
      </c>
      <c r="G416" s="28">
        <f t="shared" si="30"/>
        <v>356.25916666666666</v>
      </c>
      <c r="H416" s="28">
        <f t="shared" si="30"/>
        <v>356.17750000000001</v>
      </c>
      <c r="I416" s="28">
        <f t="shared" si="30"/>
        <v>356.1004166666666</v>
      </c>
      <c r="J416" s="28">
        <f t="shared" si="30"/>
        <v>356.02375000000001</v>
      </c>
      <c r="K416" s="28">
        <f t="shared" si="30"/>
        <v>355.94624999999996</v>
      </c>
      <c r="L416" s="28">
        <f t="shared" si="30"/>
        <v>355.89083333333332</v>
      </c>
      <c r="M416" s="28">
        <f t="shared" si="30"/>
        <v>355.85458333333332</v>
      </c>
      <c r="N416" s="28">
        <f t="shared" si="30"/>
        <v>355.80458333333331</v>
      </c>
    </row>
    <row r="417" spans="1:14" x14ac:dyDescent="0.4">
      <c r="A417" s="1">
        <v>33878</v>
      </c>
      <c r="B417" s="28">
        <v>356.53041666666667</v>
      </c>
      <c r="C417" s="28">
        <f t="shared" si="31"/>
        <v>356.49375000000003</v>
      </c>
      <c r="D417" s="28">
        <f t="shared" si="30"/>
        <v>356.45125000000007</v>
      </c>
      <c r="E417" s="28">
        <f t="shared" si="30"/>
        <v>356.40291666666667</v>
      </c>
      <c r="F417" s="28">
        <f t="shared" si="30"/>
        <v>356.35625000000005</v>
      </c>
      <c r="G417" s="28">
        <f t="shared" si="30"/>
        <v>356.3220833333333</v>
      </c>
      <c r="H417" s="28">
        <f t="shared" si="30"/>
        <v>356.25916666666666</v>
      </c>
      <c r="I417" s="28">
        <f t="shared" si="30"/>
        <v>356.17750000000001</v>
      </c>
      <c r="J417" s="28">
        <f t="shared" si="30"/>
        <v>356.1004166666666</v>
      </c>
      <c r="K417" s="28">
        <f t="shared" si="30"/>
        <v>356.02375000000001</v>
      </c>
      <c r="L417" s="28">
        <f t="shared" si="30"/>
        <v>355.94624999999996</v>
      </c>
      <c r="M417" s="28">
        <f t="shared" si="30"/>
        <v>355.89083333333332</v>
      </c>
      <c r="N417" s="28">
        <f t="shared" si="30"/>
        <v>355.85458333333332</v>
      </c>
    </row>
    <row r="418" spans="1:14" x14ac:dyDescent="0.4">
      <c r="A418" s="1">
        <v>33909</v>
      </c>
      <c r="B418" s="28">
        <v>356.56916666666666</v>
      </c>
      <c r="C418" s="28">
        <f t="shared" si="31"/>
        <v>356.53041666666667</v>
      </c>
      <c r="D418" s="28">
        <f t="shared" si="30"/>
        <v>356.49375000000003</v>
      </c>
      <c r="E418" s="28">
        <f t="shared" si="30"/>
        <v>356.45125000000007</v>
      </c>
      <c r="F418" s="28">
        <f t="shared" si="30"/>
        <v>356.40291666666667</v>
      </c>
      <c r="G418" s="28">
        <f t="shared" si="30"/>
        <v>356.35625000000005</v>
      </c>
      <c r="H418" s="28">
        <f t="shared" si="30"/>
        <v>356.3220833333333</v>
      </c>
      <c r="I418" s="28">
        <f t="shared" si="30"/>
        <v>356.25916666666666</v>
      </c>
      <c r="J418" s="28">
        <f t="shared" si="30"/>
        <v>356.17750000000001</v>
      </c>
      <c r="K418" s="28">
        <f t="shared" si="30"/>
        <v>356.1004166666666</v>
      </c>
      <c r="L418" s="28">
        <f t="shared" si="30"/>
        <v>356.02375000000001</v>
      </c>
      <c r="M418" s="28">
        <f t="shared" si="30"/>
        <v>355.94624999999996</v>
      </c>
      <c r="N418" s="28">
        <f t="shared" si="30"/>
        <v>355.89083333333332</v>
      </c>
    </row>
    <row r="419" spans="1:14" x14ac:dyDescent="0.4">
      <c r="A419" s="1">
        <v>33939</v>
      </c>
      <c r="B419" s="28">
        <v>356.60958333333332</v>
      </c>
      <c r="C419" s="28">
        <f t="shared" si="31"/>
        <v>356.56916666666666</v>
      </c>
      <c r="D419" s="28">
        <f t="shared" si="30"/>
        <v>356.53041666666667</v>
      </c>
      <c r="E419" s="28">
        <f t="shared" si="30"/>
        <v>356.49375000000003</v>
      </c>
      <c r="F419" s="28">
        <f t="shared" si="30"/>
        <v>356.45125000000007</v>
      </c>
      <c r="G419" s="28">
        <f t="shared" si="30"/>
        <v>356.40291666666667</v>
      </c>
      <c r="H419" s="28">
        <f t="shared" si="30"/>
        <v>356.35625000000005</v>
      </c>
      <c r="I419" s="28">
        <f t="shared" si="30"/>
        <v>356.3220833333333</v>
      </c>
      <c r="J419" s="28">
        <f t="shared" si="30"/>
        <v>356.25916666666666</v>
      </c>
      <c r="K419" s="28">
        <f t="shared" si="30"/>
        <v>356.17750000000001</v>
      </c>
      <c r="L419" s="28">
        <f t="shared" si="30"/>
        <v>356.1004166666666</v>
      </c>
      <c r="M419" s="28">
        <f t="shared" si="30"/>
        <v>356.02375000000001</v>
      </c>
      <c r="N419" s="28">
        <f t="shared" si="30"/>
        <v>355.94624999999996</v>
      </c>
    </row>
    <row r="420" spans="1:14" x14ac:dyDescent="0.4">
      <c r="A420" s="1">
        <v>33970</v>
      </c>
      <c r="B420" s="28">
        <v>356.64708333333334</v>
      </c>
      <c r="C420" s="28">
        <f t="shared" si="31"/>
        <v>356.60958333333332</v>
      </c>
      <c r="D420" s="28">
        <f t="shared" si="30"/>
        <v>356.56916666666666</v>
      </c>
      <c r="E420" s="28">
        <f t="shared" si="30"/>
        <v>356.53041666666667</v>
      </c>
      <c r="F420" s="28">
        <f t="shared" si="30"/>
        <v>356.49375000000003</v>
      </c>
      <c r="G420" s="28">
        <f t="shared" si="30"/>
        <v>356.45125000000007</v>
      </c>
      <c r="H420" s="28">
        <f t="shared" si="30"/>
        <v>356.40291666666667</v>
      </c>
      <c r="I420" s="28">
        <f t="shared" si="30"/>
        <v>356.35625000000005</v>
      </c>
      <c r="J420" s="28">
        <f t="shared" si="30"/>
        <v>356.3220833333333</v>
      </c>
      <c r="K420" s="28">
        <f t="shared" si="30"/>
        <v>356.25916666666666</v>
      </c>
      <c r="L420" s="28">
        <f t="shared" si="30"/>
        <v>356.17750000000001</v>
      </c>
      <c r="M420" s="28">
        <f t="shared" si="30"/>
        <v>356.1004166666666</v>
      </c>
      <c r="N420" s="28">
        <f t="shared" si="30"/>
        <v>356.02375000000001</v>
      </c>
    </row>
    <row r="421" spans="1:14" x14ac:dyDescent="0.4">
      <c r="A421" s="1">
        <v>34001</v>
      </c>
      <c r="B421" s="28">
        <v>356.69166666666666</v>
      </c>
      <c r="C421" s="28">
        <f t="shared" si="31"/>
        <v>356.64708333333334</v>
      </c>
      <c r="D421" s="28">
        <f t="shared" si="30"/>
        <v>356.60958333333332</v>
      </c>
      <c r="E421" s="28">
        <f t="shared" si="30"/>
        <v>356.56916666666666</v>
      </c>
      <c r="F421" s="28">
        <f t="shared" si="30"/>
        <v>356.53041666666667</v>
      </c>
      <c r="G421" s="28">
        <f t="shared" si="30"/>
        <v>356.49375000000003</v>
      </c>
      <c r="H421" s="28">
        <f t="shared" si="30"/>
        <v>356.45125000000007</v>
      </c>
      <c r="I421" s="28">
        <f t="shared" si="30"/>
        <v>356.40291666666667</v>
      </c>
      <c r="J421" s="28">
        <f t="shared" si="30"/>
        <v>356.35625000000005</v>
      </c>
      <c r="K421" s="28">
        <f t="shared" si="30"/>
        <v>356.3220833333333</v>
      </c>
      <c r="L421" s="28">
        <f t="shared" si="30"/>
        <v>356.25916666666666</v>
      </c>
      <c r="M421" s="28">
        <f t="shared" si="30"/>
        <v>356.17750000000001</v>
      </c>
      <c r="N421" s="28">
        <f t="shared" si="30"/>
        <v>356.1004166666666</v>
      </c>
    </row>
    <row r="422" spans="1:14" x14ac:dyDescent="0.4">
      <c r="A422" s="1">
        <v>34029</v>
      </c>
      <c r="B422" s="28">
        <v>356.74166666666673</v>
      </c>
      <c r="C422" s="28">
        <f t="shared" si="31"/>
        <v>356.69166666666666</v>
      </c>
      <c r="D422" s="28">
        <f t="shared" si="30"/>
        <v>356.64708333333334</v>
      </c>
      <c r="E422" s="28">
        <f t="shared" si="30"/>
        <v>356.60958333333332</v>
      </c>
      <c r="F422" s="28">
        <f t="shared" si="30"/>
        <v>356.56916666666666</v>
      </c>
      <c r="G422" s="28">
        <f t="shared" si="30"/>
        <v>356.53041666666667</v>
      </c>
      <c r="H422" s="28">
        <f t="shared" si="30"/>
        <v>356.49375000000003</v>
      </c>
      <c r="I422" s="28">
        <f t="shared" si="30"/>
        <v>356.45125000000007</v>
      </c>
      <c r="J422" s="28">
        <f t="shared" si="30"/>
        <v>356.40291666666667</v>
      </c>
      <c r="K422" s="28">
        <f t="shared" si="30"/>
        <v>356.35625000000005</v>
      </c>
      <c r="L422" s="28">
        <f t="shared" si="30"/>
        <v>356.3220833333333</v>
      </c>
      <c r="M422" s="28">
        <f t="shared" si="30"/>
        <v>356.25916666666666</v>
      </c>
      <c r="N422" s="28">
        <f t="shared" si="30"/>
        <v>356.17750000000001</v>
      </c>
    </row>
    <row r="423" spans="1:14" x14ac:dyDescent="0.4">
      <c r="A423" s="1">
        <v>34060</v>
      </c>
      <c r="B423" s="28">
        <v>356.79833333333335</v>
      </c>
      <c r="C423" s="28">
        <f t="shared" si="31"/>
        <v>356.74166666666673</v>
      </c>
      <c r="D423" s="28">
        <f t="shared" si="30"/>
        <v>356.69166666666666</v>
      </c>
      <c r="E423" s="28">
        <f t="shared" si="30"/>
        <v>356.64708333333334</v>
      </c>
      <c r="F423" s="28">
        <f t="shared" si="30"/>
        <v>356.60958333333332</v>
      </c>
      <c r="G423" s="28">
        <f t="shared" si="30"/>
        <v>356.56916666666666</v>
      </c>
      <c r="H423" s="28">
        <f t="shared" si="30"/>
        <v>356.53041666666667</v>
      </c>
      <c r="I423" s="28">
        <f t="shared" si="30"/>
        <v>356.49375000000003</v>
      </c>
      <c r="J423" s="28">
        <f t="shared" si="30"/>
        <v>356.45125000000007</v>
      </c>
      <c r="K423" s="28">
        <f t="shared" si="30"/>
        <v>356.40291666666667</v>
      </c>
      <c r="L423" s="28">
        <f t="shared" si="30"/>
        <v>356.35625000000005</v>
      </c>
      <c r="M423" s="28">
        <f t="shared" si="30"/>
        <v>356.3220833333333</v>
      </c>
      <c r="N423" s="28">
        <f t="shared" si="30"/>
        <v>356.25916666666666</v>
      </c>
    </row>
    <row r="424" spans="1:14" x14ac:dyDescent="0.4">
      <c r="A424" s="1">
        <v>34090</v>
      </c>
      <c r="B424" s="28">
        <v>356.87583333333333</v>
      </c>
      <c r="C424" s="28">
        <f t="shared" si="31"/>
        <v>356.79833333333335</v>
      </c>
      <c r="D424" s="28">
        <f t="shared" si="30"/>
        <v>356.74166666666673</v>
      </c>
      <c r="E424" s="28">
        <f t="shared" si="30"/>
        <v>356.69166666666666</v>
      </c>
      <c r="F424" s="28">
        <f t="shared" si="30"/>
        <v>356.64708333333334</v>
      </c>
      <c r="G424" s="28">
        <f t="shared" si="30"/>
        <v>356.60958333333332</v>
      </c>
      <c r="H424" s="28">
        <f t="shared" si="30"/>
        <v>356.56916666666666</v>
      </c>
      <c r="I424" s="28">
        <f t="shared" si="30"/>
        <v>356.53041666666667</v>
      </c>
      <c r="J424" s="28">
        <f t="shared" si="30"/>
        <v>356.49375000000003</v>
      </c>
      <c r="K424" s="28">
        <f t="shared" si="30"/>
        <v>356.45125000000007</v>
      </c>
      <c r="L424" s="28">
        <f t="shared" si="30"/>
        <v>356.40291666666667</v>
      </c>
      <c r="M424" s="28">
        <f t="shared" si="30"/>
        <v>356.35625000000005</v>
      </c>
      <c r="N424" s="28">
        <f t="shared" si="30"/>
        <v>356.3220833333333</v>
      </c>
    </row>
    <row r="425" spans="1:14" x14ac:dyDescent="0.4">
      <c r="A425" s="1">
        <v>34121</v>
      </c>
      <c r="B425" s="28">
        <v>356.98333333333335</v>
      </c>
      <c r="C425" s="28">
        <f t="shared" si="31"/>
        <v>356.87583333333333</v>
      </c>
      <c r="D425" s="28">
        <f t="shared" si="31"/>
        <v>356.79833333333335</v>
      </c>
      <c r="E425" s="28">
        <f t="shared" si="31"/>
        <v>356.74166666666673</v>
      </c>
      <c r="F425" s="28">
        <f t="shared" si="31"/>
        <v>356.69166666666666</v>
      </c>
      <c r="G425" s="28">
        <f t="shared" si="31"/>
        <v>356.64708333333334</v>
      </c>
      <c r="H425" s="28">
        <f t="shared" si="31"/>
        <v>356.60958333333332</v>
      </c>
      <c r="I425" s="28">
        <f t="shared" si="31"/>
        <v>356.56916666666666</v>
      </c>
      <c r="J425" s="28">
        <f t="shared" si="31"/>
        <v>356.53041666666667</v>
      </c>
      <c r="K425" s="28">
        <f t="shared" si="31"/>
        <v>356.49375000000003</v>
      </c>
      <c r="L425" s="28">
        <f t="shared" si="31"/>
        <v>356.45125000000007</v>
      </c>
      <c r="M425" s="28">
        <f t="shared" si="31"/>
        <v>356.40291666666667</v>
      </c>
      <c r="N425" s="28">
        <f t="shared" si="31"/>
        <v>356.35625000000005</v>
      </c>
    </row>
    <row r="426" spans="1:14" x14ac:dyDescent="0.4">
      <c r="A426" s="1">
        <v>34151</v>
      </c>
      <c r="B426" s="28">
        <v>357.11124999999998</v>
      </c>
      <c r="C426" s="28">
        <f t="shared" si="31"/>
        <v>356.98333333333335</v>
      </c>
      <c r="D426" s="28">
        <f t="shared" si="31"/>
        <v>356.87583333333333</v>
      </c>
      <c r="E426" s="28">
        <f t="shared" si="31"/>
        <v>356.79833333333335</v>
      </c>
      <c r="F426" s="28">
        <f t="shared" si="31"/>
        <v>356.74166666666673</v>
      </c>
      <c r="G426" s="28">
        <f t="shared" si="31"/>
        <v>356.69166666666666</v>
      </c>
      <c r="H426" s="28">
        <f t="shared" si="31"/>
        <v>356.64708333333334</v>
      </c>
      <c r="I426" s="28">
        <f t="shared" si="31"/>
        <v>356.60958333333332</v>
      </c>
      <c r="J426" s="28">
        <f t="shared" si="31"/>
        <v>356.56916666666666</v>
      </c>
      <c r="K426" s="28">
        <f t="shared" si="31"/>
        <v>356.53041666666667</v>
      </c>
      <c r="L426" s="28">
        <f t="shared" si="31"/>
        <v>356.49375000000003</v>
      </c>
      <c r="M426" s="28">
        <f t="shared" si="31"/>
        <v>356.45125000000007</v>
      </c>
      <c r="N426" s="28">
        <f t="shared" si="31"/>
        <v>356.40291666666667</v>
      </c>
    </row>
    <row r="427" spans="1:14" x14ac:dyDescent="0.4">
      <c r="A427" s="1">
        <v>34182</v>
      </c>
      <c r="B427" s="28">
        <v>357.25333333333333</v>
      </c>
      <c r="C427" s="28">
        <f t="shared" si="31"/>
        <v>357.11124999999998</v>
      </c>
      <c r="D427" s="28">
        <f t="shared" si="31"/>
        <v>356.98333333333335</v>
      </c>
      <c r="E427" s="28">
        <f t="shared" si="31"/>
        <v>356.87583333333333</v>
      </c>
      <c r="F427" s="28">
        <f t="shared" si="31"/>
        <v>356.79833333333335</v>
      </c>
      <c r="G427" s="28">
        <f t="shared" si="31"/>
        <v>356.74166666666673</v>
      </c>
      <c r="H427" s="28">
        <f t="shared" si="31"/>
        <v>356.69166666666666</v>
      </c>
      <c r="I427" s="28">
        <f t="shared" si="31"/>
        <v>356.64708333333334</v>
      </c>
      <c r="J427" s="28">
        <f t="shared" si="31"/>
        <v>356.60958333333332</v>
      </c>
      <c r="K427" s="28">
        <f t="shared" si="31"/>
        <v>356.56916666666666</v>
      </c>
      <c r="L427" s="28">
        <f t="shared" si="31"/>
        <v>356.53041666666667</v>
      </c>
      <c r="M427" s="28">
        <f t="shared" si="31"/>
        <v>356.49375000000003</v>
      </c>
      <c r="N427" s="28">
        <f t="shared" si="31"/>
        <v>356.45125000000007</v>
      </c>
    </row>
    <row r="428" spans="1:14" x14ac:dyDescent="0.4">
      <c r="A428" s="1">
        <v>34213</v>
      </c>
      <c r="B428" s="28">
        <v>357.39208333333335</v>
      </c>
      <c r="C428" s="28">
        <f t="shared" si="31"/>
        <v>357.25333333333333</v>
      </c>
      <c r="D428" s="28">
        <f t="shared" si="31"/>
        <v>357.11124999999998</v>
      </c>
      <c r="E428" s="28">
        <f t="shared" si="31"/>
        <v>356.98333333333335</v>
      </c>
      <c r="F428" s="28">
        <f t="shared" si="31"/>
        <v>356.87583333333333</v>
      </c>
      <c r="G428" s="28">
        <f t="shared" si="31"/>
        <v>356.79833333333335</v>
      </c>
      <c r="H428" s="28">
        <f t="shared" si="31"/>
        <v>356.74166666666673</v>
      </c>
      <c r="I428" s="28">
        <f t="shared" si="31"/>
        <v>356.69166666666666</v>
      </c>
      <c r="J428" s="28">
        <f t="shared" si="31"/>
        <v>356.64708333333334</v>
      </c>
      <c r="K428" s="28">
        <f t="shared" si="31"/>
        <v>356.60958333333332</v>
      </c>
      <c r="L428" s="28">
        <f t="shared" si="31"/>
        <v>356.56916666666666</v>
      </c>
      <c r="M428" s="28">
        <f t="shared" si="31"/>
        <v>356.53041666666667</v>
      </c>
      <c r="N428" s="28">
        <f t="shared" si="31"/>
        <v>356.49375000000003</v>
      </c>
    </row>
    <row r="429" spans="1:14" x14ac:dyDescent="0.4">
      <c r="A429" s="1">
        <v>34243</v>
      </c>
      <c r="B429" s="28">
        <v>357.53333333333336</v>
      </c>
      <c r="C429" s="28">
        <f t="shared" si="31"/>
        <v>357.39208333333335</v>
      </c>
      <c r="D429" s="28">
        <f t="shared" si="31"/>
        <v>357.25333333333333</v>
      </c>
      <c r="E429" s="28">
        <f t="shared" si="31"/>
        <v>357.11124999999998</v>
      </c>
      <c r="F429" s="28">
        <f t="shared" si="31"/>
        <v>356.98333333333335</v>
      </c>
      <c r="G429" s="28">
        <f t="shared" si="31"/>
        <v>356.87583333333333</v>
      </c>
      <c r="H429" s="28">
        <f t="shared" si="31"/>
        <v>356.79833333333335</v>
      </c>
      <c r="I429" s="28">
        <f t="shared" si="31"/>
        <v>356.74166666666673</v>
      </c>
      <c r="J429" s="28">
        <f t="shared" si="31"/>
        <v>356.69166666666666</v>
      </c>
      <c r="K429" s="28">
        <f t="shared" si="31"/>
        <v>356.64708333333334</v>
      </c>
      <c r="L429" s="28">
        <f t="shared" si="31"/>
        <v>356.60958333333332</v>
      </c>
      <c r="M429" s="28">
        <f t="shared" si="31"/>
        <v>356.56916666666666</v>
      </c>
      <c r="N429" s="28">
        <f t="shared" si="31"/>
        <v>356.53041666666667</v>
      </c>
    </row>
    <row r="430" spans="1:14" x14ac:dyDescent="0.4">
      <c r="A430" s="1">
        <v>34274</v>
      </c>
      <c r="B430" s="28">
        <v>357.66708333333332</v>
      </c>
      <c r="C430" s="28">
        <f t="shared" si="31"/>
        <v>357.53333333333336</v>
      </c>
      <c r="D430" s="28">
        <f t="shared" si="31"/>
        <v>357.39208333333335</v>
      </c>
      <c r="E430" s="28">
        <f t="shared" si="31"/>
        <v>357.25333333333333</v>
      </c>
      <c r="F430" s="28">
        <f t="shared" si="31"/>
        <v>357.11124999999998</v>
      </c>
      <c r="G430" s="28">
        <f t="shared" si="31"/>
        <v>356.98333333333335</v>
      </c>
      <c r="H430" s="28">
        <f t="shared" si="31"/>
        <v>356.87583333333333</v>
      </c>
      <c r="I430" s="28">
        <f t="shared" si="31"/>
        <v>356.79833333333335</v>
      </c>
      <c r="J430" s="28">
        <f t="shared" si="31"/>
        <v>356.74166666666673</v>
      </c>
      <c r="K430" s="28">
        <f t="shared" si="31"/>
        <v>356.69166666666666</v>
      </c>
      <c r="L430" s="28">
        <f t="shared" si="31"/>
        <v>356.64708333333334</v>
      </c>
      <c r="M430" s="28">
        <f t="shared" si="31"/>
        <v>356.60958333333332</v>
      </c>
      <c r="N430" s="28">
        <f t="shared" si="31"/>
        <v>356.56916666666666</v>
      </c>
    </row>
    <row r="431" spans="1:14" x14ac:dyDescent="0.4">
      <c r="A431" s="1">
        <v>34304</v>
      </c>
      <c r="B431" s="28">
        <v>357.78166666666669</v>
      </c>
      <c r="C431" s="28">
        <f t="shared" si="31"/>
        <v>357.66708333333332</v>
      </c>
      <c r="D431" s="28">
        <f t="shared" si="31"/>
        <v>357.53333333333336</v>
      </c>
      <c r="E431" s="28">
        <f t="shared" si="31"/>
        <v>357.39208333333335</v>
      </c>
      <c r="F431" s="28">
        <f t="shared" si="31"/>
        <v>357.25333333333333</v>
      </c>
      <c r="G431" s="28">
        <f t="shared" si="31"/>
        <v>357.11124999999998</v>
      </c>
      <c r="H431" s="28">
        <f t="shared" si="31"/>
        <v>356.98333333333335</v>
      </c>
      <c r="I431" s="28">
        <f t="shared" si="31"/>
        <v>356.87583333333333</v>
      </c>
      <c r="J431" s="28">
        <f t="shared" si="31"/>
        <v>356.79833333333335</v>
      </c>
      <c r="K431" s="28">
        <f t="shared" si="31"/>
        <v>356.74166666666673</v>
      </c>
      <c r="L431" s="28">
        <f t="shared" si="31"/>
        <v>356.69166666666666</v>
      </c>
      <c r="M431" s="28">
        <f t="shared" si="31"/>
        <v>356.64708333333334</v>
      </c>
      <c r="N431" s="28">
        <f t="shared" si="31"/>
        <v>356.60958333333332</v>
      </c>
    </row>
    <row r="432" spans="1:14" x14ac:dyDescent="0.4">
      <c r="A432" s="1">
        <v>34335</v>
      </c>
      <c r="B432" s="28">
        <v>357.92</v>
      </c>
      <c r="C432" s="28">
        <f t="shared" si="31"/>
        <v>357.78166666666669</v>
      </c>
      <c r="D432" s="28">
        <f t="shared" si="31"/>
        <v>357.66708333333332</v>
      </c>
      <c r="E432" s="28">
        <f t="shared" si="31"/>
        <v>357.53333333333336</v>
      </c>
      <c r="F432" s="28">
        <f t="shared" si="31"/>
        <v>357.39208333333335</v>
      </c>
      <c r="G432" s="28">
        <f t="shared" si="31"/>
        <v>357.25333333333333</v>
      </c>
      <c r="H432" s="28">
        <f t="shared" si="31"/>
        <v>357.11124999999998</v>
      </c>
      <c r="I432" s="28">
        <f t="shared" si="31"/>
        <v>356.98333333333335</v>
      </c>
      <c r="J432" s="28">
        <f t="shared" si="31"/>
        <v>356.87583333333333</v>
      </c>
      <c r="K432" s="28">
        <f t="shared" si="31"/>
        <v>356.79833333333335</v>
      </c>
      <c r="L432" s="28">
        <f t="shared" si="31"/>
        <v>356.74166666666673</v>
      </c>
      <c r="M432" s="28">
        <f t="shared" si="31"/>
        <v>356.69166666666666</v>
      </c>
      <c r="N432" s="28">
        <f t="shared" si="31"/>
        <v>356.64708333333334</v>
      </c>
    </row>
    <row r="433" spans="1:14" x14ac:dyDescent="0.4">
      <c r="A433" s="1">
        <v>34366</v>
      </c>
      <c r="B433" s="28">
        <v>358.0841666666667</v>
      </c>
      <c r="C433" s="28">
        <f t="shared" si="31"/>
        <v>357.92</v>
      </c>
      <c r="D433" s="28">
        <f t="shared" si="31"/>
        <v>357.78166666666669</v>
      </c>
      <c r="E433" s="28">
        <f t="shared" si="31"/>
        <v>357.66708333333332</v>
      </c>
      <c r="F433" s="28">
        <f t="shared" si="31"/>
        <v>357.53333333333336</v>
      </c>
      <c r="G433" s="28">
        <f t="shared" si="31"/>
        <v>357.39208333333335</v>
      </c>
      <c r="H433" s="28">
        <f t="shared" si="31"/>
        <v>357.25333333333333</v>
      </c>
      <c r="I433" s="28">
        <f t="shared" si="31"/>
        <v>357.11124999999998</v>
      </c>
      <c r="J433" s="28">
        <f t="shared" si="31"/>
        <v>356.98333333333335</v>
      </c>
      <c r="K433" s="28">
        <f t="shared" si="31"/>
        <v>356.87583333333333</v>
      </c>
      <c r="L433" s="28">
        <f t="shared" si="31"/>
        <v>356.79833333333335</v>
      </c>
      <c r="M433" s="28">
        <f t="shared" si="31"/>
        <v>356.74166666666673</v>
      </c>
      <c r="N433" s="28">
        <f t="shared" si="31"/>
        <v>356.69166666666666</v>
      </c>
    </row>
    <row r="434" spans="1:14" x14ac:dyDescent="0.4">
      <c r="A434" s="1">
        <v>34394</v>
      </c>
      <c r="B434" s="28">
        <v>358.25541666666669</v>
      </c>
      <c r="C434" s="28">
        <f t="shared" si="31"/>
        <v>358.0841666666667</v>
      </c>
      <c r="D434" s="28">
        <f t="shared" si="31"/>
        <v>357.92</v>
      </c>
      <c r="E434" s="28">
        <f t="shared" si="31"/>
        <v>357.78166666666669</v>
      </c>
      <c r="F434" s="28">
        <f t="shared" si="31"/>
        <v>357.66708333333332</v>
      </c>
      <c r="G434" s="28">
        <f t="shared" si="31"/>
        <v>357.53333333333336</v>
      </c>
      <c r="H434" s="28">
        <f t="shared" si="31"/>
        <v>357.39208333333335</v>
      </c>
      <c r="I434" s="28">
        <f t="shared" si="31"/>
        <v>357.25333333333333</v>
      </c>
      <c r="J434" s="28">
        <f t="shared" si="31"/>
        <v>357.11124999999998</v>
      </c>
      <c r="K434" s="28">
        <f t="shared" si="31"/>
        <v>356.98333333333335</v>
      </c>
      <c r="L434" s="28">
        <f t="shared" si="31"/>
        <v>356.87583333333333</v>
      </c>
      <c r="M434" s="28">
        <f t="shared" si="31"/>
        <v>356.79833333333335</v>
      </c>
      <c r="N434" s="28">
        <f t="shared" si="31"/>
        <v>356.74166666666673</v>
      </c>
    </row>
    <row r="435" spans="1:14" x14ac:dyDescent="0.4">
      <c r="A435" s="1">
        <v>34425</v>
      </c>
      <c r="B435" s="28">
        <v>358.42875000000004</v>
      </c>
      <c r="C435" s="28">
        <f t="shared" si="31"/>
        <v>358.25541666666669</v>
      </c>
      <c r="D435" s="28">
        <f t="shared" si="31"/>
        <v>358.0841666666667</v>
      </c>
      <c r="E435" s="28">
        <f t="shared" si="31"/>
        <v>357.92</v>
      </c>
      <c r="F435" s="28">
        <f t="shared" si="31"/>
        <v>357.78166666666669</v>
      </c>
      <c r="G435" s="28">
        <f t="shared" si="31"/>
        <v>357.66708333333332</v>
      </c>
      <c r="H435" s="28">
        <f t="shared" si="31"/>
        <v>357.53333333333336</v>
      </c>
      <c r="I435" s="28">
        <f t="shared" si="31"/>
        <v>357.39208333333335</v>
      </c>
      <c r="J435" s="28">
        <f t="shared" si="31"/>
        <v>357.25333333333333</v>
      </c>
      <c r="K435" s="28">
        <f t="shared" si="31"/>
        <v>357.11124999999998</v>
      </c>
      <c r="L435" s="28">
        <f t="shared" si="31"/>
        <v>356.98333333333335</v>
      </c>
      <c r="M435" s="28">
        <f t="shared" si="31"/>
        <v>356.87583333333333</v>
      </c>
      <c r="N435" s="28">
        <f t="shared" si="31"/>
        <v>356.79833333333335</v>
      </c>
    </row>
    <row r="436" spans="1:14" x14ac:dyDescent="0.4">
      <c r="A436" s="1">
        <v>34455</v>
      </c>
      <c r="B436" s="28">
        <v>358.60583333333335</v>
      </c>
      <c r="C436" s="28">
        <f t="shared" si="31"/>
        <v>358.42875000000004</v>
      </c>
      <c r="D436" s="28">
        <f t="shared" si="31"/>
        <v>358.25541666666669</v>
      </c>
      <c r="E436" s="28">
        <f t="shared" si="31"/>
        <v>358.0841666666667</v>
      </c>
      <c r="F436" s="28">
        <f t="shared" si="31"/>
        <v>357.92</v>
      </c>
      <c r="G436" s="28">
        <f t="shared" si="31"/>
        <v>357.78166666666669</v>
      </c>
      <c r="H436" s="28">
        <f t="shared" si="31"/>
        <v>357.66708333333332</v>
      </c>
      <c r="I436" s="28">
        <f t="shared" si="31"/>
        <v>357.53333333333336</v>
      </c>
      <c r="J436" s="28">
        <f t="shared" si="31"/>
        <v>357.39208333333335</v>
      </c>
      <c r="K436" s="28">
        <f t="shared" si="31"/>
        <v>357.25333333333333</v>
      </c>
      <c r="L436" s="28">
        <f t="shared" si="31"/>
        <v>357.11124999999998</v>
      </c>
      <c r="M436" s="28">
        <f t="shared" si="31"/>
        <v>356.98333333333335</v>
      </c>
      <c r="N436" s="28">
        <f t="shared" si="31"/>
        <v>356.87583333333333</v>
      </c>
    </row>
    <row r="437" spans="1:14" x14ac:dyDescent="0.4">
      <c r="A437" s="1">
        <v>34486</v>
      </c>
      <c r="B437" s="28">
        <v>358.79250000000002</v>
      </c>
      <c r="C437" s="28">
        <f t="shared" si="31"/>
        <v>358.60583333333335</v>
      </c>
      <c r="D437" s="28">
        <f t="shared" si="31"/>
        <v>358.42875000000004</v>
      </c>
      <c r="E437" s="28">
        <f t="shared" si="31"/>
        <v>358.25541666666669</v>
      </c>
      <c r="F437" s="28">
        <f t="shared" si="31"/>
        <v>358.0841666666667</v>
      </c>
      <c r="G437" s="28">
        <f t="shared" si="31"/>
        <v>357.92</v>
      </c>
      <c r="H437" s="28">
        <f t="shared" si="31"/>
        <v>357.78166666666669</v>
      </c>
      <c r="I437" s="28">
        <f t="shared" si="31"/>
        <v>357.66708333333332</v>
      </c>
      <c r="J437" s="28">
        <f t="shared" si="31"/>
        <v>357.53333333333336</v>
      </c>
      <c r="K437" s="28">
        <f t="shared" si="31"/>
        <v>357.39208333333335</v>
      </c>
      <c r="L437" s="28">
        <f t="shared" si="31"/>
        <v>357.25333333333333</v>
      </c>
      <c r="M437" s="28">
        <f t="shared" si="31"/>
        <v>357.11124999999998</v>
      </c>
      <c r="N437" s="28">
        <f t="shared" si="31"/>
        <v>356.98333333333335</v>
      </c>
    </row>
    <row r="438" spans="1:14" x14ac:dyDescent="0.4">
      <c r="A438" s="1">
        <v>34516</v>
      </c>
      <c r="B438" s="28">
        <v>358.9525000000001</v>
      </c>
      <c r="C438" s="28">
        <f t="shared" si="31"/>
        <v>358.79250000000002</v>
      </c>
      <c r="D438" s="28">
        <f t="shared" si="31"/>
        <v>358.60583333333335</v>
      </c>
      <c r="E438" s="28">
        <f t="shared" si="31"/>
        <v>358.42875000000004</v>
      </c>
      <c r="F438" s="28">
        <f t="shared" si="31"/>
        <v>358.25541666666669</v>
      </c>
      <c r="G438" s="28">
        <f t="shared" si="31"/>
        <v>358.0841666666667</v>
      </c>
      <c r="H438" s="28">
        <f t="shared" si="31"/>
        <v>357.92</v>
      </c>
      <c r="I438" s="28">
        <f t="shared" si="31"/>
        <v>357.78166666666669</v>
      </c>
      <c r="J438" s="28">
        <f t="shared" si="31"/>
        <v>357.66708333333332</v>
      </c>
      <c r="K438" s="28">
        <f t="shared" si="31"/>
        <v>357.53333333333336</v>
      </c>
      <c r="L438" s="28">
        <f t="shared" si="31"/>
        <v>357.39208333333335</v>
      </c>
      <c r="M438" s="28">
        <f t="shared" si="31"/>
        <v>357.25333333333333</v>
      </c>
      <c r="N438" s="28">
        <f t="shared" si="31"/>
        <v>357.11124999999998</v>
      </c>
    </row>
    <row r="439" spans="1:14" x14ac:dyDescent="0.4">
      <c r="A439" s="1">
        <v>34547</v>
      </c>
      <c r="B439" s="28">
        <v>359.10624999999999</v>
      </c>
      <c r="C439" s="28">
        <f t="shared" si="31"/>
        <v>358.9525000000001</v>
      </c>
      <c r="D439" s="28">
        <f t="shared" si="31"/>
        <v>358.79250000000002</v>
      </c>
      <c r="E439" s="28">
        <f t="shared" si="31"/>
        <v>358.60583333333335</v>
      </c>
      <c r="F439" s="28">
        <f t="shared" si="31"/>
        <v>358.42875000000004</v>
      </c>
      <c r="G439" s="28">
        <f t="shared" si="31"/>
        <v>358.25541666666669</v>
      </c>
      <c r="H439" s="28">
        <f t="shared" si="31"/>
        <v>358.0841666666667</v>
      </c>
      <c r="I439" s="28">
        <f t="shared" si="31"/>
        <v>357.92</v>
      </c>
      <c r="J439" s="28">
        <f t="shared" si="31"/>
        <v>357.78166666666669</v>
      </c>
      <c r="K439" s="28">
        <f t="shared" si="31"/>
        <v>357.66708333333332</v>
      </c>
      <c r="L439" s="28">
        <f t="shared" si="31"/>
        <v>357.53333333333336</v>
      </c>
      <c r="M439" s="28">
        <f t="shared" si="31"/>
        <v>357.39208333333335</v>
      </c>
      <c r="N439" s="28">
        <f t="shared" si="31"/>
        <v>357.25333333333333</v>
      </c>
    </row>
    <row r="440" spans="1:14" x14ac:dyDescent="0.4">
      <c r="A440" s="1">
        <v>34578</v>
      </c>
      <c r="B440" s="28">
        <v>359.26250000000005</v>
      </c>
      <c r="C440" s="28">
        <f t="shared" si="31"/>
        <v>359.10624999999999</v>
      </c>
      <c r="D440" s="28">
        <f t="shared" si="31"/>
        <v>358.9525000000001</v>
      </c>
      <c r="E440" s="28">
        <f t="shared" si="31"/>
        <v>358.79250000000002</v>
      </c>
      <c r="F440" s="28">
        <f t="shared" si="31"/>
        <v>358.60583333333335</v>
      </c>
      <c r="G440" s="28">
        <f t="shared" si="31"/>
        <v>358.42875000000004</v>
      </c>
      <c r="H440" s="28">
        <f t="shared" si="31"/>
        <v>358.25541666666669</v>
      </c>
      <c r="I440" s="28">
        <f t="shared" si="31"/>
        <v>358.0841666666667</v>
      </c>
      <c r="J440" s="28">
        <f t="shared" si="31"/>
        <v>357.92</v>
      </c>
      <c r="K440" s="28">
        <f t="shared" si="31"/>
        <v>357.78166666666669</v>
      </c>
      <c r="L440" s="28">
        <f t="shared" si="31"/>
        <v>357.66708333333332</v>
      </c>
      <c r="M440" s="28">
        <f t="shared" si="31"/>
        <v>357.53333333333336</v>
      </c>
      <c r="N440" s="28">
        <f t="shared" si="31"/>
        <v>357.39208333333335</v>
      </c>
    </row>
    <row r="441" spans="1:14" x14ac:dyDescent="0.4">
      <c r="A441" s="1">
        <v>34608</v>
      </c>
      <c r="B441" s="28">
        <v>359.42291666666671</v>
      </c>
      <c r="C441" s="28">
        <f t="shared" si="31"/>
        <v>359.26250000000005</v>
      </c>
      <c r="D441" s="28">
        <f t="shared" si="31"/>
        <v>359.10624999999999</v>
      </c>
      <c r="E441" s="28">
        <f t="shared" si="31"/>
        <v>358.9525000000001</v>
      </c>
      <c r="F441" s="28">
        <f t="shared" si="31"/>
        <v>358.79250000000002</v>
      </c>
      <c r="G441" s="28">
        <f t="shared" si="31"/>
        <v>358.60583333333335</v>
      </c>
      <c r="H441" s="28">
        <f t="shared" si="31"/>
        <v>358.42875000000004</v>
      </c>
      <c r="I441" s="28">
        <f t="shared" si="31"/>
        <v>358.25541666666669</v>
      </c>
      <c r="J441" s="28">
        <f t="shared" si="31"/>
        <v>358.0841666666667</v>
      </c>
      <c r="K441" s="28">
        <f t="shared" si="31"/>
        <v>357.92</v>
      </c>
      <c r="L441" s="28">
        <f t="shared" si="31"/>
        <v>357.78166666666669</v>
      </c>
      <c r="M441" s="28">
        <f t="shared" si="31"/>
        <v>357.66708333333332</v>
      </c>
      <c r="N441" s="28">
        <f t="shared" si="31"/>
        <v>357.53333333333336</v>
      </c>
    </row>
    <row r="442" spans="1:14" x14ac:dyDescent="0.4">
      <c r="A442" s="1">
        <v>34639</v>
      </c>
      <c r="B442" s="28">
        <v>359.60208333333338</v>
      </c>
      <c r="C442" s="28">
        <f t="shared" si="31"/>
        <v>359.42291666666671</v>
      </c>
      <c r="D442" s="28">
        <f t="shared" si="31"/>
        <v>359.26250000000005</v>
      </c>
      <c r="E442" s="28">
        <f t="shared" si="31"/>
        <v>359.10624999999999</v>
      </c>
      <c r="F442" s="28">
        <f t="shared" si="31"/>
        <v>358.9525000000001</v>
      </c>
      <c r="G442" s="28">
        <f t="shared" si="31"/>
        <v>358.79250000000002</v>
      </c>
      <c r="H442" s="28">
        <f t="shared" si="31"/>
        <v>358.60583333333335</v>
      </c>
      <c r="I442" s="28">
        <f t="shared" si="31"/>
        <v>358.42875000000004</v>
      </c>
      <c r="J442" s="28">
        <f t="shared" si="31"/>
        <v>358.25541666666669</v>
      </c>
      <c r="K442" s="28">
        <f t="shared" si="31"/>
        <v>358.0841666666667</v>
      </c>
      <c r="L442" s="28">
        <f t="shared" si="31"/>
        <v>357.92</v>
      </c>
      <c r="M442" s="28">
        <f t="shared" si="31"/>
        <v>357.78166666666669</v>
      </c>
      <c r="N442" s="28">
        <f t="shared" si="31"/>
        <v>357.66708333333332</v>
      </c>
    </row>
    <row r="443" spans="1:14" x14ac:dyDescent="0.4">
      <c r="A443" s="1">
        <v>34669</v>
      </c>
      <c r="B443" s="28">
        <v>359.78666666666669</v>
      </c>
      <c r="C443" s="28">
        <f t="shared" si="31"/>
        <v>359.60208333333338</v>
      </c>
      <c r="D443" s="28">
        <f t="shared" si="31"/>
        <v>359.42291666666671</v>
      </c>
      <c r="E443" s="28">
        <f t="shared" si="31"/>
        <v>359.26250000000005</v>
      </c>
      <c r="F443" s="28">
        <f t="shared" si="31"/>
        <v>359.10624999999999</v>
      </c>
      <c r="G443" s="28">
        <f t="shared" si="31"/>
        <v>358.9525000000001</v>
      </c>
      <c r="H443" s="28">
        <f t="shared" si="31"/>
        <v>358.79250000000002</v>
      </c>
      <c r="I443" s="28">
        <f t="shared" si="31"/>
        <v>358.60583333333335</v>
      </c>
      <c r="J443" s="28">
        <f t="shared" si="31"/>
        <v>358.42875000000004</v>
      </c>
      <c r="K443" s="28">
        <f t="shared" si="31"/>
        <v>358.25541666666669</v>
      </c>
      <c r="L443" s="28">
        <f t="shared" si="31"/>
        <v>358.0841666666667</v>
      </c>
      <c r="M443" s="28">
        <f t="shared" si="31"/>
        <v>357.92</v>
      </c>
      <c r="N443" s="28">
        <f t="shared" si="31"/>
        <v>357.78166666666669</v>
      </c>
    </row>
    <row r="444" spans="1:14" x14ac:dyDescent="0.4">
      <c r="A444" s="1">
        <v>34700</v>
      </c>
      <c r="B444" s="28">
        <v>359.98083333333335</v>
      </c>
      <c r="C444" s="28">
        <f t="shared" si="31"/>
        <v>359.78666666666669</v>
      </c>
      <c r="D444" s="28">
        <f t="shared" si="31"/>
        <v>359.60208333333338</v>
      </c>
      <c r="E444" s="28">
        <f t="shared" si="31"/>
        <v>359.42291666666671</v>
      </c>
      <c r="F444" s="28">
        <f t="shared" si="31"/>
        <v>359.26250000000005</v>
      </c>
      <c r="G444" s="28">
        <f t="shared" si="31"/>
        <v>359.10624999999999</v>
      </c>
      <c r="H444" s="28">
        <f t="shared" si="31"/>
        <v>358.9525000000001</v>
      </c>
      <c r="I444" s="28">
        <f t="shared" si="31"/>
        <v>358.79250000000002</v>
      </c>
      <c r="J444" s="28">
        <f t="shared" si="31"/>
        <v>358.60583333333335</v>
      </c>
      <c r="K444" s="28">
        <f t="shared" si="31"/>
        <v>358.42875000000004</v>
      </c>
      <c r="L444" s="28">
        <f t="shared" si="31"/>
        <v>358.25541666666669</v>
      </c>
      <c r="M444" s="28">
        <f t="shared" si="31"/>
        <v>358.0841666666667</v>
      </c>
      <c r="N444" s="28">
        <f t="shared" si="31"/>
        <v>357.92</v>
      </c>
    </row>
    <row r="445" spans="1:14" x14ac:dyDescent="0.4">
      <c r="A445" s="1">
        <v>34731</v>
      </c>
      <c r="B445" s="28">
        <v>360.16041666666666</v>
      </c>
      <c r="C445" s="28">
        <f t="shared" si="31"/>
        <v>359.98083333333335</v>
      </c>
      <c r="D445" s="28">
        <f t="shared" ref="C445:O508" si="32">IF(C444=0,"",C444)</f>
        <v>359.78666666666669</v>
      </c>
      <c r="E445" s="28">
        <f t="shared" si="32"/>
        <v>359.60208333333338</v>
      </c>
      <c r="F445" s="28">
        <f t="shared" si="32"/>
        <v>359.42291666666671</v>
      </c>
      <c r="G445" s="28">
        <f t="shared" si="32"/>
        <v>359.26250000000005</v>
      </c>
      <c r="H445" s="28">
        <f t="shared" si="32"/>
        <v>359.10624999999999</v>
      </c>
      <c r="I445" s="28">
        <f t="shared" si="32"/>
        <v>358.9525000000001</v>
      </c>
      <c r="J445" s="28">
        <f t="shared" si="32"/>
        <v>358.79250000000002</v>
      </c>
      <c r="K445" s="28">
        <f t="shared" si="32"/>
        <v>358.60583333333335</v>
      </c>
      <c r="L445" s="28">
        <f t="shared" si="32"/>
        <v>358.42875000000004</v>
      </c>
      <c r="M445" s="28">
        <f t="shared" si="32"/>
        <v>358.25541666666669</v>
      </c>
      <c r="N445" s="28">
        <f t="shared" si="32"/>
        <v>358.0841666666667</v>
      </c>
    </row>
    <row r="446" spans="1:14" x14ac:dyDescent="0.4">
      <c r="A446" s="1">
        <v>34759</v>
      </c>
      <c r="B446" s="28">
        <v>360.33458333333334</v>
      </c>
      <c r="C446" s="28">
        <f t="shared" si="32"/>
        <v>360.16041666666666</v>
      </c>
      <c r="D446" s="28">
        <f t="shared" si="32"/>
        <v>359.98083333333335</v>
      </c>
      <c r="E446" s="28">
        <f t="shared" si="32"/>
        <v>359.78666666666669</v>
      </c>
      <c r="F446" s="28">
        <f t="shared" si="32"/>
        <v>359.60208333333338</v>
      </c>
      <c r="G446" s="28">
        <f t="shared" si="32"/>
        <v>359.42291666666671</v>
      </c>
      <c r="H446" s="28">
        <f t="shared" si="32"/>
        <v>359.26250000000005</v>
      </c>
      <c r="I446" s="28">
        <f t="shared" si="32"/>
        <v>359.10624999999999</v>
      </c>
      <c r="J446" s="28">
        <f t="shared" si="32"/>
        <v>358.9525000000001</v>
      </c>
      <c r="K446" s="28">
        <f t="shared" si="32"/>
        <v>358.79250000000002</v>
      </c>
      <c r="L446" s="28">
        <f t="shared" si="32"/>
        <v>358.60583333333335</v>
      </c>
      <c r="M446" s="28">
        <f t="shared" si="32"/>
        <v>358.42875000000004</v>
      </c>
      <c r="N446" s="28">
        <f t="shared" si="32"/>
        <v>358.25541666666669</v>
      </c>
    </row>
    <row r="447" spans="1:14" x14ac:dyDescent="0.4">
      <c r="A447" s="1">
        <v>34790</v>
      </c>
      <c r="B447" s="28">
        <v>360.49958333333331</v>
      </c>
      <c r="C447" s="28">
        <f t="shared" si="32"/>
        <v>360.33458333333334</v>
      </c>
      <c r="D447" s="28">
        <f t="shared" si="32"/>
        <v>360.16041666666666</v>
      </c>
      <c r="E447" s="28">
        <f t="shared" si="32"/>
        <v>359.98083333333335</v>
      </c>
      <c r="F447" s="28">
        <f t="shared" si="32"/>
        <v>359.78666666666669</v>
      </c>
      <c r="G447" s="28">
        <f t="shared" si="32"/>
        <v>359.60208333333338</v>
      </c>
      <c r="H447" s="28">
        <f t="shared" si="32"/>
        <v>359.42291666666671</v>
      </c>
      <c r="I447" s="28">
        <f t="shared" si="32"/>
        <v>359.26250000000005</v>
      </c>
      <c r="J447" s="28">
        <f t="shared" si="32"/>
        <v>359.10624999999999</v>
      </c>
      <c r="K447" s="28">
        <f t="shared" si="32"/>
        <v>358.9525000000001</v>
      </c>
      <c r="L447" s="28">
        <f t="shared" si="32"/>
        <v>358.79250000000002</v>
      </c>
      <c r="M447" s="28">
        <f t="shared" si="32"/>
        <v>358.60583333333335</v>
      </c>
      <c r="N447" s="28">
        <f t="shared" si="32"/>
        <v>358.42875000000004</v>
      </c>
    </row>
    <row r="448" spans="1:14" x14ac:dyDescent="0.4">
      <c r="A448" s="1">
        <v>34820</v>
      </c>
      <c r="B448" s="28">
        <v>360.65500000000003</v>
      </c>
      <c r="C448" s="28">
        <f t="shared" si="32"/>
        <v>360.49958333333331</v>
      </c>
      <c r="D448" s="28">
        <f t="shared" si="32"/>
        <v>360.33458333333334</v>
      </c>
      <c r="E448" s="28">
        <f t="shared" si="32"/>
        <v>360.16041666666666</v>
      </c>
      <c r="F448" s="28">
        <f t="shared" si="32"/>
        <v>359.98083333333335</v>
      </c>
      <c r="G448" s="28">
        <f t="shared" si="32"/>
        <v>359.78666666666669</v>
      </c>
      <c r="H448" s="28">
        <f t="shared" si="32"/>
        <v>359.60208333333338</v>
      </c>
      <c r="I448" s="28">
        <f t="shared" si="32"/>
        <v>359.42291666666671</v>
      </c>
      <c r="J448" s="28">
        <f t="shared" si="32"/>
        <v>359.26250000000005</v>
      </c>
      <c r="K448" s="28">
        <f t="shared" si="32"/>
        <v>359.10624999999999</v>
      </c>
      <c r="L448" s="28">
        <f t="shared" si="32"/>
        <v>358.9525000000001</v>
      </c>
      <c r="M448" s="28">
        <f t="shared" si="32"/>
        <v>358.79250000000002</v>
      </c>
      <c r="N448" s="28">
        <f t="shared" si="32"/>
        <v>358.60583333333335</v>
      </c>
    </row>
    <row r="449" spans="1:14" x14ac:dyDescent="0.4">
      <c r="A449" s="1">
        <v>34851</v>
      </c>
      <c r="B449" s="28">
        <v>360.80666666666667</v>
      </c>
      <c r="C449" s="28">
        <f t="shared" si="32"/>
        <v>360.65500000000003</v>
      </c>
      <c r="D449" s="28">
        <f t="shared" si="32"/>
        <v>360.49958333333331</v>
      </c>
      <c r="E449" s="28">
        <f t="shared" si="32"/>
        <v>360.33458333333334</v>
      </c>
      <c r="F449" s="28">
        <f t="shared" si="32"/>
        <v>360.16041666666666</v>
      </c>
      <c r="G449" s="28">
        <f t="shared" si="32"/>
        <v>359.98083333333335</v>
      </c>
      <c r="H449" s="28">
        <f t="shared" si="32"/>
        <v>359.78666666666669</v>
      </c>
      <c r="I449" s="28">
        <f t="shared" si="32"/>
        <v>359.60208333333338</v>
      </c>
      <c r="J449" s="28">
        <f t="shared" si="32"/>
        <v>359.42291666666671</v>
      </c>
      <c r="K449" s="28">
        <f t="shared" si="32"/>
        <v>359.26250000000005</v>
      </c>
      <c r="L449" s="28">
        <f t="shared" si="32"/>
        <v>359.10624999999999</v>
      </c>
      <c r="M449" s="28">
        <f t="shared" si="32"/>
        <v>358.9525000000001</v>
      </c>
      <c r="N449" s="28">
        <f t="shared" si="32"/>
        <v>358.79250000000002</v>
      </c>
    </row>
    <row r="450" spans="1:14" x14ac:dyDescent="0.4">
      <c r="A450" s="1">
        <v>34881</v>
      </c>
      <c r="B450" s="28">
        <v>360.96250000000009</v>
      </c>
      <c r="C450" s="28">
        <f t="shared" si="32"/>
        <v>360.80666666666667</v>
      </c>
      <c r="D450" s="28">
        <f t="shared" si="32"/>
        <v>360.65500000000003</v>
      </c>
      <c r="E450" s="28">
        <f t="shared" si="32"/>
        <v>360.49958333333331</v>
      </c>
      <c r="F450" s="28">
        <f t="shared" si="32"/>
        <v>360.33458333333334</v>
      </c>
      <c r="G450" s="28">
        <f t="shared" si="32"/>
        <v>360.16041666666666</v>
      </c>
      <c r="H450" s="28">
        <f t="shared" si="32"/>
        <v>359.98083333333335</v>
      </c>
      <c r="I450" s="28">
        <f t="shared" si="32"/>
        <v>359.78666666666669</v>
      </c>
      <c r="J450" s="28">
        <f t="shared" si="32"/>
        <v>359.60208333333338</v>
      </c>
      <c r="K450" s="28">
        <f t="shared" si="32"/>
        <v>359.42291666666671</v>
      </c>
      <c r="L450" s="28">
        <f t="shared" si="32"/>
        <v>359.26250000000005</v>
      </c>
      <c r="M450" s="28">
        <f t="shared" si="32"/>
        <v>359.10624999999999</v>
      </c>
      <c r="N450" s="28">
        <f t="shared" si="32"/>
        <v>358.9525000000001</v>
      </c>
    </row>
    <row r="451" spans="1:14" x14ac:dyDescent="0.4">
      <c r="A451" s="1">
        <v>34912</v>
      </c>
      <c r="B451" s="28">
        <v>361.1425000000001</v>
      </c>
      <c r="C451" s="28">
        <f t="shared" si="32"/>
        <v>360.96250000000009</v>
      </c>
      <c r="D451" s="28">
        <f t="shared" si="32"/>
        <v>360.80666666666667</v>
      </c>
      <c r="E451" s="28">
        <f t="shared" si="32"/>
        <v>360.65500000000003</v>
      </c>
      <c r="F451" s="28">
        <f t="shared" si="32"/>
        <v>360.49958333333331</v>
      </c>
      <c r="G451" s="28">
        <f t="shared" si="32"/>
        <v>360.33458333333334</v>
      </c>
      <c r="H451" s="28">
        <f t="shared" si="32"/>
        <v>360.16041666666666</v>
      </c>
      <c r="I451" s="28">
        <f t="shared" si="32"/>
        <v>359.98083333333335</v>
      </c>
      <c r="J451" s="28">
        <f t="shared" si="32"/>
        <v>359.78666666666669</v>
      </c>
      <c r="K451" s="28">
        <f t="shared" si="32"/>
        <v>359.60208333333338</v>
      </c>
      <c r="L451" s="28">
        <f t="shared" si="32"/>
        <v>359.42291666666671</v>
      </c>
      <c r="M451" s="28">
        <f t="shared" si="32"/>
        <v>359.26250000000005</v>
      </c>
      <c r="N451" s="28">
        <f t="shared" si="32"/>
        <v>359.10624999999999</v>
      </c>
    </row>
    <row r="452" spans="1:14" x14ac:dyDescent="0.4">
      <c r="A452" s="1">
        <v>34943</v>
      </c>
      <c r="B452" s="28">
        <v>361.33541666666662</v>
      </c>
      <c r="C452" s="28">
        <f t="shared" si="32"/>
        <v>361.1425000000001</v>
      </c>
      <c r="D452" s="28">
        <f t="shared" si="32"/>
        <v>360.96250000000009</v>
      </c>
      <c r="E452" s="28">
        <f t="shared" si="32"/>
        <v>360.80666666666667</v>
      </c>
      <c r="F452" s="28">
        <f t="shared" si="32"/>
        <v>360.65500000000003</v>
      </c>
      <c r="G452" s="28">
        <f t="shared" si="32"/>
        <v>360.49958333333331</v>
      </c>
      <c r="H452" s="28">
        <f t="shared" si="32"/>
        <v>360.33458333333334</v>
      </c>
      <c r="I452" s="28">
        <f t="shared" si="32"/>
        <v>360.16041666666666</v>
      </c>
      <c r="J452" s="28">
        <f t="shared" si="32"/>
        <v>359.98083333333335</v>
      </c>
      <c r="K452" s="28">
        <f t="shared" si="32"/>
        <v>359.78666666666669</v>
      </c>
      <c r="L452" s="28">
        <f t="shared" si="32"/>
        <v>359.60208333333338</v>
      </c>
      <c r="M452" s="28">
        <f t="shared" si="32"/>
        <v>359.42291666666671</v>
      </c>
      <c r="N452" s="28">
        <f t="shared" si="32"/>
        <v>359.26250000000005</v>
      </c>
    </row>
    <row r="453" spans="1:14" x14ac:dyDescent="0.4">
      <c r="A453" s="1">
        <v>34973</v>
      </c>
      <c r="B453" s="28">
        <v>361.48749999999995</v>
      </c>
      <c r="C453" s="28">
        <f t="shared" si="32"/>
        <v>361.33541666666662</v>
      </c>
      <c r="D453" s="28">
        <f t="shared" si="32"/>
        <v>361.1425000000001</v>
      </c>
      <c r="E453" s="28">
        <f t="shared" si="32"/>
        <v>360.96250000000009</v>
      </c>
      <c r="F453" s="28">
        <f t="shared" si="32"/>
        <v>360.80666666666667</v>
      </c>
      <c r="G453" s="28">
        <f t="shared" si="32"/>
        <v>360.65500000000003</v>
      </c>
      <c r="H453" s="28">
        <f t="shared" si="32"/>
        <v>360.49958333333331</v>
      </c>
      <c r="I453" s="28">
        <f t="shared" si="32"/>
        <v>360.33458333333334</v>
      </c>
      <c r="J453" s="28">
        <f t="shared" si="32"/>
        <v>360.16041666666666</v>
      </c>
      <c r="K453" s="28">
        <f t="shared" si="32"/>
        <v>359.98083333333335</v>
      </c>
      <c r="L453" s="28">
        <f t="shared" si="32"/>
        <v>359.78666666666669</v>
      </c>
      <c r="M453" s="28">
        <f t="shared" si="32"/>
        <v>359.60208333333338</v>
      </c>
      <c r="N453" s="28">
        <f t="shared" si="32"/>
        <v>359.42291666666671</v>
      </c>
    </row>
    <row r="454" spans="1:14" x14ac:dyDescent="0.4">
      <c r="A454" s="1">
        <v>35004</v>
      </c>
      <c r="B454" s="28">
        <v>361.60750000000002</v>
      </c>
      <c r="C454" s="28">
        <f t="shared" si="32"/>
        <v>361.48749999999995</v>
      </c>
      <c r="D454" s="28">
        <f t="shared" si="32"/>
        <v>361.33541666666662</v>
      </c>
      <c r="E454" s="28">
        <f t="shared" si="32"/>
        <v>361.1425000000001</v>
      </c>
      <c r="F454" s="28">
        <f t="shared" si="32"/>
        <v>360.96250000000009</v>
      </c>
      <c r="G454" s="28">
        <f t="shared" si="32"/>
        <v>360.80666666666667</v>
      </c>
      <c r="H454" s="28">
        <f t="shared" si="32"/>
        <v>360.65500000000003</v>
      </c>
      <c r="I454" s="28">
        <f t="shared" si="32"/>
        <v>360.49958333333331</v>
      </c>
      <c r="J454" s="28">
        <f t="shared" si="32"/>
        <v>360.33458333333334</v>
      </c>
      <c r="K454" s="28">
        <f t="shared" si="32"/>
        <v>360.16041666666666</v>
      </c>
      <c r="L454" s="28">
        <f t="shared" si="32"/>
        <v>359.98083333333335</v>
      </c>
      <c r="M454" s="28">
        <f t="shared" si="32"/>
        <v>359.78666666666669</v>
      </c>
      <c r="N454" s="28">
        <f t="shared" si="32"/>
        <v>359.60208333333338</v>
      </c>
    </row>
    <row r="455" spans="1:14" x14ac:dyDescent="0.4">
      <c r="A455" s="1">
        <v>35034</v>
      </c>
      <c r="B455" s="28">
        <v>361.74624999999997</v>
      </c>
      <c r="C455" s="28">
        <f t="shared" si="32"/>
        <v>361.60750000000002</v>
      </c>
      <c r="D455" s="28">
        <f t="shared" si="32"/>
        <v>361.48749999999995</v>
      </c>
      <c r="E455" s="28">
        <f t="shared" si="32"/>
        <v>361.33541666666662</v>
      </c>
      <c r="F455" s="28">
        <f t="shared" si="32"/>
        <v>361.1425000000001</v>
      </c>
      <c r="G455" s="28">
        <f t="shared" si="32"/>
        <v>360.96250000000009</v>
      </c>
      <c r="H455" s="28">
        <f t="shared" si="32"/>
        <v>360.80666666666667</v>
      </c>
      <c r="I455" s="28">
        <f t="shared" si="32"/>
        <v>360.65500000000003</v>
      </c>
      <c r="J455" s="28">
        <f t="shared" si="32"/>
        <v>360.49958333333331</v>
      </c>
      <c r="K455" s="28">
        <f t="shared" si="32"/>
        <v>360.33458333333334</v>
      </c>
      <c r="L455" s="28">
        <f t="shared" si="32"/>
        <v>360.16041666666666</v>
      </c>
      <c r="M455" s="28">
        <f t="shared" si="32"/>
        <v>359.98083333333335</v>
      </c>
      <c r="N455" s="28">
        <f t="shared" si="32"/>
        <v>359.78666666666669</v>
      </c>
    </row>
    <row r="456" spans="1:14" x14ac:dyDescent="0.4">
      <c r="A456" s="1">
        <v>35065</v>
      </c>
      <c r="B456" s="28">
        <v>361.89083333333332</v>
      </c>
      <c r="C456" s="28">
        <f t="shared" si="32"/>
        <v>361.74624999999997</v>
      </c>
      <c r="D456" s="28">
        <f t="shared" si="32"/>
        <v>361.60750000000002</v>
      </c>
      <c r="E456" s="28">
        <f t="shared" si="32"/>
        <v>361.48749999999995</v>
      </c>
      <c r="F456" s="28">
        <f t="shared" si="32"/>
        <v>361.33541666666662</v>
      </c>
      <c r="G456" s="28">
        <f t="shared" si="32"/>
        <v>361.1425000000001</v>
      </c>
      <c r="H456" s="28">
        <f t="shared" si="32"/>
        <v>360.96250000000009</v>
      </c>
      <c r="I456" s="28">
        <f t="shared" si="32"/>
        <v>360.80666666666667</v>
      </c>
      <c r="J456" s="28">
        <f t="shared" si="32"/>
        <v>360.65500000000003</v>
      </c>
      <c r="K456" s="28">
        <f t="shared" si="32"/>
        <v>360.49958333333331</v>
      </c>
      <c r="L456" s="28">
        <f t="shared" si="32"/>
        <v>360.33458333333334</v>
      </c>
      <c r="M456" s="28">
        <f t="shared" si="32"/>
        <v>360.16041666666666</v>
      </c>
      <c r="N456" s="28">
        <f t="shared" si="32"/>
        <v>359.98083333333335</v>
      </c>
    </row>
    <row r="457" spans="1:14" x14ac:dyDescent="0.4">
      <c r="A457" s="1">
        <v>35096</v>
      </c>
      <c r="B457" s="28">
        <v>362.04874999999998</v>
      </c>
      <c r="C457" s="28">
        <f t="shared" si="32"/>
        <v>361.89083333333332</v>
      </c>
      <c r="D457" s="28">
        <f t="shared" si="32"/>
        <v>361.74624999999997</v>
      </c>
      <c r="E457" s="28">
        <f t="shared" si="32"/>
        <v>361.60750000000002</v>
      </c>
      <c r="F457" s="28">
        <f t="shared" si="32"/>
        <v>361.48749999999995</v>
      </c>
      <c r="G457" s="28">
        <f t="shared" si="32"/>
        <v>361.33541666666662</v>
      </c>
      <c r="H457" s="28">
        <f t="shared" si="32"/>
        <v>361.1425000000001</v>
      </c>
      <c r="I457" s="28">
        <f t="shared" si="32"/>
        <v>360.96250000000009</v>
      </c>
      <c r="J457" s="28">
        <f t="shared" si="32"/>
        <v>360.80666666666667</v>
      </c>
      <c r="K457" s="28">
        <f t="shared" si="32"/>
        <v>360.65500000000003</v>
      </c>
      <c r="L457" s="28">
        <f t="shared" si="32"/>
        <v>360.49958333333331</v>
      </c>
      <c r="M457" s="28">
        <f t="shared" si="32"/>
        <v>360.33458333333334</v>
      </c>
      <c r="N457" s="28">
        <f t="shared" si="32"/>
        <v>360.16041666666666</v>
      </c>
    </row>
    <row r="458" spans="1:14" x14ac:dyDescent="0.4">
      <c r="A458" s="1">
        <v>35125</v>
      </c>
      <c r="B458" s="28">
        <v>362.19166666666666</v>
      </c>
      <c r="C458" s="28">
        <f t="shared" si="32"/>
        <v>362.04874999999998</v>
      </c>
      <c r="D458" s="28">
        <f t="shared" si="32"/>
        <v>361.89083333333332</v>
      </c>
      <c r="E458" s="28">
        <f t="shared" si="32"/>
        <v>361.74624999999997</v>
      </c>
      <c r="F458" s="28">
        <f t="shared" si="32"/>
        <v>361.60750000000002</v>
      </c>
      <c r="G458" s="28">
        <f t="shared" si="32"/>
        <v>361.48749999999995</v>
      </c>
      <c r="H458" s="28">
        <f t="shared" si="32"/>
        <v>361.33541666666662</v>
      </c>
      <c r="I458" s="28">
        <f t="shared" si="32"/>
        <v>361.1425000000001</v>
      </c>
      <c r="J458" s="28">
        <f t="shared" si="32"/>
        <v>360.96250000000009</v>
      </c>
      <c r="K458" s="28">
        <f t="shared" si="32"/>
        <v>360.80666666666667</v>
      </c>
      <c r="L458" s="28">
        <f t="shared" si="32"/>
        <v>360.65500000000003</v>
      </c>
      <c r="M458" s="28">
        <f t="shared" si="32"/>
        <v>360.49958333333331</v>
      </c>
      <c r="N458" s="28">
        <f t="shared" si="32"/>
        <v>360.33458333333334</v>
      </c>
    </row>
    <row r="459" spans="1:14" x14ac:dyDescent="0.4">
      <c r="A459" s="1">
        <v>35156</v>
      </c>
      <c r="B459" s="28">
        <v>362.32750000000004</v>
      </c>
      <c r="C459" s="28">
        <f t="shared" si="32"/>
        <v>362.19166666666666</v>
      </c>
      <c r="D459" s="28">
        <f t="shared" si="32"/>
        <v>362.04874999999998</v>
      </c>
      <c r="E459" s="28">
        <f t="shared" si="32"/>
        <v>361.89083333333332</v>
      </c>
      <c r="F459" s="28">
        <f t="shared" si="32"/>
        <v>361.74624999999997</v>
      </c>
      <c r="G459" s="28">
        <f t="shared" si="32"/>
        <v>361.60750000000002</v>
      </c>
      <c r="H459" s="28">
        <f t="shared" si="32"/>
        <v>361.48749999999995</v>
      </c>
      <c r="I459" s="28">
        <f t="shared" si="32"/>
        <v>361.33541666666662</v>
      </c>
      <c r="J459" s="28">
        <f t="shared" si="32"/>
        <v>361.1425000000001</v>
      </c>
      <c r="K459" s="28">
        <f t="shared" si="32"/>
        <v>360.96250000000009</v>
      </c>
      <c r="L459" s="28">
        <f t="shared" si="32"/>
        <v>360.80666666666667</v>
      </c>
      <c r="M459" s="28">
        <f t="shared" si="32"/>
        <v>360.65500000000003</v>
      </c>
      <c r="N459" s="28">
        <f t="shared" si="32"/>
        <v>360.49958333333331</v>
      </c>
    </row>
    <row r="460" spans="1:14" x14ac:dyDescent="0.4">
      <c r="A460" s="1">
        <v>35186</v>
      </c>
      <c r="B460" s="28">
        <v>362.45499999999998</v>
      </c>
      <c r="C460" s="28">
        <f t="shared" si="32"/>
        <v>362.32750000000004</v>
      </c>
      <c r="D460" s="28">
        <f t="shared" si="32"/>
        <v>362.19166666666666</v>
      </c>
      <c r="E460" s="28">
        <f t="shared" si="32"/>
        <v>362.04874999999998</v>
      </c>
      <c r="F460" s="28">
        <f t="shared" si="32"/>
        <v>361.89083333333332</v>
      </c>
      <c r="G460" s="28">
        <f t="shared" si="32"/>
        <v>361.74624999999997</v>
      </c>
      <c r="H460" s="28">
        <f t="shared" si="32"/>
        <v>361.60750000000002</v>
      </c>
      <c r="I460" s="28">
        <f t="shared" si="32"/>
        <v>361.48749999999995</v>
      </c>
      <c r="J460" s="28">
        <f t="shared" si="32"/>
        <v>361.33541666666662</v>
      </c>
      <c r="K460" s="28">
        <f t="shared" si="32"/>
        <v>361.1425000000001</v>
      </c>
      <c r="L460" s="28">
        <f t="shared" si="32"/>
        <v>360.96250000000009</v>
      </c>
      <c r="M460" s="28">
        <f t="shared" si="32"/>
        <v>360.80666666666667</v>
      </c>
      <c r="N460" s="28">
        <f t="shared" si="32"/>
        <v>360.65500000000003</v>
      </c>
    </row>
    <row r="461" spans="1:14" x14ac:dyDescent="0.4">
      <c r="A461" s="1">
        <v>35217</v>
      </c>
      <c r="B461" s="28">
        <v>362.57291666666669</v>
      </c>
      <c r="C461" s="28">
        <f t="shared" si="32"/>
        <v>362.45499999999998</v>
      </c>
      <c r="D461" s="28">
        <f t="shared" si="32"/>
        <v>362.32750000000004</v>
      </c>
      <c r="E461" s="28">
        <f t="shared" si="32"/>
        <v>362.19166666666666</v>
      </c>
      <c r="F461" s="28">
        <f t="shared" si="32"/>
        <v>362.04874999999998</v>
      </c>
      <c r="G461" s="28">
        <f t="shared" si="32"/>
        <v>361.89083333333332</v>
      </c>
      <c r="H461" s="28">
        <f t="shared" si="32"/>
        <v>361.74624999999997</v>
      </c>
      <c r="I461" s="28">
        <f t="shared" si="32"/>
        <v>361.60750000000002</v>
      </c>
      <c r="J461" s="28">
        <f t="shared" si="32"/>
        <v>361.48749999999995</v>
      </c>
      <c r="K461" s="28">
        <f t="shared" si="32"/>
        <v>361.33541666666662</v>
      </c>
      <c r="L461" s="28">
        <f t="shared" si="32"/>
        <v>361.1425000000001</v>
      </c>
      <c r="M461" s="28">
        <f t="shared" si="32"/>
        <v>360.96250000000009</v>
      </c>
      <c r="N461" s="28">
        <f t="shared" si="32"/>
        <v>360.80666666666667</v>
      </c>
    </row>
    <row r="462" spans="1:14" x14ac:dyDescent="0.4">
      <c r="A462" s="1">
        <v>35247</v>
      </c>
      <c r="B462" s="28">
        <v>362.68833333333333</v>
      </c>
      <c r="C462" s="28">
        <f t="shared" si="32"/>
        <v>362.57291666666669</v>
      </c>
      <c r="D462" s="28">
        <f t="shared" si="32"/>
        <v>362.45499999999998</v>
      </c>
      <c r="E462" s="28">
        <f t="shared" si="32"/>
        <v>362.32750000000004</v>
      </c>
      <c r="F462" s="28">
        <f t="shared" si="32"/>
        <v>362.19166666666666</v>
      </c>
      <c r="G462" s="28">
        <f t="shared" si="32"/>
        <v>362.04874999999998</v>
      </c>
      <c r="H462" s="28">
        <f t="shared" si="32"/>
        <v>361.89083333333332</v>
      </c>
      <c r="I462" s="28">
        <f t="shared" si="32"/>
        <v>361.74624999999997</v>
      </c>
      <c r="J462" s="28">
        <f t="shared" si="32"/>
        <v>361.60750000000002</v>
      </c>
      <c r="K462" s="28">
        <f t="shared" si="32"/>
        <v>361.48749999999995</v>
      </c>
      <c r="L462" s="28">
        <f t="shared" si="32"/>
        <v>361.33541666666662</v>
      </c>
      <c r="M462" s="28">
        <f t="shared" si="32"/>
        <v>361.1425000000001</v>
      </c>
      <c r="N462" s="28">
        <f t="shared" si="32"/>
        <v>360.96250000000009</v>
      </c>
    </row>
    <row r="463" spans="1:14" x14ac:dyDescent="0.4">
      <c r="A463" s="1">
        <v>35278</v>
      </c>
      <c r="B463" s="28">
        <v>362.76708333333335</v>
      </c>
      <c r="C463" s="28">
        <f t="shared" si="32"/>
        <v>362.68833333333333</v>
      </c>
      <c r="D463" s="28">
        <f t="shared" si="32"/>
        <v>362.57291666666669</v>
      </c>
      <c r="E463" s="28">
        <f t="shared" si="32"/>
        <v>362.45499999999998</v>
      </c>
      <c r="F463" s="28">
        <f t="shared" si="32"/>
        <v>362.32750000000004</v>
      </c>
      <c r="G463" s="28">
        <f t="shared" si="32"/>
        <v>362.19166666666666</v>
      </c>
      <c r="H463" s="28">
        <f t="shared" si="32"/>
        <v>362.04874999999998</v>
      </c>
      <c r="I463" s="28">
        <f t="shared" si="32"/>
        <v>361.89083333333332</v>
      </c>
      <c r="J463" s="28">
        <f t="shared" si="32"/>
        <v>361.74624999999997</v>
      </c>
      <c r="K463" s="28">
        <f t="shared" si="32"/>
        <v>361.60750000000002</v>
      </c>
      <c r="L463" s="28">
        <f t="shared" si="32"/>
        <v>361.48749999999995</v>
      </c>
      <c r="M463" s="28">
        <f t="shared" si="32"/>
        <v>361.33541666666662</v>
      </c>
      <c r="N463" s="28">
        <f t="shared" si="32"/>
        <v>361.1425000000001</v>
      </c>
    </row>
    <row r="464" spans="1:14" x14ac:dyDescent="0.4">
      <c r="A464" s="1">
        <v>35309</v>
      </c>
      <c r="B464" s="28">
        <v>362.82083333333338</v>
      </c>
      <c r="C464" s="28">
        <f t="shared" si="32"/>
        <v>362.76708333333335</v>
      </c>
      <c r="D464" s="28">
        <f t="shared" si="32"/>
        <v>362.68833333333333</v>
      </c>
      <c r="E464" s="28">
        <f t="shared" si="32"/>
        <v>362.57291666666669</v>
      </c>
      <c r="F464" s="28">
        <f t="shared" si="32"/>
        <v>362.45499999999998</v>
      </c>
      <c r="G464" s="28">
        <f t="shared" si="32"/>
        <v>362.32750000000004</v>
      </c>
      <c r="H464" s="28">
        <f t="shared" si="32"/>
        <v>362.19166666666666</v>
      </c>
      <c r="I464" s="28">
        <f t="shared" si="32"/>
        <v>362.04874999999998</v>
      </c>
      <c r="J464" s="28">
        <f t="shared" si="32"/>
        <v>361.89083333333332</v>
      </c>
      <c r="K464" s="28">
        <f t="shared" si="32"/>
        <v>361.74624999999997</v>
      </c>
      <c r="L464" s="28">
        <f t="shared" si="32"/>
        <v>361.60750000000002</v>
      </c>
      <c r="M464" s="28">
        <f t="shared" si="32"/>
        <v>361.48749999999995</v>
      </c>
      <c r="N464" s="28">
        <f t="shared" si="32"/>
        <v>361.33541666666662</v>
      </c>
    </row>
    <row r="465" spans="1:14" x14ac:dyDescent="0.4">
      <c r="A465" s="1">
        <v>35339</v>
      </c>
      <c r="B465" s="28">
        <v>362.91208333333333</v>
      </c>
      <c r="C465" s="28">
        <f t="shared" si="32"/>
        <v>362.82083333333338</v>
      </c>
      <c r="D465" s="28">
        <f t="shared" si="32"/>
        <v>362.76708333333335</v>
      </c>
      <c r="E465" s="28">
        <f t="shared" si="32"/>
        <v>362.68833333333333</v>
      </c>
      <c r="F465" s="28">
        <f t="shared" si="32"/>
        <v>362.57291666666669</v>
      </c>
      <c r="G465" s="28">
        <f t="shared" si="32"/>
        <v>362.45499999999998</v>
      </c>
      <c r="H465" s="28">
        <f t="shared" si="32"/>
        <v>362.32750000000004</v>
      </c>
      <c r="I465" s="28">
        <f t="shared" si="32"/>
        <v>362.19166666666666</v>
      </c>
      <c r="J465" s="28">
        <f t="shared" si="32"/>
        <v>362.04874999999998</v>
      </c>
      <c r="K465" s="28">
        <f t="shared" si="32"/>
        <v>361.89083333333332</v>
      </c>
      <c r="L465" s="28">
        <f t="shared" si="32"/>
        <v>361.74624999999997</v>
      </c>
      <c r="M465" s="28">
        <f t="shared" si="32"/>
        <v>361.60750000000002</v>
      </c>
      <c r="N465" s="28">
        <f t="shared" si="32"/>
        <v>361.48749999999995</v>
      </c>
    </row>
    <row r="466" spans="1:14" x14ac:dyDescent="0.4">
      <c r="A466" s="1">
        <v>35370</v>
      </c>
      <c r="B466" s="28">
        <v>363.03833333333324</v>
      </c>
      <c r="C466" s="28">
        <f t="shared" si="32"/>
        <v>362.91208333333333</v>
      </c>
      <c r="D466" s="28">
        <f t="shared" si="32"/>
        <v>362.82083333333338</v>
      </c>
      <c r="E466" s="28">
        <f t="shared" si="32"/>
        <v>362.76708333333335</v>
      </c>
      <c r="F466" s="28">
        <f t="shared" si="32"/>
        <v>362.68833333333333</v>
      </c>
      <c r="G466" s="28">
        <f t="shared" ref="G466:U529" si="33">IF(F465=0,"",F465)</f>
        <v>362.57291666666669</v>
      </c>
      <c r="H466" s="28">
        <f t="shared" si="33"/>
        <v>362.45499999999998</v>
      </c>
      <c r="I466" s="28">
        <f t="shared" si="33"/>
        <v>362.32750000000004</v>
      </c>
      <c r="J466" s="28">
        <f t="shared" si="33"/>
        <v>362.19166666666666</v>
      </c>
      <c r="K466" s="28">
        <f t="shared" si="33"/>
        <v>362.04874999999998</v>
      </c>
      <c r="L466" s="28">
        <f t="shared" si="33"/>
        <v>361.89083333333332</v>
      </c>
      <c r="M466" s="28">
        <f t="shared" si="33"/>
        <v>361.74624999999997</v>
      </c>
      <c r="N466" s="28">
        <f t="shared" si="33"/>
        <v>361.60750000000002</v>
      </c>
    </row>
    <row r="467" spans="1:14" x14ac:dyDescent="0.4">
      <c r="A467" s="1">
        <v>35400</v>
      </c>
      <c r="B467" s="28">
        <v>363.12333333333328</v>
      </c>
      <c r="C467" s="28">
        <f t="shared" ref="C467:Q530" si="34">IF(B466=0,"",B466)</f>
        <v>363.03833333333324</v>
      </c>
      <c r="D467" s="28">
        <f t="shared" si="34"/>
        <v>362.91208333333333</v>
      </c>
      <c r="E467" s="28">
        <f t="shared" si="34"/>
        <v>362.82083333333338</v>
      </c>
      <c r="F467" s="28">
        <f t="shared" si="34"/>
        <v>362.76708333333335</v>
      </c>
      <c r="G467" s="28">
        <f t="shared" si="34"/>
        <v>362.68833333333333</v>
      </c>
      <c r="H467" s="28">
        <f t="shared" si="34"/>
        <v>362.57291666666669</v>
      </c>
      <c r="I467" s="28">
        <f t="shared" si="34"/>
        <v>362.45499999999998</v>
      </c>
      <c r="J467" s="28">
        <f t="shared" si="34"/>
        <v>362.32750000000004</v>
      </c>
      <c r="K467" s="28">
        <f t="shared" si="34"/>
        <v>362.19166666666666</v>
      </c>
      <c r="L467" s="28">
        <f t="shared" si="34"/>
        <v>362.04874999999998</v>
      </c>
      <c r="M467" s="28">
        <f t="shared" si="34"/>
        <v>361.89083333333332</v>
      </c>
      <c r="N467" s="28">
        <f t="shared" si="34"/>
        <v>361.74624999999997</v>
      </c>
    </row>
    <row r="468" spans="1:14" x14ac:dyDescent="0.4">
      <c r="A468" s="1">
        <v>35431</v>
      </c>
      <c r="B468" s="28">
        <v>363.18499999999995</v>
      </c>
      <c r="C468" s="28">
        <f t="shared" si="34"/>
        <v>363.12333333333328</v>
      </c>
      <c r="D468" s="28">
        <f t="shared" si="34"/>
        <v>363.03833333333324</v>
      </c>
      <c r="E468" s="28">
        <f t="shared" si="34"/>
        <v>362.91208333333333</v>
      </c>
      <c r="F468" s="28">
        <f t="shared" si="34"/>
        <v>362.82083333333338</v>
      </c>
      <c r="G468" s="28">
        <f t="shared" si="34"/>
        <v>362.76708333333335</v>
      </c>
      <c r="H468" s="28">
        <f t="shared" si="34"/>
        <v>362.68833333333333</v>
      </c>
      <c r="I468" s="28">
        <f t="shared" si="34"/>
        <v>362.57291666666669</v>
      </c>
      <c r="J468" s="28">
        <f t="shared" si="34"/>
        <v>362.45499999999998</v>
      </c>
      <c r="K468" s="28">
        <f t="shared" si="34"/>
        <v>362.32750000000004</v>
      </c>
      <c r="L468" s="28">
        <f t="shared" si="34"/>
        <v>362.19166666666666</v>
      </c>
      <c r="M468" s="28">
        <f t="shared" si="34"/>
        <v>362.04874999999998</v>
      </c>
      <c r="N468" s="28">
        <f t="shared" si="34"/>
        <v>361.89083333333332</v>
      </c>
    </row>
    <row r="469" spans="1:14" x14ac:dyDescent="0.4">
      <c r="A469" s="1">
        <v>35462</v>
      </c>
      <c r="B469" s="28">
        <v>363.26166666666671</v>
      </c>
      <c r="C469" s="28">
        <f t="shared" si="34"/>
        <v>363.18499999999995</v>
      </c>
      <c r="D469" s="28">
        <f t="shared" si="34"/>
        <v>363.12333333333328</v>
      </c>
      <c r="E469" s="28">
        <f t="shared" si="34"/>
        <v>363.03833333333324</v>
      </c>
      <c r="F469" s="28">
        <f t="shared" si="34"/>
        <v>362.91208333333333</v>
      </c>
      <c r="G469" s="28">
        <f t="shared" si="34"/>
        <v>362.82083333333338</v>
      </c>
      <c r="H469" s="28">
        <f t="shared" si="34"/>
        <v>362.76708333333335</v>
      </c>
      <c r="I469" s="28">
        <f t="shared" si="34"/>
        <v>362.68833333333333</v>
      </c>
      <c r="J469" s="28">
        <f t="shared" si="34"/>
        <v>362.57291666666669</v>
      </c>
      <c r="K469" s="28">
        <f t="shared" si="34"/>
        <v>362.45499999999998</v>
      </c>
      <c r="L469" s="28">
        <f t="shared" si="34"/>
        <v>362.32750000000004</v>
      </c>
      <c r="M469" s="28">
        <f t="shared" si="34"/>
        <v>362.19166666666666</v>
      </c>
      <c r="N469" s="28">
        <f t="shared" si="34"/>
        <v>362.04874999999998</v>
      </c>
    </row>
    <row r="470" spans="1:14" x14ac:dyDescent="0.4">
      <c r="A470" s="1">
        <v>35490</v>
      </c>
      <c r="B470" s="28">
        <v>363.33499999999998</v>
      </c>
      <c r="C470" s="28">
        <f t="shared" si="34"/>
        <v>363.26166666666671</v>
      </c>
      <c r="D470" s="28">
        <f t="shared" si="34"/>
        <v>363.18499999999995</v>
      </c>
      <c r="E470" s="28">
        <f t="shared" si="34"/>
        <v>363.12333333333328</v>
      </c>
      <c r="F470" s="28">
        <f t="shared" si="34"/>
        <v>363.03833333333324</v>
      </c>
      <c r="G470" s="28">
        <f t="shared" si="34"/>
        <v>362.91208333333333</v>
      </c>
      <c r="H470" s="28">
        <f t="shared" si="34"/>
        <v>362.82083333333338</v>
      </c>
      <c r="I470" s="28">
        <f t="shared" si="34"/>
        <v>362.76708333333335</v>
      </c>
      <c r="J470" s="28">
        <f t="shared" si="34"/>
        <v>362.68833333333333</v>
      </c>
      <c r="K470" s="28">
        <f t="shared" si="34"/>
        <v>362.57291666666669</v>
      </c>
      <c r="L470" s="28">
        <f t="shared" si="34"/>
        <v>362.45499999999998</v>
      </c>
      <c r="M470" s="28">
        <f t="shared" si="34"/>
        <v>362.32750000000004</v>
      </c>
      <c r="N470" s="28">
        <f t="shared" si="34"/>
        <v>362.19166666666666</v>
      </c>
    </row>
    <row r="471" spans="1:14" x14ac:dyDescent="0.4">
      <c r="A471" s="1">
        <v>35521</v>
      </c>
      <c r="B471" s="28">
        <v>363.41458333333338</v>
      </c>
      <c r="C471" s="28">
        <f t="shared" si="34"/>
        <v>363.33499999999998</v>
      </c>
      <c r="D471" s="28">
        <f t="shared" si="34"/>
        <v>363.26166666666671</v>
      </c>
      <c r="E471" s="28">
        <f t="shared" si="34"/>
        <v>363.18499999999995</v>
      </c>
      <c r="F471" s="28">
        <f t="shared" si="34"/>
        <v>363.12333333333328</v>
      </c>
      <c r="G471" s="28">
        <f t="shared" si="34"/>
        <v>363.03833333333324</v>
      </c>
      <c r="H471" s="28">
        <f t="shared" si="34"/>
        <v>362.91208333333333</v>
      </c>
      <c r="I471" s="28">
        <f t="shared" si="34"/>
        <v>362.82083333333338</v>
      </c>
      <c r="J471" s="28">
        <f t="shared" si="34"/>
        <v>362.76708333333335</v>
      </c>
      <c r="K471" s="28">
        <f t="shared" si="34"/>
        <v>362.68833333333333</v>
      </c>
      <c r="L471" s="28">
        <f t="shared" si="34"/>
        <v>362.57291666666669</v>
      </c>
      <c r="M471" s="28">
        <f t="shared" si="34"/>
        <v>362.45499999999998</v>
      </c>
      <c r="N471" s="28">
        <f t="shared" si="34"/>
        <v>362.32750000000004</v>
      </c>
    </row>
    <row r="472" spans="1:14" x14ac:dyDescent="0.4">
      <c r="A472" s="1">
        <v>35551</v>
      </c>
      <c r="B472" s="28">
        <v>363.53291666666672</v>
      </c>
      <c r="C472" s="28">
        <f t="shared" si="34"/>
        <v>363.41458333333338</v>
      </c>
      <c r="D472" s="28">
        <f t="shared" si="34"/>
        <v>363.33499999999998</v>
      </c>
      <c r="E472" s="28">
        <f t="shared" si="34"/>
        <v>363.26166666666671</v>
      </c>
      <c r="F472" s="28">
        <f t="shared" si="34"/>
        <v>363.18499999999995</v>
      </c>
      <c r="G472" s="28">
        <f t="shared" si="34"/>
        <v>363.12333333333328</v>
      </c>
      <c r="H472" s="28">
        <f t="shared" si="34"/>
        <v>363.03833333333324</v>
      </c>
      <c r="I472" s="28">
        <f t="shared" si="34"/>
        <v>362.91208333333333</v>
      </c>
      <c r="J472" s="28">
        <f t="shared" si="34"/>
        <v>362.82083333333338</v>
      </c>
      <c r="K472" s="28">
        <f t="shared" si="34"/>
        <v>362.76708333333335</v>
      </c>
      <c r="L472" s="28">
        <f t="shared" si="34"/>
        <v>362.68833333333333</v>
      </c>
      <c r="M472" s="28">
        <f t="shared" si="34"/>
        <v>362.57291666666669</v>
      </c>
      <c r="N472" s="28">
        <f t="shared" si="34"/>
        <v>362.45499999999998</v>
      </c>
    </row>
    <row r="473" spans="1:14" x14ac:dyDescent="0.4">
      <c r="A473" s="1">
        <v>35582</v>
      </c>
      <c r="B473" s="28">
        <v>363.68374999999997</v>
      </c>
      <c r="C473" s="28">
        <f t="shared" si="34"/>
        <v>363.53291666666672</v>
      </c>
      <c r="D473" s="28">
        <f t="shared" si="34"/>
        <v>363.41458333333338</v>
      </c>
      <c r="E473" s="28">
        <f t="shared" si="34"/>
        <v>363.33499999999998</v>
      </c>
      <c r="F473" s="28">
        <f t="shared" si="34"/>
        <v>363.26166666666671</v>
      </c>
      <c r="G473" s="28">
        <f t="shared" si="34"/>
        <v>363.18499999999995</v>
      </c>
      <c r="H473" s="28">
        <f t="shared" si="34"/>
        <v>363.12333333333328</v>
      </c>
      <c r="I473" s="28">
        <f t="shared" si="34"/>
        <v>363.03833333333324</v>
      </c>
      <c r="J473" s="28">
        <f t="shared" si="34"/>
        <v>362.91208333333333</v>
      </c>
      <c r="K473" s="28">
        <f t="shared" si="34"/>
        <v>362.82083333333338</v>
      </c>
      <c r="L473" s="28">
        <f t="shared" si="34"/>
        <v>362.76708333333335</v>
      </c>
      <c r="M473" s="28">
        <f t="shared" si="34"/>
        <v>362.68833333333333</v>
      </c>
      <c r="N473" s="28">
        <f t="shared" si="34"/>
        <v>362.57291666666669</v>
      </c>
    </row>
    <row r="474" spans="1:14" x14ac:dyDescent="0.4">
      <c r="A474" s="1">
        <v>35612</v>
      </c>
      <c r="B474" s="28">
        <v>363.85416666666669</v>
      </c>
      <c r="C474" s="28">
        <f t="shared" si="34"/>
        <v>363.68374999999997</v>
      </c>
      <c r="D474" s="28">
        <f t="shared" si="34"/>
        <v>363.53291666666672</v>
      </c>
      <c r="E474" s="28">
        <f t="shared" si="34"/>
        <v>363.41458333333338</v>
      </c>
      <c r="F474" s="28">
        <f t="shared" si="34"/>
        <v>363.33499999999998</v>
      </c>
      <c r="G474" s="28">
        <f t="shared" si="34"/>
        <v>363.26166666666671</v>
      </c>
      <c r="H474" s="28">
        <f t="shared" si="34"/>
        <v>363.18499999999995</v>
      </c>
      <c r="I474" s="28">
        <f t="shared" si="34"/>
        <v>363.12333333333328</v>
      </c>
      <c r="J474" s="28">
        <f t="shared" si="34"/>
        <v>363.03833333333324</v>
      </c>
      <c r="K474" s="28">
        <f t="shared" si="34"/>
        <v>362.91208333333333</v>
      </c>
      <c r="L474" s="28">
        <f t="shared" si="34"/>
        <v>362.82083333333338</v>
      </c>
      <c r="M474" s="28">
        <f t="shared" si="34"/>
        <v>362.76708333333335</v>
      </c>
      <c r="N474" s="28">
        <f t="shared" si="34"/>
        <v>362.68833333333333</v>
      </c>
    </row>
    <row r="475" spans="1:14" x14ac:dyDescent="0.4">
      <c r="A475" s="1">
        <v>35643</v>
      </c>
      <c r="B475" s="28">
        <v>364.0333333333333</v>
      </c>
      <c r="C475" s="28">
        <f t="shared" si="34"/>
        <v>363.85416666666669</v>
      </c>
      <c r="D475" s="28">
        <f t="shared" si="34"/>
        <v>363.68374999999997</v>
      </c>
      <c r="E475" s="28">
        <f t="shared" si="34"/>
        <v>363.53291666666672</v>
      </c>
      <c r="F475" s="28">
        <f t="shared" si="34"/>
        <v>363.41458333333338</v>
      </c>
      <c r="G475" s="28">
        <f t="shared" si="34"/>
        <v>363.33499999999998</v>
      </c>
      <c r="H475" s="28">
        <f t="shared" si="34"/>
        <v>363.26166666666671</v>
      </c>
      <c r="I475" s="28">
        <f t="shared" si="34"/>
        <v>363.18499999999995</v>
      </c>
      <c r="J475" s="28">
        <f t="shared" si="34"/>
        <v>363.12333333333328</v>
      </c>
      <c r="K475" s="28">
        <f t="shared" si="34"/>
        <v>363.03833333333324</v>
      </c>
      <c r="L475" s="28">
        <f t="shared" si="34"/>
        <v>362.91208333333333</v>
      </c>
      <c r="M475" s="28">
        <f t="shared" si="34"/>
        <v>362.82083333333338</v>
      </c>
      <c r="N475" s="28">
        <f t="shared" si="34"/>
        <v>362.76708333333335</v>
      </c>
    </row>
    <row r="476" spans="1:14" x14ac:dyDescent="0.4">
      <c r="A476" s="1">
        <v>35674</v>
      </c>
      <c r="B476" s="28">
        <v>364.23791666666671</v>
      </c>
      <c r="C476" s="28">
        <f t="shared" si="34"/>
        <v>364.0333333333333</v>
      </c>
      <c r="D476" s="28">
        <f t="shared" si="34"/>
        <v>363.85416666666669</v>
      </c>
      <c r="E476" s="28">
        <f t="shared" si="34"/>
        <v>363.68374999999997</v>
      </c>
      <c r="F476" s="28">
        <f t="shared" si="34"/>
        <v>363.53291666666672</v>
      </c>
      <c r="G476" s="28">
        <f t="shared" si="34"/>
        <v>363.41458333333338</v>
      </c>
      <c r="H476" s="28">
        <f t="shared" si="34"/>
        <v>363.33499999999998</v>
      </c>
      <c r="I476" s="28">
        <f t="shared" si="34"/>
        <v>363.26166666666671</v>
      </c>
      <c r="J476" s="28">
        <f t="shared" si="34"/>
        <v>363.18499999999995</v>
      </c>
      <c r="K476" s="28">
        <f t="shared" si="34"/>
        <v>363.12333333333328</v>
      </c>
      <c r="L476" s="28">
        <f t="shared" si="34"/>
        <v>363.03833333333324</v>
      </c>
      <c r="M476" s="28">
        <f t="shared" si="34"/>
        <v>362.91208333333333</v>
      </c>
      <c r="N476" s="28">
        <f t="shared" si="34"/>
        <v>362.82083333333338</v>
      </c>
    </row>
    <row r="477" spans="1:14" x14ac:dyDescent="0.4">
      <c r="A477" s="1">
        <v>35704</v>
      </c>
      <c r="B477" s="28">
        <v>364.44624999999996</v>
      </c>
      <c r="C477" s="28">
        <f t="shared" si="34"/>
        <v>364.23791666666671</v>
      </c>
      <c r="D477" s="28">
        <f t="shared" si="34"/>
        <v>364.0333333333333</v>
      </c>
      <c r="E477" s="28">
        <f t="shared" si="34"/>
        <v>363.85416666666669</v>
      </c>
      <c r="F477" s="28">
        <f t="shared" si="34"/>
        <v>363.68374999999997</v>
      </c>
      <c r="G477" s="28">
        <f t="shared" si="34"/>
        <v>363.53291666666672</v>
      </c>
      <c r="H477" s="28">
        <f t="shared" si="34"/>
        <v>363.41458333333338</v>
      </c>
      <c r="I477" s="28">
        <f t="shared" si="34"/>
        <v>363.33499999999998</v>
      </c>
      <c r="J477" s="28">
        <f t="shared" si="34"/>
        <v>363.26166666666671</v>
      </c>
      <c r="K477" s="28">
        <f t="shared" si="34"/>
        <v>363.18499999999995</v>
      </c>
      <c r="L477" s="28">
        <f t="shared" si="34"/>
        <v>363.12333333333328</v>
      </c>
      <c r="M477" s="28">
        <f t="shared" si="34"/>
        <v>363.03833333333324</v>
      </c>
      <c r="N477" s="28">
        <f t="shared" si="34"/>
        <v>362.91208333333333</v>
      </c>
    </row>
    <row r="478" spans="1:14" x14ac:dyDescent="0.4">
      <c r="A478" s="1">
        <v>35735</v>
      </c>
      <c r="B478" s="28">
        <v>364.64416666666671</v>
      </c>
      <c r="C478" s="28">
        <f t="shared" si="34"/>
        <v>364.44624999999996</v>
      </c>
      <c r="D478" s="28">
        <f t="shared" si="34"/>
        <v>364.23791666666671</v>
      </c>
      <c r="E478" s="28">
        <f t="shared" si="34"/>
        <v>364.0333333333333</v>
      </c>
      <c r="F478" s="28">
        <f t="shared" si="34"/>
        <v>363.85416666666669</v>
      </c>
      <c r="G478" s="28">
        <f t="shared" si="34"/>
        <v>363.68374999999997</v>
      </c>
      <c r="H478" s="28">
        <f t="shared" si="34"/>
        <v>363.53291666666672</v>
      </c>
      <c r="I478" s="28">
        <f t="shared" si="34"/>
        <v>363.41458333333338</v>
      </c>
      <c r="J478" s="28">
        <f t="shared" si="34"/>
        <v>363.33499999999998</v>
      </c>
      <c r="K478" s="28">
        <f t="shared" si="34"/>
        <v>363.26166666666671</v>
      </c>
      <c r="L478" s="28">
        <f t="shared" si="34"/>
        <v>363.18499999999995</v>
      </c>
      <c r="M478" s="28">
        <f t="shared" si="34"/>
        <v>363.12333333333328</v>
      </c>
      <c r="N478" s="28">
        <f t="shared" si="34"/>
        <v>363.03833333333324</v>
      </c>
    </row>
    <row r="479" spans="1:14" x14ac:dyDescent="0.4">
      <c r="A479" s="1">
        <v>35765</v>
      </c>
      <c r="B479" s="28">
        <v>364.88375000000002</v>
      </c>
      <c r="C479" s="28">
        <f t="shared" si="34"/>
        <v>364.64416666666671</v>
      </c>
      <c r="D479" s="28">
        <f t="shared" si="34"/>
        <v>364.44624999999996</v>
      </c>
      <c r="E479" s="28">
        <f t="shared" si="34"/>
        <v>364.23791666666671</v>
      </c>
      <c r="F479" s="28">
        <f t="shared" si="34"/>
        <v>364.0333333333333</v>
      </c>
      <c r="G479" s="28">
        <f t="shared" si="34"/>
        <v>363.85416666666669</v>
      </c>
      <c r="H479" s="28">
        <f t="shared" si="34"/>
        <v>363.68374999999997</v>
      </c>
      <c r="I479" s="28">
        <f t="shared" si="34"/>
        <v>363.53291666666672</v>
      </c>
      <c r="J479" s="28">
        <f t="shared" si="34"/>
        <v>363.41458333333338</v>
      </c>
      <c r="K479" s="28">
        <f t="shared" si="34"/>
        <v>363.33499999999998</v>
      </c>
      <c r="L479" s="28">
        <f t="shared" si="34"/>
        <v>363.26166666666671</v>
      </c>
      <c r="M479" s="28">
        <f t="shared" si="34"/>
        <v>363.18499999999995</v>
      </c>
      <c r="N479" s="28">
        <f t="shared" si="34"/>
        <v>363.12333333333328</v>
      </c>
    </row>
    <row r="480" spans="1:14" x14ac:dyDescent="0.4">
      <c r="A480" s="1">
        <v>35796</v>
      </c>
      <c r="B480" s="28">
        <v>365.15125000000006</v>
      </c>
      <c r="C480" s="28">
        <f t="shared" si="34"/>
        <v>364.88375000000002</v>
      </c>
      <c r="D480" s="28">
        <f t="shared" si="34"/>
        <v>364.64416666666671</v>
      </c>
      <c r="E480" s="28">
        <f t="shared" si="34"/>
        <v>364.44624999999996</v>
      </c>
      <c r="F480" s="28">
        <f t="shared" si="34"/>
        <v>364.23791666666671</v>
      </c>
      <c r="G480" s="28">
        <f t="shared" si="34"/>
        <v>364.0333333333333</v>
      </c>
      <c r="H480" s="28">
        <f t="shared" si="34"/>
        <v>363.85416666666669</v>
      </c>
      <c r="I480" s="28">
        <f t="shared" si="34"/>
        <v>363.68374999999997</v>
      </c>
      <c r="J480" s="28">
        <f t="shared" si="34"/>
        <v>363.53291666666672</v>
      </c>
      <c r="K480" s="28">
        <f t="shared" si="34"/>
        <v>363.41458333333338</v>
      </c>
      <c r="L480" s="28">
        <f t="shared" si="34"/>
        <v>363.33499999999998</v>
      </c>
      <c r="M480" s="28">
        <f t="shared" si="34"/>
        <v>363.26166666666671</v>
      </c>
      <c r="N480" s="28">
        <f t="shared" si="34"/>
        <v>363.18499999999995</v>
      </c>
    </row>
    <row r="481" spans="1:14" x14ac:dyDescent="0.4">
      <c r="A481" s="1">
        <v>35827</v>
      </c>
      <c r="B481" s="28">
        <v>365.42</v>
      </c>
      <c r="C481" s="28">
        <f t="shared" si="34"/>
        <v>365.15125000000006</v>
      </c>
      <c r="D481" s="28">
        <f t="shared" si="34"/>
        <v>364.88375000000002</v>
      </c>
      <c r="E481" s="28">
        <f t="shared" si="34"/>
        <v>364.64416666666671</v>
      </c>
      <c r="F481" s="28">
        <f t="shared" si="34"/>
        <v>364.44624999999996</v>
      </c>
      <c r="G481" s="28">
        <f t="shared" si="34"/>
        <v>364.23791666666671</v>
      </c>
      <c r="H481" s="28">
        <f t="shared" si="34"/>
        <v>364.0333333333333</v>
      </c>
      <c r="I481" s="28">
        <f t="shared" si="34"/>
        <v>363.85416666666669</v>
      </c>
      <c r="J481" s="28">
        <f t="shared" si="34"/>
        <v>363.68374999999997</v>
      </c>
      <c r="K481" s="28">
        <f t="shared" si="34"/>
        <v>363.53291666666672</v>
      </c>
      <c r="L481" s="28">
        <f t="shared" si="34"/>
        <v>363.41458333333338</v>
      </c>
      <c r="M481" s="28">
        <f t="shared" si="34"/>
        <v>363.33499999999998</v>
      </c>
      <c r="N481" s="28">
        <f t="shared" si="34"/>
        <v>363.26166666666671</v>
      </c>
    </row>
    <row r="482" spans="1:14" x14ac:dyDescent="0.4">
      <c r="A482" s="1">
        <v>35855</v>
      </c>
      <c r="B482" s="28">
        <v>365.71125000000001</v>
      </c>
      <c r="C482" s="28">
        <f t="shared" si="34"/>
        <v>365.42</v>
      </c>
      <c r="D482" s="28">
        <f t="shared" si="34"/>
        <v>365.15125000000006</v>
      </c>
      <c r="E482" s="28">
        <f t="shared" si="34"/>
        <v>364.88375000000002</v>
      </c>
      <c r="F482" s="28">
        <f t="shared" si="34"/>
        <v>364.64416666666671</v>
      </c>
      <c r="G482" s="28">
        <f t="shared" si="34"/>
        <v>364.44624999999996</v>
      </c>
      <c r="H482" s="28">
        <f t="shared" si="34"/>
        <v>364.23791666666671</v>
      </c>
      <c r="I482" s="28">
        <f t="shared" si="34"/>
        <v>364.0333333333333</v>
      </c>
      <c r="J482" s="28">
        <f t="shared" si="34"/>
        <v>363.85416666666669</v>
      </c>
      <c r="K482" s="28">
        <f t="shared" si="34"/>
        <v>363.68374999999997</v>
      </c>
      <c r="L482" s="28">
        <f t="shared" si="34"/>
        <v>363.53291666666672</v>
      </c>
      <c r="M482" s="28">
        <f t="shared" si="34"/>
        <v>363.41458333333338</v>
      </c>
      <c r="N482" s="28">
        <f t="shared" si="34"/>
        <v>363.33499999999998</v>
      </c>
    </row>
    <row r="483" spans="1:14" x14ac:dyDescent="0.4">
      <c r="A483" s="1">
        <v>35886</v>
      </c>
      <c r="B483" s="28">
        <v>366.0095833333333</v>
      </c>
      <c r="C483" s="28">
        <f t="shared" si="34"/>
        <v>365.71125000000001</v>
      </c>
      <c r="D483" s="28">
        <f t="shared" si="34"/>
        <v>365.42</v>
      </c>
      <c r="E483" s="28">
        <f t="shared" si="34"/>
        <v>365.15125000000006</v>
      </c>
      <c r="F483" s="28">
        <f t="shared" si="34"/>
        <v>364.88375000000002</v>
      </c>
      <c r="G483" s="28">
        <f t="shared" si="34"/>
        <v>364.64416666666671</v>
      </c>
      <c r="H483" s="28">
        <f t="shared" si="34"/>
        <v>364.44624999999996</v>
      </c>
      <c r="I483" s="28">
        <f t="shared" si="34"/>
        <v>364.23791666666671</v>
      </c>
      <c r="J483" s="28">
        <f t="shared" si="34"/>
        <v>364.0333333333333</v>
      </c>
      <c r="K483" s="28">
        <f t="shared" si="34"/>
        <v>363.85416666666669</v>
      </c>
      <c r="L483" s="28">
        <f t="shared" si="34"/>
        <v>363.68374999999997</v>
      </c>
      <c r="M483" s="28">
        <f t="shared" si="34"/>
        <v>363.53291666666672</v>
      </c>
      <c r="N483" s="28">
        <f t="shared" si="34"/>
        <v>363.41458333333338</v>
      </c>
    </row>
    <row r="484" spans="1:14" x14ac:dyDescent="0.4">
      <c r="A484" s="1">
        <v>35916</v>
      </c>
      <c r="B484" s="28">
        <v>366.27958333333328</v>
      </c>
      <c r="C484" s="28">
        <f t="shared" si="34"/>
        <v>366.0095833333333</v>
      </c>
      <c r="D484" s="28">
        <f t="shared" si="34"/>
        <v>365.71125000000001</v>
      </c>
      <c r="E484" s="28">
        <f t="shared" si="34"/>
        <v>365.42</v>
      </c>
      <c r="F484" s="28">
        <f t="shared" si="34"/>
        <v>365.15125000000006</v>
      </c>
      <c r="G484" s="28">
        <f t="shared" si="34"/>
        <v>364.88375000000002</v>
      </c>
      <c r="H484" s="28">
        <f t="shared" si="34"/>
        <v>364.64416666666671</v>
      </c>
      <c r="I484" s="28">
        <f t="shared" si="34"/>
        <v>364.44624999999996</v>
      </c>
      <c r="J484" s="28">
        <f t="shared" si="34"/>
        <v>364.23791666666671</v>
      </c>
      <c r="K484" s="28">
        <f t="shared" si="34"/>
        <v>364.0333333333333</v>
      </c>
      <c r="L484" s="28">
        <f t="shared" si="34"/>
        <v>363.85416666666669</v>
      </c>
      <c r="M484" s="28">
        <f t="shared" si="34"/>
        <v>363.68374999999997</v>
      </c>
      <c r="N484" s="28">
        <f t="shared" si="34"/>
        <v>363.53291666666672</v>
      </c>
    </row>
    <row r="485" spans="1:14" x14ac:dyDescent="0.4">
      <c r="A485" s="1">
        <v>35947</v>
      </c>
      <c r="B485" s="28">
        <v>366.51791666666668</v>
      </c>
      <c r="C485" s="28">
        <f t="shared" si="34"/>
        <v>366.27958333333328</v>
      </c>
      <c r="D485" s="28">
        <f t="shared" si="34"/>
        <v>366.0095833333333</v>
      </c>
      <c r="E485" s="28">
        <f t="shared" si="34"/>
        <v>365.71125000000001</v>
      </c>
      <c r="F485" s="28">
        <f t="shared" si="34"/>
        <v>365.42</v>
      </c>
      <c r="G485" s="28">
        <f t="shared" si="34"/>
        <v>365.15125000000006</v>
      </c>
      <c r="H485" s="28">
        <f t="shared" si="34"/>
        <v>364.88375000000002</v>
      </c>
      <c r="I485" s="28">
        <f t="shared" si="34"/>
        <v>364.64416666666671</v>
      </c>
      <c r="J485" s="28">
        <f t="shared" si="34"/>
        <v>364.44624999999996</v>
      </c>
      <c r="K485" s="28">
        <f t="shared" si="34"/>
        <v>364.23791666666671</v>
      </c>
      <c r="L485" s="28">
        <f t="shared" si="34"/>
        <v>364.0333333333333</v>
      </c>
      <c r="M485" s="28">
        <f t="shared" si="34"/>
        <v>363.85416666666669</v>
      </c>
      <c r="N485" s="28">
        <f t="shared" si="34"/>
        <v>363.68374999999997</v>
      </c>
    </row>
    <row r="486" spans="1:14" x14ac:dyDescent="0.4">
      <c r="A486" s="1">
        <v>35977</v>
      </c>
      <c r="B486" s="28">
        <v>366.74749999999995</v>
      </c>
      <c r="C486" s="28">
        <f t="shared" si="34"/>
        <v>366.51791666666668</v>
      </c>
      <c r="D486" s="28">
        <f t="shared" si="34"/>
        <v>366.27958333333328</v>
      </c>
      <c r="E486" s="28">
        <f t="shared" si="34"/>
        <v>366.0095833333333</v>
      </c>
      <c r="F486" s="28">
        <f t="shared" si="34"/>
        <v>365.71125000000001</v>
      </c>
      <c r="G486" s="28">
        <f t="shared" si="34"/>
        <v>365.42</v>
      </c>
      <c r="H486" s="28">
        <f t="shared" si="34"/>
        <v>365.15125000000006</v>
      </c>
      <c r="I486" s="28">
        <f t="shared" si="34"/>
        <v>364.88375000000002</v>
      </c>
      <c r="J486" s="28">
        <f t="shared" si="34"/>
        <v>364.64416666666671</v>
      </c>
      <c r="K486" s="28">
        <f t="shared" si="34"/>
        <v>364.44624999999996</v>
      </c>
      <c r="L486" s="28">
        <f t="shared" si="34"/>
        <v>364.23791666666671</v>
      </c>
      <c r="M486" s="28">
        <f t="shared" si="34"/>
        <v>364.0333333333333</v>
      </c>
      <c r="N486" s="28">
        <f t="shared" si="34"/>
        <v>363.85416666666669</v>
      </c>
    </row>
    <row r="487" spans="1:14" x14ac:dyDescent="0.4">
      <c r="A487" s="1">
        <v>36008</v>
      </c>
      <c r="B487" s="28">
        <v>366.9783333333333</v>
      </c>
      <c r="C487" s="28">
        <f t="shared" si="34"/>
        <v>366.74749999999995</v>
      </c>
      <c r="D487" s="28">
        <f t="shared" si="34"/>
        <v>366.51791666666668</v>
      </c>
      <c r="E487" s="28">
        <f t="shared" si="34"/>
        <v>366.27958333333328</v>
      </c>
      <c r="F487" s="28">
        <f t="shared" si="34"/>
        <v>366.0095833333333</v>
      </c>
      <c r="G487" s="28">
        <f t="shared" si="34"/>
        <v>365.71125000000001</v>
      </c>
      <c r="H487" s="28">
        <f t="shared" si="34"/>
        <v>365.42</v>
      </c>
      <c r="I487" s="28">
        <f t="shared" si="34"/>
        <v>365.15125000000006</v>
      </c>
      <c r="J487" s="28">
        <f t="shared" si="34"/>
        <v>364.88375000000002</v>
      </c>
      <c r="K487" s="28">
        <f t="shared" si="34"/>
        <v>364.64416666666671</v>
      </c>
      <c r="L487" s="28">
        <f t="shared" si="34"/>
        <v>364.44624999999996</v>
      </c>
      <c r="M487" s="28">
        <f t="shared" si="34"/>
        <v>364.23791666666671</v>
      </c>
      <c r="N487" s="28">
        <f t="shared" si="34"/>
        <v>364.0333333333333</v>
      </c>
    </row>
    <row r="488" spans="1:14" x14ac:dyDescent="0.4">
      <c r="A488" s="1">
        <v>36039</v>
      </c>
      <c r="B488" s="28">
        <v>367.18666666666667</v>
      </c>
      <c r="C488" s="28">
        <f t="shared" si="34"/>
        <v>366.9783333333333</v>
      </c>
      <c r="D488" s="28">
        <f t="shared" si="34"/>
        <v>366.74749999999995</v>
      </c>
      <c r="E488" s="28">
        <f t="shared" si="34"/>
        <v>366.51791666666668</v>
      </c>
      <c r="F488" s="28">
        <f t="shared" ref="F488:U503" si="35">IF(E487=0,"",E487)</f>
        <v>366.27958333333328</v>
      </c>
      <c r="G488" s="28">
        <f t="shared" si="35"/>
        <v>366.0095833333333</v>
      </c>
      <c r="H488" s="28">
        <f t="shared" si="35"/>
        <v>365.71125000000001</v>
      </c>
      <c r="I488" s="28">
        <f t="shared" si="35"/>
        <v>365.42</v>
      </c>
      <c r="J488" s="28">
        <f t="shared" si="35"/>
        <v>365.15125000000006</v>
      </c>
      <c r="K488" s="28">
        <f t="shared" si="35"/>
        <v>364.88375000000002</v>
      </c>
      <c r="L488" s="28">
        <f t="shared" si="35"/>
        <v>364.64416666666671</v>
      </c>
      <c r="M488" s="28">
        <f t="shared" si="35"/>
        <v>364.44624999999996</v>
      </c>
      <c r="N488" s="28">
        <f t="shared" si="35"/>
        <v>364.23791666666671</v>
      </c>
    </row>
    <row r="489" spans="1:14" x14ac:dyDescent="0.4">
      <c r="A489" s="1">
        <v>36069</v>
      </c>
      <c r="B489" s="28">
        <v>367.38708333333329</v>
      </c>
      <c r="C489" s="28">
        <f t="shared" ref="C489:N552" si="36">IF(B488=0,"",B488)</f>
        <v>367.18666666666667</v>
      </c>
      <c r="D489" s="28">
        <f t="shared" si="36"/>
        <v>366.9783333333333</v>
      </c>
      <c r="E489" s="28">
        <f t="shared" si="36"/>
        <v>366.74749999999995</v>
      </c>
      <c r="F489" s="28">
        <f t="shared" si="36"/>
        <v>366.51791666666668</v>
      </c>
      <c r="G489" s="28">
        <f t="shared" si="36"/>
        <v>366.27958333333328</v>
      </c>
      <c r="H489" s="28">
        <f t="shared" si="36"/>
        <v>366.0095833333333</v>
      </c>
      <c r="I489" s="28">
        <f t="shared" si="36"/>
        <v>365.71125000000001</v>
      </c>
      <c r="J489" s="28">
        <f t="shared" si="36"/>
        <v>365.42</v>
      </c>
      <c r="K489" s="28">
        <f t="shared" si="36"/>
        <v>365.15125000000006</v>
      </c>
      <c r="L489" s="28">
        <f t="shared" si="36"/>
        <v>364.88375000000002</v>
      </c>
      <c r="M489" s="28">
        <f t="shared" si="36"/>
        <v>364.64416666666671</v>
      </c>
      <c r="N489" s="28">
        <f t="shared" si="36"/>
        <v>364.44624999999996</v>
      </c>
    </row>
    <row r="490" spans="1:14" x14ac:dyDescent="0.4">
      <c r="A490" s="1">
        <v>36100</v>
      </c>
      <c r="B490" s="28">
        <v>367.56333333333333</v>
      </c>
      <c r="C490" s="28">
        <f t="shared" si="36"/>
        <v>367.38708333333329</v>
      </c>
      <c r="D490" s="28">
        <f t="shared" si="36"/>
        <v>367.18666666666667</v>
      </c>
      <c r="E490" s="28">
        <f t="shared" si="36"/>
        <v>366.9783333333333</v>
      </c>
      <c r="F490" s="28">
        <f t="shared" si="36"/>
        <v>366.74749999999995</v>
      </c>
      <c r="G490" s="28">
        <f t="shared" si="36"/>
        <v>366.51791666666668</v>
      </c>
      <c r="H490" s="28">
        <f t="shared" si="36"/>
        <v>366.27958333333328</v>
      </c>
      <c r="I490" s="28">
        <f t="shared" si="36"/>
        <v>366.0095833333333</v>
      </c>
      <c r="J490" s="28">
        <f t="shared" si="36"/>
        <v>365.71125000000001</v>
      </c>
      <c r="K490" s="28">
        <f t="shared" si="36"/>
        <v>365.42</v>
      </c>
      <c r="L490" s="28">
        <f t="shared" si="36"/>
        <v>365.15125000000006</v>
      </c>
      <c r="M490" s="28">
        <f t="shared" si="36"/>
        <v>364.88375000000002</v>
      </c>
      <c r="N490" s="28">
        <f t="shared" si="36"/>
        <v>364.64416666666671</v>
      </c>
    </row>
    <row r="491" spans="1:14" x14ac:dyDescent="0.4">
      <c r="A491" s="1">
        <v>36130</v>
      </c>
      <c r="B491" s="28">
        <v>367.69541666666669</v>
      </c>
      <c r="C491" s="28">
        <f t="shared" si="36"/>
        <v>367.56333333333333</v>
      </c>
      <c r="D491" s="28">
        <f t="shared" si="36"/>
        <v>367.38708333333329</v>
      </c>
      <c r="E491" s="28">
        <f t="shared" si="36"/>
        <v>367.18666666666667</v>
      </c>
      <c r="F491" s="28">
        <f t="shared" si="36"/>
        <v>366.9783333333333</v>
      </c>
      <c r="G491" s="28">
        <f t="shared" si="36"/>
        <v>366.74749999999995</v>
      </c>
      <c r="H491" s="28">
        <f t="shared" si="36"/>
        <v>366.51791666666668</v>
      </c>
      <c r="I491" s="28">
        <f t="shared" si="36"/>
        <v>366.27958333333328</v>
      </c>
      <c r="J491" s="28">
        <f t="shared" si="36"/>
        <v>366.0095833333333</v>
      </c>
      <c r="K491" s="28">
        <f t="shared" si="36"/>
        <v>365.71125000000001</v>
      </c>
      <c r="L491" s="28">
        <f t="shared" si="36"/>
        <v>365.42</v>
      </c>
      <c r="M491" s="28">
        <f t="shared" si="36"/>
        <v>365.15125000000006</v>
      </c>
      <c r="N491" s="28">
        <f t="shared" si="36"/>
        <v>364.88375000000002</v>
      </c>
    </row>
    <row r="492" spans="1:14" x14ac:dyDescent="0.4">
      <c r="A492" s="1">
        <v>36161</v>
      </c>
      <c r="B492" s="28">
        <v>367.82458333333335</v>
      </c>
      <c r="C492" s="28">
        <f t="shared" si="36"/>
        <v>367.69541666666669</v>
      </c>
      <c r="D492" s="28">
        <f t="shared" si="36"/>
        <v>367.56333333333333</v>
      </c>
      <c r="E492" s="28">
        <f t="shared" si="36"/>
        <v>367.38708333333329</v>
      </c>
      <c r="F492" s="28">
        <f t="shared" si="36"/>
        <v>367.18666666666667</v>
      </c>
      <c r="G492" s="28">
        <f t="shared" si="36"/>
        <v>366.9783333333333</v>
      </c>
      <c r="H492" s="28">
        <f t="shared" si="36"/>
        <v>366.74749999999995</v>
      </c>
      <c r="I492" s="28">
        <f t="shared" si="36"/>
        <v>366.51791666666668</v>
      </c>
      <c r="J492" s="28">
        <f t="shared" si="36"/>
        <v>366.27958333333328</v>
      </c>
      <c r="K492" s="28">
        <f t="shared" si="36"/>
        <v>366.0095833333333</v>
      </c>
      <c r="L492" s="28">
        <f t="shared" si="36"/>
        <v>365.71125000000001</v>
      </c>
      <c r="M492" s="28">
        <f t="shared" si="36"/>
        <v>365.42</v>
      </c>
      <c r="N492" s="28">
        <f t="shared" si="36"/>
        <v>365.15125000000006</v>
      </c>
    </row>
    <row r="493" spans="1:14" x14ac:dyDescent="0.4">
      <c r="A493" s="1">
        <v>36192</v>
      </c>
      <c r="B493" s="28">
        <v>367.94041666666675</v>
      </c>
      <c r="C493" s="28">
        <f t="shared" si="36"/>
        <v>367.82458333333335</v>
      </c>
      <c r="D493" s="28">
        <f t="shared" si="36"/>
        <v>367.69541666666669</v>
      </c>
      <c r="E493" s="28">
        <f t="shared" si="36"/>
        <v>367.56333333333333</v>
      </c>
      <c r="F493" s="28">
        <f t="shared" si="36"/>
        <v>367.38708333333329</v>
      </c>
      <c r="G493" s="28">
        <f t="shared" si="36"/>
        <v>367.18666666666667</v>
      </c>
      <c r="H493" s="28">
        <f t="shared" si="36"/>
        <v>366.9783333333333</v>
      </c>
      <c r="I493" s="28">
        <f t="shared" si="36"/>
        <v>366.74749999999995</v>
      </c>
      <c r="J493" s="28">
        <f t="shared" si="36"/>
        <v>366.51791666666668</v>
      </c>
      <c r="K493" s="28">
        <f t="shared" si="36"/>
        <v>366.27958333333328</v>
      </c>
      <c r="L493" s="28">
        <f t="shared" si="36"/>
        <v>366.0095833333333</v>
      </c>
      <c r="M493" s="28">
        <f t="shared" si="36"/>
        <v>365.71125000000001</v>
      </c>
      <c r="N493" s="28">
        <f t="shared" si="36"/>
        <v>365.42</v>
      </c>
    </row>
    <row r="494" spans="1:14" x14ac:dyDescent="0.4">
      <c r="A494" s="1">
        <v>36220</v>
      </c>
      <c r="B494" s="28">
        <v>368.01916666666671</v>
      </c>
      <c r="C494" s="28">
        <f t="shared" si="36"/>
        <v>367.94041666666675</v>
      </c>
      <c r="D494" s="28">
        <f t="shared" si="36"/>
        <v>367.82458333333335</v>
      </c>
      <c r="E494" s="28">
        <f t="shared" si="36"/>
        <v>367.69541666666669</v>
      </c>
      <c r="F494" s="28">
        <f t="shared" si="36"/>
        <v>367.56333333333333</v>
      </c>
      <c r="G494" s="28">
        <f t="shared" si="36"/>
        <v>367.38708333333329</v>
      </c>
      <c r="H494" s="28">
        <f t="shared" si="36"/>
        <v>367.18666666666667</v>
      </c>
      <c r="I494" s="28">
        <f t="shared" si="36"/>
        <v>366.9783333333333</v>
      </c>
      <c r="J494" s="28">
        <f t="shared" si="36"/>
        <v>366.74749999999995</v>
      </c>
      <c r="K494" s="28">
        <f t="shared" si="36"/>
        <v>366.51791666666668</v>
      </c>
      <c r="L494" s="28">
        <f t="shared" si="36"/>
        <v>366.27958333333328</v>
      </c>
      <c r="M494" s="28">
        <f t="shared" si="36"/>
        <v>366.0095833333333</v>
      </c>
      <c r="N494" s="28">
        <f t="shared" si="36"/>
        <v>365.71125000000001</v>
      </c>
    </row>
    <row r="495" spans="1:14" x14ac:dyDescent="0.4">
      <c r="A495" s="1">
        <v>36251</v>
      </c>
      <c r="B495" s="28">
        <v>368.08750000000003</v>
      </c>
      <c r="C495" s="28">
        <f t="shared" si="36"/>
        <v>368.01916666666671</v>
      </c>
      <c r="D495" s="28">
        <f t="shared" si="36"/>
        <v>367.94041666666675</v>
      </c>
      <c r="E495" s="28">
        <f t="shared" si="36"/>
        <v>367.82458333333335</v>
      </c>
      <c r="F495" s="28">
        <f t="shared" si="36"/>
        <v>367.69541666666669</v>
      </c>
      <c r="G495" s="28">
        <f t="shared" si="36"/>
        <v>367.56333333333333</v>
      </c>
      <c r="H495" s="28">
        <f t="shared" si="36"/>
        <v>367.38708333333329</v>
      </c>
      <c r="I495" s="28">
        <f t="shared" si="36"/>
        <v>367.18666666666667</v>
      </c>
      <c r="J495" s="28">
        <f t="shared" si="36"/>
        <v>366.9783333333333</v>
      </c>
      <c r="K495" s="28">
        <f t="shared" si="36"/>
        <v>366.74749999999995</v>
      </c>
      <c r="L495" s="28">
        <f t="shared" si="36"/>
        <v>366.51791666666668</v>
      </c>
      <c r="M495" s="28">
        <f t="shared" si="36"/>
        <v>366.27958333333328</v>
      </c>
      <c r="N495" s="28">
        <f t="shared" si="36"/>
        <v>366.0095833333333</v>
      </c>
    </row>
    <row r="496" spans="1:14" x14ac:dyDescent="0.4">
      <c r="A496" s="1">
        <v>36281</v>
      </c>
      <c r="B496" s="28">
        <v>368.1758333333334</v>
      </c>
      <c r="C496" s="28">
        <f t="shared" si="36"/>
        <v>368.08750000000003</v>
      </c>
      <c r="D496" s="28">
        <f t="shared" si="36"/>
        <v>368.01916666666671</v>
      </c>
      <c r="E496" s="28">
        <f t="shared" si="36"/>
        <v>367.94041666666675</v>
      </c>
      <c r="F496" s="28">
        <f t="shared" si="36"/>
        <v>367.82458333333335</v>
      </c>
      <c r="G496" s="28">
        <f t="shared" si="36"/>
        <v>367.69541666666669</v>
      </c>
      <c r="H496" s="28">
        <f t="shared" si="36"/>
        <v>367.56333333333333</v>
      </c>
      <c r="I496" s="28">
        <f t="shared" si="36"/>
        <v>367.38708333333329</v>
      </c>
      <c r="J496" s="28">
        <f t="shared" si="36"/>
        <v>367.18666666666667</v>
      </c>
      <c r="K496" s="28">
        <f t="shared" si="36"/>
        <v>366.9783333333333</v>
      </c>
      <c r="L496" s="28">
        <f t="shared" si="36"/>
        <v>366.74749999999995</v>
      </c>
      <c r="M496" s="28">
        <f t="shared" si="36"/>
        <v>366.51791666666668</v>
      </c>
      <c r="N496" s="28">
        <f t="shared" si="36"/>
        <v>366.27958333333328</v>
      </c>
    </row>
    <row r="497" spans="1:14" x14ac:dyDescent="0.4">
      <c r="A497" s="1">
        <v>36312</v>
      </c>
      <c r="B497" s="28">
        <v>368.2695833333334</v>
      </c>
      <c r="C497" s="28">
        <f t="shared" si="36"/>
        <v>368.1758333333334</v>
      </c>
      <c r="D497" s="28">
        <f t="shared" si="36"/>
        <v>368.08750000000003</v>
      </c>
      <c r="E497" s="28">
        <f t="shared" si="36"/>
        <v>368.01916666666671</v>
      </c>
      <c r="F497" s="28">
        <f t="shared" si="36"/>
        <v>367.94041666666675</v>
      </c>
      <c r="G497" s="28">
        <f t="shared" si="36"/>
        <v>367.82458333333335</v>
      </c>
      <c r="H497" s="28">
        <f t="shared" si="36"/>
        <v>367.69541666666669</v>
      </c>
      <c r="I497" s="28">
        <f t="shared" si="36"/>
        <v>367.56333333333333</v>
      </c>
      <c r="J497" s="28">
        <f t="shared" si="36"/>
        <v>367.38708333333329</v>
      </c>
      <c r="K497" s="28">
        <f t="shared" si="36"/>
        <v>367.18666666666667</v>
      </c>
      <c r="L497" s="28">
        <f t="shared" si="36"/>
        <v>366.9783333333333</v>
      </c>
      <c r="M497" s="28">
        <f t="shared" si="36"/>
        <v>366.74749999999995</v>
      </c>
      <c r="N497" s="28">
        <f t="shared" si="36"/>
        <v>366.51791666666668</v>
      </c>
    </row>
    <row r="498" spans="1:14" x14ac:dyDescent="0.4">
      <c r="A498" s="1">
        <v>36342</v>
      </c>
      <c r="B498" s="28">
        <v>368.35374999999999</v>
      </c>
      <c r="C498" s="28">
        <f t="shared" si="36"/>
        <v>368.2695833333334</v>
      </c>
      <c r="D498" s="28">
        <f t="shared" si="36"/>
        <v>368.1758333333334</v>
      </c>
      <c r="E498" s="28">
        <f t="shared" si="36"/>
        <v>368.08750000000003</v>
      </c>
      <c r="F498" s="28">
        <f t="shared" si="36"/>
        <v>368.01916666666671</v>
      </c>
      <c r="G498" s="28">
        <f t="shared" si="36"/>
        <v>367.94041666666675</v>
      </c>
      <c r="H498" s="28">
        <f t="shared" si="36"/>
        <v>367.82458333333335</v>
      </c>
      <c r="I498" s="28">
        <f t="shared" si="36"/>
        <v>367.69541666666669</v>
      </c>
      <c r="J498" s="28">
        <f t="shared" si="36"/>
        <v>367.56333333333333</v>
      </c>
      <c r="K498" s="28">
        <f t="shared" si="36"/>
        <v>367.38708333333329</v>
      </c>
      <c r="L498" s="28">
        <f t="shared" si="36"/>
        <v>367.18666666666667</v>
      </c>
      <c r="M498" s="28">
        <f t="shared" si="36"/>
        <v>366.9783333333333</v>
      </c>
      <c r="N498" s="28">
        <f t="shared" si="36"/>
        <v>366.74749999999995</v>
      </c>
    </row>
    <row r="499" spans="1:14" x14ac:dyDescent="0.4">
      <c r="A499" s="1">
        <v>36373</v>
      </c>
      <c r="B499" s="28">
        <v>368.41958333333332</v>
      </c>
      <c r="C499" s="28">
        <f t="shared" si="36"/>
        <v>368.35374999999999</v>
      </c>
      <c r="D499" s="28">
        <f t="shared" si="36"/>
        <v>368.2695833333334</v>
      </c>
      <c r="E499" s="28">
        <f t="shared" si="36"/>
        <v>368.1758333333334</v>
      </c>
      <c r="F499" s="28">
        <f t="shared" si="36"/>
        <v>368.08750000000003</v>
      </c>
      <c r="G499" s="28">
        <f t="shared" si="36"/>
        <v>368.01916666666671</v>
      </c>
      <c r="H499" s="28">
        <f t="shared" si="36"/>
        <v>367.94041666666675</v>
      </c>
      <c r="I499" s="28">
        <f t="shared" si="36"/>
        <v>367.82458333333335</v>
      </c>
      <c r="J499" s="28">
        <f t="shared" si="36"/>
        <v>367.69541666666669</v>
      </c>
      <c r="K499" s="28">
        <f t="shared" si="36"/>
        <v>367.56333333333333</v>
      </c>
      <c r="L499" s="28">
        <f t="shared" si="36"/>
        <v>367.38708333333329</v>
      </c>
      <c r="M499" s="28">
        <f t="shared" si="36"/>
        <v>367.18666666666667</v>
      </c>
      <c r="N499" s="28">
        <f t="shared" si="36"/>
        <v>366.9783333333333</v>
      </c>
    </row>
    <row r="500" spans="1:14" x14ac:dyDescent="0.4">
      <c r="A500" s="1">
        <v>36404</v>
      </c>
      <c r="B500" s="28">
        <v>368.48250000000007</v>
      </c>
      <c r="C500" s="28">
        <f t="shared" si="36"/>
        <v>368.41958333333332</v>
      </c>
      <c r="D500" s="28">
        <f t="shared" si="36"/>
        <v>368.35374999999999</v>
      </c>
      <c r="E500" s="28">
        <f t="shared" si="36"/>
        <v>368.2695833333334</v>
      </c>
      <c r="F500" s="28">
        <f t="shared" si="36"/>
        <v>368.1758333333334</v>
      </c>
      <c r="G500" s="28">
        <f t="shared" si="36"/>
        <v>368.08750000000003</v>
      </c>
      <c r="H500" s="28">
        <f t="shared" si="36"/>
        <v>368.01916666666671</v>
      </c>
      <c r="I500" s="28">
        <f t="shared" si="36"/>
        <v>367.94041666666675</v>
      </c>
      <c r="J500" s="28">
        <f t="shared" si="36"/>
        <v>367.82458333333335</v>
      </c>
      <c r="K500" s="28">
        <f t="shared" si="36"/>
        <v>367.69541666666669</v>
      </c>
      <c r="L500" s="28">
        <f t="shared" si="36"/>
        <v>367.56333333333333</v>
      </c>
      <c r="M500" s="28">
        <f t="shared" si="36"/>
        <v>367.38708333333329</v>
      </c>
      <c r="N500" s="28">
        <f t="shared" si="36"/>
        <v>367.18666666666667</v>
      </c>
    </row>
    <row r="501" spans="1:14" x14ac:dyDescent="0.4">
      <c r="A501" s="1">
        <v>36434</v>
      </c>
      <c r="B501" s="28">
        <v>368.54250000000008</v>
      </c>
      <c r="C501" s="28">
        <f t="shared" si="36"/>
        <v>368.48250000000007</v>
      </c>
      <c r="D501" s="28">
        <f t="shared" si="36"/>
        <v>368.41958333333332</v>
      </c>
      <c r="E501" s="28">
        <f t="shared" si="36"/>
        <v>368.35374999999999</v>
      </c>
      <c r="F501" s="28">
        <f t="shared" si="36"/>
        <v>368.2695833333334</v>
      </c>
      <c r="G501" s="28">
        <f t="shared" si="36"/>
        <v>368.1758333333334</v>
      </c>
      <c r="H501" s="28">
        <f t="shared" si="36"/>
        <v>368.08750000000003</v>
      </c>
      <c r="I501" s="28">
        <f t="shared" si="36"/>
        <v>368.01916666666671</v>
      </c>
      <c r="J501" s="28">
        <f t="shared" si="36"/>
        <v>367.94041666666675</v>
      </c>
      <c r="K501" s="28">
        <f t="shared" si="36"/>
        <v>367.82458333333335</v>
      </c>
      <c r="L501" s="28">
        <f t="shared" si="36"/>
        <v>367.69541666666669</v>
      </c>
      <c r="M501" s="28">
        <f t="shared" si="36"/>
        <v>367.56333333333333</v>
      </c>
      <c r="N501" s="28">
        <f t="shared" si="36"/>
        <v>367.38708333333329</v>
      </c>
    </row>
    <row r="502" spans="1:14" x14ac:dyDescent="0.4">
      <c r="A502" s="1">
        <v>36465</v>
      </c>
      <c r="B502" s="28">
        <v>368.59874999999994</v>
      </c>
      <c r="C502" s="28">
        <f t="shared" si="36"/>
        <v>368.54250000000008</v>
      </c>
      <c r="D502" s="28">
        <f t="shared" si="36"/>
        <v>368.48250000000007</v>
      </c>
      <c r="E502" s="28">
        <f t="shared" si="36"/>
        <v>368.41958333333332</v>
      </c>
      <c r="F502" s="28">
        <f t="shared" si="36"/>
        <v>368.35374999999999</v>
      </c>
      <c r="G502" s="28">
        <f t="shared" si="36"/>
        <v>368.2695833333334</v>
      </c>
      <c r="H502" s="28">
        <f t="shared" si="36"/>
        <v>368.1758333333334</v>
      </c>
      <c r="I502" s="28">
        <f t="shared" si="36"/>
        <v>368.08750000000003</v>
      </c>
      <c r="J502" s="28">
        <f t="shared" si="36"/>
        <v>368.01916666666671</v>
      </c>
      <c r="K502" s="28">
        <f t="shared" si="36"/>
        <v>367.94041666666675</v>
      </c>
      <c r="L502" s="28">
        <f t="shared" si="36"/>
        <v>367.82458333333335</v>
      </c>
      <c r="M502" s="28">
        <f t="shared" si="36"/>
        <v>367.69541666666669</v>
      </c>
      <c r="N502" s="28">
        <f t="shared" si="36"/>
        <v>367.56333333333333</v>
      </c>
    </row>
    <row r="503" spans="1:14" x14ac:dyDescent="0.4">
      <c r="A503" s="1">
        <v>36495</v>
      </c>
      <c r="B503" s="28">
        <v>368.68916666666672</v>
      </c>
      <c r="C503" s="28">
        <f t="shared" si="36"/>
        <v>368.59874999999994</v>
      </c>
      <c r="D503" s="28">
        <f t="shared" si="36"/>
        <v>368.54250000000008</v>
      </c>
      <c r="E503" s="28">
        <f t="shared" si="36"/>
        <v>368.48250000000007</v>
      </c>
      <c r="F503" s="28">
        <f t="shared" si="36"/>
        <v>368.41958333333332</v>
      </c>
      <c r="G503" s="28">
        <f t="shared" si="36"/>
        <v>368.35374999999999</v>
      </c>
      <c r="H503" s="28">
        <f t="shared" si="36"/>
        <v>368.2695833333334</v>
      </c>
      <c r="I503" s="28">
        <f t="shared" si="36"/>
        <v>368.1758333333334</v>
      </c>
      <c r="J503" s="28">
        <f t="shared" si="36"/>
        <v>368.08750000000003</v>
      </c>
      <c r="K503" s="28">
        <f t="shared" si="36"/>
        <v>368.01916666666671</v>
      </c>
      <c r="L503" s="28">
        <f t="shared" si="36"/>
        <v>367.94041666666675</v>
      </c>
      <c r="M503" s="28">
        <f t="shared" si="36"/>
        <v>367.82458333333335</v>
      </c>
      <c r="N503" s="28">
        <f t="shared" si="36"/>
        <v>367.69541666666669</v>
      </c>
    </row>
    <row r="504" spans="1:14" x14ac:dyDescent="0.4">
      <c r="A504" s="1">
        <v>36526</v>
      </c>
      <c r="B504" s="28">
        <v>368.78041666666672</v>
      </c>
      <c r="C504" s="28">
        <f t="shared" si="36"/>
        <v>368.68916666666672</v>
      </c>
      <c r="D504" s="28">
        <f t="shared" si="36"/>
        <v>368.59874999999994</v>
      </c>
      <c r="E504" s="28">
        <f t="shared" si="36"/>
        <v>368.54250000000008</v>
      </c>
      <c r="F504" s="28">
        <f t="shared" si="36"/>
        <v>368.48250000000007</v>
      </c>
      <c r="G504" s="28">
        <f t="shared" si="36"/>
        <v>368.41958333333332</v>
      </c>
      <c r="H504" s="28">
        <f t="shared" si="36"/>
        <v>368.35374999999999</v>
      </c>
      <c r="I504" s="28">
        <f t="shared" si="36"/>
        <v>368.2695833333334</v>
      </c>
      <c r="J504" s="28">
        <f t="shared" si="36"/>
        <v>368.1758333333334</v>
      </c>
      <c r="K504" s="28">
        <f t="shared" si="36"/>
        <v>368.08750000000003</v>
      </c>
      <c r="L504" s="28">
        <f t="shared" si="36"/>
        <v>368.01916666666671</v>
      </c>
      <c r="M504" s="28">
        <f t="shared" si="36"/>
        <v>367.94041666666675</v>
      </c>
      <c r="N504" s="28">
        <f t="shared" si="36"/>
        <v>367.82458333333335</v>
      </c>
    </row>
    <row r="505" spans="1:14" x14ac:dyDescent="0.4">
      <c r="A505" s="1">
        <v>36557</v>
      </c>
      <c r="B505" s="28">
        <v>368.8654166666667</v>
      </c>
      <c r="C505" s="28">
        <f t="shared" si="36"/>
        <v>368.78041666666672</v>
      </c>
      <c r="D505" s="28">
        <f t="shared" si="36"/>
        <v>368.68916666666672</v>
      </c>
      <c r="E505" s="28">
        <f t="shared" si="36"/>
        <v>368.59874999999994</v>
      </c>
      <c r="F505" s="28">
        <f t="shared" si="36"/>
        <v>368.54250000000008</v>
      </c>
      <c r="G505" s="28">
        <f t="shared" si="36"/>
        <v>368.48250000000007</v>
      </c>
      <c r="H505" s="28">
        <f t="shared" si="36"/>
        <v>368.41958333333332</v>
      </c>
      <c r="I505" s="28">
        <f t="shared" si="36"/>
        <v>368.35374999999999</v>
      </c>
      <c r="J505" s="28">
        <f t="shared" si="36"/>
        <v>368.2695833333334</v>
      </c>
      <c r="K505" s="28">
        <f t="shared" si="36"/>
        <v>368.1758333333334</v>
      </c>
      <c r="L505" s="28">
        <f t="shared" si="36"/>
        <v>368.08750000000003</v>
      </c>
      <c r="M505" s="28">
        <f t="shared" si="36"/>
        <v>368.01916666666671</v>
      </c>
      <c r="N505" s="28">
        <f t="shared" si="36"/>
        <v>367.94041666666675</v>
      </c>
    </row>
    <row r="506" spans="1:14" x14ac:dyDescent="0.4">
      <c r="A506" s="1">
        <v>36586</v>
      </c>
      <c r="B506" s="28">
        <v>368.9975</v>
      </c>
      <c r="C506" s="28">
        <f t="shared" si="36"/>
        <v>368.8654166666667</v>
      </c>
      <c r="D506" s="28">
        <f t="shared" si="36"/>
        <v>368.78041666666672</v>
      </c>
      <c r="E506" s="28">
        <f t="shared" si="36"/>
        <v>368.68916666666672</v>
      </c>
      <c r="F506" s="28">
        <f t="shared" si="36"/>
        <v>368.59874999999994</v>
      </c>
      <c r="G506" s="28">
        <f t="shared" si="36"/>
        <v>368.54250000000008</v>
      </c>
      <c r="H506" s="28">
        <f t="shared" si="36"/>
        <v>368.48250000000007</v>
      </c>
      <c r="I506" s="28">
        <f t="shared" si="36"/>
        <v>368.41958333333332</v>
      </c>
      <c r="J506" s="28">
        <f t="shared" si="36"/>
        <v>368.35374999999999</v>
      </c>
      <c r="K506" s="28">
        <f t="shared" si="36"/>
        <v>368.2695833333334</v>
      </c>
      <c r="L506" s="28">
        <f t="shared" si="36"/>
        <v>368.1758333333334</v>
      </c>
      <c r="M506" s="28">
        <f t="shared" si="36"/>
        <v>368.08750000000003</v>
      </c>
      <c r="N506" s="28">
        <f t="shared" si="36"/>
        <v>368.01916666666671</v>
      </c>
    </row>
    <row r="507" spans="1:14" x14ac:dyDescent="0.4">
      <c r="A507" s="1">
        <v>36617</v>
      </c>
      <c r="B507" s="28">
        <v>369.1466666666667</v>
      </c>
      <c r="C507" s="28">
        <f t="shared" si="36"/>
        <v>368.9975</v>
      </c>
      <c r="D507" s="28">
        <f t="shared" si="36"/>
        <v>368.8654166666667</v>
      </c>
      <c r="E507" s="28">
        <f t="shared" si="36"/>
        <v>368.78041666666672</v>
      </c>
      <c r="F507" s="28">
        <f t="shared" si="36"/>
        <v>368.68916666666672</v>
      </c>
      <c r="G507" s="28">
        <f t="shared" si="36"/>
        <v>368.59874999999994</v>
      </c>
      <c r="H507" s="28">
        <f t="shared" si="36"/>
        <v>368.54250000000008</v>
      </c>
      <c r="I507" s="28">
        <f t="shared" si="36"/>
        <v>368.48250000000007</v>
      </c>
      <c r="J507" s="28">
        <f t="shared" si="36"/>
        <v>368.41958333333332</v>
      </c>
      <c r="K507" s="28">
        <f t="shared" si="36"/>
        <v>368.35374999999999</v>
      </c>
      <c r="L507" s="28">
        <f t="shared" si="36"/>
        <v>368.2695833333334</v>
      </c>
      <c r="M507" s="28">
        <f t="shared" si="36"/>
        <v>368.1758333333334</v>
      </c>
      <c r="N507" s="28">
        <f t="shared" si="36"/>
        <v>368.08750000000003</v>
      </c>
    </row>
    <row r="508" spans="1:14" x14ac:dyDescent="0.4">
      <c r="A508" s="1">
        <v>36647</v>
      </c>
      <c r="B508" s="28">
        <v>369.28041666666672</v>
      </c>
      <c r="C508" s="28">
        <f t="shared" si="36"/>
        <v>369.1466666666667</v>
      </c>
      <c r="D508" s="28">
        <f t="shared" si="36"/>
        <v>368.9975</v>
      </c>
      <c r="E508" s="28">
        <f t="shared" si="36"/>
        <v>368.8654166666667</v>
      </c>
      <c r="F508" s="28">
        <f t="shared" si="36"/>
        <v>368.78041666666672</v>
      </c>
      <c r="G508" s="28">
        <f t="shared" si="36"/>
        <v>368.68916666666672</v>
      </c>
      <c r="H508" s="28">
        <f t="shared" si="36"/>
        <v>368.59874999999994</v>
      </c>
      <c r="I508" s="28">
        <f t="shared" si="36"/>
        <v>368.54250000000008</v>
      </c>
      <c r="J508" s="28">
        <f t="shared" si="36"/>
        <v>368.48250000000007</v>
      </c>
      <c r="K508" s="28">
        <f t="shared" si="36"/>
        <v>368.41958333333332</v>
      </c>
      <c r="L508" s="28">
        <f t="shared" si="36"/>
        <v>368.35374999999999</v>
      </c>
      <c r="M508" s="28">
        <f t="shared" si="36"/>
        <v>368.2695833333334</v>
      </c>
      <c r="N508" s="28">
        <f t="shared" si="36"/>
        <v>368.1758333333334</v>
      </c>
    </row>
    <row r="509" spans="1:14" x14ac:dyDescent="0.4">
      <c r="A509" s="1">
        <v>36678</v>
      </c>
      <c r="B509" s="28">
        <v>369.41083333333336</v>
      </c>
      <c r="C509" s="28">
        <f t="shared" si="36"/>
        <v>369.28041666666672</v>
      </c>
      <c r="D509" s="28">
        <f t="shared" si="36"/>
        <v>369.1466666666667</v>
      </c>
      <c r="E509" s="28">
        <f t="shared" si="36"/>
        <v>368.9975</v>
      </c>
      <c r="F509" s="28">
        <f t="shared" si="36"/>
        <v>368.8654166666667</v>
      </c>
      <c r="G509" s="28">
        <f t="shared" si="36"/>
        <v>368.78041666666672</v>
      </c>
      <c r="H509" s="28">
        <f t="shared" si="36"/>
        <v>368.68916666666672</v>
      </c>
      <c r="I509" s="28">
        <f t="shared" si="36"/>
        <v>368.59874999999994</v>
      </c>
      <c r="J509" s="28">
        <f t="shared" si="36"/>
        <v>368.54250000000008</v>
      </c>
      <c r="K509" s="28">
        <f t="shared" si="36"/>
        <v>368.48250000000007</v>
      </c>
      <c r="L509" s="28">
        <f t="shared" si="36"/>
        <v>368.41958333333332</v>
      </c>
      <c r="M509" s="28">
        <f t="shared" si="36"/>
        <v>368.35374999999999</v>
      </c>
      <c r="N509" s="28">
        <f t="shared" si="36"/>
        <v>368.2695833333334</v>
      </c>
    </row>
    <row r="510" spans="1:14" x14ac:dyDescent="0.4">
      <c r="A510" s="1">
        <v>36708</v>
      </c>
      <c r="B510" s="28">
        <v>369.5216666666667</v>
      </c>
      <c r="C510" s="28">
        <f t="shared" si="36"/>
        <v>369.41083333333336</v>
      </c>
      <c r="D510" s="28">
        <f t="shared" si="36"/>
        <v>369.28041666666672</v>
      </c>
      <c r="E510" s="28">
        <f t="shared" si="36"/>
        <v>369.1466666666667</v>
      </c>
      <c r="F510" s="28">
        <f t="shared" ref="C510:Q573" si="37">IF(E509=0,"",E509)</f>
        <v>368.9975</v>
      </c>
      <c r="G510" s="28">
        <f t="shared" si="37"/>
        <v>368.8654166666667</v>
      </c>
      <c r="H510" s="28">
        <f t="shared" si="37"/>
        <v>368.78041666666672</v>
      </c>
      <c r="I510" s="28">
        <f t="shared" si="37"/>
        <v>368.68916666666672</v>
      </c>
      <c r="J510" s="28">
        <f t="shared" si="37"/>
        <v>368.59874999999994</v>
      </c>
      <c r="K510" s="28">
        <f t="shared" si="37"/>
        <v>368.54250000000008</v>
      </c>
      <c r="L510" s="28">
        <f t="shared" si="37"/>
        <v>368.48250000000007</v>
      </c>
      <c r="M510" s="28">
        <f t="shared" si="37"/>
        <v>368.41958333333332</v>
      </c>
      <c r="N510" s="28">
        <f t="shared" si="37"/>
        <v>368.35374999999999</v>
      </c>
    </row>
    <row r="511" spans="1:14" x14ac:dyDescent="0.4">
      <c r="A511" s="1">
        <v>36739</v>
      </c>
      <c r="B511" s="28">
        <v>369.65416666666664</v>
      </c>
      <c r="C511" s="28">
        <f t="shared" si="37"/>
        <v>369.5216666666667</v>
      </c>
      <c r="D511" s="28">
        <f t="shared" si="37"/>
        <v>369.41083333333336</v>
      </c>
      <c r="E511" s="28">
        <f t="shared" si="37"/>
        <v>369.28041666666672</v>
      </c>
      <c r="F511" s="28">
        <f t="shared" si="37"/>
        <v>369.1466666666667</v>
      </c>
      <c r="G511" s="28">
        <f t="shared" si="37"/>
        <v>368.9975</v>
      </c>
      <c r="H511" s="28">
        <f t="shared" si="37"/>
        <v>368.8654166666667</v>
      </c>
      <c r="I511" s="28">
        <f t="shared" si="37"/>
        <v>368.78041666666672</v>
      </c>
      <c r="J511" s="28">
        <f t="shared" si="37"/>
        <v>368.68916666666672</v>
      </c>
      <c r="K511" s="28">
        <f t="shared" si="37"/>
        <v>368.59874999999994</v>
      </c>
      <c r="L511" s="28">
        <f t="shared" si="37"/>
        <v>368.54250000000008</v>
      </c>
      <c r="M511" s="28">
        <f t="shared" si="37"/>
        <v>368.48250000000007</v>
      </c>
      <c r="N511" s="28">
        <f t="shared" si="37"/>
        <v>368.41958333333332</v>
      </c>
    </row>
    <row r="512" spans="1:14" x14ac:dyDescent="0.4">
      <c r="A512" s="1">
        <v>36770</v>
      </c>
      <c r="B512" s="28">
        <v>369.80625000000003</v>
      </c>
      <c r="C512" s="28">
        <f t="shared" si="37"/>
        <v>369.65416666666664</v>
      </c>
      <c r="D512" s="28">
        <f t="shared" si="37"/>
        <v>369.5216666666667</v>
      </c>
      <c r="E512" s="28">
        <f t="shared" si="37"/>
        <v>369.41083333333336</v>
      </c>
      <c r="F512" s="28">
        <f t="shared" si="37"/>
        <v>369.28041666666672</v>
      </c>
      <c r="G512" s="28">
        <f t="shared" si="37"/>
        <v>369.1466666666667</v>
      </c>
      <c r="H512" s="28">
        <f t="shared" si="37"/>
        <v>368.9975</v>
      </c>
      <c r="I512" s="28">
        <f t="shared" si="37"/>
        <v>368.8654166666667</v>
      </c>
      <c r="J512" s="28">
        <f t="shared" si="37"/>
        <v>368.78041666666672</v>
      </c>
      <c r="K512" s="28">
        <f t="shared" si="37"/>
        <v>368.68916666666672</v>
      </c>
      <c r="L512" s="28">
        <f t="shared" si="37"/>
        <v>368.59874999999994</v>
      </c>
      <c r="M512" s="28">
        <f t="shared" si="37"/>
        <v>368.54250000000008</v>
      </c>
      <c r="N512" s="28">
        <f t="shared" si="37"/>
        <v>368.48250000000007</v>
      </c>
    </row>
    <row r="513" spans="1:14" x14ac:dyDescent="0.4">
      <c r="A513" s="1">
        <v>36800</v>
      </c>
      <c r="B513" s="28">
        <v>369.92333333333335</v>
      </c>
      <c r="C513" s="28">
        <f t="shared" si="37"/>
        <v>369.80625000000003</v>
      </c>
      <c r="D513" s="28">
        <f t="shared" si="37"/>
        <v>369.65416666666664</v>
      </c>
      <c r="E513" s="28">
        <f t="shared" si="37"/>
        <v>369.5216666666667</v>
      </c>
      <c r="F513" s="28">
        <f t="shared" si="37"/>
        <v>369.41083333333336</v>
      </c>
      <c r="G513" s="28">
        <f t="shared" si="37"/>
        <v>369.28041666666672</v>
      </c>
      <c r="H513" s="28">
        <f t="shared" si="37"/>
        <v>369.1466666666667</v>
      </c>
      <c r="I513" s="28">
        <f t="shared" si="37"/>
        <v>368.9975</v>
      </c>
      <c r="J513" s="28">
        <f t="shared" si="37"/>
        <v>368.8654166666667</v>
      </c>
      <c r="K513" s="28">
        <f t="shared" si="37"/>
        <v>368.78041666666672</v>
      </c>
      <c r="L513" s="28">
        <f t="shared" si="37"/>
        <v>368.68916666666672</v>
      </c>
      <c r="M513" s="28">
        <f t="shared" si="37"/>
        <v>368.59874999999994</v>
      </c>
      <c r="N513" s="28">
        <f t="shared" si="37"/>
        <v>368.54250000000008</v>
      </c>
    </row>
    <row r="514" spans="1:14" x14ac:dyDescent="0.4">
      <c r="A514" s="1">
        <v>36831</v>
      </c>
      <c r="B514" s="28">
        <v>370.0645833333333</v>
      </c>
      <c r="C514" s="28">
        <f t="shared" si="37"/>
        <v>369.92333333333335</v>
      </c>
      <c r="D514" s="28">
        <f t="shared" si="37"/>
        <v>369.80625000000003</v>
      </c>
      <c r="E514" s="28">
        <f t="shared" si="37"/>
        <v>369.65416666666664</v>
      </c>
      <c r="F514" s="28">
        <f t="shared" si="37"/>
        <v>369.5216666666667</v>
      </c>
      <c r="G514" s="28">
        <f t="shared" si="37"/>
        <v>369.41083333333336</v>
      </c>
      <c r="H514" s="28">
        <f t="shared" si="37"/>
        <v>369.28041666666672</v>
      </c>
      <c r="I514" s="28">
        <f t="shared" si="37"/>
        <v>369.1466666666667</v>
      </c>
      <c r="J514" s="28">
        <f t="shared" si="37"/>
        <v>368.9975</v>
      </c>
      <c r="K514" s="28">
        <f t="shared" si="37"/>
        <v>368.8654166666667</v>
      </c>
      <c r="L514" s="28">
        <f t="shared" si="37"/>
        <v>368.78041666666672</v>
      </c>
      <c r="M514" s="28">
        <f t="shared" si="37"/>
        <v>368.68916666666672</v>
      </c>
      <c r="N514" s="28">
        <f t="shared" si="37"/>
        <v>368.59874999999994</v>
      </c>
    </row>
    <row r="515" spans="1:14" x14ac:dyDescent="0.4">
      <c r="A515" s="1">
        <v>36861</v>
      </c>
      <c r="B515" s="28">
        <v>370.22333333333336</v>
      </c>
      <c r="C515" s="28">
        <f t="shared" si="37"/>
        <v>370.0645833333333</v>
      </c>
      <c r="D515" s="28">
        <f t="shared" si="37"/>
        <v>369.92333333333335</v>
      </c>
      <c r="E515" s="28">
        <f t="shared" si="37"/>
        <v>369.80625000000003</v>
      </c>
      <c r="F515" s="28">
        <f t="shared" si="37"/>
        <v>369.65416666666664</v>
      </c>
      <c r="G515" s="28">
        <f t="shared" si="37"/>
        <v>369.5216666666667</v>
      </c>
      <c r="H515" s="28">
        <f t="shared" si="37"/>
        <v>369.41083333333336</v>
      </c>
      <c r="I515" s="28">
        <f t="shared" si="37"/>
        <v>369.28041666666672</v>
      </c>
      <c r="J515" s="28">
        <f t="shared" si="37"/>
        <v>369.1466666666667</v>
      </c>
      <c r="K515" s="28">
        <f t="shared" si="37"/>
        <v>368.9975</v>
      </c>
      <c r="L515" s="28">
        <f t="shared" si="37"/>
        <v>368.8654166666667</v>
      </c>
      <c r="M515" s="28">
        <f t="shared" si="37"/>
        <v>368.78041666666672</v>
      </c>
      <c r="N515" s="28">
        <f t="shared" si="37"/>
        <v>368.68916666666672</v>
      </c>
    </row>
    <row r="516" spans="1:14" x14ac:dyDescent="0.4">
      <c r="A516" s="1">
        <v>36892</v>
      </c>
      <c r="B516" s="28">
        <v>370.3533333333333</v>
      </c>
      <c r="C516" s="28">
        <f t="shared" si="37"/>
        <v>370.22333333333336</v>
      </c>
      <c r="D516" s="28">
        <f t="shared" si="37"/>
        <v>370.0645833333333</v>
      </c>
      <c r="E516" s="28">
        <f t="shared" si="37"/>
        <v>369.92333333333335</v>
      </c>
      <c r="F516" s="28">
        <f t="shared" si="37"/>
        <v>369.80625000000003</v>
      </c>
      <c r="G516" s="28">
        <f t="shared" si="37"/>
        <v>369.65416666666664</v>
      </c>
      <c r="H516" s="28">
        <f t="shared" si="37"/>
        <v>369.5216666666667</v>
      </c>
      <c r="I516" s="28">
        <f t="shared" si="37"/>
        <v>369.41083333333336</v>
      </c>
      <c r="J516" s="28">
        <f t="shared" si="37"/>
        <v>369.28041666666672</v>
      </c>
      <c r="K516" s="28">
        <f t="shared" si="37"/>
        <v>369.1466666666667</v>
      </c>
      <c r="L516" s="28">
        <f t="shared" si="37"/>
        <v>368.9975</v>
      </c>
      <c r="M516" s="28">
        <f t="shared" si="37"/>
        <v>368.8654166666667</v>
      </c>
      <c r="N516" s="28">
        <f t="shared" si="37"/>
        <v>368.78041666666672</v>
      </c>
    </row>
    <row r="517" spans="1:14" x14ac:dyDescent="0.4">
      <c r="A517" s="1">
        <v>36923</v>
      </c>
      <c r="B517" s="28">
        <v>370.47541666666666</v>
      </c>
      <c r="C517" s="28">
        <f t="shared" si="37"/>
        <v>370.3533333333333</v>
      </c>
      <c r="D517" s="28">
        <f t="shared" si="37"/>
        <v>370.22333333333336</v>
      </c>
      <c r="E517" s="28">
        <f t="shared" si="37"/>
        <v>370.0645833333333</v>
      </c>
      <c r="F517" s="28">
        <f t="shared" si="37"/>
        <v>369.92333333333335</v>
      </c>
      <c r="G517" s="28">
        <f t="shared" si="37"/>
        <v>369.80625000000003</v>
      </c>
      <c r="H517" s="28">
        <f t="shared" si="37"/>
        <v>369.65416666666664</v>
      </c>
      <c r="I517" s="28">
        <f t="shared" si="37"/>
        <v>369.5216666666667</v>
      </c>
      <c r="J517" s="28">
        <f t="shared" si="37"/>
        <v>369.41083333333336</v>
      </c>
      <c r="K517" s="28">
        <f t="shared" si="37"/>
        <v>369.28041666666672</v>
      </c>
      <c r="L517" s="28">
        <f t="shared" si="37"/>
        <v>369.1466666666667</v>
      </c>
      <c r="M517" s="28">
        <f t="shared" si="37"/>
        <v>368.9975</v>
      </c>
      <c r="N517" s="28">
        <f t="shared" si="37"/>
        <v>368.8654166666667</v>
      </c>
    </row>
    <row r="518" spans="1:14" x14ac:dyDescent="0.4">
      <c r="A518" s="1">
        <v>36951</v>
      </c>
      <c r="B518" s="28">
        <v>370.59083333333336</v>
      </c>
      <c r="C518" s="28">
        <f t="shared" si="37"/>
        <v>370.47541666666666</v>
      </c>
      <c r="D518" s="28">
        <f t="shared" si="37"/>
        <v>370.3533333333333</v>
      </c>
      <c r="E518" s="28">
        <f t="shared" si="37"/>
        <v>370.22333333333336</v>
      </c>
      <c r="F518" s="28">
        <f t="shared" si="37"/>
        <v>370.0645833333333</v>
      </c>
      <c r="G518" s="28">
        <f t="shared" si="37"/>
        <v>369.92333333333335</v>
      </c>
      <c r="H518" s="28">
        <f t="shared" si="37"/>
        <v>369.80625000000003</v>
      </c>
      <c r="I518" s="28">
        <f t="shared" si="37"/>
        <v>369.65416666666664</v>
      </c>
      <c r="J518" s="28">
        <f t="shared" si="37"/>
        <v>369.5216666666667</v>
      </c>
      <c r="K518" s="28">
        <f t="shared" si="37"/>
        <v>369.41083333333336</v>
      </c>
      <c r="L518" s="28">
        <f t="shared" si="37"/>
        <v>369.28041666666672</v>
      </c>
      <c r="M518" s="28">
        <f t="shared" si="37"/>
        <v>369.1466666666667</v>
      </c>
      <c r="N518" s="28">
        <f t="shared" si="37"/>
        <v>368.9975</v>
      </c>
    </row>
    <row r="519" spans="1:14" x14ac:dyDescent="0.4">
      <c r="A519" s="1">
        <v>36982</v>
      </c>
      <c r="B519" s="28">
        <v>370.70333333333338</v>
      </c>
      <c r="C519" s="28">
        <f t="shared" si="37"/>
        <v>370.59083333333336</v>
      </c>
      <c r="D519" s="28">
        <f t="shared" si="37"/>
        <v>370.47541666666666</v>
      </c>
      <c r="E519" s="28">
        <f t="shared" si="37"/>
        <v>370.3533333333333</v>
      </c>
      <c r="F519" s="28">
        <f t="shared" si="37"/>
        <v>370.22333333333336</v>
      </c>
      <c r="G519" s="28">
        <f t="shared" si="37"/>
        <v>370.0645833333333</v>
      </c>
      <c r="H519" s="28">
        <f t="shared" si="37"/>
        <v>369.92333333333335</v>
      </c>
      <c r="I519" s="28">
        <f t="shared" si="37"/>
        <v>369.80625000000003</v>
      </c>
      <c r="J519" s="28">
        <f t="shared" si="37"/>
        <v>369.65416666666664</v>
      </c>
      <c r="K519" s="28">
        <f t="shared" si="37"/>
        <v>369.5216666666667</v>
      </c>
      <c r="L519" s="28">
        <f t="shared" si="37"/>
        <v>369.41083333333336</v>
      </c>
      <c r="M519" s="28">
        <f t="shared" si="37"/>
        <v>369.28041666666672</v>
      </c>
      <c r="N519" s="28">
        <f t="shared" si="37"/>
        <v>369.1466666666667</v>
      </c>
    </row>
    <row r="520" spans="1:14" x14ac:dyDescent="0.4">
      <c r="A520" s="1">
        <v>37012</v>
      </c>
      <c r="B520" s="28">
        <v>370.81791666666669</v>
      </c>
      <c r="C520" s="28">
        <f t="shared" si="37"/>
        <v>370.70333333333338</v>
      </c>
      <c r="D520" s="28">
        <f t="shared" si="37"/>
        <v>370.59083333333336</v>
      </c>
      <c r="E520" s="28">
        <f t="shared" si="37"/>
        <v>370.47541666666666</v>
      </c>
      <c r="F520" s="28">
        <f t="shared" si="37"/>
        <v>370.3533333333333</v>
      </c>
      <c r="G520" s="28">
        <f t="shared" si="37"/>
        <v>370.22333333333336</v>
      </c>
      <c r="H520" s="28">
        <f t="shared" si="37"/>
        <v>370.0645833333333</v>
      </c>
      <c r="I520" s="28">
        <f t="shared" si="37"/>
        <v>369.92333333333335</v>
      </c>
      <c r="J520" s="28">
        <f t="shared" si="37"/>
        <v>369.80625000000003</v>
      </c>
      <c r="K520" s="28">
        <f t="shared" si="37"/>
        <v>369.65416666666664</v>
      </c>
      <c r="L520" s="28">
        <f t="shared" si="37"/>
        <v>369.5216666666667</v>
      </c>
      <c r="M520" s="28">
        <f t="shared" si="37"/>
        <v>369.41083333333336</v>
      </c>
      <c r="N520" s="28">
        <f t="shared" si="37"/>
        <v>369.28041666666672</v>
      </c>
    </row>
    <row r="521" spans="1:14" x14ac:dyDescent="0.4">
      <c r="A521" s="1">
        <v>37043</v>
      </c>
      <c r="B521" s="28">
        <v>370.94750000000005</v>
      </c>
      <c r="C521" s="28">
        <f t="shared" si="37"/>
        <v>370.81791666666669</v>
      </c>
      <c r="D521" s="28">
        <f t="shared" si="37"/>
        <v>370.70333333333338</v>
      </c>
      <c r="E521" s="28">
        <f t="shared" si="37"/>
        <v>370.59083333333336</v>
      </c>
      <c r="F521" s="28">
        <f t="shared" si="37"/>
        <v>370.47541666666666</v>
      </c>
      <c r="G521" s="28">
        <f t="shared" si="37"/>
        <v>370.3533333333333</v>
      </c>
      <c r="H521" s="28">
        <f t="shared" si="37"/>
        <v>370.22333333333336</v>
      </c>
      <c r="I521" s="28">
        <f t="shared" si="37"/>
        <v>370.0645833333333</v>
      </c>
      <c r="J521" s="28">
        <f t="shared" si="37"/>
        <v>369.92333333333335</v>
      </c>
      <c r="K521" s="28">
        <f t="shared" si="37"/>
        <v>369.80625000000003</v>
      </c>
      <c r="L521" s="28">
        <f t="shared" si="37"/>
        <v>369.65416666666664</v>
      </c>
      <c r="M521" s="28">
        <f t="shared" si="37"/>
        <v>369.5216666666667</v>
      </c>
      <c r="N521" s="28">
        <f t="shared" si="37"/>
        <v>369.41083333333336</v>
      </c>
    </row>
    <row r="522" spans="1:14" x14ac:dyDescent="0.4">
      <c r="A522" s="1">
        <v>37073</v>
      </c>
      <c r="B522" s="28">
        <v>371.10916666666668</v>
      </c>
      <c r="C522" s="28">
        <f t="shared" si="37"/>
        <v>370.94750000000005</v>
      </c>
      <c r="D522" s="28">
        <f t="shared" si="37"/>
        <v>370.81791666666669</v>
      </c>
      <c r="E522" s="28">
        <f t="shared" si="37"/>
        <v>370.70333333333338</v>
      </c>
      <c r="F522" s="28">
        <f t="shared" si="37"/>
        <v>370.59083333333336</v>
      </c>
      <c r="G522" s="28">
        <f t="shared" si="37"/>
        <v>370.47541666666666</v>
      </c>
      <c r="H522" s="28">
        <f t="shared" si="37"/>
        <v>370.3533333333333</v>
      </c>
      <c r="I522" s="28">
        <f t="shared" si="37"/>
        <v>370.22333333333336</v>
      </c>
      <c r="J522" s="28">
        <f t="shared" si="37"/>
        <v>370.0645833333333</v>
      </c>
      <c r="K522" s="28">
        <f t="shared" si="37"/>
        <v>369.92333333333335</v>
      </c>
      <c r="L522" s="28">
        <f t="shared" si="37"/>
        <v>369.80625000000003</v>
      </c>
      <c r="M522" s="28">
        <f t="shared" si="37"/>
        <v>369.65416666666664</v>
      </c>
      <c r="N522" s="28">
        <f t="shared" si="37"/>
        <v>369.5216666666667</v>
      </c>
    </row>
    <row r="523" spans="1:14" x14ac:dyDescent="0.4">
      <c r="A523" s="1">
        <v>37104</v>
      </c>
      <c r="B523" s="28">
        <v>371.26500000000004</v>
      </c>
      <c r="C523" s="28">
        <f t="shared" si="37"/>
        <v>371.10916666666668</v>
      </c>
      <c r="D523" s="28">
        <f t="shared" si="37"/>
        <v>370.94750000000005</v>
      </c>
      <c r="E523" s="28">
        <f t="shared" si="37"/>
        <v>370.81791666666669</v>
      </c>
      <c r="F523" s="28">
        <f t="shared" si="37"/>
        <v>370.70333333333338</v>
      </c>
      <c r="G523" s="28">
        <f t="shared" si="37"/>
        <v>370.59083333333336</v>
      </c>
      <c r="H523" s="28">
        <f t="shared" si="37"/>
        <v>370.47541666666666</v>
      </c>
      <c r="I523" s="28">
        <f t="shared" si="37"/>
        <v>370.3533333333333</v>
      </c>
      <c r="J523" s="28">
        <f t="shared" si="37"/>
        <v>370.22333333333336</v>
      </c>
      <c r="K523" s="28">
        <f t="shared" si="37"/>
        <v>370.0645833333333</v>
      </c>
      <c r="L523" s="28">
        <f t="shared" si="37"/>
        <v>369.92333333333335</v>
      </c>
      <c r="M523" s="28">
        <f t="shared" si="37"/>
        <v>369.80625000000003</v>
      </c>
      <c r="N523" s="28">
        <f t="shared" si="37"/>
        <v>369.65416666666664</v>
      </c>
    </row>
    <row r="524" spans="1:14" x14ac:dyDescent="0.4">
      <c r="A524" s="1">
        <v>37135</v>
      </c>
      <c r="B524" s="28">
        <v>371.38916666666665</v>
      </c>
      <c r="C524" s="28">
        <f t="shared" si="37"/>
        <v>371.26500000000004</v>
      </c>
      <c r="D524" s="28">
        <f t="shared" si="37"/>
        <v>371.10916666666668</v>
      </c>
      <c r="E524" s="28">
        <f t="shared" si="37"/>
        <v>370.94750000000005</v>
      </c>
      <c r="F524" s="28">
        <f t="shared" si="37"/>
        <v>370.81791666666669</v>
      </c>
      <c r="G524" s="28">
        <f t="shared" si="37"/>
        <v>370.70333333333338</v>
      </c>
      <c r="H524" s="28">
        <f t="shared" si="37"/>
        <v>370.59083333333336</v>
      </c>
      <c r="I524" s="28">
        <f t="shared" si="37"/>
        <v>370.47541666666666</v>
      </c>
      <c r="J524" s="28">
        <f t="shared" si="37"/>
        <v>370.3533333333333</v>
      </c>
      <c r="K524" s="28">
        <f t="shared" si="37"/>
        <v>370.22333333333336</v>
      </c>
      <c r="L524" s="28">
        <f t="shared" si="37"/>
        <v>370.0645833333333</v>
      </c>
      <c r="M524" s="28">
        <f t="shared" si="37"/>
        <v>369.92333333333335</v>
      </c>
      <c r="N524" s="28">
        <f t="shared" si="37"/>
        <v>369.80625000000003</v>
      </c>
    </row>
    <row r="525" spans="1:14" x14ac:dyDescent="0.4">
      <c r="A525" s="1">
        <v>37165</v>
      </c>
      <c r="B525" s="28">
        <v>371.53041666666667</v>
      </c>
      <c r="C525" s="28">
        <f t="shared" si="37"/>
        <v>371.38916666666665</v>
      </c>
      <c r="D525" s="28">
        <f t="shared" si="37"/>
        <v>371.26500000000004</v>
      </c>
      <c r="E525" s="28">
        <f t="shared" si="37"/>
        <v>371.10916666666668</v>
      </c>
      <c r="F525" s="28">
        <f t="shared" si="37"/>
        <v>370.94750000000005</v>
      </c>
      <c r="G525" s="28">
        <f t="shared" si="37"/>
        <v>370.81791666666669</v>
      </c>
      <c r="H525" s="28">
        <f t="shared" si="37"/>
        <v>370.70333333333338</v>
      </c>
      <c r="I525" s="28">
        <f t="shared" si="37"/>
        <v>370.59083333333336</v>
      </c>
      <c r="J525" s="28">
        <f t="shared" si="37"/>
        <v>370.47541666666666</v>
      </c>
      <c r="K525" s="28">
        <f t="shared" si="37"/>
        <v>370.3533333333333</v>
      </c>
      <c r="L525" s="28">
        <f t="shared" si="37"/>
        <v>370.22333333333336</v>
      </c>
      <c r="M525" s="28">
        <f t="shared" si="37"/>
        <v>370.0645833333333</v>
      </c>
      <c r="N525" s="28">
        <f t="shared" si="37"/>
        <v>369.92333333333335</v>
      </c>
    </row>
    <row r="526" spans="1:14" x14ac:dyDescent="0.4">
      <c r="A526" s="1">
        <v>37196</v>
      </c>
      <c r="B526" s="28">
        <v>371.67708333333331</v>
      </c>
      <c r="C526" s="28">
        <f t="shared" si="37"/>
        <v>371.53041666666667</v>
      </c>
      <c r="D526" s="28">
        <f t="shared" si="37"/>
        <v>371.38916666666665</v>
      </c>
      <c r="E526" s="28">
        <f t="shared" si="37"/>
        <v>371.26500000000004</v>
      </c>
      <c r="F526" s="28">
        <f t="shared" si="37"/>
        <v>371.10916666666668</v>
      </c>
      <c r="G526" s="28">
        <f t="shared" si="37"/>
        <v>370.94750000000005</v>
      </c>
      <c r="H526" s="28">
        <f t="shared" si="37"/>
        <v>370.81791666666669</v>
      </c>
      <c r="I526" s="28">
        <f t="shared" si="37"/>
        <v>370.70333333333338</v>
      </c>
      <c r="J526" s="28">
        <f t="shared" si="37"/>
        <v>370.59083333333336</v>
      </c>
      <c r="K526" s="28">
        <f t="shared" si="37"/>
        <v>370.47541666666666</v>
      </c>
      <c r="L526" s="28">
        <f t="shared" si="37"/>
        <v>370.3533333333333</v>
      </c>
      <c r="M526" s="28">
        <f t="shared" si="37"/>
        <v>370.22333333333336</v>
      </c>
      <c r="N526" s="28">
        <f t="shared" si="37"/>
        <v>370.0645833333333</v>
      </c>
    </row>
    <row r="527" spans="1:14" x14ac:dyDescent="0.4">
      <c r="A527" s="1">
        <v>37226</v>
      </c>
      <c r="B527" s="28">
        <v>371.82791666666662</v>
      </c>
      <c r="C527" s="28">
        <f t="shared" si="37"/>
        <v>371.67708333333331</v>
      </c>
      <c r="D527" s="28">
        <f t="shared" si="37"/>
        <v>371.53041666666667</v>
      </c>
      <c r="E527" s="28">
        <f t="shared" si="37"/>
        <v>371.38916666666665</v>
      </c>
      <c r="F527" s="28">
        <f t="shared" si="37"/>
        <v>371.26500000000004</v>
      </c>
      <c r="G527" s="28">
        <f t="shared" si="37"/>
        <v>371.10916666666668</v>
      </c>
      <c r="H527" s="28">
        <f t="shared" si="37"/>
        <v>370.94750000000005</v>
      </c>
      <c r="I527" s="28">
        <f t="shared" si="37"/>
        <v>370.81791666666669</v>
      </c>
      <c r="J527" s="28">
        <f t="shared" si="37"/>
        <v>370.70333333333338</v>
      </c>
      <c r="K527" s="28">
        <f t="shared" si="37"/>
        <v>370.59083333333336</v>
      </c>
      <c r="L527" s="28">
        <f t="shared" si="37"/>
        <v>370.47541666666666</v>
      </c>
      <c r="M527" s="28">
        <f t="shared" si="37"/>
        <v>370.3533333333333</v>
      </c>
      <c r="N527" s="28">
        <f t="shared" si="37"/>
        <v>370.22333333333336</v>
      </c>
    </row>
    <row r="528" spans="1:14" x14ac:dyDescent="0.4">
      <c r="A528" s="1">
        <v>37257</v>
      </c>
      <c r="B528" s="28">
        <v>372.01499999999993</v>
      </c>
      <c r="C528" s="28">
        <f t="shared" si="37"/>
        <v>371.82791666666662</v>
      </c>
      <c r="D528" s="28">
        <f t="shared" si="37"/>
        <v>371.67708333333331</v>
      </c>
      <c r="E528" s="28">
        <f t="shared" si="37"/>
        <v>371.53041666666667</v>
      </c>
      <c r="F528" s="28">
        <f t="shared" si="37"/>
        <v>371.38916666666665</v>
      </c>
      <c r="G528" s="28">
        <f t="shared" si="37"/>
        <v>371.26500000000004</v>
      </c>
      <c r="H528" s="28">
        <f t="shared" si="37"/>
        <v>371.10916666666668</v>
      </c>
      <c r="I528" s="28">
        <f t="shared" si="37"/>
        <v>370.94750000000005</v>
      </c>
      <c r="J528" s="28">
        <f t="shared" si="37"/>
        <v>370.81791666666669</v>
      </c>
      <c r="K528" s="28">
        <f t="shared" si="37"/>
        <v>370.70333333333338</v>
      </c>
      <c r="L528" s="28">
        <f t="shared" si="37"/>
        <v>370.59083333333336</v>
      </c>
      <c r="M528" s="28">
        <f t="shared" si="37"/>
        <v>370.47541666666666</v>
      </c>
      <c r="N528" s="28">
        <f t="shared" si="37"/>
        <v>370.3533333333333</v>
      </c>
    </row>
    <row r="529" spans="1:14" x14ac:dyDescent="0.4">
      <c r="A529" s="1">
        <v>37288</v>
      </c>
      <c r="B529" s="28">
        <v>372.19541666666663</v>
      </c>
      <c r="C529" s="28">
        <f t="shared" si="37"/>
        <v>372.01499999999993</v>
      </c>
      <c r="D529" s="28">
        <f t="shared" si="37"/>
        <v>371.82791666666662</v>
      </c>
      <c r="E529" s="28">
        <f t="shared" si="37"/>
        <v>371.67708333333331</v>
      </c>
      <c r="F529" s="28">
        <f t="shared" si="37"/>
        <v>371.53041666666667</v>
      </c>
      <c r="G529" s="28">
        <f t="shared" si="37"/>
        <v>371.38916666666665</v>
      </c>
      <c r="H529" s="28">
        <f t="shared" si="37"/>
        <v>371.26500000000004</v>
      </c>
      <c r="I529" s="28">
        <f t="shared" si="37"/>
        <v>371.10916666666668</v>
      </c>
      <c r="J529" s="28">
        <f t="shared" si="37"/>
        <v>370.94750000000005</v>
      </c>
      <c r="K529" s="28">
        <f t="shared" si="37"/>
        <v>370.81791666666669</v>
      </c>
      <c r="L529" s="28">
        <f t="shared" si="37"/>
        <v>370.70333333333338</v>
      </c>
      <c r="M529" s="28">
        <f t="shared" si="37"/>
        <v>370.59083333333336</v>
      </c>
      <c r="N529" s="28">
        <f t="shared" si="37"/>
        <v>370.47541666666666</v>
      </c>
    </row>
    <row r="530" spans="1:14" x14ac:dyDescent="0.4">
      <c r="A530" s="1">
        <v>37316</v>
      </c>
      <c r="B530" s="28">
        <v>372.39000000000004</v>
      </c>
      <c r="C530" s="28">
        <f t="shared" si="37"/>
        <v>372.19541666666663</v>
      </c>
      <c r="D530" s="28">
        <f t="shared" si="37"/>
        <v>372.01499999999993</v>
      </c>
      <c r="E530" s="28">
        <f t="shared" si="37"/>
        <v>371.82791666666662</v>
      </c>
      <c r="F530" s="28">
        <f t="shared" si="37"/>
        <v>371.67708333333331</v>
      </c>
      <c r="G530" s="28">
        <f t="shared" si="37"/>
        <v>371.53041666666667</v>
      </c>
      <c r="H530" s="28">
        <f t="shared" si="37"/>
        <v>371.38916666666665</v>
      </c>
      <c r="I530" s="28">
        <f t="shared" si="37"/>
        <v>371.26500000000004</v>
      </c>
      <c r="J530" s="28">
        <f t="shared" si="37"/>
        <v>371.10916666666668</v>
      </c>
      <c r="K530" s="28">
        <f t="shared" si="37"/>
        <v>370.94750000000005</v>
      </c>
      <c r="L530" s="28">
        <f t="shared" si="37"/>
        <v>370.81791666666669</v>
      </c>
      <c r="M530" s="28">
        <f t="shared" si="37"/>
        <v>370.70333333333338</v>
      </c>
      <c r="N530" s="28">
        <f t="shared" si="37"/>
        <v>370.59083333333336</v>
      </c>
    </row>
    <row r="531" spans="1:14" x14ac:dyDescent="0.4">
      <c r="A531" s="1">
        <v>37347</v>
      </c>
      <c r="B531" s="28">
        <v>372.59416666666669</v>
      </c>
      <c r="C531" s="28">
        <f t="shared" si="37"/>
        <v>372.39000000000004</v>
      </c>
      <c r="D531" s="28">
        <f t="shared" si="37"/>
        <v>372.19541666666663</v>
      </c>
      <c r="E531" s="28">
        <f t="shared" si="37"/>
        <v>372.01499999999993</v>
      </c>
      <c r="F531" s="28">
        <f t="shared" si="37"/>
        <v>371.82791666666662</v>
      </c>
      <c r="G531" s="28">
        <f t="shared" si="37"/>
        <v>371.67708333333331</v>
      </c>
      <c r="H531" s="28">
        <f t="shared" si="37"/>
        <v>371.53041666666667</v>
      </c>
      <c r="I531" s="28">
        <f t="shared" ref="I531:T594" si="38">IF(H530=0,"",H530)</f>
        <v>371.38916666666665</v>
      </c>
      <c r="J531" s="28">
        <f t="shared" si="38"/>
        <v>371.26500000000004</v>
      </c>
      <c r="K531" s="28">
        <f t="shared" si="38"/>
        <v>371.10916666666668</v>
      </c>
      <c r="L531" s="28">
        <f t="shared" si="38"/>
        <v>370.94750000000005</v>
      </c>
      <c r="M531" s="28">
        <f t="shared" si="38"/>
        <v>370.81791666666669</v>
      </c>
      <c r="N531" s="28">
        <f t="shared" si="38"/>
        <v>370.70333333333338</v>
      </c>
    </row>
    <row r="532" spans="1:14" x14ac:dyDescent="0.4">
      <c r="A532" s="1">
        <v>37377</v>
      </c>
      <c r="B532" s="28">
        <v>372.78416666666664</v>
      </c>
      <c r="C532" s="28">
        <f t="shared" ref="C532:N595" si="39">IF(B531=0,"",B531)</f>
        <v>372.59416666666669</v>
      </c>
      <c r="D532" s="28">
        <f t="shared" si="39"/>
        <v>372.39000000000004</v>
      </c>
      <c r="E532" s="28">
        <f t="shared" si="39"/>
        <v>372.19541666666663</v>
      </c>
      <c r="F532" s="28">
        <f t="shared" si="39"/>
        <v>372.01499999999993</v>
      </c>
      <c r="G532" s="28">
        <f t="shared" si="39"/>
        <v>371.82791666666662</v>
      </c>
      <c r="H532" s="28">
        <f t="shared" si="39"/>
        <v>371.67708333333331</v>
      </c>
      <c r="I532" s="28">
        <f t="shared" si="39"/>
        <v>371.53041666666667</v>
      </c>
      <c r="J532" s="28">
        <f t="shared" si="39"/>
        <v>371.38916666666665</v>
      </c>
      <c r="K532" s="28">
        <f t="shared" si="39"/>
        <v>371.26500000000004</v>
      </c>
      <c r="L532" s="28">
        <f t="shared" si="39"/>
        <v>371.10916666666668</v>
      </c>
      <c r="M532" s="28">
        <f t="shared" si="39"/>
        <v>370.94750000000005</v>
      </c>
      <c r="N532" s="28">
        <f t="shared" si="39"/>
        <v>370.81791666666669</v>
      </c>
    </row>
    <row r="533" spans="1:14" x14ac:dyDescent="0.4">
      <c r="A533" s="1">
        <v>37408</v>
      </c>
      <c r="B533" s="28">
        <v>372.98999999999995</v>
      </c>
      <c r="C533" s="28">
        <f t="shared" si="39"/>
        <v>372.78416666666664</v>
      </c>
      <c r="D533" s="28">
        <f t="shared" si="39"/>
        <v>372.59416666666669</v>
      </c>
      <c r="E533" s="28">
        <f t="shared" si="39"/>
        <v>372.39000000000004</v>
      </c>
      <c r="F533" s="28">
        <f t="shared" si="39"/>
        <v>372.19541666666663</v>
      </c>
      <c r="G533" s="28">
        <f t="shared" si="39"/>
        <v>372.01499999999993</v>
      </c>
      <c r="H533" s="28">
        <f t="shared" si="39"/>
        <v>371.82791666666662</v>
      </c>
      <c r="I533" s="28">
        <f t="shared" si="39"/>
        <v>371.67708333333331</v>
      </c>
      <c r="J533" s="28">
        <f t="shared" si="39"/>
        <v>371.53041666666667</v>
      </c>
      <c r="K533" s="28">
        <f t="shared" si="39"/>
        <v>371.38916666666665</v>
      </c>
      <c r="L533" s="28">
        <f t="shared" si="39"/>
        <v>371.26500000000004</v>
      </c>
      <c r="M533" s="28">
        <f t="shared" si="39"/>
        <v>371.10916666666668</v>
      </c>
      <c r="N533" s="28">
        <f t="shared" si="39"/>
        <v>370.94750000000005</v>
      </c>
    </row>
    <row r="534" spans="1:14" x14ac:dyDescent="0.4">
      <c r="A534" s="1">
        <v>37438</v>
      </c>
      <c r="B534" s="28">
        <v>373.18916666666661</v>
      </c>
      <c r="C534" s="28">
        <f t="shared" si="39"/>
        <v>372.98999999999995</v>
      </c>
      <c r="D534" s="28">
        <f t="shared" si="39"/>
        <v>372.78416666666664</v>
      </c>
      <c r="E534" s="28">
        <f t="shared" si="39"/>
        <v>372.59416666666669</v>
      </c>
      <c r="F534" s="28">
        <f t="shared" si="39"/>
        <v>372.39000000000004</v>
      </c>
      <c r="G534" s="28">
        <f t="shared" si="39"/>
        <v>372.19541666666663</v>
      </c>
      <c r="H534" s="28">
        <f t="shared" si="39"/>
        <v>372.01499999999993</v>
      </c>
      <c r="I534" s="28">
        <f t="shared" si="39"/>
        <v>371.82791666666662</v>
      </c>
      <c r="J534" s="28">
        <f t="shared" si="39"/>
        <v>371.67708333333331</v>
      </c>
      <c r="K534" s="28">
        <f t="shared" si="39"/>
        <v>371.53041666666667</v>
      </c>
      <c r="L534" s="28">
        <f t="shared" si="39"/>
        <v>371.38916666666665</v>
      </c>
      <c r="M534" s="28">
        <f t="shared" si="39"/>
        <v>371.26500000000004</v>
      </c>
      <c r="N534" s="28">
        <f t="shared" si="39"/>
        <v>371.10916666666668</v>
      </c>
    </row>
    <row r="535" spans="1:14" x14ac:dyDescent="0.4">
      <c r="A535" s="1">
        <v>37469</v>
      </c>
      <c r="B535" s="28">
        <v>373.38833333333332</v>
      </c>
      <c r="C535" s="28">
        <f t="shared" si="39"/>
        <v>373.18916666666661</v>
      </c>
      <c r="D535" s="28">
        <f t="shared" si="39"/>
        <v>372.98999999999995</v>
      </c>
      <c r="E535" s="28">
        <f t="shared" si="39"/>
        <v>372.78416666666664</v>
      </c>
      <c r="F535" s="28">
        <f t="shared" si="39"/>
        <v>372.59416666666669</v>
      </c>
      <c r="G535" s="28">
        <f t="shared" si="39"/>
        <v>372.39000000000004</v>
      </c>
      <c r="H535" s="28">
        <f t="shared" si="39"/>
        <v>372.19541666666663</v>
      </c>
      <c r="I535" s="28">
        <f t="shared" si="39"/>
        <v>372.01499999999993</v>
      </c>
      <c r="J535" s="28">
        <f t="shared" si="39"/>
        <v>371.82791666666662</v>
      </c>
      <c r="K535" s="28">
        <f t="shared" si="39"/>
        <v>371.67708333333331</v>
      </c>
      <c r="L535" s="28">
        <f t="shared" si="39"/>
        <v>371.53041666666667</v>
      </c>
      <c r="M535" s="28">
        <f t="shared" si="39"/>
        <v>371.38916666666665</v>
      </c>
      <c r="N535" s="28">
        <f t="shared" si="39"/>
        <v>371.26500000000004</v>
      </c>
    </row>
    <row r="536" spans="1:14" x14ac:dyDescent="0.4">
      <c r="A536" s="1">
        <v>37500</v>
      </c>
      <c r="B536" s="28">
        <v>373.60208333333338</v>
      </c>
      <c r="C536" s="28">
        <f t="shared" si="39"/>
        <v>373.38833333333332</v>
      </c>
      <c r="D536" s="28">
        <f t="shared" si="39"/>
        <v>373.18916666666661</v>
      </c>
      <c r="E536" s="28">
        <f t="shared" si="39"/>
        <v>372.98999999999995</v>
      </c>
      <c r="F536" s="28">
        <f t="shared" si="39"/>
        <v>372.78416666666664</v>
      </c>
      <c r="G536" s="28">
        <f t="shared" si="39"/>
        <v>372.59416666666669</v>
      </c>
      <c r="H536" s="28">
        <f t="shared" si="39"/>
        <v>372.39000000000004</v>
      </c>
      <c r="I536" s="28">
        <f t="shared" si="39"/>
        <v>372.19541666666663</v>
      </c>
      <c r="J536" s="28">
        <f t="shared" si="39"/>
        <v>372.01499999999993</v>
      </c>
      <c r="K536" s="28">
        <f t="shared" si="39"/>
        <v>371.82791666666662</v>
      </c>
      <c r="L536" s="28">
        <f t="shared" si="39"/>
        <v>371.67708333333331</v>
      </c>
      <c r="M536" s="28">
        <f t="shared" si="39"/>
        <v>371.53041666666667</v>
      </c>
      <c r="N536" s="28">
        <f t="shared" si="39"/>
        <v>371.38916666666665</v>
      </c>
    </row>
    <row r="537" spans="1:14" x14ac:dyDescent="0.4">
      <c r="A537" s="1">
        <v>37530</v>
      </c>
      <c r="B537" s="28">
        <v>373.8266666666666</v>
      </c>
      <c r="C537" s="28">
        <f t="shared" si="39"/>
        <v>373.60208333333338</v>
      </c>
      <c r="D537" s="28">
        <f t="shared" si="39"/>
        <v>373.38833333333332</v>
      </c>
      <c r="E537" s="28">
        <f t="shared" si="39"/>
        <v>373.18916666666661</v>
      </c>
      <c r="F537" s="28">
        <f t="shared" si="39"/>
        <v>372.98999999999995</v>
      </c>
      <c r="G537" s="28">
        <f t="shared" si="39"/>
        <v>372.78416666666664</v>
      </c>
      <c r="H537" s="28">
        <f t="shared" si="39"/>
        <v>372.59416666666669</v>
      </c>
      <c r="I537" s="28">
        <f t="shared" si="39"/>
        <v>372.39000000000004</v>
      </c>
      <c r="J537" s="28">
        <f t="shared" si="39"/>
        <v>372.19541666666663</v>
      </c>
      <c r="K537" s="28">
        <f t="shared" si="39"/>
        <v>372.01499999999993</v>
      </c>
      <c r="L537" s="28">
        <f t="shared" si="39"/>
        <v>371.82791666666662</v>
      </c>
      <c r="M537" s="28">
        <f t="shared" si="39"/>
        <v>371.67708333333331</v>
      </c>
      <c r="N537" s="28">
        <f t="shared" si="39"/>
        <v>371.53041666666667</v>
      </c>
    </row>
    <row r="538" spans="1:14" x14ac:dyDescent="0.4">
      <c r="A538" s="1">
        <v>37561</v>
      </c>
      <c r="B538" s="28">
        <v>374.06</v>
      </c>
      <c r="C538" s="28">
        <f t="shared" si="39"/>
        <v>373.8266666666666</v>
      </c>
      <c r="D538" s="28">
        <f t="shared" si="39"/>
        <v>373.60208333333338</v>
      </c>
      <c r="E538" s="28">
        <f t="shared" si="39"/>
        <v>373.38833333333332</v>
      </c>
      <c r="F538" s="28">
        <f t="shared" si="39"/>
        <v>373.18916666666661</v>
      </c>
      <c r="G538" s="28">
        <f t="shared" si="39"/>
        <v>372.98999999999995</v>
      </c>
      <c r="H538" s="28">
        <f t="shared" si="39"/>
        <v>372.78416666666664</v>
      </c>
      <c r="I538" s="28">
        <f t="shared" si="39"/>
        <v>372.59416666666669</v>
      </c>
      <c r="J538" s="28">
        <f t="shared" si="39"/>
        <v>372.39000000000004</v>
      </c>
      <c r="K538" s="28">
        <f t="shared" si="39"/>
        <v>372.19541666666663</v>
      </c>
      <c r="L538" s="28">
        <f t="shared" si="39"/>
        <v>372.01499999999993</v>
      </c>
      <c r="M538" s="28">
        <f t="shared" si="39"/>
        <v>371.82791666666662</v>
      </c>
      <c r="N538" s="28">
        <f t="shared" si="39"/>
        <v>371.67708333333331</v>
      </c>
    </row>
    <row r="539" spans="1:14" x14ac:dyDescent="0.4">
      <c r="A539" s="1">
        <v>37591</v>
      </c>
      <c r="B539" s="28">
        <v>374.29041666666666</v>
      </c>
      <c r="C539" s="28">
        <f t="shared" si="39"/>
        <v>374.06</v>
      </c>
      <c r="D539" s="28">
        <f t="shared" si="39"/>
        <v>373.8266666666666</v>
      </c>
      <c r="E539" s="28">
        <f t="shared" si="39"/>
        <v>373.60208333333338</v>
      </c>
      <c r="F539" s="28">
        <f t="shared" si="39"/>
        <v>373.38833333333332</v>
      </c>
      <c r="G539" s="28">
        <f t="shared" si="39"/>
        <v>373.18916666666661</v>
      </c>
      <c r="H539" s="28">
        <f t="shared" si="39"/>
        <v>372.98999999999995</v>
      </c>
      <c r="I539" s="28">
        <f t="shared" si="39"/>
        <v>372.78416666666664</v>
      </c>
      <c r="J539" s="28">
        <f t="shared" si="39"/>
        <v>372.59416666666669</v>
      </c>
      <c r="K539" s="28">
        <f t="shared" si="39"/>
        <v>372.39000000000004</v>
      </c>
      <c r="L539" s="28">
        <f t="shared" si="39"/>
        <v>372.19541666666663</v>
      </c>
      <c r="M539" s="28">
        <f t="shared" si="39"/>
        <v>372.01499999999993</v>
      </c>
      <c r="N539" s="28">
        <f t="shared" si="39"/>
        <v>371.82791666666662</v>
      </c>
    </row>
    <row r="540" spans="1:14" x14ac:dyDescent="0.4">
      <c r="A540" s="1">
        <v>37622</v>
      </c>
      <c r="B540" s="28">
        <v>374.5116666666666</v>
      </c>
      <c r="C540" s="28">
        <f t="shared" si="39"/>
        <v>374.29041666666666</v>
      </c>
      <c r="D540" s="28">
        <f t="shared" si="39"/>
        <v>374.06</v>
      </c>
      <c r="E540" s="28">
        <f t="shared" si="39"/>
        <v>373.8266666666666</v>
      </c>
      <c r="F540" s="28">
        <f t="shared" si="39"/>
        <v>373.60208333333338</v>
      </c>
      <c r="G540" s="28">
        <f t="shared" si="39"/>
        <v>373.38833333333332</v>
      </c>
      <c r="H540" s="28">
        <f t="shared" si="39"/>
        <v>373.18916666666661</v>
      </c>
      <c r="I540" s="28">
        <f t="shared" si="39"/>
        <v>372.98999999999995</v>
      </c>
      <c r="J540" s="28">
        <f t="shared" si="39"/>
        <v>372.78416666666664</v>
      </c>
      <c r="K540" s="28">
        <f t="shared" si="39"/>
        <v>372.59416666666669</v>
      </c>
      <c r="L540" s="28">
        <f t="shared" si="39"/>
        <v>372.39000000000004</v>
      </c>
      <c r="M540" s="28">
        <f t="shared" si="39"/>
        <v>372.19541666666663</v>
      </c>
      <c r="N540" s="28">
        <f t="shared" si="39"/>
        <v>372.01499999999993</v>
      </c>
    </row>
    <row r="541" spans="1:14" x14ac:dyDescent="0.4">
      <c r="A541" s="1">
        <v>37653</v>
      </c>
      <c r="B541" s="28">
        <v>374.74416666666667</v>
      </c>
      <c r="C541" s="28">
        <f t="shared" si="39"/>
        <v>374.5116666666666</v>
      </c>
      <c r="D541" s="28">
        <f t="shared" si="39"/>
        <v>374.29041666666666</v>
      </c>
      <c r="E541" s="28">
        <f t="shared" si="39"/>
        <v>374.06</v>
      </c>
      <c r="F541" s="28">
        <f t="shared" si="39"/>
        <v>373.8266666666666</v>
      </c>
      <c r="G541" s="28">
        <f t="shared" si="39"/>
        <v>373.60208333333338</v>
      </c>
      <c r="H541" s="28">
        <f t="shared" si="39"/>
        <v>373.38833333333332</v>
      </c>
      <c r="I541" s="28">
        <f t="shared" si="39"/>
        <v>373.18916666666661</v>
      </c>
      <c r="J541" s="28">
        <f t="shared" si="39"/>
        <v>372.98999999999995</v>
      </c>
      <c r="K541" s="28">
        <f t="shared" si="39"/>
        <v>372.78416666666664</v>
      </c>
      <c r="L541" s="28">
        <f t="shared" si="39"/>
        <v>372.59416666666669</v>
      </c>
      <c r="M541" s="28">
        <f t="shared" si="39"/>
        <v>372.39000000000004</v>
      </c>
      <c r="N541" s="28">
        <f t="shared" si="39"/>
        <v>372.19541666666663</v>
      </c>
    </row>
    <row r="542" spans="1:14" x14ac:dyDescent="0.4">
      <c r="A542" s="1">
        <v>37681</v>
      </c>
      <c r="B542" s="28">
        <v>374.96416666666664</v>
      </c>
      <c r="C542" s="28">
        <f t="shared" si="39"/>
        <v>374.74416666666667</v>
      </c>
      <c r="D542" s="28">
        <f t="shared" si="39"/>
        <v>374.5116666666666</v>
      </c>
      <c r="E542" s="28">
        <f t="shared" si="39"/>
        <v>374.29041666666666</v>
      </c>
      <c r="F542" s="28">
        <f t="shared" si="39"/>
        <v>374.06</v>
      </c>
      <c r="G542" s="28">
        <f t="shared" si="39"/>
        <v>373.8266666666666</v>
      </c>
      <c r="H542" s="28">
        <f t="shared" si="39"/>
        <v>373.60208333333338</v>
      </c>
      <c r="I542" s="28">
        <f t="shared" si="39"/>
        <v>373.38833333333332</v>
      </c>
      <c r="J542" s="28">
        <f t="shared" si="39"/>
        <v>373.18916666666661</v>
      </c>
      <c r="K542" s="28">
        <f t="shared" si="39"/>
        <v>372.98999999999995</v>
      </c>
      <c r="L542" s="28">
        <f t="shared" si="39"/>
        <v>372.78416666666664</v>
      </c>
      <c r="M542" s="28">
        <f t="shared" si="39"/>
        <v>372.59416666666669</v>
      </c>
      <c r="N542" s="28">
        <f t="shared" si="39"/>
        <v>372.39000000000004</v>
      </c>
    </row>
    <row r="543" spans="1:14" x14ac:dyDescent="0.4">
      <c r="A543" s="1">
        <v>37712</v>
      </c>
      <c r="B543" s="28">
        <v>375.17374999999998</v>
      </c>
      <c r="C543" s="28">
        <f t="shared" si="39"/>
        <v>374.96416666666664</v>
      </c>
      <c r="D543" s="28">
        <f t="shared" si="39"/>
        <v>374.74416666666667</v>
      </c>
      <c r="E543" s="28">
        <f t="shared" si="39"/>
        <v>374.5116666666666</v>
      </c>
      <c r="F543" s="28">
        <f t="shared" si="39"/>
        <v>374.29041666666666</v>
      </c>
      <c r="G543" s="28">
        <f t="shared" si="39"/>
        <v>374.06</v>
      </c>
      <c r="H543" s="28">
        <f t="shared" si="39"/>
        <v>373.8266666666666</v>
      </c>
      <c r="I543" s="28">
        <f t="shared" si="39"/>
        <v>373.60208333333338</v>
      </c>
      <c r="J543" s="28">
        <f t="shared" si="39"/>
        <v>373.38833333333332</v>
      </c>
      <c r="K543" s="28">
        <f t="shared" si="39"/>
        <v>373.18916666666661</v>
      </c>
      <c r="L543" s="28">
        <f t="shared" si="39"/>
        <v>372.98999999999995</v>
      </c>
      <c r="M543" s="28">
        <f t="shared" si="39"/>
        <v>372.78416666666664</v>
      </c>
      <c r="N543" s="28">
        <f t="shared" si="39"/>
        <v>372.59416666666669</v>
      </c>
    </row>
    <row r="544" spans="1:14" x14ac:dyDescent="0.4">
      <c r="A544" s="1">
        <v>37742</v>
      </c>
      <c r="B544" s="28">
        <v>375.38291666666669</v>
      </c>
      <c r="C544" s="28">
        <f t="shared" si="39"/>
        <v>375.17374999999998</v>
      </c>
      <c r="D544" s="28">
        <f t="shared" si="39"/>
        <v>374.96416666666664</v>
      </c>
      <c r="E544" s="28">
        <f t="shared" si="39"/>
        <v>374.74416666666667</v>
      </c>
      <c r="F544" s="28">
        <f t="shared" si="39"/>
        <v>374.5116666666666</v>
      </c>
      <c r="G544" s="28">
        <f t="shared" si="39"/>
        <v>374.29041666666666</v>
      </c>
      <c r="H544" s="28">
        <f t="shared" si="39"/>
        <v>374.06</v>
      </c>
      <c r="I544" s="28">
        <f t="shared" si="39"/>
        <v>373.8266666666666</v>
      </c>
      <c r="J544" s="28">
        <f t="shared" si="39"/>
        <v>373.60208333333338</v>
      </c>
      <c r="K544" s="28">
        <f t="shared" si="39"/>
        <v>373.38833333333332</v>
      </c>
      <c r="L544" s="28">
        <f t="shared" si="39"/>
        <v>373.18916666666661</v>
      </c>
      <c r="M544" s="28">
        <f t="shared" si="39"/>
        <v>372.98999999999995</v>
      </c>
      <c r="N544" s="28">
        <f t="shared" si="39"/>
        <v>372.78416666666664</v>
      </c>
    </row>
    <row r="545" spans="1:14" x14ac:dyDescent="0.4">
      <c r="A545" s="1">
        <v>37773</v>
      </c>
      <c r="B545" s="28">
        <v>375.55708333333337</v>
      </c>
      <c r="C545" s="28">
        <f t="shared" si="39"/>
        <v>375.38291666666669</v>
      </c>
      <c r="D545" s="28">
        <f t="shared" si="39"/>
        <v>375.17374999999998</v>
      </c>
      <c r="E545" s="28">
        <f t="shared" si="39"/>
        <v>374.96416666666664</v>
      </c>
      <c r="F545" s="28">
        <f t="shared" si="39"/>
        <v>374.74416666666667</v>
      </c>
      <c r="G545" s="28">
        <f t="shared" si="39"/>
        <v>374.5116666666666</v>
      </c>
      <c r="H545" s="28">
        <f t="shared" si="39"/>
        <v>374.29041666666666</v>
      </c>
      <c r="I545" s="28">
        <f t="shared" si="39"/>
        <v>374.06</v>
      </c>
      <c r="J545" s="28">
        <f t="shared" si="39"/>
        <v>373.8266666666666</v>
      </c>
      <c r="K545" s="28">
        <f t="shared" si="39"/>
        <v>373.60208333333338</v>
      </c>
      <c r="L545" s="28">
        <f t="shared" si="39"/>
        <v>373.38833333333332</v>
      </c>
      <c r="M545" s="28">
        <f t="shared" si="39"/>
        <v>373.18916666666661</v>
      </c>
      <c r="N545" s="28">
        <f t="shared" si="39"/>
        <v>372.98999999999995</v>
      </c>
    </row>
    <row r="546" spans="1:14" x14ac:dyDescent="0.4">
      <c r="A546" s="1">
        <v>37803</v>
      </c>
      <c r="B546" s="28">
        <v>375.72458333333338</v>
      </c>
      <c r="C546" s="28">
        <f t="shared" si="39"/>
        <v>375.55708333333337</v>
      </c>
      <c r="D546" s="28">
        <f t="shared" si="39"/>
        <v>375.38291666666669</v>
      </c>
      <c r="E546" s="28">
        <f t="shared" si="39"/>
        <v>375.17374999999998</v>
      </c>
      <c r="F546" s="28">
        <f t="shared" si="39"/>
        <v>374.96416666666664</v>
      </c>
      <c r="G546" s="28">
        <f t="shared" si="39"/>
        <v>374.74416666666667</v>
      </c>
      <c r="H546" s="28">
        <f t="shared" si="39"/>
        <v>374.5116666666666</v>
      </c>
      <c r="I546" s="28">
        <f t="shared" si="39"/>
        <v>374.29041666666666</v>
      </c>
      <c r="J546" s="28">
        <f t="shared" si="39"/>
        <v>374.06</v>
      </c>
      <c r="K546" s="28">
        <f t="shared" si="39"/>
        <v>373.8266666666666</v>
      </c>
      <c r="L546" s="28">
        <f t="shared" si="39"/>
        <v>373.60208333333338</v>
      </c>
      <c r="M546" s="28">
        <f t="shared" si="39"/>
        <v>373.38833333333332</v>
      </c>
      <c r="N546" s="28">
        <f t="shared" si="39"/>
        <v>373.18916666666661</v>
      </c>
    </row>
    <row r="547" spans="1:14" x14ac:dyDescent="0.4">
      <c r="A547" s="1">
        <v>37834</v>
      </c>
      <c r="B547" s="28">
        <v>375.88541666666669</v>
      </c>
      <c r="C547" s="28">
        <f t="shared" si="39"/>
        <v>375.72458333333338</v>
      </c>
      <c r="D547" s="28">
        <f t="shared" si="39"/>
        <v>375.55708333333337</v>
      </c>
      <c r="E547" s="28">
        <f t="shared" si="39"/>
        <v>375.38291666666669</v>
      </c>
      <c r="F547" s="28">
        <f t="shared" si="39"/>
        <v>375.17374999999998</v>
      </c>
      <c r="G547" s="28">
        <f t="shared" si="39"/>
        <v>374.96416666666664</v>
      </c>
      <c r="H547" s="28">
        <f t="shared" si="39"/>
        <v>374.74416666666667</v>
      </c>
      <c r="I547" s="28">
        <f t="shared" si="39"/>
        <v>374.5116666666666</v>
      </c>
      <c r="J547" s="28">
        <f t="shared" si="39"/>
        <v>374.29041666666666</v>
      </c>
      <c r="K547" s="28">
        <f t="shared" si="39"/>
        <v>374.06</v>
      </c>
      <c r="L547" s="28">
        <f t="shared" si="39"/>
        <v>373.8266666666666</v>
      </c>
      <c r="M547" s="28">
        <f t="shared" si="39"/>
        <v>373.60208333333338</v>
      </c>
      <c r="N547" s="28">
        <f t="shared" si="39"/>
        <v>373.38833333333332</v>
      </c>
    </row>
    <row r="548" spans="1:14" x14ac:dyDescent="0.4">
      <c r="A548" s="1">
        <v>37865</v>
      </c>
      <c r="B548" s="28">
        <v>376.05333333333334</v>
      </c>
      <c r="C548" s="28">
        <f t="shared" si="39"/>
        <v>375.88541666666669</v>
      </c>
      <c r="D548" s="28">
        <f t="shared" si="39"/>
        <v>375.72458333333338</v>
      </c>
      <c r="E548" s="28">
        <f t="shared" si="39"/>
        <v>375.55708333333337</v>
      </c>
      <c r="F548" s="28">
        <f t="shared" si="39"/>
        <v>375.38291666666669</v>
      </c>
      <c r="G548" s="28">
        <f t="shared" si="39"/>
        <v>375.17374999999998</v>
      </c>
      <c r="H548" s="28">
        <f t="shared" si="39"/>
        <v>374.96416666666664</v>
      </c>
      <c r="I548" s="28">
        <f t="shared" si="39"/>
        <v>374.74416666666667</v>
      </c>
      <c r="J548" s="28">
        <f t="shared" si="39"/>
        <v>374.5116666666666</v>
      </c>
      <c r="K548" s="28">
        <f t="shared" si="39"/>
        <v>374.29041666666666</v>
      </c>
      <c r="L548" s="28">
        <f t="shared" si="39"/>
        <v>374.06</v>
      </c>
      <c r="M548" s="28">
        <f t="shared" si="39"/>
        <v>373.8266666666666</v>
      </c>
      <c r="N548" s="28">
        <f t="shared" si="39"/>
        <v>373.60208333333338</v>
      </c>
    </row>
    <row r="549" spans="1:14" x14ac:dyDescent="0.4">
      <c r="A549" s="1">
        <v>37895</v>
      </c>
      <c r="B549" s="28">
        <v>376.26708333333323</v>
      </c>
      <c r="C549" s="28">
        <f t="shared" si="39"/>
        <v>376.05333333333334</v>
      </c>
      <c r="D549" s="28">
        <f t="shared" si="39"/>
        <v>375.88541666666669</v>
      </c>
      <c r="E549" s="28">
        <f t="shared" si="39"/>
        <v>375.72458333333338</v>
      </c>
      <c r="F549" s="28">
        <f t="shared" si="39"/>
        <v>375.55708333333337</v>
      </c>
      <c r="G549" s="28">
        <f t="shared" si="39"/>
        <v>375.38291666666669</v>
      </c>
      <c r="H549" s="28">
        <f t="shared" si="39"/>
        <v>375.17374999999998</v>
      </c>
      <c r="I549" s="28">
        <f t="shared" si="39"/>
        <v>374.96416666666664</v>
      </c>
      <c r="J549" s="28">
        <f t="shared" si="39"/>
        <v>374.74416666666667</v>
      </c>
      <c r="K549" s="28">
        <f t="shared" si="39"/>
        <v>374.5116666666666</v>
      </c>
      <c r="L549" s="28">
        <f t="shared" si="39"/>
        <v>374.29041666666666</v>
      </c>
      <c r="M549" s="28">
        <f t="shared" si="39"/>
        <v>374.06</v>
      </c>
      <c r="N549" s="28">
        <f t="shared" si="39"/>
        <v>373.8266666666666</v>
      </c>
    </row>
    <row r="550" spans="1:14" x14ac:dyDescent="0.4">
      <c r="A550" s="1">
        <v>37926</v>
      </c>
      <c r="B550" s="28">
        <v>376.4804166666666</v>
      </c>
      <c r="C550" s="28">
        <f t="shared" si="39"/>
        <v>376.26708333333323</v>
      </c>
      <c r="D550" s="28">
        <f t="shared" si="39"/>
        <v>376.05333333333334</v>
      </c>
      <c r="E550" s="28">
        <f t="shared" si="39"/>
        <v>375.88541666666669</v>
      </c>
      <c r="F550" s="28">
        <f t="shared" si="39"/>
        <v>375.72458333333338</v>
      </c>
      <c r="G550" s="28">
        <f t="shared" si="39"/>
        <v>375.55708333333337</v>
      </c>
      <c r="H550" s="28">
        <f t="shared" si="39"/>
        <v>375.38291666666669</v>
      </c>
      <c r="I550" s="28">
        <f t="shared" si="39"/>
        <v>375.17374999999998</v>
      </c>
      <c r="J550" s="28">
        <f t="shared" si="39"/>
        <v>374.96416666666664</v>
      </c>
      <c r="K550" s="28">
        <f t="shared" si="39"/>
        <v>374.74416666666667</v>
      </c>
      <c r="L550" s="28">
        <f t="shared" si="39"/>
        <v>374.5116666666666</v>
      </c>
      <c r="M550" s="28">
        <f t="shared" si="39"/>
        <v>374.29041666666666</v>
      </c>
      <c r="N550" s="28">
        <f t="shared" si="39"/>
        <v>374.06</v>
      </c>
    </row>
    <row r="551" spans="1:14" x14ac:dyDescent="0.4">
      <c r="A551" s="1">
        <v>37956</v>
      </c>
      <c r="B551" s="28">
        <v>376.63416666666654</v>
      </c>
      <c r="C551" s="28">
        <f t="shared" si="39"/>
        <v>376.4804166666666</v>
      </c>
      <c r="D551" s="28">
        <f t="shared" si="39"/>
        <v>376.26708333333323</v>
      </c>
      <c r="E551" s="28">
        <f t="shared" si="39"/>
        <v>376.05333333333334</v>
      </c>
      <c r="F551" s="28">
        <f t="shared" si="39"/>
        <v>375.88541666666669</v>
      </c>
      <c r="G551" s="28">
        <f t="shared" si="39"/>
        <v>375.72458333333338</v>
      </c>
      <c r="H551" s="28">
        <f t="shared" si="39"/>
        <v>375.55708333333337</v>
      </c>
      <c r="I551" s="28">
        <f t="shared" si="39"/>
        <v>375.38291666666669</v>
      </c>
      <c r="J551" s="28">
        <f t="shared" si="39"/>
        <v>375.17374999999998</v>
      </c>
      <c r="K551" s="28">
        <f t="shared" si="39"/>
        <v>374.96416666666664</v>
      </c>
      <c r="L551" s="28">
        <f t="shared" si="39"/>
        <v>374.74416666666667</v>
      </c>
      <c r="M551" s="28">
        <f t="shared" si="39"/>
        <v>374.5116666666666</v>
      </c>
      <c r="N551" s="28">
        <f t="shared" si="39"/>
        <v>374.29041666666666</v>
      </c>
    </row>
    <row r="552" spans="1:14" x14ac:dyDescent="0.4">
      <c r="A552" s="1">
        <v>37987</v>
      </c>
      <c r="B552" s="28">
        <v>376.74166666666656</v>
      </c>
      <c r="C552" s="28">
        <f t="shared" si="39"/>
        <v>376.63416666666654</v>
      </c>
      <c r="D552" s="28">
        <f t="shared" si="39"/>
        <v>376.4804166666666</v>
      </c>
      <c r="E552" s="28">
        <f t="shared" si="39"/>
        <v>376.26708333333323</v>
      </c>
      <c r="F552" s="28">
        <f t="shared" si="39"/>
        <v>376.05333333333334</v>
      </c>
      <c r="G552" s="28">
        <f t="shared" si="39"/>
        <v>375.88541666666669</v>
      </c>
      <c r="H552" s="28">
        <f t="shared" si="39"/>
        <v>375.72458333333338</v>
      </c>
      <c r="I552" s="28">
        <f t="shared" si="39"/>
        <v>375.55708333333337</v>
      </c>
      <c r="J552" s="28">
        <f t="shared" si="39"/>
        <v>375.38291666666669</v>
      </c>
      <c r="K552" s="28">
        <f t="shared" si="39"/>
        <v>375.17374999999998</v>
      </c>
      <c r="L552" s="28">
        <f t="shared" si="39"/>
        <v>374.96416666666664</v>
      </c>
      <c r="M552" s="28">
        <f t="shared" si="39"/>
        <v>374.74416666666667</v>
      </c>
      <c r="N552" s="28">
        <f t="shared" si="39"/>
        <v>374.5116666666666</v>
      </c>
    </row>
    <row r="553" spans="1:14" x14ac:dyDescent="0.4">
      <c r="A553" s="1">
        <v>38018</v>
      </c>
      <c r="B553" s="28">
        <v>376.84625000000005</v>
      </c>
      <c r="C553" s="28">
        <f t="shared" si="39"/>
        <v>376.74166666666656</v>
      </c>
      <c r="D553" s="28">
        <f t="shared" si="39"/>
        <v>376.63416666666654</v>
      </c>
      <c r="E553" s="28">
        <f t="shared" si="39"/>
        <v>376.4804166666666</v>
      </c>
      <c r="F553" s="28">
        <f t="shared" ref="D553:R568" si="40">IF(E552=0,"",E552)</f>
        <v>376.26708333333323</v>
      </c>
      <c r="G553" s="28">
        <f t="shared" si="40"/>
        <v>376.05333333333334</v>
      </c>
      <c r="H553" s="28">
        <f t="shared" si="40"/>
        <v>375.88541666666669</v>
      </c>
      <c r="I553" s="28">
        <f t="shared" si="40"/>
        <v>375.72458333333338</v>
      </c>
      <c r="J553" s="28">
        <f t="shared" si="40"/>
        <v>375.55708333333337</v>
      </c>
      <c r="K553" s="28">
        <f t="shared" si="40"/>
        <v>375.38291666666669</v>
      </c>
      <c r="L553" s="28">
        <f t="shared" si="40"/>
        <v>375.17374999999998</v>
      </c>
      <c r="M553" s="28">
        <f t="shared" si="40"/>
        <v>374.96416666666664</v>
      </c>
      <c r="N553" s="28">
        <f t="shared" si="40"/>
        <v>374.74416666666667</v>
      </c>
    </row>
    <row r="554" spans="1:14" x14ac:dyDescent="0.4">
      <c r="A554" s="1">
        <v>38047</v>
      </c>
      <c r="B554" s="28">
        <v>376.9470833333333</v>
      </c>
      <c r="C554" s="28">
        <f t="shared" ref="C554:N617" si="41">IF(B553=0,"",B553)</f>
        <v>376.84625000000005</v>
      </c>
      <c r="D554" s="28">
        <f t="shared" si="40"/>
        <v>376.74166666666656</v>
      </c>
      <c r="E554" s="28">
        <f t="shared" si="40"/>
        <v>376.63416666666654</v>
      </c>
      <c r="F554" s="28">
        <f t="shared" si="40"/>
        <v>376.4804166666666</v>
      </c>
      <c r="G554" s="28">
        <f t="shared" si="40"/>
        <v>376.26708333333323</v>
      </c>
      <c r="H554" s="28">
        <f t="shared" si="40"/>
        <v>376.05333333333334</v>
      </c>
      <c r="I554" s="28">
        <f t="shared" si="40"/>
        <v>375.88541666666669</v>
      </c>
      <c r="J554" s="28">
        <f t="shared" si="40"/>
        <v>375.72458333333338</v>
      </c>
      <c r="K554" s="28">
        <f t="shared" si="40"/>
        <v>375.55708333333337</v>
      </c>
      <c r="L554" s="28">
        <f t="shared" si="40"/>
        <v>375.38291666666669</v>
      </c>
      <c r="M554" s="28">
        <f t="shared" si="40"/>
        <v>375.17374999999998</v>
      </c>
      <c r="N554" s="28">
        <f t="shared" si="40"/>
        <v>374.96416666666664</v>
      </c>
    </row>
    <row r="555" spans="1:14" x14ac:dyDescent="0.4">
      <c r="A555" s="1">
        <v>38078</v>
      </c>
      <c r="B555" s="28">
        <v>377.04250000000002</v>
      </c>
      <c r="C555" s="28">
        <f t="shared" si="41"/>
        <v>376.9470833333333</v>
      </c>
      <c r="D555" s="28">
        <f t="shared" si="40"/>
        <v>376.84625000000005</v>
      </c>
      <c r="E555" s="28">
        <f t="shared" si="40"/>
        <v>376.74166666666656</v>
      </c>
      <c r="F555" s="28">
        <f t="shared" si="40"/>
        <v>376.63416666666654</v>
      </c>
      <c r="G555" s="28">
        <f t="shared" si="40"/>
        <v>376.4804166666666</v>
      </c>
      <c r="H555" s="28">
        <f t="shared" si="40"/>
        <v>376.26708333333323</v>
      </c>
      <c r="I555" s="28">
        <f t="shared" si="40"/>
        <v>376.05333333333334</v>
      </c>
      <c r="J555" s="28">
        <f t="shared" si="40"/>
        <v>375.88541666666669</v>
      </c>
      <c r="K555" s="28">
        <f t="shared" si="40"/>
        <v>375.72458333333338</v>
      </c>
      <c r="L555" s="28">
        <f t="shared" si="40"/>
        <v>375.55708333333337</v>
      </c>
      <c r="M555" s="28">
        <f t="shared" si="40"/>
        <v>375.38291666666669</v>
      </c>
      <c r="N555" s="28">
        <f t="shared" si="40"/>
        <v>375.17374999999998</v>
      </c>
    </row>
    <row r="556" spans="1:14" x14ac:dyDescent="0.4">
      <c r="A556" s="1">
        <v>38108</v>
      </c>
      <c r="B556" s="28">
        <v>377.15541666666672</v>
      </c>
      <c r="C556" s="28">
        <f t="shared" si="41"/>
        <v>377.04250000000002</v>
      </c>
      <c r="D556" s="28">
        <f t="shared" si="40"/>
        <v>376.9470833333333</v>
      </c>
      <c r="E556" s="28">
        <f t="shared" si="40"/>
        <v>376.84625000000005</v>
      </c>
      <c r="F556" s="28">
        <f t="shared" si="40"/>
        <v>376.74166666666656</v>
      </c>
      <c r="G556" s="28">
        <f t="shared" si="40"/>
        <v>376.63416666666654</v>
      </c>
      <c r="H556" s="28">
        <f t="shared" si="40"/>
        <v>376.4804166666666</v>
      </c>
      <c r="I556" s="28">
        <f t="shared" si="40"/>
        <v>376.26708333333323</v>
      </c>
      <c r="J556" s="28">
        <f t="shared" si="40"/>
        <v>376.05333333333334</v>
      </c>
      <c r="K556" s="28">
        <f t="shared" si="40"/>
        <v>375.88541666666669</v>
      </c>
      <c r="L556" s="28">
        <f t="shared" si="40"/>
        <v>375.72458333333338</v>
      </c>
      <c r="M556" s="28">
        <f t="shared" si="40"/>
        <v>375.55708333333337</v>
      </c>
      <c r="N556" s="28">
        <f t="shared" si="40"/>
        <v>375.38291666666669</v>
      </c>
    </row>
    <row r="557" spans="1:14" x14ac:dyDescent="0.4">
      <c r="A557" s="1">
        <v>38139</v>
      </c>
      <c r="B557" s="28">
        <v>377.29041666666672</v>
      </c>
      <c r="C557" s="28">
        <f t="shared" si="41"/>
        <v>377.15541666666672</v>
      </c>
      <c r="D557" s="28">
        <f t="shared" si="40"/>
        <v>377.04250000000002</v>
      </c>
      <c r="E557" s="28">
        <f t="shared" si="40"/>
        <v>376.9470833333333</v>
      </c>
      <c r="F557" s="28">
        <f t="shared" si="40"/>
        <v>376.84625000000005</v>
      </c>
      <c r="G557" s="28">
        <f t="shared" si="40"/>
        <v>376.74166666666656</v>
      </c>
      <c r="H557" s="28">
        <f t="shared" si="40"/>
        <v>376.63416666666654</v>
      </c>
      <c r="I557" s="28">
        <f t="shared" si="40"/>
        <v>376.4804166666666</v>
      </c>
      <c r="J557" s="28">
        <f t="shared" si="40"/>
        <v>376.26708333333323</v>
      </c>
      <c r="K557" s="28">
        <f t="shared" si="40"/>
        <v>376.05333333333334</v>
      </c>
      <c r="L557" s="28">
        <f t="shared" si="40"/>
        <v>375.88541666666669</v>
      </c>
      <c r="M557" s="28">
        <f t="shared" si="40"/>
        <v>375.72458333333338</v>
      </c>
      <c r="N557" s="28">
        <f t="shared" si="40"/>
        <v>375.55708333333337</v>
      </c>
    </row>
    <row r="558" spans="1:14" x14ac:dyDescent="0.4">
      <c r="A558" s="1">
        <v>38169</v>
      </c>
      <c r="B558" s="28">
        <v>377.4279166666667</v>
      </c>
      <c r="C558" s="28">
        <f t="shared" si="41"/>
        <v>377.29041666666672</v>
      </c>
      <c r="D558" s="28">
        <f t="shared" si="40"/>
        <v>377.15541666666672</v>
      </c>
      <c r="E558" s="28">
        <f t="shared" si="40"/>
        <v>377.04250000000002</v>
      </c>
      <c r="F558" s="28">
        <f t="shared" si="40"/>
        <v>376.9470833333333</v>
      </c>
      <c r="G558" s="28">
        <f t="shared" si="40"/>
        <v>376.84625000000005</v>
      </c>
      <c r="H558" s="28">
        <f t="shared" si="40"/>
        <v>376.74166666666656</v>
      </c>
      <c r="I558" s="28">
        <f t="shared" si="40"/>
        <v>376.63416666666654</v>
      </c>
      <c r="J558" s="28">
        <f t="shared" si="40"/>
        <v>376.4804166666666</v>
      </c>
      <c r="K558" s="28">
        <f t="shared" si="40"/>
        <v>376.26708333333323</v>
      </c>
      <c r="L558" s="28">
        <f t="shared" si="40"/>
        <v>376.05333333333334</v>
      </c>
      <c r="M558" s="28">
        <f t="shared" si="40"/>
        <v>375.88541666666669</v>
      </c>
      <c r="N558" s="28">
        <f t="shared" si="40"/>
        <v>375.72458333333338</v>
      </c>
    </row>
    <row r="559" spans="1:14" x14ac:dyDescent="0.4">
      <c r="A559" s="1">
        <v>38200</v>
      </c>
      <c r="B559" s="28">
        <v>377.58583333333331</v>
      </c>
      <c r="C559" s="28">
        <f t="shared" si="41"/>
        <v>377.4279166666667</v>
      </c>
      <c r="D559" s="28">
        <f t="shared" si="40"/>
        <v>377.29041666666672</v>
      </c>
      <c r="E559" s="28">
        <f t="shared" si="40"/>
        <v>377.15541666666672</v>
      </c>
      <c r="F559" s="28">
        <f t="shared" si="40"/>
        <v>377.04250000000002</v>
      </c>
      <c r="G559" s="28">
        <f t="shared" si="40"/>
        <v>376.9470833333333</v>
      </c>
      <c r="H559" s="28">
        <f t="shared" si="40"/>
        <v>376.84625000000005</v>
      </c>
      <c r="I559" s="28">
        <f t="shared" si="40"/>
        <v>376.74166666666656</v>
      </c>
      <c r="J559" s="28">
        <f t="shared" si="40"/>
        <v>376.63416666666654</v>
      </c>
      <c r="K559" s="28">
        <f t="shared" si="40"/>
        <v>376.4804166666666</v>
      </c>
      <c r="L559" s="28">
        <f t="shared" si="40"/>
        <v>376.26708333333323</v>
      </c>
      <c r="M559" s="28">
        <f t="shared" si="40"/>
        <v>376.05333333333334</v>
      </c>
      <c r="N559" s="28">
        <f t="shared" si="40"/>
        <v>375.88541666666669</v>
      </c>
    </row>
    <row r="560" spans="1:14" x14ac:dyDescent="0.4">
      <c r="A560" s="1">
        <v>38231</v>
      </c>
      <c r="B560" s="28">
        <v>377.74958333333331</v>
      </c>
      <c r="C560" s="28">
        <f t="shared" si="41"/>
        <v>377.58583333333331</v>
      </c>
      <c r="D560" s="28">
        <f t="shared" si="41"/>
        <v>377.4279166666667</v>
      </c>
      <c r="E560" s="28">
        <f t="shared" si="41"/>
        <v>377.29041666666672</v>
      </c>
      <c r="F560" s="28">
        <f t="shared" si="41"/>
        <v>377.15541666666672</v>
      </c>
      <c r="G560" s="28">
        <f t="shared" si="41"/>
        <v>377.04250000000002</v>
      </c>
      <c r="H560" s="28">
        <f t="shared" si="41"/>
        <v>376.9470833333333</v>
      </c>
      <c r="I560" s="28">
        <f t="shared" si="41"/>
        <v>376.84625000000005</v>
      </c>
      <c r="J560" s="28">
        <f t="shared" si="41"/>
        <v>376.74166666666656</v>
      </c>
      <c r="K560" s="28">
        <f t="shared" si="41"/>
        <v>376.63416666666654</v>
      </c>
      <c r="L560" s="28">
        <f t="shared" si="41"/>
        <v>376.4804166666666</v>
      </c>
      <c r="M560" s="28">
        <f t="shared" si="41"/>
        <v>376.26708333333323</v>
      </c>
      <c r="N560" s="28">
        <f t="shared" si="41"/>
        <v>376.05333333333334</v>
      </c>
    </row>
    <row r="561" spans="1:14" x14ac:dyDescent="0.4">
      <c r="A561" s="1">
        <v>38261</v>
      </c>
      <c r="B561" s="28">
        <v>377.88458333333341</v>
      </c>
      <c r="C561" s="28">
        <f t="shared" si="41"/>
        <v>377.74958333333331</v>
      </c>
      <c r="D561" s="28">
        <f t="shared" si="41"/>
        <v>377.58583333333331</v>
      </c>
      <c r="E561" s="28">
        <f t="shared" si="41"/>
        <v>377.4279166666667</v>
      </c>
      <c r="F561" s="28">
        <f t="shared" si="41"/>
        <v>377.29041666666672</v>
      </c>
      <c r="G561" s="28">
        <f t="shared" si="41"/>
        <v>377.15541666666672</v>
      </c>
      <c r="H561" s="28">
        <f t="shared" si="41"/>
        <v>377.04250000000002</v>
      </c>
      <c r="I561" s="28">
        <f t="shared" si="41"/>
        <v>376.9470833333333</v>
      </c>
      <c r="J561" s="28">
        <f t="shared" si="41"/>
        <v>376.84625000000005</v>
      </c>
      <c r="K561" s="28">
        <f t="shared" si="41"/>
        <v>376.74166666666656</v>
      </c>
      <c r="L561" s="28">
        <f t="shared" si="41"/>
        <v>376.63416666666654</v>
      </c>
      <c r="M561" s="28">
        <f t="shared" si="41"/>
        <v>376.4804166666666</v>
      </c>
      <c r="N561" s="28">
        <f t="shared" si="41"/>
        <v>376.26708333333323</v>
      </c>
    </row>
    <row r="562" spans="1:14" x14ac:dyDescent="0.4">
      <c r="A562" s="1">
        <v>38292</v>
      </c>
      <c r="B562" s="28">
        <v>378.01666666666671</v>
      </c>
      <c r="C562" s="28">
        <f t="shared" si="41"/>
        <v>377.88458333333341</v>
      </c>
      <c r="D562" s="28">
        <f t="shared" si="41"/>
        <v>377.74958333333331</v>
      </c>
      <c r="E562" s="28">
        <f t="shared" si="41"/>
        <v>377.58583333333331</v>
      </c>
      <c r="F562" s="28">
        <f t="shared" si="41"/>
        <v>377.4279166666667</v>
      </c>
      <c r="G562" s="28">
        <f t="shared" si="41"/>
        <v>377.29041666666672</v>
      </c>
      <c r="H562" s="28">
        <f t="shared" si="41"/>
        <v>377.15541666666672</v>
      </c>
      <c r="I562" s="28">
        <f t="shared" si="41"/>
        <v>377.04250000000002</v>
      </c>
      <c r="J562" s="28">
        <f t="shared" si="41"/>
        <v>376.9470833333333</v>
      </c>
      <c r="K562" s="28">
        <f t="shared" si="41"/>
        <v>376.84625000000005</v>
      </c>
      <c r="L562" s="28">
        <f t="shared" si="41"/>
        <v>376.74166666666656</v>
      </c>
      <c r="M562" s="28">
        <f t="shared" si="41"/>
        <v>376.63416666666654</v>
      </c>
      <c r="N562" s="28">
        <f t="shared" si="41"/>
        <v>376.4804166666666</v>
      </c>
    </row>
    <row r="563" spans="1:14" x14ac:dyDescent="0.4">
      <c r="A563" s="1">
        <v>38322</v>
      </c>
      <c r="B563" s="28">
        <v>378.1895833333333</v>
      </c>
      <c r="C563" s="28">
        <f t="shared" si="41"/>
        <v>378.01666666666671</v>
      </c>
      <c r="D563" s="28">
        <f t="shared" si="41"/>
        <v>377.88458333333341</v>
      </c>
      <c r="E563" s="28">
        <f t="shared" si="41"/>
        <v>377.74958333333331</v>
      </c>
      <c r="F563" s="28">
        <f t="shared" si="41"/>
        <v>377.58583333333331</v>
      </c>
      <c r="G563" s="28">
        <f t="shared" si="41"/>
        <v>377.4279166666667</v>
      </c>
      <c r="H563" s="28">
        <f t="shared" si="41"/>
        <v>377.29041666666672</v>
      </c>
      <c r="I563" s="28">
        <f t="shared" si="41"/>
        <v>377.15541666666672</v>
      </c>
      <c r="J563" s="28">
        <f t="shared" si="41"/>
        <v>377.04250000000002</v>
      </c>
      <c r="K563" s="28">
        <f t="shared" si="41"/>
        <v>376.9470833333333</v>
      </c>
      <c r="L563" s="28">
        <f t="shared" si="41"/>
        <v>376.84625000000005</v>
      </c>
      <c r="M563" s="28">
        <f t="shared" si="41"/>
        <v>376.74166666666656</v>
      </c>
      <c r="N563" s="28">
        <f t="shared" si="41"/>
        <v>376.63416666666654</v>
      </c>
    </row>
    <row r="564" spans="1:14" x14ac:dyDescent="0.4">
      <c r="A564" s="1">
        <v>38353</v>
      </c>
      <c r="B564" s="28">
        <v>378.41583333333341</v>
      </c>
      <c r="C564" s="28">
        <f t="shared" si="41"/>
        <v>378.1895833333333</v>
      </c>
      <c r="D564" s="28">
        <f t="shared" si="41"/>
        <v>378.01666666666671</v>
      </c>
      <c r="E564" s="28">
        <f t="shared" si="41"/>
        <v>377.88458333333341</v>
      </c>
      <c r="F564" s="28">
        <f t="shared" si="41"/>
        <v>377.74958333333331</v>
      </c>
      <c r="G564" s="28">
        <f t="shared" si="41"/>
        <v>377.58583333333331</v>
      </c>
      <c r="H564" s="28">
        <f t="shared" si="41"/>
        <v>377.4279166666667</v>
      </c>
      <c r="I564" s="28">
        <f t="shared" si="41"/>
        <v>377.29041666666672</v>
      </c>
      <c r="J564" s="28">
        <f t="shared" si="41"/>
        <v>377.15541666666672</v>
      </c>
      <c r="K564" s="28">
        <f t="shared" si="41"/>
        <v>377.04250000000002</v>
      </c>
      <c r="L564" s="28">
        <f t="shared" si="41"/>
        <v>376.9470833333333</v>
      </c>
      <c r="M564" s="28">
        <f t="shared" si="41"/>
        <v>376.84625000000005</v>
      </c>
      <c r="N564" s="28">
        <f t="shared" si="41"/>
        <v>376.74166666666656</v>
      </c>
    </row>
    <row r="565" spans="1:14" x14ac:dyDescent="0.4">
      <c r="A565" s="1">
        <v>38384</v>
      </c>
      <c r="B565" s="28">
        <v>378.65499999999997</v>
      </c>
      <c r="C565" s="28">
        <f t="shared" si="41"/>
        <v>378.41583333333341</v>
      </c>
      <c r="D565" s="28">
        <f t="shared" si="41"/>
        <v>378.1895833333333</v>
      </c>
      <c r="E565" s="28">
        <f t="shared" si="41"/>
        <v>378.01666666666671</v>
      </c>
      <c r="F565" s="28">
        <f t="shared" si="41"/>
        <v>377.88458333333341</v>
      </c>
      <c r="G565" s="28">
        <f t="shared" si="41"/>
        <v>377.74958333333331</v>
      </c>
      <c r="H565" s="28">
        <f t="shared" si="41"/>
        <v>377.58583333333331</v>
      </c>
      <c r="I565" s="28">
        <f t="shared" si="41"/>
        <v>377.4279166666667</v>
      </c>
      <c r="J565" s="28">
        <f t="shared" si="41"/>
        <v>377.29041666666672</v>
      </c>
      <c r="K565" s="28">
        <f t="shared" si="41"/>
        <v>377.15541666666672</v>
      </c>
      <c r="L565" s="28">
        <f t="shared" si="41"/>
        <v>377.04250000000002</v>
      </c>
      <c r="M565" s="28">
        <f t="shared" si="41"/>
        <v>376.9470833333333</v>
      </c>
      <c r="N565" s="28">
        <f t="shared" si="41"/>
        <v>376.84625000000005</v>
      </c>
    </row>
    <row r="566" spans="1:14" x14ac:dyDescent="0.4">
      <c r="A566" s="1">
        <v>38412</v>
      </c>
      <c r="B566" s="28">
        <v>378.87208333333336</v>
      </c>
      <c r="C566" s="28">
        <f t="shared" si="41"/>
        <v>378.65499999999997</v>
      </c>
      <c r="D566" s="28">
        <f t="shared" si="41"/>
        <v>378.41583333333341</v>
      </c>
      <c r="E566" s="28">
        <f t="shared" si="41"/>
        <v>378.1895833333333</v>
      </c>
      <c r="F566" s="28">
        <f t="shared" si="41"/>
        <v>378.01666666666671</v>
      </c>
      <c r="G566" s="28">
        <f t="shared" si="41"/>
        <v>377.88458333333341</v>
      </c>
      <c r="H566" s="28">
        <f t="shared" si="41"/>
        <v>377.74958333333331</v>
      </c>
      <c r="I566" s="28">
        <f t="shared" si="41"/>
        <v>377.58583333333331</v>
      </c>
      <c r="J566" s="28">
        <f t="shared" si="41"/>
        <v>377.4279166666667</v>
      </c>
      <c r="K566" s="28">
        <f t="shared" si="41"/>
        <v>377.29041666666672</v>
      </c>
      <c r="L566" s="28">
        <f t="shared" si="41"/>
        <v>377.15541666666672</v>
      </c>
      <c r="M566" s="28">
        <f t="shared" si="41"/>
        <v>377.04250000000002</v>
      </c>
      <c r="N566" s="28">
        <f t="shared" si="41"/>
        <v>376.9470833333333</v>
      </c>
    </row>
    <row r="567" spans="1:14" x14ac:dyDescent="0.4">
      <c r="A567" s="1">
        <v>38443</v>
      </c>
      <c r="B567" s="28">
        <v>379.07833333333321</v>
      </c>
      <c r="C567" s="28">
        <f t="shared" si="41"/>
        <v>378.87208333333336</v>
      </c>
      <c r="D567" s="28">
        <f t="shared" si="41"/>
        <v>378.65499999999997</v>
      </c>
      <c r="E567" s="28">
        <f t="shared" si="41"/>
        <v>378.41583333333341</v>
      </c>
      <c r="F567" s="28">
        <f t="shared" si="41"/>
        <v>378.1895833333333</v>
      </c>
      <c r="G567" s="28">
        <f t="shared" si="41"/>
        <v>378.01666666666671</v>
      </c>
      <c r="H567" s="28">
        <f t="shared" si="41"/>
        <v>377.88458333333341</v>
      </c>
      <c r="I567" s="28">
        <f t="shared" si="41"/>
        <v>377.74958333333331</v>
      </c>
      <c r="J567" s="28">
        <f t="shared" si="41"/>
        <v>377.58583333333331</v>
      </c>
      <c r="K567" s="28">
        <f t="shared" si="41"/>
        <v>377.4279166666667</v>
      </c>
      <c r="L567" s="28">
        <f t="shared" si="41"/>
        <v>377.29041666666672</v>
      </c>
      <c r="M567" s="28">
        <f t="shared" si="41"/>
        <v>377.15541666666672</v>
      </c>
      <c r="N567" s="28">
        <f t="shared" si="41"/>
        <v>377.04250000000002</v>
      </c>
    </row>
    <row r="568" spans="1:14" x14ac:dyDescent="0.4">
      <c r="A568" s="1">
        <v>38473</v>
      </c>
      <c r="B568" s="28">
        <v>379.28874999999994</v>
      </c>
      <c r="C568" s="28">
        <f t="shared" si="41"/>
        <v>379.07833333333321</v>
      </c>
      <c r="D568" s="28">
        <f t="shared" si="41"/>
        <v>378.87208333333336</v>
      </c>
      <c r="E568" s="28">
        <f t="shared" si="41"/>
        <v>378.65499999999997</v>
      </c>
      <c r="F568" s="28">
        <f t="shared" si="41"/>
        <v>378.41583333333341</v>
      </c>
      <c r="G568" s="28">
        <f t="shared" si="41"/>
        <v>378.1895833333333</v>
      </c>
      <c r="H568" s="28">
        <f t="shared" si="41"/>
        <v>378.01666666666671</v>
      </c>
      <c r="I568" s="28">
        <f t="shared" si="41"/>
        <v>377.88458333333341</v>
      </c>
      <c r="J568" s="28">
        <f t="shared" si="41"/>
        <v>377.74958333333331</v>
      </c>
      <c r="K568" s="28">
        <f t="shared" si="41"/>
        <v>377.58583333333331</v>
      </c>
      <c r="L568" s="28">
        <f t="shared" si="41"/>
        <v>377.4279166666667</v>
      </c>
      <c r="M568" s="28">
        <f t="shared" si="41"/>
        <v>377.29041666666672</v>
      </c>
      <c r="N568" s="28">
        <f t="shared" si="41"/>
        <v>377.15541666666672</v>
      </c>
    </row>
    <row r="569" spans="1:14" x14ac:dyDescent="0.4">
      <c r="A569" s="1">
        <v>38504</v>
      </c>
      <c r="B569" s="28">
        <v>379.49666666666673</v>
      </c>
      <c r="C569" s="28">
        <f t="shared" si="41"/>
        <v>379.28874999999994</v>
      </c>
      <c r="D569" s="28">
        <f t="shared" si="41"/>
        <v>379.07833333333321</v>
      </c>
      <c r="E569" s="28">
        <f t="shared" si="41"/>
        <v>378.87208333333336</v>
      </c>
      <c r="F569" s="28">
        <f t="shared" si="41"/>
        <v>378.65499999999997</v>
      </c>
      <c r="G569" s="28">
        <f t="shared" si="41"/>
        <v>378.41583333333341</v>
      </c>
      <c r="H569" s="28">
        <f t="shared" si="41"/>
        <v>378.1895833333333</v>
      </c>
      <c r="I569" s="28">
        <f t="shared" si="41"/>
        <v>378.01666666666671</v>
      </c>
      <c r="J569" s="28">
        <f t="shared" si="41"/>
        <v>377.88458333333341</v>
      </c>
      <c r="K569" s="28">
        <f t="shared" si="41"/>
        <v>377.74958333333331</v>
      </c>
      <c r="L569" s="28">
        <f t="shared" si="41"/>
        <v>377.58583333333331</v>
      </c>
      <c r="M569" s="28">
        <f t="shared" si="41"/>
        <v>377.4279166666667</v>
      </c>
      <c r="N569" s="28">
        <f t="shared" si="41"/>
        <v>377.29041666666672</v>
      </c>
    </row>
    <row r="570" spans="1:14" x14ac:dyDescent="0.4">
      <c r="A570" s="1">
        <v>38534</v>
      </c>
      <c r="B570" s="28">
        <v>379.72791666666672</v>
      </c>
      <c r="C570" s="28">
        <f t="shared" si="41"/>
        <v>379.49666666666673</v>
      </c>
      <c r="D570" s="28">
        <f t="shared" si="41"/>
        <v>379.28874999999994</v>
      </c>
      <c r="E570" s="28">
        <f t="shared" si="41"/>
        <v>379.07833333333321</v>
      </c>
      <c r="F570" s="28">
        <f t="shared" si="41"/>
        <v>378.87208333333336</v>
      </c>
      <c r="G570" s="28">
        <f t="shared" si="41"/>
        <v>378.65499999999997</v>
      </c>
      <c r="H570" s="28">
        <f t="shared" si="41"/>
        <v>378.41583333333341</v>
      </c>
      <c r="I570" s="28">
        <f t="shared" si="41"/>
        <v>378.1895833333333</v>
      </c>
      <c r="J570" s="28">
        <f t="shared" si="41"/>
        <v>378.01666666666671</v>
      </c>
      <c r="K570" s="28">
        <f t="shared" si="41"/>
        <v>377.88458333333341</v>
      </c>
      <c r="L570" s="28">
        <f t="shared" si="41"/>
        <v>377.74958333333331</v>
      </c>
      <c r="M570" s="28">
        <f t="shared" si="41"/>
        <v>377.58583333333331</v>
      </c>
      <c r="N570" s="28">
        <f t="shared" si="41"/>
        <v>377.4279166666667</v>
      </c>
    </row>
    <row r="571" spans="1:14" x14ac:dyDescent="0.4">
      <c r="A571" s="1">
        <v>38565</v>
      </c>
      <c r="B571" s="28">
        <v>379.95458333333335</v>
      </c>
      <c r="C571" s="28">
        <f t="shared" si="41"/>
        <v>379.72791666666672</v>
      </c>
      <c r="D571" s="28">
        <f t="shared" si="41"/>
        <v>379.49666666666673</v>
      </c>
      <c r="E571" s="28">
        <f t="shared" si="41"/>
        <v>379.28874999999994</v>
      </c>
      <c r="F571" s="28">
        <f t="shared" si="41"/>
        <v>379.07833333333321</v>
      </c>
      <c r="G571" s="28">
        <f t="shared" si="41"/>
        <v>378.87208333333336</v>
      </c>
      <c r="H571" s="28">
        <f t="shared" si="41"/>
        <v>378.65499999999997</v>
      </c>
      <c r="I571" s="28">
        <f t="shared" si="41"/>
        <v>378.41583333333341</v>
      </c>
      <c r="J571" s="28">
        <f t="shared" si="41"/>
        <v>378.1895833333333</v>
      </c>
      <c r="K571" s="28">
        <f t="shared" si="41"/>
        <v>378.01666666666671</v>
      </c>
      <c r="L571" s="28">
        <f t="shared" si="41"/>
        <v>377.88458333333341</v>
      </c>
      <c r="M571" s="28">
        <f t="shared" si="41"/>
        <v>377.74958333333331</v>
      </c>
      <c r="N571" s="28">
        <f t="shared" si="41"/>
        <v>377.58583333333331</v>
      </c>
    </row>
    <row r="572" spans="1:14" x14ac:dyDescent="0.4">
      <c r="A572" s="1">
        <v>38596</v>
      </c>
      <c r="B572" s="28">
        <v>380.15833333333336</v>
      </c>
      <c r="C572" s="28">
        <f t="shared" si="41"/>
        <v>379.95458333333335</v>
      </c>
      <c r="D572" s="28">
        <f t="shared" si="41"/>
        <v>379.72791666666672</v>
      </c>
      <c r="E572" s="28">
        <f t="shared" si="41"/>
        <v>379.49666666666673</v>
      </c>
      <c r="F572" s="28">
        <f t="shared" si="41"/>
        <v>379.28874999999994</v>
      </c>
      <c r="G572" s="28">
        <f t="shared" si="41"/>
        <v>379.07833333333321</v>
      </c>
      <c r="H572" s="28">
        <f t="shared" si="41"/>
        <v>378.87208333333336</v>
      </c>
      <c r="I572" s="28">
        <f t="shared" si="41"/>
        <v>378.65499999999997</v>
      </c>
      <c r="J572" s="28">
        <f t="shared" si="41"/>
        <v>378.41583333333341</v>
      </c>
      <c r="K572" s="28">
        <f t="shared" si="41"/>
        <v>378.1895833333333</v>
      </c>
      <c r="L572" s="28">
        <f t="shared" si="41"/>
        <v>378.01666666666671</v>
      </c>
      <c r="M572" s="28">
        <f t="shared" si="41"/>
        <v>377.88458333333341</v>
      </c>
      <c r="N572" s="28">
        <f t="shared" si="41"/>
        <v>377.74958333333331</v>
      </c>
    </row>
    <row r="573" spans="1:14" x14ac:dyDescent="0.4">
      <c r="A573" s="1">
        <v>38626</v>
      </c>
      <c r="B573" s="28">
        <v>380.35791666666665</v>
      </c>
      <c r="C573" s="28">
        <f t="shared" si="41"/>
        <v>380.15833333333336</v>
      </c>
      <c r="D573" s="28">
        <f t="shared" si="41"/>
        <v>379.95458333333335</v>
      </c>
      <c r="E573" s="28">
        <f t="shared" si="41"/>
        <v>379.72791666666672</v>
      </c>
      <c r="F573" s="28">
        <f t="shared" si="41"/>
        <v>379.49666666666673</v>
      </c>
      <c r="G573" s="28">
        <f t="shared" si="41"/>
        <v>379.28874999999994</v>
      </c>
      <c r="H573" s="28">
        <f t="shared" si="41"/>
        <v>379.07833333333321</v>
      </c>
      <c r="I573" s="28">
        <f t="shared" si="41"/>
        <v>378.87208333333336</v>
      </c>
      <c r="J573" s="28">
        <f t="shared" si="41"/>
        <v>378.65499999999997</v>
      </c>
      <c r="K573" s="28">
        <f t="shared" si="41"/>
        <v>378.41583333333341</v>
      </c>
      <c r="L573" s="28">
        <f t="shared" si="41"/>
        <v>378.1895833333333</v>
      </c>
      <c r="M573" s="28">
        <f t="shared" si="41"/>
        <v>378.01666666666671</v>
      </c>
      <c r="N573" s="28">
        <f t="shared" si="41"/>
        <v>377.88458333333341</v>
      </c>
    </row>
    <row r="574" spans="1:14" x14ac:dyDescent="0.4">
      <c r="A574" s="1">
        <v>38657</v>
      </c>
      <c r="B574" s="28">
        <v>380.56583333333333</v>
      </c>
      <c r="C574" s="28">
        <f t="shared" si="41"/>
        <v>380.35791666666665</v>
      </c>
      <c r="D574" s="28">
        <f t="shared" si="41"/>
        <v>380.15833333333336</v>
      </c>
      <c r="E574" s="28">
        <f t="shared" si="41"/>
        <v>379.95458333333335</v>
      </c>
      <c r="F574" s="28">
        <f t="shared" si="41"/>
        <v>379.72791666666672</v>
      </c>
      <c r="G574" s="28">
        <f t="shared" si="41"/>
        <v>379.49666666666673</v>
      </c>
      <c r="H574" s="28">
        <f t="shared" si="41"/>
        <v>379.28874999999994</v>
      </c>
      <c r="I574" s="28">
        <f t="shared" si="41"/>
        <v>379.07833333333321</v>
      </c>
      <c r="J574" s="28">
        <f t="shared" si="41"/>
        <v>378.87208333333336</v>
      </c>
      <c r="K574" s="28">
        <f t="shared" si="41"/>
        <v>378.65499999999997</v>
      </c>
      <c r="L574" s="28">
        <f t="shared" si="41"/>
        <v>378.41583333333341</v>
      </c>
      <c r="M574" s="28">
        <f t="shared" si="41"/>
        <v>378.1895833333333</v>
      </c>
      <c r="N574" s="28">
        <f t="shared" si="41"/>
        <v>378.01666666666671</v>
      </c>
    </row>
    <row r="575" spans="1:14" x14ac:dyDescent="0.4">
      <c r="A575" s="1">
        <v>38687</v>
      </c>
      <c r="B575" s="28">
        <v>380.75874999999996</v>
      </c>
      <c r="C575" s="28">
        <f t="shared" si="41"/>
        <v>380.56583333333333</v>
      </c>
      <c r="D575" s="28">
        <f t="shared" si="41"/>
        <v>380.35791666666665</v>
      </c>
      <c r="E575" s="28">
        <f t="shared" si="41"/>
        <v>380.15833333333336</v>
      </c>
      <c r="F575" s="28">
        <f t="shared" si="41"/>
        <v>379.95458333333335</v>
      </c>
      <c r="G575" s="28">
        <f t="shared" si="41"/>
        <v>379.72791666666672</v>
      </c>
      <c r="H575" s="28">
        <f t="shared" si="41"/>
        <v>379.49666666666673</v>
      </c>
      <c r="I575" s="28">
        <f t="shared" si="41"/>
        <v>379.28874999999994</v>
      </c>
      <c r="J575" s="28">
        <f t="shared" si="41"/>
        <v>379.07833333333321</v>
      </c>
      <c r="K575" s="28">
        <f t="shared" si="41"/>
        <v>378.87208333333336</v>
      </c>
      <c r="L575" s="28">
        <f t="shared" si="41"/>
        <v>378.65499999999997</v>
      </c>
      <c r="M575" s="28">
        <f t="shared" si="41"/>
        <v>378.41583333333341</v>
      </c>
      <c r="N575" s="28">
        <f t="shared" si="41"/>
        <v>378.1895833333333</v>
      </c>
    </row>
    <row r="576" spans="1:14" x14ac:dyDescent="0.4">
      <c r="A576" s="1">
        <v>38718</v>
      </c>
      <c r="B576" s="28">
        <v>380.90749999999997</v>
      </c>
      <c r="C576" s="28">
        <f t="shared" si="41"/>
        <v>380.75874999999996</v>
      </c>
      <c r="D576" s="28">
        <f t="shared" si="41"/>
        <v>380.56583333333333</v>
      </c>
      <c r="E576" s="28">
        <f t="shared" si="41"/>
        <v>380.35791666666665</v>
      </c>
      <c r="F576" s="28">
        <f t="shared" si="41"/>
        <v>380.15833333333336</v>
      </c>
      <c r="G576" s="28">
        <f t="shared" si="41"/>
        <v>379.95458333333335</v>
      </c>
      <c r="H576" s="28">
        <f t="shared" si="41"/>
        <v>379.72791666666672</v>
      </c>
      <c r="I576" s="28">
        <f t="shared" si="41"/>
        <v>379.49666666666673</v>
      </c>
      <c r="J576" s="28">
        <f t="shared" si="41"/>
        <v>379.28874999999994</v>
      </c>
      <c r="K576" s="28">
        <f t="shared" si="41"/>
        <v>379.07833333333321</v>
      </c>
      <c r="L576" s="28">
        <f t="shared" si="41"/>
        <v>378.87208333333336</v>
      </c>
      <c r="M576" s="28">
        <f t="shared" si="41"/>
        <v>378.65499999999997</v>
      </c>
      <c r="N576" s="28">
        <f t="shared" si="41"/>
        <v>378.41583333333341</v>
      </c>
    </row>
    <row r="577" spans="1:14" x14ac:dyDescent="0.4">
      <c r="A577" s="1">
        <v>38749</v>
      </c>
      <c r="B577" s="28">
        <v>381.05041666666665</v>
      </c>
      <c r="C577" s="28">
        <f t="shared" si="41"/>
        <v>380.90749999999997</v>
      </c>
      <c r="D577" s="28">
        <f t="shared" si="41"/>
        <v>380.75874999999996</v>
      </c>
      <c r="E577" s="28">
        <f t="shared" si="41"/>
        <v>380.56583333333333</v>
      </c>
      <c r="F577" s="28">
        <f t="shared" si="41"/>
        <v>380.35791666666665</v>
      </c>
      <c r="G577" s="28">
        <f t="shared" si="41"/>
        <v>380.15833333333336</v>
      </c>
      <c r="H577" s="28">
        <f t="shared" si="41"/>
        <v>379.95458333333335</v>
      </c>
      <c r="I577" s="28">
        <f t="shared" si="41"/>
        <v>379.72791666666672</v>
      </c>
      <c r="J577" s="28">
        <f t="shared" si="41"/>
        <v>379.49666666666673</v>
      </c>
      <c r="K577" s="28">
        <f t="shared" si="41"/>
        <v>379.28874999999994</v>
      </c>
      <c r="L577" s="28">
        <f t="shared" si="41"/>
        <v>379.07833333333321</v>
      </c>
      <c r="M577" s="28">
        <f t="shared" si="41"/>
        <v>378.87208333333336</v>
      </c>
      <c r="N577" s="28">
        <f t="shared" si="41"/>
        <v>378.65499999999997</v>
      </c>
    </row>
    <row r="578" spans="1:14" x14ac:dyDescent="0.4">
      <c r="A578" s="1">
        <v>38777</v>
      </c>
      <c r="B578" s="28">
        <v>381.22541666666666</v>
      </c>
      <c r="C578" s="28">
        <f t="shared" si="41"/>
        <v>381.05041666666665</v>
      </c>
      <c r="D578" s="28">
        <f t="shared" si="41"/>
        <v>380.90749999999997</v>
      </c>
      <c r="E578" s="28">
        <f t="shared" si="41"/>
        <v>380.75874999999996</v>
      </c>
      <c r="F578" s="28">
        <f t="shared" si="41"/>
        <v>380.56583333333333</v>
      </c>
      <c r="G578" s="28">
        <f t="shared" si="41"/>
        <v>380.35791666666665</v>
      </c>
      <c r="H578" s="28">
        <f t="shared" si="41"/>
        <v>380.15833333333336</v>
      </c>
      <c r="I578" s="28">
        <f t="shared" si="41"/>
        <v>379.95458333333335</v>
      </c>
      <c r="J578" s="28">
        <f t="shared" si="41"/>
        <v>379.72791666666672</v>
      </c>
      <c r="K578" s="28">
        <f t="shared" si="41"/>
        <v>379.49666666666673</v>
      </c>
      <c r="L578" s="28">
        <f t="shared" si="41"/>
        <v>379.28874999999994</v>
      </c>
      <c r="M578" s="28">
        <f t="shared" si="41"/>
        <v>379.07833333333321</v>
      </c>
      <c r="N578" s="28">
        <f t="shared" si="41"/>
        <v>378.87208333333336</v>
      </c>
    </row>
    <row r="579" spans="1:14" x14ac:dyDescent="0.4">
      <c r="A579" s="1">
        <v>38808</v>
      </c>
      <c r="B579" s="28">
        <v>381.41916666666674</v>
      </c>
      <c r="C579" s="28">
        <f t="shared" si="41"/>
        <v>381.22541666666666</v>
      </c>
      <c r="D579" s="28">
        <f t="shared" si="41"/>
        <v>381.05041666666665</v>
      </c>
      <c r="E579" s="28">
        <f t="shared" si="41"/>
        <v>380.90749999999997</v>
      </c>
      <c r="F579" s="28">
        <f t="shared" si="41"/>
        <v>380.75874999999996</v>
      </c>
      <c r="G579" s="28">
        <f t="shared" si="41"/>
        <v>380.56583333333333</v>
      </c>
      <c r="H579" s="28">
        <f t="shared" si="41"/>
        <v>380.35791666666665</v>
      </c>
      <c r="I579" s="28">
        <f t="shared" si="41"/>
        <v>380.15833333333336</v>
      </c>
      <c r="J579" s="28">
        <f t="shared" si="41"/>
        <v>379.95458333333335</v>
      </c>
      <c r="K579" s="28">
        <f t="shared" si="41"/>
        <v>379.72791666666672</v>
      </c>
      <c r="L579" s="28">
        <f t="shared" si="41"/>
        <v>379.49666666666673</v>
      </c>
      <c r="M579" s="28">
        <f t="shared" si="41"/>
        <v>379.28874999999994</v>
      </c>
      <c r="N579" s="28">
        <f t="shared" si="41"/>
        <v>379.07833333333321</v>
      </c>
    </row>
    <row r="580" spans="1:14" x14ac:dyDescent="0.4">
      <c r="A580" s="1">
        <v>38838</v>
      </c>
      <c r="B580" s="28">
        <v>381.58958333333339</v>
      </c>
      <c r="C580" s="28">
        <f t="shared" si="41"/>
        <v>381.41916666666674</v>
      </c>
      <c r="D580" s="28">
        <f t="shared" si="41"/>
        <v>381.22541666666666</v>
      </c>
      <c r="E580" s="28">
        <f t="shared" si="41"/>
        <v>381.05041666666665</v>
      </c>
      <c r="F580" s="28">
        <f t="shared" si="41"/>
        <v>380.90749999999997</v>
      </c>
      <c r="G580" s="28">
        <f t="shared" si="41"/>
        <v>380.75874999999996</v>
      </c>
      <c r="H580" s="28">
        <f t="shared" si="41"/>
        <v>380.56583333333333</v>
      </c>
      <c r="I580" s="28">
        <f t="shared" si="41"/>
        <v>380.35791666666665</v>
      </c>
      <c r="J580" s="28">
        <f t="shared" si="41"/>
        <v>380.15833333333336</v>
      </c>
      <c r="K580" s="28">
        <f t="shared" si="41"/>
        <v>379.95458333333335</v>
      </c>
      <c r="L580" s="28">
        <f t="shared" ref="L580:W643" si="42">IF(K579=0,"",K579)</f>
        <v>379.72791666666672</v>
      </c>
      <c r="M580" s="28">
        <f t="shared" si="42"/>
        <v>379.49666666666673</v>
      </c>
      <c r="N580" s="28">
        <f t="shared" si="42"/>
        <v>379.28874999999994</v>
      </c>
    </row>
    <row r="581" spans="1:14" x14ac:dyDescent="0.4">
      <c r="A581" s="1">
        <v>38869</v>
      </c>
      <c r="B581" s="28">
        <v>381.73666666666668</v>
      </c>
      <c r="C581" s="28">
        <f t="shared" ref="C581:N644" si="43">IF(B580=0,"",B580)</f>
        <v>381.58958333333339</v>
      </c>
      <c r="D581" s="28">
        <f t="shared" si="43"/>
        <v>381.41916666666674</v>
      </c>
      <c r="E581" s="28">
        <f t="shared" si="43"/>
        <v>381.22541666666666</v>
      </c>
      <c r="F581" s="28">
        <f t="shared" si="43"/>
        <v>381.05041666666665</v>
      </c>
      <c r="G581" s="28">
        <f t="shared" si="43"/>
        <v>380.90749999999997</v>
      </c>
      <c r="H581" s="28">
        <f t="shared" si="43"/>
        <v>380.75874999999996</v>
      </c>
      <c r="I581" s="28">
        <f t="shared" si="43"/>
        <v>380.56583333333333</v>
      </c>
      <c r="J581" s="28">
        <f t="shared" si="43"/>
        <v>380.35791666666665</v>
      </c>
      <c r="K581" s="28">
        <f t="shared" si="43"/>
        <v>380.15833333333336</v>
      </c>
      <c r="L581" s="28">
        <f t="shared" si="43"/>
        <v>379.95458333333335</v>
      </c>
      <c r="M581" s="28">
        <f t="shared" si="43"/>
        <v>379.72791666666672</v>
      </c>
      <c r="N581" s="28">
        <f t="shared" si="43"/>
        <v>379.49666666666673</v>
      </c>
    </row>
    <row r="582" spans="1:14" x14ac:dyDescent="0.4">
      <c r="A582" s="1">
        <v>38899</v>
      </c>
      <c r="B582" s="28">
        <v>381.85791666666665</v>
      </c>
      <c r="C582" s="28">
        <f t="shared" si="43"/>
        <v>381.73666666666668</v>
      </c>
      <c r="D582" s="28">
        <f t="shared" si="43"/>
        <v>381.58958333333339</v>
      </c>
      <c r="E582" s="28">
        <f t="shared" si="43"/>
        <v>381.41916666666674</v>
      </c>
      <c r="F582" s="28">
        <f t="shared" si="43"/>
        <v>381.22541666666666</v>
      </c>
      <c r="G582" s="28">
        <f t="shared" si="43"/>
        <v>381.05041666666665</v>
      </c>
      <c r="H582" s="28">
        <f t="shared" si="43"/>
        <v>380.90749999999997</v>
      </c>
      <c r="I582" s="28">
        <f t="shared" si="43"/>
        <v>380.75874999999996</v>
      </c>
      <c r="J582" s="28">
        <f t="shared" si="43"/>
        <v>380.56583333333333</v>
      </c>
      <c r="K582" s="28">
        <f t="shared" si="43"/>
        <v>380.35791666666665</v>
      </c>
      <c r="L582" s="28">
        <f t="shared" si="43"/>
        <v>380.15833333333336</v>
      </c>
      <c r="M582" s="28">
        <f t="shared" si="43"/>
        <v>379.95458333333335</v>
      </c>
      <c r="N582" s="28">
        <f t="shared" si="43"/>
        <v>379.72791666666672</v>
      </c>
    </row>
    <row r="583" spans="1:14" x14ac:dyDescent="0.4">
      <c r="A583" s="1">
        <v>38930</v>
      </c>
      <c r="B583" s="28">
        <v>381.97874999999999</v>
      </c>
      <c r="C583" s="28">
        <f t="shared" si="43"/>
        <v>381.85791666666665</v>
      </c>
      <c r="D583" s="28">
        <f t="shared" si="43"/>
        <v>381.73666666666668</v>
      </c>
      <c r="E583" s="28">
        <f t="shared" si="43"/>
        <v>381.58958333333339</v>
      </c>
      <c r="F583" s="28">
        <f t="shared" si="43"/>
        <v>381.41916666666674</v>
      </c>
      <c r="G583" s="28">
        <f t="shared" si="43"/>
        <v>381.22541666666666</v>
      </c>
      <c r="H583" s="28">
        <f t="shared" si="43"/>
        <v>381.05041666666665</v>
      </c>
      <c r="I583" s="28">
        <f t="shared" si="43"/>
        <v>380.90749999999997</v>
      </c>
      <c r="J583" s="28">
        <f t="shared" si="43"/>
        <v>380.75874999999996</v>
      </c>
      <c r="K583" s="28">
        <f t="shared" si="43"/>
        <v>380.56583333333333</v>
      </c>
      <c r="L583" s="28">
        <f t="shared" si="43"/>
        <v>380.35791666666665</v>
      </c>
      <c r="M583" s="28">
        <f t="shared" si="43"/>
        <v>380.15833333333336</v>
      </c>
      <c r="N583" s="28">
        <f t="shared" si="43"/>
        <v>379.95458333333335</v>
      </c>
    </row>
    <row r="584" spans="1:14" x14ac:dyDescent="0.4">
      <c r="A584" s="1">
        <v>38961</v>
      </c>
      <c r="B584" s="28">
        <v>382.12333333333339</v>
      </c>
      <c r="C584" s="28">
        <f t="shared" si="43"/>
        <v>381.97874999999999</v>
      </c>
      <c r="D584" s="28">
        <f t="shared" si="43"/>
        <v>381.85791666666665</v>
      </c>
      <c r="E584" s="28">
        <f t="shared" si="43"/>
        <v>381.73666666666668</v>
      </c>
      <c r="F584" s="28">
        <f t="shared" si="43"/>
        <v>381.58958333333339</v>
      </c>
      <c r="G584" s="28">
        <f t="shared" si="43"/>
        <v>381.41916666666674</v>
      </c>
      <c r="H584" s="28">
        <f t="shared" si="43"/>
        <v>381.22541666666666</v>
      </c>
      <c r="I584" s="28">
        <f t="shared" si="43"/>
        <v>381.05041666666665</v>
      </c>
      <c r="J584" s="28">
        <f t="shared" si="43"/>
        <v>380.90749999999997</v>
      </c>
      <c r="K584" s="28">
        <f t="shared" si="43"/>
        <v>380.75874999999996</v>
      </c>
      <c r="L584" s="28">
        <f t="shared" si="43"/>
        <v>380.56583333333333</v>
      </c>
      <c r="M584" s="28">
        <f t="shared" si="43"/>
        <v>380.35791666666665</v>
      </c>
      <c r="N584" s="28">
        <f t="shared" si="43"/>
        <v>380.15833333333336</v>
      </c>
    </row>
    <row r="585" spans="1:14" x14ac:dyDescent="0.4">
      <c r="A585" s="1">
        <v>38991</v>
      </c>
      <c r="B585" s="28">
        <v>382.27541666666662</v>
      </c>
      <c r="C585" s="28">
        <f t="shared" si="43"/>
        <v>382.12333333333339</v>
      </c>
      <c r="D585" s="28">
        <f t="shared" si="43"/>
        <v>381.97874999999999</v>
      </c>
      <c r="E585" s="28">
        <f t="shared" si="43"/>
        <v>381.85791666666665</v>
      </c>
      <c r="F585" s="28">
        <f t="shared" si="43"/>
        <v>381.73666666666668</v>
      </c>
      <c r="G585" s="28">
        <f t="shared" si="43"/>
        <v>381.58958333333339</v>
      </c>
      <c r="H585" s="28">
        <f t="shared" si="43"/>
        <v>381.41916666666674</v>
      </c>
      <c r="I585" s="28">
        <f t="shared" si="43"/>
        <v>381.22541666666666</v>
      </c>
      <c r="J585" s="28">
        <f t="shared" si="43"/>
        <v>381.05041666666665</v>
      </c>
      <c r="K585" s="28">
        <f t="shared" si="43"/>
        <v>380.90749999999997</v>
      </c>
      <c r="L585" s="28">
        <f t="shared" si="43"/>
        <v>380.75874999999996</v>
      </c>
      <c r="M585" s="28">
        <f t="shared" si="43"/>
        <v>380.56583333333333</v>
      </c>
      <c r="N585" s="28">
        <f t="shared" si="43"/>
        <v>380.35791666666665</v>
      </c>
    </row>
    <row r="586" spans="1:14" x14ac:dyDescent="0.4">
      <c r="A586" s="1">
        <v>39022</v>
      </c>
      <c r="B586" s="28">
        <v>382.41541666666666</v>
      </c>
      <c r="C586" s="28">
        <f t="shared" si="43"/>
        <v>382.27541666666662</v>
      </c>
      <c r="D586" s="28">
        <f t="shared" si="43"/>
        <v>382.12333333333339</v>
      </c>
      <c r="E586" s="28">
        <f t="shared" si="43"/>
        <v>381.97874999999999</v>
      </c>
      <c r="F586" s="28">
        <f t="shared" si="43"/>
        <v>381.85791666666665</v>
      </c>
      <c r="G586" s="28">
        <f t="shared" si="43"/>
        <v>381.73666666666668</v>
      </c>
      <c r="H586" s="28">
        <f t="shared" si="43"/>
        <v>381.58958333333339</v>
      </c>
      <c r="I586" s="28">
        <f t="shared" si="43"/>
        <v>381.41916666666674</v>
      </c>
      <c r="J586" s="28">
        <f t="shared" si="43"/>
        <v>381.22541666666666</v>
      </c>
      <c r="K586" s="28">
        <f t="shared" si="43"/>
        <v>381.05041666666665</v>
      </c>
      <c r="L586" s="28">
        <f t="shared" si="43"/>
        <v>380.90749999999997</v>
      </c>
      <c r="M586" s="28">
        <f t="shared" si="43"/>
        <v>380.75874999999996</v>
      </c>
      <c r="N586" s="28">
        <f t="shared" si="43"/>
        <v>380.56583333333333</v>
      </c>
    </row>
    <row r="587" spans="1:14" x14ac:dyDescent="0.4">
      <c r="A587" s="1">
        <v>39052</v>
      </c>
      <c r="B587" s="28">
        <v>382.55416666666662</v>
      </c>
      <c r="C587" s="28">
        <f t="shared" si="43"/>
        <v>382.41541666666666</v>
      </c>
      <c r="D587" s="28">
        <f t="shared" si="43"/>
        <v>382.27541666666662</v>
      </c>
      <c r="E587" s="28">
        <f t="shared" si="43"/>
        <v>382.12333333333339</v>
      </c>
      <c r="F587" s="28">
        <f t="shared" si="43"/>
        <v>381.97874999999999</v>
      </c>
      <c r="G587" s="28">
        <f t="shared" si="43"/>
        <v>381.85791666666665</v>
      </c>
      <c r="H587" s="28">
        <f t="shared" si="43"/>
        <v>381.73666666666668</v>
      </c>
      <c r="I587" s="28">
        <f t="shared" si="43"/>
        <v>381.58958333333339</v>
      </c>
      <c r="J587" s="28">
        <f t="shared" si="43"/>
        <v>381.41916666666674</v>
      </c>
      <c r="K587" s="28">
        <f t="shared" si="43"/>
        <v>381.22541666666666</v>
      </c>
      <c r="L587" s="28">
        <f t="shared" si="43"/>
        <v>381.05041666666665</v>
      </c>
      <c r="M587" s="28">
        <f t="shared" si="43"/>
        <v>380.90749999999997</v>
      </c>
      <c r="N587" s="28">
        <f t="shared" si="43"/>
        <v>380.75874999999996</v>
      </c>
    </row>
    <row r="588" spans="1:14" x14ac:dyDescent="0.4">
      <c r="A588" s="1">
        <v>39083</v>
      </c>
      <c r="B588" s="28">
        <v>382.72083333333336</v>
      </c>
      <c r="C588" s="28">
        <f t="shared" si="43"/>
        <v>382.55416666666662</v>
      </c>
      <c r="D588" s="28">
        <f t="shared" si="43"/>
        <v>382.41541666666666</v>
      </c>
      <c r="E588" s="28">
        <f t="shared" si="43"/>
        <v>382.27541666666662</v>
      </c>
      <c r="F588" s="28">
        <f t="shared" si="43"/>
        <v>382.12333333333339</v>
      </c>
      <c r="G588" s="28">
        <f t="shared" si="43"/>
        <v>381.97874999999999</v>
      </c>
      <c r="H588" s="28">
        <f t="shared" si="43"/>
        <v>381.85791666666665</v>
      </c>
      <c r="I588" s="28">
        <f t="shared" si="43"/>
        <v>381.73666666666668</v>
      </c>
      <c r="J588" s="28">
        <f t="shared" si="43"/>
        <v>381.58958333333339</v>
      </c>
      <c r="K588" s="28">
        <f t="shared" si="43"/>
        <v>381.41916666666674</v>
      </c>
      <c r="L588" s="28">
        <f t="shared" si="43"/>
        <v>381.22541666666666</v>
      </c>
      <c r="M588" s="28">
        <f t="shared" si="43"/>
        <v>381.05041666666665</v>
      </c>
      <c r="N588" s="28">
        <f t="shared" si="43"/>
        <v>380.90749999999997</v>
      </c>
    </row>
    <row r="589" spans="1:14" x14ac:dyDescent="0.4">
      <c r="A589" s="1">
        <v>39114</v>
      </c>
      <c r="B589" s="28">
        <v>382.86750000000001</v>
      </c>
      <c r="C589" s="28">
        <f t="shared" si="43"/>
        <v>382.72083333333336</v>
      </c>
      <c r="D589" s="28">
        <f t="shared" si="43"/>
        <v>382.55416666666662</v>
      </c>
      <c r="E589" s="28">
        <f t="shared" si="43"/>
        <v>382.41541666666666</v>
      </c>
      <c r="F589" s="28">
        <f t="shared" si="43"/>
        <v>382.27541666666662</v>
      </c>
      <c r="G589" s="28">
        <f t="shared" si="43"/>
        <v>382.12333333333339</v>
      </c>
      <c r="H589" s="28">
        <f t="shared" si="43"/>
        <v>381.97874999999999</v>
      </c>
      <c r="I589" s="28">
        <f t="shared" si="43"/>
        <v>381.85791666666665</v>
      </c>
      <c r="J589" s="28">
        <f t="shared" si="43"/>
        <v>381.73666666666668</v>
      </c>
      <c r="K589" s="28">
        <f t="shared" si="43"/>
        <v>381.58958333333339</v>
      </c>
      <c r="L589" s="28">
        <f t="shared" si="43"/>
        <v>381.41916666666674</v>
      </c>
      <c r="M589" s="28">
        <f t="shared" si="43"/>
        <v>381.22541666666666</v>
      </c>
      <c r="N589" s="28">
        <f t="shared" si="43"/>
        <v>381.05041666666665</v>
      </c>
    </row>
    <row r="590" spans="1:14" x14ac:dyDescent="0.4">
      <c r="A590" s="1">
        <v>39142</v>
      </c>
      <c r="B590" s="28">
        <v>383.0095833333333</v>
      </c>
      <c r="C590" s="28">
        <f t="shared" si="43"/>
        <v>382.86750000000001</v>
      </c>
      <c r="D590" s="28">
        <f t="shared" si="43"/>
        <v>382.72083333333336</v>
      </c>
      <c r="E590" s="28">
        <f t="shared" si="43"/>
        <v>382.55416666666662</v>
      </c>
      <c r="F590" s="28">
        <f t="shared" si="43"/>
        <v>382.41541666666666</v>
      </c>
      <c r="G590" s="28">
        <f t="shared" si="43"/>
        <v>382.27541666666662</v>
      </c>
      <c r="H590" s="28">
        <f t="shared" si="43"/>
        <v>382.12333333333339</v>
      </c>
      <c r="I590" s="28">
        <f t="shared" si="43"/>
        <v>381.97874999999999</v>
      </c>
      <c r="J590" s="28">
        <f t="shared" si="43"/>
        <v>381.85791666666665</v>
      </c>
      <c r="K590" s="28">
        <f t="shared" si="43"/>
        <v>381.73666666666668</v>
      </c>
      <c r="L590" s="28">
        <f t="shared" si="43"/>
        <v>381.58958333333339</v>
      </c>
      <c r="M590" s="28">
        <f t="shared" si="43"/>
        <v>381.41916666666674</v>
      </c>
      <c r="N590" s="28">
        <f t="shared" si="43"/>
        <v>381.22541666666666</v>
      </c>
    </row>
    <row r="591" spans="1:14" x14ac:dyDescent="0.4">
      <c r="A591" s="1">
        <v>39173</v>
      </c>
      <c r="B591" s="28">
        <v>383.17</v>
      </c>
      <c r="C591" s="28">
        <f t="shared" si="43"/>
        <v>383.0095833333333</v>
      </c>
      <c r="D591" s="28">
        <f t="shared" si="43"/>
        <v>382.86750000000001</v>
      </c>
      <c r="E591" s="28">
        <f t="shared" si="43"/>
        <v>382.72083333333336</v>
      </c>
      <c r="F591" s="28">
        <f t="shared" si="43"/>
        <v>382.55416666666662</v>
      </c>
      <c r="G591" s="28">
        <f t="shared" si="43"/>
        <v>382.41541666666666</v>
      </c>
      <c r="H591" s="28">
        <f t="shared" si="43"/>
        <v>382.27541666666662</v>
      </c>
      <c r="I591" s="28">
        <f t="shared" si="43"/>
        <v>382.12333333333339</v>
      </c>
      <c r="J591" s="28">
        <f t="shared" si="43"/>
        <v>381.97874999999999</v>
      </c>
      <c r="K591" s="28">
        <f t="shared" si="43"/>
        <v>381.85791666666665</v>
      </c>
      <c r="L591" s="28">
        <f t="shared" si="43"/>
        <v>381.73666666666668</v>
      </c>
      <c r="M591" s="28">
        <f t="shared" si="43"/>
        <v>381.58958333333339</v>
      </c>
      <c r="N591" s="28">
        <f t="shared" si="43"/>
        <v>381.41916666666674</v>
      </c>
    </row>
    <row r="592" spans="1:14" x14ac:dyDescent="0.4">
      <c r="A592" s="1">
        <v>39203</v>
      </c>
      <c r="B592" s="28">
        <v>383.33750000000003</v>
      </c>
      <c r="C592" s="28">
        <f t="shared" si="43"/>
        <v>383.17</v>
      </c>
      <c r="D592" s="28">
        <f t="shared" si="43"/>
        <v>383.0095833333333</v>
      </c>
      <c r="E592" s="28">
        <f t="shared" si="43"/>
        <v>382.86750000000001</v>
      </c>
      <c r="F592" s="28">
        <f t="shared" si="43"/>
        <v>382.72083333333336</v>
      </c>
      <c r="G592" s="28">
        <f t="shared" si="43"/>
        <v>382.55416666666662</v>
      </c>
      <c r="H592" s="28">
        <f t="shared" si="43"/>
        <v>382.41541666666666</v>
      </c>
      <c r="I592" s="28">
        <f t="shared" si="43"/>
        <v>382.27541666666662</v>
      </c>
      <c r="J592" s="28">
        <f t="shared" si="43"/>
        <v>382.12333333333339</v>
      </c>
      <c r="K592" s="28">
        <f t="shared" si="43"/>
        <v>381.97874999999999</v>
      </c>
      <c r="L592" s="28">
        <f t="shared" si="43"/>
        <v>381.85791666666665</v>
      </c>
      <c r="M592" s="28">
        <f t="shared" si="43"/>
        <v>381.73666666666668</v>
      </c>
      <c r="N592" s="28">
        <f t="shared" si="43"/>
        <v>381.58958333333339</v>
      </c>
    </row>
    <row r="593" spans="1:14" x14ac:dyDescent="0.4">
      <c r="A593" s="1">
        <v>39234</v>
      </c>
      <c r="B593" s="28">
        <v>383.51125000000002</v>
      </c>
      <c r="C593" s="28">
        <f t="shared" si="43"/>
        <v>383.33750000000003</v>
      </c>
      <c r="D593" s="28">
        <f t="shared" si="43"/>
        <v>383.17</v>
      </c>
      <c r="E593" s="28">
        <f t="shared" si="43"/>
        <v>383.0095833333333</v>
      </c>
      <c r="F593" s="28">
        <f t="shared" si="43"/>
        <v>382.86750000000001</v>
      </c>
      <c r="G593" s="28">
        <f t="shared" si="43"/>
        <v>382.72083333333336</v>
      </c>
      <c r="H593" s="28">
        <f t="shared" si="43"/>
        <v>382.55416666666662</v>
      </c>
      <c r="I593" s="28">
        <f t="shared" si="43"/>
        <v>382.41541666666666</v>
      </c>
      <c r="J593" s="28">
        <f t="shared" si="43"/>
        <v>382.27541666666662</v>
      </c>
      <c r="K593" s="28">
        <f t="shared" si="43"/>
        <v>382.12333333333339</v>
      </c>
      <c r="L593" s="28">
        <f t="shared" si="43"/>
        <v>381.97874999999999</v>
      </c>
      <c r="M593" s="28">
        <f t="shared" si="43"/>
        <v>381.85791666666665</v>
      </c>
      <c r="N593" s="28">
        <f t="shared" si="43"/>
        <v>381.73666666666668</v>
      </c>
    </row>
    <row r="594" spans="1:14" x14ac:dyDescent="0.4">
      <c r="A594" s="1">
        <v>39264</v>
      </c>
      <c r="B594" s="28">
        <v>383.69625000000002</v>
      </c>
      <c r="C594" s="28">
        <f t="shared" si="43"/>
        <v>383.51125000000002</v>
      </c>
      <c r="D594" s="28">
        <f t="shared" si="43"/>
        <v>383.33750000000003</v>
      </c>
      <c r="E594" s="28">
        <f t="shared" si="43"/>
        <v>383.17</v>
      </c>
      <c r="F594" s="28">
        <f t="shared" si="43"/>
        <v>383.0095833333333</v>
      </c>
      <c r="G594" s="28">
        <f t="shared" si="43"/>
        <v>382.86750000000001</v>
      </c>
      <c r="H594" s="28">
        <f t="shared" si="43"/>
        <v>382.72083333333336</v>
      </c>
      <c r="I594" s="28">
        <f t="shared" si="43"/>
        <v>382.55416666666662</v>
      </c>
      <c r="J594" s="28">
        <f t="shared" si="43"/>
        <v>382.41541666666666</v>
      </c>
      <c r="K594" s="28">
        <f t="shared" si="43"/>
        <v>382.27541666666662</v>
      </c>
      <c r="L594" s="28">
        <f t="shared" si="43"/>
        <v>382.12333333333339</v>
      </c>
      <c r="M594" s="28">
        <f t="shared" si="43"/>
        <v>381.97874999999999</v>
      </c>
      <c r="N594" s="28">
        <f t="shared" si="43"/>
        <v>381.85791666666665</v>
      </c>
    </row>
    <row r="595" spans="1:14" x14ac:dyDescent="0.4">
      <c r="A595" s="1">
        <v>39295</v>
      </c>
      <c r="B595" s="28">
        <v>383.88875000000002</v>
      </c>
      <c r="C595" s="28">
        <f t="shared" si="43"/>
        <v>383.69625000000002</v>
      </c>
      <c r="D595" s="28">
        <f t="shared" si="43"/>
        <v>383.51125000000002</v>
      </c>
      <c r="E595" s="28">
        <f t="shared" si="43"/>
        <v>383.33750000000003</v>
      </c>
      <c r="F595" s="28">
        <f t="shared" si="43"/>
        <v>383.17</v>
      </c>
      <c r="G595" s="28">
        <f t="shared" si="43"/>
        <v>383.0095833333333</v>
      </c>
      <c r="H595" s="28">
        <f t="shared" si="43"/>
        <v>382.86750000000001</v>
      </c>
      <c r="I595" s="28">
        <f t="shared" si="43"/>
        <v>382.72083333333336</v>
      </c>
      <c r="J595" s="28">
        <f t="shared" si="43"/>
        <v>382.55416666666662</v>
      </c>
      <c r="K595" s="28">
        <f t="shared" si="43"/>
        <v>382.41541666666666</v>
      </c>
      <c r="L595" s="28">
        <f t="shared" si="43"/>
        <v>382.27541666666662</v>
      </c>
      <c r="M595" s="28">
        <f t="shared" si="43"/>
        <v>382.12333333333339</v>
      </c>
      <c r="N595" s="28">
        <f t="shared" si="43"/>
        <v>381.97874999999999</v>
      </c>
    </row>
    <row r="596" spans="1:14" x14ac:dyDescent="0.4">
      <c r="A596" s="1">
        <v>39326</v>
      </c>
      <c r="B596" s="28">
        <v>384.03958333333338</v>
      </c>
      <c r="C596" s="28">
        <f t="shared" si="43"/>
        <v>383.88875000000002</v>
      </c>
      <c r="D596" s="28">
        <f t="shared" si="43"/>
        <v>383.69625000000002</v>
      </c>
      <c r="E596" s="28">
        <f t="shared" si="43"/>
        <v>383.51125000000002</v>
      </c>
      <c r="F596" s="28">
        <f t="shared" si="43"/>
        <v>383.33750000000003</v>
      </c>
      <c r="G596" s="28">
        <f t="shared" si="43"/>
        <v>383.17</v>
      </c>
      <c r="H596" s="28">
        <f t="shared" si="43"/>
        <v>383.0095833333333</v>
      </c>
      <c r="I596" s="28">
        <f t="shared" si="43"/>
        <v>382.86750000000001</v>
      </c>
      <c r="J596" s="28">
        <f t="shared" si="43"/>
        <v>382.72083333333336</v>
      </c>
      <c r="K596" s="28">
        <f t="shared" si="43"/>
        <v>382.55416666666662</v>
      </c>
      <c r="L596" s="28">
        <f t="shared" si="43"/>
        <v>382.41541666666666</v>
      </c>
      <c r="M596" s="28">
        <f t="shared" si="43"/>
        <v>382.27541666666662</v>
      </c>
      <c r="N596" s="28">
        <f t="shared" si="43"/>
        <v>382.12333333333339</v>
      </c>
    </row>
    <row r="597" spans="1:14" x14ac:dyDescent="0.4">
      <c r="A597" s="1">
        <v>39356</v>
      </c>
      <c r="B597" s="28">
        <v>384.12416666666672</v>
      </c>
      <c r="C597" s="28">
        <f t="shared" si="43"/>
        <v>384.03958333333338</v>
      </c>
      <c r="D597" s="28">
        <f t="shared" si="43"/>
        <v>383.88875000000002</v>
      </c>
      <c r="E597" s="28">
        <f t="shared" si="43"/>
        <v>383.69625000000002</v>
      </c>
      <c r="F597" s="28">
        <f t="shared" si="43"/>
        <v>383.51125000000002</v>
      </c>
      <c r="G597" s="28">
        <f t="shared" si="43"/>
        <v>383.33750000000003</v>
      </c>
      <c r="H597" s="28">
        <f t="shared" si="43"/>
        <v>383.17</v>
      </c>
      <c r="I597" s="28">
        <f t="shared" si="43"/>
        <v>383.0095833333333</v>
      </c>
      <c r="J597" s="28">
        <f t="shared" si="43"/>
        <v>382.86750000000001</v>
      </c>
      <c r="K597" s="28">
        <f t="shared" si="43"/>
        <v>382.72083333333336</v>
      </c>
      <c r="L597" s="28">
        <f t="shared" si="43"/>
        <v>382.55416666666662</v>
      </c>
      <c r="M597" s="28">
        <f t="shared" si="43"/>
        <v>382.41541666666666</v>
      </c>
      <c r="N597" s="28">
        <f t="shared" si="43"/>
        <v>382.27541666666662</v>
      </c>
    </row>
    <row r="598" spans="1:14" x14ac:dyDescent="0.4">
      <c r="A598" s="1">
        <v>39387</v>
      </c>
      <c r="B598" s="28">
        <v>384.23416666666662</v>
      </c>
      <c r="C598" s="28">
        <f t="shared" si="43"/>
        <v>384.12416666666672</v>
      </c>
      <c r="D598" s="28">
        <f t="shared" si="43"/>
        <v>384.03958333333338</v>
      </c>
      <c r="E598" s="28">
        <f t="shared" si="43"/>
        <v>383.88875000000002</v>
      </c>
      <c r="F598" s="28">
        <f t="shared" si="43"/>
        <v>383.69625000000002</v>
      </c>
      <c r="G598" s="28">
        <f t="shared" si="43"/>
        <v>383.51125000000002</v>
      </c>
      <c r="H598" s="28">
        <f t="shared" si="43"/>
        <v>383.33750000000003</v>
      </c>
      <c r="I598" s="28">
        <f t="shared" si="43"/>
        <v>383.17</v>
      </c>
      <c r="J598" s="28">
        <f t="shared" si="43"/>
        <v>383.0095833333333</v>
      </c>
      <c r="K598" s="28">
        <f t="shared" si="43"/>
        <v>382.86750000000001</v>
      </c>
      <c r="L598" s="28">
        <f t="shared" si="43"/>
        <v>382.72083333333336</v>
      </c>
      <c r="M598" s="28">
        <f t="shared" si="43"/>
        <v>382.55416666666662</v>
      </c>
      <c r="N598" s="28">
        <f t="shared" si="43"/>
        <v>382.41541666666666</v>
      </c>
    </row>
    <row r="599" spans="1:14" x14ac:dyDescent="0.4">
      <c r="A599" s="1">
        <v>39417</v>
      </c>
      <c r="B599" s="28">
        <v>384.41249999999997</v>
      </c>
      <c r="C599" s="28">
        <f t="shared" si="43"/>
        <v>384.23416666666662</v>
      </c>
      <c r="D599" s="28">
        <f t="shared" si="43"/>
        <v>384.12416666666672</v>
      </c>
      <c r="E599" s="28">
        <f t="shared" si="43"/>
        <v>384.03958333333338</v>
      </c>
      <c r="F599" s="28">
        <f t="shared" si="43"/>
        <v>383.88875000000002</v>
      </c>
      <c r="G599" s="28">
        <f t="shared" si="43"/>
        <v>383.69625000000002</v>
      </c>
      <c r="H599" s="28">
        <f t="shared" si="43"/>
        <v>383.51125000000002</v>
      </c>
      <c r="I599" s="28">
        <f t="shared" si="43"/>
        <v>383.33750000000003</v>
      </c>
      <c r="J599" s="28">
        <f t="shared" si="43"/>
        <v>383.17</v>
      </c>
      <c r="K599" s="28">
        <f t="shared" si="43"/>
        <v>383.0095833333333</v>
      </c>
      <c r="L599" s="28">
        <f t="shared" si="43"/>
        <v>382.86750000000001</v>
      </c>
      <c r="M599" s="28">
        <f t="shared" si="43"/>
        <v>382.72083333333336</v>
      </c>
      <c r="N599" s="28">
        <f t="shared" si="43"/>
        <v>382.55416666666662</v>
      </c>
    </row>
    <row r="600" spans="1:14" x14ac:dyDescent="0.4">
      <c r="A600" s="1">
        <v>39448</v>
      </c>
      <c r="B600" s="28">
        <v>384.57874999999996</v>
      </c>
      <c r="C600" s="28">
        <f t="shared" si="43"/>
        <v>384.41249999999997</v>
      </c>
      <c r="D600" s="28">
        <f t="shared" si="43"/>
        <v>384.23416666666662</v>
      </c>
      <c r="E600" s="28">
        <f t="shared" si="43"/>
        <v>384.12416666666672</v>
      </c>
      <c r="F600" s="28">
        <f t="shared" si="43"/>
        <v>384.03958333333338</v>
      </c>
      <c r="G600" s="28">
        <f t="shared" si="43"/>
        <v>383.88875000000002</v>
      </c>
      <c r="H600" s="28">
        <f t="shared" si="43"/>
        <v>383.69625000000002</v>
      </c>
      <c r="I600" s="28">
        <f t="shared" si="43"/>
        <v>383.51125000000002</v>
      </c>
      <c r="J600" s="28">
        <f t="shared" si="43"/>
        <v>383.33750000000003</v>
      </c>
      <c r="K600" s="28">
        <f t="shared" si="43"/>
        <v>383.17</v>
      </c>
      <c r="L600" s="28">
        <f t="shared" si="43"/>
        <v>383.0095833333333</v>
      </c>
      <c r="M600" s="28">
        <f t="shared" si="43"/>
        <v>382.86750000000001</v>
      </c>
      <c r="N600" s="28">
        <f t="shared" si="43"/>
        <v>382.72083333333336</v>
      </c>
    </row>
    <row r="601" spans="1:14" x14ac:dyDescent="0.4">
      <c r="A601" s="1">
        <v>39479</v>
      </c>
      <c r="B601" s="28">
        <v>384.74749999999995</v>
      </c>
      <c r="C601" s="28">
        <f t="shared" si="43"/>
        <v>384.57874999999996</v>
      </c>
      <c r="D601" s="28">
        <f t="shared" si="43"/>
        <v>384.41249999999997</v>
      </c>
      <c r="E601" s="28">
        <f t="shared" si="43"/>
        <v>384.23416666666662</v>
      </c>
      <c r="F601" s="28">
        <f t="shared" si="43"/>
        <v>384.12416666666672</v>
      </c>
      <c r="G601" s="28">
        <f t="shared" si="43"/>
        <v>384.03958333333338</v>
      </c>
      <c r="H601" s="28">
        <f t="shared" si="43"/>
        <v>383.88875000000002</v>
      </c>
      <c r="I601" s="28">
        <f t="shared" si="43"/>
        <v>383.69625000000002</v>
      </c>
      <c r="J601" s="28">
        <f t="shared" si="43"/>
        <v>383.51125000000002</v>
      </c>
      <c r="K601" s="28">
        <f t="shared" si="43"/>
        <v>383.33750000000003</v>
      </c>
      <c r="L601" s="28">
        <f t="shared" si="43"/>
        <v>383.17</v>
      </c>
      <c r="M601" s="28">
        <f t="shared" si="43"/>
        <v>383.0095833333333</v>
      </c>
      <c r="N601" s="28">
        <f t="shared" si="43"/>
        <v>382.86750000000001</v>
      </c>
    </row>
    <row r="602" spans="1:14" x14ac:dyDescent="0.4">
      <c r="A602" s="1">
        <v>39508</v>
      </c>
      <c r="B602" s="28">
        <v>384.93374999999997</v>
      </c>
      <c r="C602" s="28">
        <f t="shared" si="43"/>
        <v>384.74749999999995</v>
      </c>
      <c r="D602" s="28">
        <f t="shared" si="43"/>
        <v>384.57874999999996</v>
      </c>
      <c r="E602" s="28">
        <f t="shared" si="43"/>
        <v>384.41249999999997</v>
      </c>
      <c r="F602" s="28">
        <f t="shared" ref="D602:R617" si="44">IF(E601=0,"",E601)</f>
        <v>384.23416666666662</v>
      </c>
      <c r="G602" s="28">
        <f t="shared" si="44"/>
        <v>384.12416666666672</v>
      </c>
      <c r="H602" s="28">
        <f t="shared" si="44"/>
        <v>384.03958333333338</v>
      </c>
      <c r="I602" s="28">
        <f t="shared" si="44"/>
        <v>383.88875000000002</v>
      </c>
      <c r="J602" s="28">
        <f t="shared" si="44"/>
        <v>383.69625000000002</v>
      </c>
      <c r="K602" s="28">
        <f t="shared" si="44"/>
        <v>383.51125000000002</v>
      </c>
      <c r="L602" s="28">
        <f t="shared" si="44"/>
        <v>383.33750000000003</v>
      </c>
      <c r="M602" s="28">
        <f t="shared" si="44"/>
        <v>383.17</v>
      </c>
      <c r="N602" s="28">
        <f t="shared" si="44"/>
        <v>383.0095833333333</v>
      </c>
    </row>
    <row r="603" spans="1:14" x14ac:dyDescent="0.4">
      <c r="A603" s="1">
        <v>39539</v>
      </c>
      <c r="B603" s="28">
        <v>385.10666666666674</v>
      </c>
      <c r="C603" s="28">
        <f t="shared" ref="C603:N666" si="45">IF(B602=0,"",B602)</f>
        <v>384.93374999999997</v>
      </c>
      <c r="D603" s="28">
        <f t="shared" si="44"/>
        <v>384.74749999999995</v>
      </c>
      <c r="E603" s="28">
        <f t="shared" si="44"/>
        <v>384.57874999999996</v>
      </c>
      <c r="F603" s="28">
        <f t="shared" si="44"/>
        <v>384.41249999999997</v>
      </c>
      <c r="G603" s="28">
        <f t="shared" si="44"/>
        <v>384.23416666666662</v>
      </c>
      <c r="H603" s="28">
        <f t="shared" si="44"/>
        <v>384.12416666666672</v>
      </c>
      <c r="I603" s="28">
        <f t="shared" si="44"/>
        <v>384.03958333333338</v>
      </c>
      <c r="J603" s="28">
        <f t="shared" si="44"/>
        <v>383.88875000000002</v>
      </c>
      <c r="K603" s="28">
        <f t="shared" si="44"/>
        <v>383.69625000000002</v>
      </c>
      <c r="L603" s="28">
        <f t="shared" si="44"/>
        <v>383.51125000000002</v>
      </c>
      <c r="M603" s="28">
        <f t="shared" si="44"/>
        <v>383.33750000000003</v>
      </c>
      <c r="N603" s="28">
        <f t="shared" si="44"/>
        <v>383.17</v>
      </c>
    </row>
    <row r="604" spans="1:14" x14ac:dyDescent="0.4">
      <c r="A604" s="1">
        <v>39569</v>
      </c>
      <c r="B604" s="28">
        <v>385.25541666666669</v>
      </c>
      <c r="C604" s="28">
        <f t="shared" si="45"/>
        <v>385.10666666666674</v>
      </c>
      <c r="D604" s="28">
        <f t="shared" si="44"/>
        <v>384.93374999999997</v>
      </c>
      <c r="E604" s="28">
        <f t="shared" si="44"/>
        <v>384.74749999999995</v>
      </c>
      <c r="F604" s="28">
        <f t="shared" si="44"/>
        <v>384.57874999999996</v>
      </c>
      <c r="G604" s="28">
        <f t="shared" si="44"/>
        <v>384.41249999999997</v>
      </c>
      <c r="H604" s="28">
        <f t="shared" si="44"/>
        <v>384.23416666666662</v>
      </c>
      <c r="I604" s="28">
        <f t="shared" si="44"/>
        <v>384.12416666666672</v>
      </c>
      <c r="J604" s="28">
        <f t="shared" si="44"/>
        <v>384.03958333333338</v>
      </c>
      <c r="K604" s="28">
        <f t="shared" si="44"/>
        <v>383.88875000000002</v>
      </c>
      <c r="L604" s="28">
        <f t="shared" si="44"/>
        <v>383.69625000000002</v>
      </c>
      <c r="M604" s="28">
        <f t="shared" si="44"/>
        <v>383.51125000000002</v>
      </c>
      <c r="N604" s="28">
        <f t="shared" si="44"/>
        <v>383.33750000000003</v>
      </c>
    </row>
    <row r="605" spans="1:14" x14ac:dyDescent="0.4">
      <c r="A605" s="1">
        <v>39600</v>
      </c>
      <c r="B605" s="28">
        <v>385.3866666666666</v>
      </c>
      <c r="C605" s="28">
        <f t="shared" si="45"/>
        <v>385.25541666666669</v>
      </c>
      <c r="D605" s="28">
        <f t="shared" si="44"/>
        <v>385.10666666666674</v>
      </c>
      <c r="E605" s="28">
        <f t="shared" si="44"/>
        <v>384.93374999999997</v>
      </c>
      <c r="F605" s="28">
        <f t="shared" si="44"/>
        <v>384.74749999999995</v>
      </c>
      <c r="G605" s="28">
        <f t="shared" si="44"/>
        <v>384.57874999999996</v>
      </c>
      <c r="H605" s="28">
        <f t="shared" si="44"/>
        <v>384.41249999999997</v>
      </c>
      <c r="I605" s="28">
        <f t="shared" si="44"/>
        <v>384.23416666666662</v>
      </c>
      <c r="J605" s="28">
        <f t="shared" si="44"/>
        <v>384.12416666666672</v>
      </c>
      <c r="K605" s="28">
        <f t="shared" si="44"/>
        <v>384.03958333333338</v>
      </c>
      <c r="L605" s="28">
        <f t="shared" si="44"/>
        <v>383.88875000000002</v>
      </c>
      <c r="M605" s="28">
        <f t="shared" si="44"/>
        <v>383.69625000000002</v>
      </c>
      <c r="N605" s="28">
        <f t="shared" si="44"/>
        <v>383.51125000000002</v>
      </c>
    </row>
    <row r="606" spans="1:14" x14ac:dyDescent="0.4">
      <c r="A606" s="1">
        <v>39630</v>
      </c>
      <c r="B606" s="28">
        <v>385.51500000000004</v>
      </c>
      <c r="C606" s="28">
        <f t="shared" si="45"/>
        <v>385.3866666666666</v>
      </c>
      <c r="D606" s="28">
        <f t="shared" si="44"/>
        <v>385.25541666666669</v>
      </c>
      <c r="E606" s="28">
        <f t="shared" si="44"/>
        <v>385.10666666666674</v>
      </c>
      <c r="F606" s="28">
        <f t="shared" si="44"/>
        <v>384.93374999999997</v>
      </c>
      <c r="G606" s="28">
        <f t="shared" si="44"/>
        <v>384.74749999999995</v>
      </c>
      <c r="H606" s="28">
        <f t="shared" si="44"/>
        <v>384.57874999999996</v>
      </c>
      <c r="I606" s="28">
        <f t="shared" si="44"/>
        <v>384.41249999999997</v>
      </c>
      <c r="J606" s="28">
        <f t="shared" si="44"/>
        <v>384.23416666666662</v>
      </c>
      <c r="K606" s="28">
        <f t="shared" si="44"/>
        <v>384.12416666666672</v>
      </c>
      <c r="L606" s="28">
        <f t="shared" si="44"/>
        <v>384.03958333333338</v>
      </c>
      <c r="M606" s="28">
        <f t="shared" si="44"/>
        <v>383.88875000000002</v>
      </c>
      <c r="N606" s="28">
        <f t="shared" si="44"/>
        <v>383.69625000000002</v>
      </c>
    </row>
    <row r="607" spans="1:14" x14ac:dyDescent="0.4">
      <c r="A607" s="1">
        <v>39661</v>
      </c>
      <c r="B607" s="28">
        <v>385.63416666666666</v>
      </c>
      <c r="C607" s="28">
        <f t="shared" si="45"/>
        <v>385.51500000000004</v>
      </c>
      <c r="D607" s="28">
        <f t="shared" si="44"/>
        <v>385.3866666666666</v>
      </c>
      <c r="E607" s="28">
        <f t="shared" si="44"/>
        <v>385.25541666666669</v>
      </c>
      <c r="F607" s="28">
        <f t="shared" si="44"/>
        <v>385.10666666666674</v>
      </c>
      <c r="G607" s="28">
        <f t="shared" si="44"/>
        <v>384.93374999999997</v>
      </c>
      <c r="H607" s="28">
        <f t="shared" si="44"/>
        <v>384.74749999999995</v>
      </c>
      <c r="I607" s="28">
        <f t="shared" si="44"/>
        <v>384.57874999999996</v>
      </c>
      <c r="J607" s="28">
        <f t="shared" si="44"/>
        <v>384.41249999999997</v>
      </c>
      <c r="K607" s="28">
        <f t="shared" si="44"/>
        <v>384.23416666666662</v>
      </c>
      <c r="L607" s="28">
        <f t="shared" si="44"/>
        <v>384.12416666666672</v>
      </c>
      <c r="M607" s="28">
        <f t="shared" si="44"/>
        <v>384.03958333333338</v>
      </c>
      <c r="N607" s="28">
        <f t="shared" si="44"/>
        <v>383.88875000000002</v>
      </c>
    </row>
    <row r="608" spans="1:14" x14ac:dyDescent="0.4">
      <c r="A608" s="1">
        <v>39692</v>
      </c>
      <c r="B608" s="28">
        <v>385.79958333333326</v>
      </c>
      <c r="C608" s="28">
        <f t="shared" si="45"/>
        <v>385.63416666666666</v>
      </c>
      <c r="D608" s="28">
        <f t="shared" si="44"/>
        <v>385.51500000000004</v>
      </c>
      <c r="E608" s="28">
        <f t="shared" si="44"/>
        <v>385.3866666666666</v>
      </c>
      <c r="F608" s="28">
        <f t="shared" si="44"/>
        <v>385.25541666666669</v>
      </c>
      <c r="G608" s="28">
        <f t="shared" si="44"/>
        <v>385.10666666666674</v>
      </c>
      <c r="H608" s="28">
        <f t="shared" si="44"/>
        <v>384.93374999999997</v>
      </c>
      <c r="I608" s="28">
        <f t="shared" si="44"/>
        <v>384.74749999999995</v>
      </c>
      <c r="J608" s="28">
        <f t="shared" si="44"/>
        <v>384.57874999999996</v>
      </c>
      <c r="K608" s="28">
        <f t="shared" si="44"/>
        <v>384.41249999999997</v>
      </c>
      <c r="L608" s="28">
        <f t="shared" si="44"/>
        <v>384.23416666666662</v>
      </c>
      <c r="M608" s="28">
        <f t="shared" si="44"/>
        <v>384.12416666666672</v>
      </c>
      <c r="N608" s="28">
        <f t="shared" si="44"/>
        <v>384.03958333333338</v>
      </c>
    </row>
    <row r="609" spans="1:14" x14ac:dyDescent="0.4">
      <c r="A609" s="1">
        <v>39722</v>
      </c>
      <c r="B609" s="28">
        <v>386.02833333333336</v>
      </c>
      <c r="C609" s="28">
        <f t="shared" si="45"/>
        <v>385.79958333333326</v>
      </c>
      <c r="D609" s="28">
        <f t="shared" si="44"/>
        <v>385.63416666666666</v>
      </c>
      <c r="E609" s="28">
        <f t="shared" si="44"/>
        <v>385.51500000000004</v>
      </c>
      <c r="F609" s="28">
        <f t="shared" si="44"/>
        <v>385.3866666666666</v>
      </c>
      <c r="G609" s="28">
        <f t="shared" si="44"/>
        <v>385.25541666666669</v>
      </c>
      <c r="H609" s="28">
        <f t="shared" si="44"/>
        <v>385.10666666666674</v>
      </c>
      <c r="I609" s="28">
        <f t="shared" si="44"/>
        <v>384.93374999999997</v>
      </c>
      <c r="J609" s="28">
        <f t="shared" si="44"/>
        <v>384.74749999999995</v>
      </c>
      <c r="K609" s="28">
        <f t="shared" si="44"/>
        <v>384.57874999999996</v>
      </c>
      <c r="L609" s="28">
        <f t="shared" si="44"/>
        <v>384.41249999999997</v>
      </c>
      <c r="M609" s="28">
        <f t="shared" si="44"/>
        <v>384.23416666666662</v>
      </c>
      <c r="N609" s="28">
        <f t="shared" si="44"/>
        <v>384.12416666666672</v>
      </c>
    </row>
    <row r="610" spans="1:14" x14ac:dyDescent="0.4">
      <c r="A610" s="1">
        <v>39753</v>
      </c>
      <c r="B610" s="28">
        <v>386.21416666666664</v>
      </c>
      <c r="C610" s="28">
        <f t="shared" si="45"/>
        <v>386.02833333333336</v>
      </c>
      <c r="D610" s="28">
        <f t="shared" si="44"/>
        <v>385.79958333333326</v>
      </c>
      <c r="E610" s="28">
        <f t="shared" si="44"/>
        <v>385.63416666666666</v>
      </c>
      <c r="F610" s="28">
        <f t="shared" si="44"/>
        <v>385.51500000000004</v>
      </c>
      <c r="G610" s="28">
        <f t="shared" si="44"/>
        <v>385.3866666666666</v>
      </c>
      <c r="H610" s="28">
        <f t="shared" si="44"/>
        <v>385.25541666666669</v>
      </c>
      <c r="I610" s="28">
        <f t="shared" si="44"/>
        <v>385.10666666666674</v>
      </c>
      <c r="J610" s="28">
        <f t="shared" si="44"/>
        <v>384.93374999999997</v>
      </c>
      <c r="K610" s="28">
        <f t="shared" si="44"/>
        <v>384.74749999999995</v>
      </c>
      <c r="L610" s="28">
        <f t="shared" si="44"/>
        <v>384.57874999999996</v>
      </c>
      <c r="M610" s="28">
        <f t="shared" si="44"/>
        <v>384.41249999999997</v>
      </c>
      <c r="N610" s="28">
        <f t="shared" si="44"/>
        <v>384.23416666666662</v>
      </c>
    </row>
    <row r="611" spans="1:14" x14ac:dyDescent="0.4">
      <c r="A611" s="1">
        <v>39783</v>
      </c>
      <c r="B611" s="28">
        <v>386.34875000000005</v>
      </c>
      <c r="C611" s="28">
        <f t="shared" si="45"/>
        <v>386.21416666666664</v>
      </c>
      <c r="D611" s="28">
        <f t="shared" si="44"/>
        <v>386.02833333333336</v>
      </c>
      <c r="E611" s="28">
        <f t="shared" si="44"/>
        <v>385.79958333333326</v>
      </c>
      <c r="F611" s="28">
        <f t="shared" si="44"/>
        <v>385.63416666666666</v>
      </c>
      <c r="G611" s="28">
        <f t="shared" si="44"/>
        <v>385.51500000000004</v>
      </c>
      <c r="H611" s="28">
        <f t="shared" si="44"/>
        <v>385.3866666666666</v>
      </c>
      <c r="I611" s="28">
        <f t="shared" si="44"/>
        <v>385.25541666666669</v>
      </c>
      <c r="J611" s="28">
        <f t="shared" si="44"/>
        <v>385.10666666666674</v>
      </c>
      <c r="K611" s="28">
        <f t="shared" si="44"/>
        <v>384.93374999999997</v>
      </c>
      <c r="L611" s="28">
        <f t="shared" si="44"/>
        <v>384.74749999999995</v>
      </c>
      <c r="M611" s="28">
        <f t="shared" si="44"/>
        <v>384.57874999999996</v>
      </c>
      <c r="N611" s="28">
        <f t="shared" si="44"/>
        <v>384.41249999999997</v>
      </c>
    </row>
    <row r="612" spans="1:14" x14ac:dyDescent="0.4">
      <c r="A612" s="1">
        <v>39814</v>
      </c>
      <c r="B612" s="28">
        <v>386.49</v>
      </c>
      <c r="C612" s="28">
        <f t="shared" si="45"/>
        <v>386.34875000000005</v>
      </c>
      <c r="D612" s="28">
        <f t="shared" si="44"/>
        <v>386.21416666666664</v>
      </c>
      <c r="E612" s="28">
        <f t="shared" si="44"/>
        <v>386.02833333333336</v>
      </c>
      <c r="F612" s="28">
        <f t="shared" si="44"/>
        <v>385.79958333333326</v>
      </c>
      <c r="G612" s="28">
        <f t="shared" si="44"/>
        <v>385.63416666666666</v>
      </c>
      <c r="H612" s="28">
        <f t="shared" si="44"/>
        <v>385.51500000000004</v>
      </c>
      <c r="I612" s="28">
        <f t="shared" si="44"/>
        <v>385.3866666666666</v>
      </c>
      <c r="J612" s="28">
        <f t="shared" si="44"/>
        <v>385.25541666666669</v>
      </c>
      <c r="K612" s="28">
        <f t="shared" si="44"/>
        <v>385.10666666666674</v>
      </c>
      <c r="L612" s="28">
        <f t="shared" si="44"/>
        <v>384.93374999999997</v>
      </c>
      <c r="M612" s="28">
        <f t="shared" si="44"/>
        <v>384.74749999999995</v>
      </c>
      <c r="N612" s="28">
        <f t="shared" si="44"/>
        <v>384.57874999999996</v>
      </c>
    </row>
    <row r="613" spans="1:14" x14ac:dyDescent="0.4">
      <c r="A613" s="1">
        <v>39845</v>
      </c>
      <c r="B613" s="28">
        <v>386.64916666666664</v>
      </c>
      <c r="C613" s="28">
        <f t="shared" si="45"/>
        <v>386.49</v>
      </c>
      <c r="D613" s="28">
        <f t="shared" si="44"/>
        <v>386.34875000000005</v>
      </c>
      <c r="E613" s="28">
        <f t="shared" si="44"/>
        <v>386.21416666666664</v>
      </c>
      <c r="F613" s="28">
        <f t="shared" si="44"/>
        <v>386.02833333333336</v>
      </c>
      <c r="G613" s="28">
        <f t="shared" si="44"/>
        <v>385.79958333333326</v>
      </c>
      <c r="H613" s="28">
        <f t="shared" si="44"/>
        <v>385.63416666666666</v>
      </c>
      <c r="I613" s="28">
        <f t="shared" si="44"/>
        <v>385.51500000000004</v>
      </c>
      <c r="J613" s="28">
        <f t="shared" si="44"/>
        <v>385.3866666666666</v>
      </c>
      <c r="K613" s="28">
        <f t="shared" si="44"/>
        <v>385.25541666666669</v>
      </c>
      <c r="L613" s="28">
        <f t="shared" si="44"/>
        <v>385.10666666666674</v>
      </c>
      <c r="M613" s="28">
        <f t="shared" si="44"/>
        <v>384.93374999999997</v>
      </c>
      <c r="N613" s="28">
        <f t="shared" si="44"/>
        <v>384.74749999999995</v>
      </c>
    </row>
    <row r="614" spans="1:14" x14ac:dyDescent="0.4">
      <c r="A614" s="1">
        <v>39873</v>
      </c>
      <c r="B614" s="28">
        <v>386.79750000000007</v>
      </c>
      <c r="C614" s="28">
        <f t="shared" si="45"/>
        <v>386.64916666666664</v>
      </c>
      <c r="D614" s="28">
        <f t="shared" si="44"/>
        <v>386.49</v>
      </c>
      <c r="E614" s="28">
        <f t="shared" si="44"/>
        <v>386.34875000000005</v>
      </c>
      <c r="F614" s="28">
        <f t="shared" si="44"/>
        <v>386.21416666666664</v>
      </c>
      <c r="G614" s="28">
        <f t="shared" si="44"/>
        <v>386.02833333333336</v>
      </c>
      <c r="H614" s="28">
        <f t="shared" si="44"/>
        <v>385.79958333333326</v>
      </c>
      <c r="I614" s="28">
        <f t="shared" si="44"/>
        <v>385.63416666666666</v>
      </c>
      <c r="J614" s="28">
        <f t="shared" si="44"/>
        <v>385.51500000000004</v>
      </c>
      <c r="K614" s="28">
        <f t="shared" si="44"/>
        <v>385.3866666666666</v>
      </c>
      <c r="L614" s="28">
        <f t="shared" si="44"/>
        <v>385.25541666666669</v>
      </c>
      <c r="M614" s="28">
        <f t="shared" si="44"/>
        <v>385.10666666666674</v>
      </c>
      <c r="N614" s="28">
        <f t="shared" si="44"/>
        <v>384.93374999999997</v>
      </c>
    </row>
    <row r="615" spans="1:14" x14ac:dyDescent="0.4">
      <c r="A615" s="1">
        <v>39904</v>
      </c>
      <c r="B615" s="28">
        <v>386.92708333333331</v>
      </c>
      <c r="C615" s="28">
        <f t="shared" si="45"/>
        <v>386.79750000000007</v>
      </c>
      <c r="D615" s="28">
        <f t="shared" si="44"/>
        <v>386.64916666666664</v>
      </c>
      <c r="E615" s="28">
        <f t="shared" si="44"/>
        <v>386.49</v>
      </c>
      <c r="F615" s="28">
        <f t="shared" si="44"/>
        <v>386.34875000000005</v>
      </c>
      <c r="G615" s="28">
        <f t="shared" si="44"/>
        <v>386.21416666666664</v>
      </c>
      <c r="H615" s="28">
        <f t="shared" si="44"/>
        <v>386.02833333333336</v>
      </c>
      <c r="I615" s="28">
        <f t="shared" si="44"/>
        <v>385.79958333333326</v>
      </c>
      <c r="J615" s="28">
        <f t="shared" si="44"/>
        <v>385.63416666666666</v>
      </c>
      <c r="K615" s="28">
        <f t="shared" si="44"/>
        <v>385.51500000000004</v>
      </c>
      <c r="L615" s="28">
        <f t="shared" si="44"/>
        <v>385.3866666666666</v>
      </c>
      <c r="M615" s="28">
        <f t="shared" si="44"/>
        <v>385.25541666666669</v>
      </c>
      <c r="N615" s="28">
        <f t="shared" si="44"/>
        <v>385.10666666666674</v>
      </c>
    </row>
    <row r="616" spans="1:14" x14ac:dyDescent="0.4">
      <c r="A616" s="1">
        <v>39934</v>
      </c>
      <c r="B616" s="28">
        <v>387.07666666666665</v>
      </c>
      <c r="C616" s="28">
        <f t="shared" si="45"/>
        <v>386.92708333333331</v>
      </c>
      <c r="D616" s="28">
        <f t="shared" si="44"/>
        <v>386.79750000000007</v>
      </c>
      <c r="E616" s="28">
        <f t="shared" si="44"/>
        <v>386.64916666666664</v>
      </c>
      <c r="F616" s="28">
        <f t="shared" si="44"/>
        <v>386.49</v>
      </c>
      <c r="G616" s="28">
        <f t="shared" si="44"/>
        <v>386.34875000000005</v>
      </c>
      <c r="H616" s="28">
        <f t="shared" si="44"/>
        <v>386.21416666666664</v>
      </c>
      <c r="I616" s="28">
        <f t="shared" si="44"/>
        <v>386.02833333333336</v>
      </c>
      <c r="J616" s="28">
        <f t="shared" si="44"/>
        <v>385.79958333333326</v>
      </c>
      <c r="K616" s="28">
        <f t="shared" si="44"/>
        <v>385.63416666666666</v>
      </c>
      <c r="L616" s="28">
        <f t="shared" si="44"/>
        <v>385.51500000000004</v>
      </c>
      <c r="M616" s="28">
        <f t="shared" si="44"/>
        <v>385.3866666666666</v>
      </c>
      <c r="N616" s="28">
        <f t="shared" si="44"/>
        <v>385.25541666666669</v>
      </c>
    </row>
    <row r="617" spans="1:14" x14ac:dyDescent="0.4">
      <c r="A617" s="1">
        <v>39965</v>
      </c>
      <c r="B617" s="28">
        <v>387.26083333333344</v>
      </c>
      <c r="C617" s="28">
        <f t="shared" si="45"/>
        <v>387.07666666666665</v>
      </c>
      <c r="D617" s="28">
        <f t="shared" si="45"/>
        <v>386.92708333333331</v>
      </c>
      <c r="E617" s="28">
        <f t="shared" si="45"/>
        <v>386.79750000000007</v>
      </c>
      <c r="F617" s="28">
        <f t="shared" si="45"/>
        <v>386.64916666666664</v>
      </c>
      <c r="G617" s="28">
        <f t="shared" si="45"/>
        <v>386.49</v>
      </c>
      <c r="H617" s="28">
        <f t="shared" si="45"/>
        <v>386.34875000000005</v>
      </c>
      <c r="I617" s="28">
        <f t="shared" si="45"/>
        <v>386.21416666666664</v>
      </c>
      <c r="J617" s="28">
        <f t="shared" si="45"/>
        <v>386.02833333333336</v>
      </c>
      <c r="K617" s="28">
        <f t="shared" si="45"/>
        <v>385.79958333333326</v>
      </c>
      <c r="L617" s="28">
        <f t="shared" si="45"/>
        <v>385.63416666666666</v>
      </c>
      <c r="M617" s="28">
        <f t="shared" si="45"/>
        <v>385.51500000000004</v>
      </c>
      <c r="N617" s="28">
        <f t="shared" si="45"/>
        <v>385.3866666666666</v>
      </c>
    </row>
    <row r="618" spans="1:14" x14ac:dyDescent="0.4">
      <c r="A618" s="1">
        <v>39995</v>
      </c>
      <c r="B618" s="28">
        <v>387.43916666666672</v>
      </c>
      <c r="C618" s="28">
        <f t="shared" si="45"/>
        <v>387.26083333333344</v>
      </c>
      <c r="D618" s="28">
        <f t="shared" si="45"/>
        <v>387.07666666666665</v>
      </c>
      <c r="E618" s="28">
        <f t="shared" si="45"/>
        <v>386.92708333333331</v>
      </c>
      <c r="F618" s="28">
        <f t="shared" si="45"/>
        <v>386.79750000000007</v>
      </c>
      <c r="G618" s="28">
        <f t="shared" si="45"/>
        <v>386.64916666666664</v>
      </c>
      <c r="H618" s="28">
        <f t="shared" si="45"/>
        <v>386.49</v>
      </c>
      <c r="I618" s="28">
        <f t="shared" si="45"/>
        <v>386.34875000000005</v>
      </c>
      <c r="J618" s="28">
        <f t="shared" si="45"/>
        <v>386.21416666666664</v>
      </c>
      <c r="K618" s="28">
        <f t="shared" si="45"/>
        <v>386.02833333333336</v>
      </c>
      <c r="L618" s="28">
        <f t="shared" si="45"/>
        <v>385.79958333333326</v>
      </c>
      <c r="M618" s="28">
        <f t="shared" si="45"/>
        <v>385.63416666666666</v>
      </c>
      <c r="N618" s="28">
        <f t="shared" si="45"/>
        <v>385.51500000000004</v>
      </c>
    </row>
    <row r="619" spans="1:14" x14ac:dyDescent="0.4">
      <c r="A619" s="1">
        <v>40026</v>
      </c>
      <c r="B619" s="28">
        <v>387.64166666666659</v>
      </c>
      <c r="C619" s="28">
        <f t="shared" si="45"/>
        <v>387.43916666666672</v>
      </c>
      <c r="D619" s="28">
        <f t="shared" si="45"/>
        <v>387.26083333333344</v>
      </c>
      <c r="E619" s="28">
        <f t="shared" si="45"/>
        <v>387.07666666666665</v>
      </c>
      <c r="F619" s="28">
        <f t="shared" si="45"/>
        <v>386.92708333333331</v>
      </c>
      <c r="G619" s="28">
        <f t="shared" si="45"/>
        <v>386.79750000000007</v>
      </c>
      <c r="H619" s="28">
        <f t="shared" si="45"/>
        <v>386.64916666666664</v>
      </c>
      <c r="I619" s="28">
        <f t="shared" si="45"/>
        <v>386.49</v>
      </c>
      <c r="J619" s="28">
        <f t="shared" si="45"/>
        <v>386.34875000000005</v>
      </c>
      <c r="K619" s="28">
        <f t="shared" si="45"/>
        <v>386.21416666666664</v>
      </c>
      <c r="L619" s="28">
        <f t="shared" si="45"/>
        <v>386.02833333333336</v>
      </c>
      <c r="M619" s="28">
        <f t="shared" si="45"/>
        <v>385.79958333333326</v>
      </c>
      <c r="N619" s="28">
        <f t="shared" si="45"/>
        <v>385.63416666666666</v>
      </c>
    </row>
    <row r="620" spans="1:14" x14ac:dyDescent="0.4">
      <c r="A620" s="1">
        <v>40057</v>
      </c>
      <c r="B620" s="28">
        <v>387.86874999999992</v>
      </c>
      <c r="C620" s="28">
        <f t="shared" si="45"/>
        <v>387.64166666666659</v>
      </c>
      <c r="D620" s="28">
        <f t="shared" si="45"/>
        <v>387.43916666666672</v>
      </c>
      <c r="E620" s="28">
        <f t="shared" si="45"/>
        <v>387.26083333333344</v>
      </c>
      <c r="F620" s="28">
        <f t="shared" si="45"/>
        <v>387.07666666666665</v>
      </c>
      <c r="G620" s="28">
        <f t="shared" si="45"/>
        <v>386.92708333333331</v>
      </c>
      <c r="H620" s="28">
        <f t="shared" si="45"/>
        <v>386.79750000000007</v>
      </c>
      <c r="I620" s="28">
        <f t="shared" si="45"/>
        <v>386.64916666666664</v>
      </c>
      <c r="J620" s="28">
        <f t="shared" si="45"/>
        <v>386.49</v>
      </c>
      <c r="K620" s="28">
        <f t="shared" si="45"/>
        <v>386.34875000000005</v>
      </c>
      <c r="L620" s="28">
        <f t="shared" si="45"/>
        <v>386.21416666666664</v>
      </c>
      <c r="M620" s="28">
        <f t="shared" si="45"/>
        <v>386.02833333333336</v>
      </c>
      <c r="N620" s="28">
        <f t="shared" si="45"/>
        <v>385.79958333333326</v>
      </c>
    </row>
    <row r="621" spans="1:14" x14ac:dyDescent="0.4">
      <c r="A621" s="1">
        <v>40087</v>
      </c>
      <c r="B621" s="28">
        <v>388.08958333333334</v>
      </c>
      <c r="C621" s="28">
        <f t="shared" si="45"/>
        <v>387.86874999999992</v>
      </c>
      <c r="D621" s="28">
        <f t="shared" si="45"/>
        <v>387.64166666666659</v>
      </c>
      <c r="E621" s="28">
        <f t="shared" si="45"/>
        <v>387.43916666666672</v>
      </c>
      <c r="F621" s="28">
        <f t="shared" si="45"/>
        <v>387.26083333333344</v>
      </c>
      <c r="G621" s="28">
        <f t="shared" si="45"/>
        <v>387.07666666666665</v>
      </c>
      <c r="H621" s="28">
        <f t="shared" si="45"/>
        <v>386.92708333333331</v>
      </c>
      <c r="I621" s="28">
        <f t="shared" si="45"/>
        <v>386.79750000000007</v>
      </c>
      <c r="J621" s="28">
        <f t="shared" si="45"/>
        <v>386.64916666666664</v>
      </c>
      <c r="K621" s="28">
        <f t="shared" si="45"/>
        <v>386.49</v>
      </c>
      <c r="L621" s="28">
        <f t="shared" si="45"/>
        <v>386.34875000000005</v>
      </c>
      <c r="M621" s="28">
        <f t="shared" si="45"/>
        <v>386.21416666666664</v>
      </c>
      <c r="N621" s="28">
        <f t="shared" si="45"/>
        <v>386.02833333333336</v>
      </c>
    </row>
    <row r="622" spans="1:14" x14ac:dyDescent="0.4">
      <c r="A622" s="1">
        <v>40118</v>
      </c>
      <c r="B622" s="28">
        <v>388.33375000000001</v>
      </c>
      <c r="C622" s="28">
        <f t="shared" si="45"/>
        <v>388.08958333333334</v>
      </c>
      <c r="D622" s="28">
        <f t="shared" si="45"/>
        <v>387.86874999999992</v>
      </c>
      <c r="E622" s="28">
        <f t="shared" si="45"/>
        <v>387.64166666666659</v>
      </c>
      <c r="F622" s="28">
        <f t="shared" si="45"/>
        <v>387.43916666666672</v>
      </c>
      <c r="G622" s="28">
        <f t="shared" si="45"/>
        <v>387.26083333333344</v>
      </c>
      <c r="H622" s="28">
        <f t="shared" si="45"/>
        <v>387.07666666666665</v>
      </c>
      <c r="I622" s="28">
        <f t="shared" si="45"/>
        <v>386.92708333333331</v>
      </c>
      <c r="J622" s="28">
        <f t="shared" si="45"/>
        <v>386.79750000000007</v>
      </c>
      <c r="K622" s="28">
        <f t="shared" si="45"/>
        <v>386.64916666666664</v>
      </c>
      <c r="L622" s="28">
        <f t="shared" si="45"/>
        <v>386.49</v>
      </c>
      <c r="M622" s="28">
        <f t="shared" si="45"/>
        <v>386.34875000000005</v>
      </c>
      <c r="N622" s="28">
        <f t="shared" si="45"/>
        <v>386.21416666666664</v>
      </c>
    </row>
    <row r="623" spans="1:14" x14ac:dyDescent="0.4">
      <c r="A623" s="1">
        <v>40148</v>
      </c>
      <c r="B623" s="28">
        <v>388.57</v>
      </c>
      <c r="C623" s="28">
        <f t="shared" si="45"/>
        <v>388.33375000000001</v>
      </c>
      <c r="D623" s="28">
        <f t="shared" si="45"/>
        <v>388.08958333333334</v>
      </c>
      <c r="E623" s="28">
        <f t="shared" si="45"/>
        <v>387.86874999999992</v>
      </c>
      <c r="F623" s="28">
        <f t="shared" si="45"/>
        <v>387.64166666666659</v>
      </c>
      <c r="G623" s="28">
        <f t="shared" si="45"/>
        <v>387.43916666666672</v>
      </c>
      <c r="H623" s="28">
        <f t="shared" si="45"/>
        <v>387.26083333333344</v>
      </c>
      <c r="I623" s="28">
        <f t="shared" si="45"/>
        <v>387.07666666666665</v>
      </c>
      <c r="J623" s="28">
        <f t="shared" si="45"/>
        <v>386.92708333333331</v>
      </c>
      <c r="K623" s="28">
        <f t="shared" si="45"/>
        <v>386.79750000000007</v>
      </c>
      <c r="L623" s="28">
        <f t="shared" si="45"/>
        <v>386.64916666666664</v>
      </c>
      <c r="M623" s="28">
        <f t="shared" si="45"/>
        <v>386.49</v>
      </c>
      <c r="N623" s="28">
        <f t="shared" si="45"/>
        <v>386.34875000000005</v>
      </c>
    </row>
    <row r="624" spans="1:14" x14ac:dyDescent="0.4">
      <c r="A624" s="1">
        <v>40179</v>
      </c>
      <c r="B624" s="28">
        <v>388.77333333333331</v>
      </c>
      <c r="C624" s="28">
        <f t="shared" si="45"/>
        <v>388.57</v>
      </c>
      <c r="D624" s="28">
        <f t="shared" si="45"/>
        <v>388.33375000000001</v>
      </c>
      <c r="E624" s="28">
        <f t="shared" si="45"/>
        <v>388.08958333333334</v>
      </c>
      <c r="F624" s="28">
        <f t="shared" si="45"/>
        <v>387.86874999999992</v>
      </c>
      <c r="G624" s="28">
        <f t="shared" si="45"/>
        <v>387.64166666666659</v>
      </c>
      <c r="H624" s="28">
        <f t="shared" si="45"/>
        <v>387.43916666666672</v>
      </c>
      <c r="I624" s="28">
        <f t="shared" si="45"/>
        <v>387.26083333333344</v>
      </c>
      <c r="J624" s="28">
        <f t="shared" si="45"/>
        <v>387.07666666666665</v>
      </c>
      <c r="K624" s="28">
        <f t="shared" si="45"/>
        <v>386.92708333333331</v>
      </c>
      <c r="L624" s="28">
        <f t="shared" si="45"/>
        <v>386.79750000000007</v>
      </c>
      <c r="M624" s="28">
        <f t="shared" si="45"/>
        <v>386.64916666666664</v>
      </c>
      <c r="N624" s="28">
        <f t="shared" si="45"/>
        <v>386.49</v>
      </c>
    </row>
    <row r="625" spans="1:14" x14ac:dyDescent="0.4">
      <c r="A625" s="1">
        <v>40210</v>
      </c>
      <c r="B625" s="28">
        <v>388.96916666666669</v>
      </c>
      <c r="C625" s="28">
        <f t="shared" si="45"/>
        <v>388.77333333333331</v>
      </c>
      <c r="D625" s="28">
        <f t="shared" si="45"/>
        <v>388.57</v>
      </c>
      <c r="E625" s="28">
        <f t="shared" si="45"/>
        <v>388.33375000000001</v>
      </c>
      <c r="F625" s="28">
        <f t="shared" si="45"/>
        <v>388.08958333333334</v>
      </c>
      <c r="G625" s="28">
        <f t="shared" si="45"/>
        <v>387.86874999999992</v>
      </c>
      <c r="H625" s="28">
        <f t="shared" si="45"/>
        <v>387.64166666666659</v>
      </c>
      <c r="I625" s="28">
        <f t="shared" si="45"/>
        <v>387.43916666666672</v>
      </c>
      <c r="J625" s="28">
        <f t="shared" si="45"/>
        <v>387.26083333333344</v>
      </c>
      <c r="K625" s="28">
        <f t="shared" si="45"/>
        <v>387.07666666666665</v>
      </c>
      <c r="L625" s="28">
        <f t="shared" si="45"/>
        <v>386.92708333333331</v>
      </c>
      <c r="M625" s="28">
        <f t="shared" si="45"/>
        <v>386.79750000000007</v>
      </c>
      <c r="N625" s="28">
        <f t="shared" si="45"/>
        <v>386.64916666666664</v>
      </c>
    </row>
    <row r="626" spans="1:14" x14ac:dyDescent="0.4">
      <c r="A626" s="1">
        <v>40238</v>
      </c>
      <c r="B626" s="28">
        <v>389.16208333333338</v>
      </c>
      <c r="C626" s="28">
        <f t="shared" si="45"/>
        <v>388.96916666666669</v>
      </c>
      <c r="D626" s="28">
        <f t="shared" si="45"/>
        <v>388.77333333333331</v>
      </c>
      <c r="E626" s="28">
        <f t="shared" si="45"/>
        <v>388.57</v>
      </c>
      <c r="F626" s="28">
        <f t="shared" si="45"/>
        <v>388.33375000000001</v>
      </c>
      <c r="G626" s="28">
        <f t="shared" si="45"/>
        <v>388.08958333333334</v>
      </c>
      <c r="H626" s="28">
        <f t="shared" si="45"/>
        <v>387.86874999999992</v>
      </c>
      <c r="I626" s="28">
        <f t="shared" si="45"/>
        <v>387.64166666666659</v>
      </c>
      <c r="J626" s="28">
        <f t="shared" si="45"/>
        <v>387.43916666666672</v>
      </c>
      <c r="K626" s="28">
        <f t="shared" si="45"/>
        <v>387.26083333333344</v>
      </c>
      <c r="L626" s="28">
        <f t="shared" si="45"/>
        <v>387.07666666666665</v>
      </c>
      <c r="M626" s="28">
        <f t="shared" si="45"/>
        <v>386.92708333333331</v>
      </c>
      <c r="N626" s="28">
        <f t="shared" si="45"/>
        <v>386.79750000000007</v>
      </c>
    </row>
    <row r="627" spans="1:14" x14ac:dyDescent="0.4">
      <c r="A627" s="1">
        <v>40269</v>
      </c>
      <c r="B627" s="28">
        <v>389.37125000000009</v>
      </c>
      <c r="C627" s="28">
        <f t="shared" si="45"/>
        <v>389.16208333333338</v>
      </c>
      <c r="D627" s="28">
        <f t="shared" si="45"/>
        <v>388.96916666666669</v>
      </c>
      <c r="E627" s="28">
        <f t="shared" si="45"/>
        <v>388.77333333333331</v>
      </c>
      <c r="F627" s="28">
        <f t="shared" si="45"/>
        <v>388.57</v>
      </c>
      <c r="G627" s="28">
        <f t="shared" si="45"/>
        <v>388.33375000000001</v>
      </c>
      <c r="H627" s="28">
        <f t="shared" si="45"/>
        <v>388.08958333333334</v>
      </c>
      <c r="I627" s="28">
        <f t="shared" si="45"/>
        <v>387.86874999999992</v>
      </c>
      <c r="J627" s="28">
        <f t="shared" si="45"/>
        <v>387.64166666666659</v>
      </c>
      <c r="K627" s="28">
        <f t="shared" si="45"/>
        <v>387.43916666666672</v>
      </c>
      <c r="L627" s="28">
        <f t="shared" si="45"/>
        <v>387.26083333333344</v>
      </c>
      <c r="M627" s="28">
        <f t="shared" si="45"/>
        <v>387.07666666666665</v>
      </c>
      <c r="N627" s="28">
        <f t="shared" si="45"/>
        <v>386.92708333333331</v>
      </c>
    </row>
    <row r="628" spans="1:14" x14ac:dyDescent="0.4">
      <c r="A628" s="1">
        <v>40299</v>
      </c>
      <c r="B628" s="28">
        <v>389.59833333333341</v>
      </c>
      <c r="C628" s="28">
        <f t="shared" si="45"/>
        <v>389.37125000000009</v>
      </c>
      <c r="D628" s="28">
        <f t="shared" si="45"/>
        <v>389.16208333333338</v>
      </c>
      <c r="E628" s="28">
        <f t="shared" si="45"/>
        <v>388.96916666666669</v>
      </c>
      <c r="F628" s="28">
        <f t="shared" si="45"/>
        <v>388.77333333333331</v>
      </c>
      <c r="G628" s="28">
        <f t="shared" si="45"/>
        <v>388.57</v>
      </c>
      <c r="H628" s="28">
        <f t="shared" si="45"/>
        <v>388.33375000000001</v>
      </c>
      <c r="I628" s="28">
        <f t="shared" si="45"/>
        <v>388.08958333333334</v>
      </c>
      <c r="J628" s="28">
        <f t="shared" si="45"/>
        <v>387.86874999999992</v>
      </c>
      <c r="K628" s="28">
        <f t="shared" si="45"/>
        <v>387.64166666666659</v>
      </c>
      <c r="L628" s="28">
        <f t="shared" si="45"/>
        <v>387.43916666666672</v>
      </c>
      <c r="M628" s="28">
        <f t="shared" si="45"/>
        <v>387.26083333333344</v>
      </c>
      <c r="N628" s="28">
        <f t="shared" si="45"/>
        <v>387.07666666666665</v>
      </c>
    </row>
    <row r="629" spans="1:14" x14ac:dyDescent="0.4">
      <c r="A629" s="1">
        <v>40330</v>
      </c>
      <c r="B629" s="28">
        <v>389.80416666666673</v>
      </c>
      <c r="C629" s="28">
        <f t="shared" si="45"/>
        <v>389.59833333333341</v>
      </c>
      <c r="D629" s="28">
        <f t="shared" si="45"/>
        <v>389.37125000000009</v>
      </c>
      <c r="E629" s="28">
        <f t="shared" si="45"/>
        <v>389.16208333333338</v>
      </c>
      <c r="F629" s="28">
        <f t="shared" si="45"/>
        <v>388.96916666666669</v>
      </c>
      <c r="G629" s="28">
        <f t="shared" si="45"/>
        <v>388.77333333333331</v>
      </c>
      <c r="H629" s="28">
        <f t="shared" si="45"/>
        <v>388.57</v>
      </c>
      <c r="I629" s="28">
        <f t="shared" si="45"/>
        <v>388.33375000000001</v>
      </c>
      <c r="J629" s="28">
        <f t="shared" si="45"/>
        <v>388.08958333333334</v>
      </c>
      <c r="K629" s="28">
        <f t="shared" si="45"/>
        <v>387.86874999999992</v>
      </c>
      <c r="L629" s="28">
        <f t="shared" si="45"/>
        <v>387.64166666666659</v>
      </c>
      <c r="M629" s="28">
        <f t="shared" si="45"/>
        <v>387.43916666666672</v>
      </c>
      <c r="N629" s="28">
        <f t="shared" si="45"/>
        <v>387.26083333333344</v>
      </c>
    </row>
    <row r="630" spans="1:14" x14ac:dyDescent="0.4">
      <c r="A630" s="1">
        <v>40360</v>
      </c>
      <c r="B630" s="28">
        <v>390.01541666666662</v>
      </c>
      <c r="C630" s="28">
        <f t="shared" si="45"/>
        <v>389.80416666666673</v>
      </c>
      <c r="D630" s="28">
        <f t="shared" si="45"/>
        <v>389.59833333333341</v>
      </c>
      <c r="E630" s="28">
        <f t="shared" si="45"/>
        <v>389.37125000000009</v>
      </c>
      <c r="F630" s="28">
        <f t="shared" si="45"/>
        <v>389.16208333333338</v>
      </c>
      <c r="G630" s="28">
        <f t="shared" si="45"/>
        <v>388.96916666666669</v>
      </c>
      <c r="H630" s="28">
        <f t="shared" si="45"/>
        <v>388.77333333333331</v>
      </c>
      <c r="I630" s="28">
        <f t="shared" si="45"/>
        <v>388.57</v>
      </c>
      <c r="J630" s="28">
        <f t="shared" si="45"/>
        <v>388.33375000000001</v>
      </c>
      <c r="K630" s="28">
        <f t="shared" si="45"/>
        <v>388.08958333333334</v>
      </c>
      <c r="L630" s="28">
        <f t="shared" si="45"/>
        <v>387.86874999999992</v>
      </c>
      <c r="M630" s="28">
        <f t="shared" si="45"/>
        <v>387.64166666666659</v>
      </c>
      <c r="N630" s="28">
        <f t="shared" si="45"/>
        <v>387.43916666666672</v>
      </c>
    </row>
    <row r="631" spans="1:14" x14ac:dyDescent="0.4">
      <c r="A631" s="1">
        <v>40391</v>
      </c>
      <c r="B631" s="28">
        <v>390.20666666666671</v>
      </c>
      <c r="C631" s="28">
        <f t="shared" si="45"/>
        <v>390.01541666666662</v>
      </c>
      <c r="D631" s="28">
        <f t="shared" si="45"/>
        <v>389.80416666666673</v>
      </c>
      <c r="E631" s="28">
        <f t="shared" si="45"/>
        <v>389.59833333333341</v>
      </c>
      <c r="F631" s="28">
        <f t="shared" si="45"/>
        <v>389.37125000000009</v>
      </c>
      <c r="G631" s="28">
        <f t="shared" si="45"/>
        <v>389.16208333333338</v>
      </c>
      <c r="H631" s="28">
        <f t="shared" si="45"/>
        <v>388.96916666666669</v>
      </c>
      <c r="I631" s="28">
        <f t="shared" si="45"/>
        <v>388.77333333333331</v>
      </c>
      <c r="J631" s="28">
        <f t="shared" si="45"/>
        <v>388.57</v>
      </c>
      <c r="K631" s="28">
        <f t="shared" si="45"/>
        <v>388.33375000000001</v>
      </c>
      <c r="L631" s="28">
        <f t="shared" si="45"/>
        <v>388.08958333333334</v>
      </c>
      <c r="M631" s="28">
        <f t="shared" si="45"/>
        <v>387.86874999999992</v>
      </c>
      <c r="N631" s="28">
        <f t="shared" si="45"/>
        <v>387.64166666666659</v>
      </c>
    </row>
    <row r="632" spans="1:14" x14ac:dyDescent="0.4">
      <c r="A632" s="1">
        <v>40422</v>
      </c>
      <c r="B632" s="28">
        <v>390.34333333333331</v>
      </c>
      <c r="C632" s="28">
        <f t="shared" si="45"/>
        <v>390.20666666666671</v>
      </c>
      <c r="D632" s="28">
        <f t="shared" si="45"/>
        <v>390.01541666666662</v>
      </c>
      <c r="E632" s="28">
        <f t="shared" si="45"/>
        <v>389.80416666666673</v>
      </c>
      <c r="F632" s="28">
        <f t="shared" si="45"/>
        <v>389.59833333333341</v>
      </c>
      <c r="G632" s="28">
        <f t="shared" si="45"/>
        <v>389.37125000000009</v>
      </c>
      <c r="H632" s="28">
        <f t="shared" si="45"/>
        <v>389.16208333333338</v>
      </c>
      <c r="I632" s="28">
        <f t="shared" si="45"/>
        <v>388.96916666666669</v>
      </c>
      <c r="J632" s="28">
        <f t="shared" si="45"/>
        <v>388.77333333333331</v>
      </c>
      <c r="K632" s="28">
        <f t="shared" si="45"/>
        <v>388.57</v>
      </c>
      <c r="L632" s="28">
        <f t="shared" si="45"/>
        <v>388.33375000000001</v>
      </c>
      <c r="M632" s="28">
        <f t="shared" si="45"/>
        <v>388.08958333333334</v>
      </c>
      <c r="N632" s="28">
        <f t="shared" si="45"/>
        <v>387.86874999999992</v>
      </c>
    </row>
    <row r="633" spans="1:14" x14ac:dyDescent="0.4">
      <c r="A633" s="1">
        <v>40452</v>
      </c>
      <c r="B633" s="28">
        <v>390.44458333333336</v>
      </c>
      <c r="C633" s="28">
        <f t="shared" si="45"/>
        <v>390.34333333333331</v>
      </c>
      <c r="D633" s="28">
        <f t="shared" si="45"/>
        <v>390.20666666666671</v>
      </c>
      <c r="E633" s="28">
        <f t="shared" si="45"/>
        <v>390.01541666666662</v>
      </c>
      <c r="F633" s="28">
        <f t="shared" si="45"/>
        <v>389.80416666666673</v>
      </c>
      <c r="G633" s="28">
        <f t="shared" si="45"/>
        <v>389.59833333333341</v>
      </c>
      <c r="H633" s="28">
        <f t="shared" si="45"/>
        <v>389.37125000000009</v>
      </c>
      <c r="I633" s="28">
        <f t="shared" si="45"/>
        <v>389.16208333333338</v>
      </c>
      <c r="J633" s="28">
        <f t="shared" si="45"/>
        <v>388.96916666666669</v>
      </c>
      <c r="K633" s="28">
        <f t="shared" si="45"/>
        <v>388.77333333333331</v>
      </c>
      <c r="L633" s="28">
        <f t="shared" si="45"/>
        <v>388.57</v>
      </c>
      <c r="M633" s="28">
        <f t="shared" si="45"/>
        <v>388.33375000000001</v>
      </c>
      <c r="N633" s="28">
        <f t="shared" si="45"/>
        <v>388.08958333333334</v>
      </c>
    </row>
    <row r="634" spans="1:14" x14ac:dyDescent="0.4">
      <c r="A634" s="1">
        <v>40483</v>
      </c>
      <c r="B634" s="28">
        <v>390.53</v>
      </c>
      <c r="C634" s="28">
        <f t="shared" si="45"/>
        <v>390.44458333333336</v>
      </c>
      <c r="D634" s="28">
        <f t="shared" si="45"/>
        <v>390.34333333333331</v>
      </c>
      <c r="E634" s="28">
        <f t="shared" si="45"/>
        <v>390.20666666666671</v>
      </c>
      <c r="F634" s="28">
        <f t="shared" si="45"/>
        <v>390.01541666666662</v>
      </c>
      <c r="G634" s="28">
        <f t="shared" si="45"/>
        <v>389.80416666666673</v>
      </c>
      <c r="H634" s="28">
        <f t="shared" si="45"/>
        <v>389.59833333333341</v>
      </c>
      <c r="I634" s="28">
        <f t="shared" si="45"/>
        <v>389.37125000000009</v>
      </c>
      <c r="J634" s="28">
        <f t="shared" si="45"/>
        <v>389.16208333333338</v>
      </c>
      <c r="K634" s="28">
        <f t="shared" si="45"/>
        <v>388.96916666666669</v>
      </c>
      <c r="L634" s="28">
        <f t="shared" si="45"/>
        <v>388.77333333333331</v>
      </c>
      <c r="M634" s="28">
        <f t="shared" si="45"/>
        <v>388.57</v>
      </c>
      <c r="N634" s="28">
        <f t="shared" si="45"/>
        <v>388.33375000000001</v>
      </c>
    </row>
    <row r="635" spans="1:14" x14ac:dyDescent="0.4">
      <c r="A635" s="1">
        <v>40513</v>
      </c>
      <c r="B635" s="28">
        <v>390.6345833333333</v>
      </c>
      <c r="C635" s="28">
        <f t="shared" si="45"/>
        <v>390.53</v>
      </c>
      <c r="D635" s="28">
        <f t="shared" si="45"/>
        <v>390.44458333333336</v>
      </c>
      <c r="E635" s="28">
        <f t="shared" si="45"/>
        <v>390.34333333333331</v>
      </c>
      <c r="F635" s="28">
        <f t="shared" si="45"/>
        <v>390.20666666666671</v>
      </c>
      <c r="G635" s="28">
        <f t="shared" si="45"/>
        <v>390.01541666666662</v>
      </c>
      <c r="H635" s="28">
        <f t="shared" si="45"/>
        <v>389.80416666666673</v>
      </c>
      <c r="I635" s="28">
        <f t="shared" si="45"/>
        <v>389.59833333333341</v>
      </c>
      <c r="J635" s="28">
        <f t="shared" si="45"/>
        <v>389.37125000000009</v>
      </c>
      <c r="K635" s="28">
        <f t="shared" si="45"/>
        <v>389.16208333333338</v>
      </c>
      <c r="L635" s="28">
        <f t="shared" si="45"/>
        <v>388.96916666666669</v>
      </c>
      <c r="M635" s="28">
        <f t="shared" si="45"/>
        <v>388.77333333333331</v>
      </c>
      <c r="N635" s="28">
        <f t="shared" si="45"/>
        <v>388.57</v>
      </c>
    </row>
    <row r="636" spans="1:14" x14ac:dyDescent="0.4">
      <c r="A636" s="1">
        <v>40544</v>
      </c>
      <c r="B636" s="28">
        <v>390.78916666666674</v>
      </c>
      <c r="C636" s="28">
        <f t="shared" si="45"/>
        <v>390.6345833333333</v>
      </c>
      <c r="D636" s="28">
        <f t="shared" si="45"/>
        <v>390.53</v>
      </c>
      <c r="E636" s="28">
        <f t="shared" si="45"/>
        <v>390.44458333333336</v>
      </c>
      <c r="F636" s="28">
        <f t="shared" si="45"/>
        <v>390.34333333333331</v>
      </c>
      <c r="G636" s="28">
        <f t="shared" si="45"/>
        <v>390.20666666666671</v>
      </c>
      <c r="H636" s="28">
        <f t="shared" si="45"/>
        <v>390.01541666666662</v>
      </c>
      <c r="I636" s="28">
        <f t="shared" si="45"/>
        <v>389.80416666666673</v>
      </c>
      <c r="J636" s="28">
        <f t="shared" si="45"/>
        <v>389.59833333333341</v>
      </c>
      <c r="K636" s="28">
        <f t="shared" si="45"/>
        <v>389.37125000000009</v>
      </c>
      <c r="L636" s="28">
        <f t="shared" si="45"/>
        <v>389.16208333333338</v>
      </c>
      <c r="M636" s="28">
        <f t="shared" si="45"/>
        <v>388.96916666666669</v>
      </c>
      <c r="N636" s="28">
        <f t="shared" si="45"/>
        <v>388.77333333333331</v>
      </c>
    </row>
    <row r="637" spans="1:14" x14ac:dyDescent="0.4">
      <c r="A637" s="1">
        <v>40575</v>
      </c>
      <c r="B637" s="28">
        <v>390.95374999999996</v>
      </c>
      <c r="C637" s="28">
        <f t="shared" si="45"/>
        <v>390.78916666666674</v>
      </c>
      <c r="D637" s="28">
        <f t="shared" ref="C637:O700" si="46">IF(C636=0,"",C636)</f>
        <v>390.6345833333333</v>
      </c>
      <c r="E637" s="28">
        <f t="shared" si="46"/>
        <v>390.53</v>
      </c>
      <c r="F637" s="28">
        <f t="shared" si="46"/>
        <v>390.44458333333336</v>
      </c>
      <c r="G637" s="28">
        <f t="shared" si="46"/>
        <v>390.34333333333331</v>
      </c>
      <c r="H637" s="28">
        <f t="shared" si="46"/>
        <v>390.20666666666671</v>
      </c>
      <c r="I637" s="28">
        <f t="shared" si="46"/>
        <v>390.01541666666662</v>
      </c>
      <c r="J637" s="28">
        <f t="shared" si="46"/>
        <v>389.80416666666673</v>
      </c>
      <c r="K637" s="28">
        <f t="shared" si="46"/>
        <v>389.59833333333341</v>
      </c>
      <c r="L637" s="28">
        <f t="shared" si="46"/>
        <v>389.37125000000009</v>
      </c>
      <c r="M637" s="28">
        <f t="shared" si="46"/>
        <v>389.16208333333338</v>
      </c>
      <c r="N637" s="28">
        <f t="shared" si="46"/>
        <v>388.96916666666669</v>
      </c>
    </row>
    <row r="638" spans="1:14" x14ac:dyDescent="0.4">
      <c r="A638" s="1">
        <v>40603</v>
      </c>
      <c r="B638" s="28">
        <v>391.11416666666656</v>
      </c>
      <c r="C638" s="28">
        <f t="shared" si="46"/>
        <v>390.95374999999996</v>
      </c>
      <c r="D638" s="28">
        <f t="shared" si="46"/>
        <v>390.78916666666674</v>
      </c>
      <c r="E638" s="28">
        <f t="shared" si="46"/>
        <v>390.6345833333333</v>
      </c>
      <c r="F638" s="28">
        <f t="shared" si="46"/>
        <v>390.53</v>
      </c>
      <c r="G638" s="28">
        <f t="shared" si="46"/>
        <v>390.44458333333336</v>
      </c>
      <c r="H638" s="28">
        <f t="shared" si="46"/>
        <v>390.34333333333331</v>
      </c>
      <c r="I638" s="28">
        <f t="shared" si="46"/>
        <v>390.20666666666671</v>
      </c>
      <c r="J638" s="28">
        <f t="shared" si="46"/>
        <v>390.01541666666662</v>
      </c>
      <c r="K638" s="28">
        <f t="shared" si="46"/>
        <v>389.80416666666673</v>
      </c>
      <c r="L638" s="28">
        <f t="shared" si="46"/>
        <v>389.59833333333341</v>
      </c>
      <c r="M638" s="28">
        <f t="shared" si="46"/>
        <v>389.37125000000009</v>
      </c>
      <c r="N638" s="28">
        <f t="shared" si="46"/>
        <v>389.16208333333338</v>
      </c>
    </row>
    <row r="639" spans="1:14" x14ac:dyDescent="0.4">
      <c r="A639" s="1">
        <v>40634</v>
      </c>
      <c r="B639" s="28">
        <v>391.27791666666667</v>
      </c>
      <c r="C639" s="28">
        <f t="shared" si="46"/>
        <v>391.11416666666656</v>
      </c>
      <c r="D639" s="28">
        <f t="shared" si="46"/>
        <v>390.95374999999996</v>
      </c>
      <c r="E639" s="28">
        <f t="shared" si="46"/>
        <v>390.78916666666674</v>
      </c>
      <c r="F639" s="28">
        <f t="shared" si="46"/>
        <v>390.6345833333333</v>
      </c>
      <c r="G639" s="28">
        <f t="shared" si="46"/>
        <v>390.53</v>
      </c>
      <c r="H639" s="28">
        <f t="shared" si="46"/>
        <v>390.44458333333336</v>
      </c>
      <c r="I639" s="28">
        <f t="shared" si="46"/>
        <v>390.34333333333331</v>
      </c>
      <c r="J639" s="28">
        <f t="shared" si="46"/>
        <v>390.20666666666671</v>
      </c>
      <c r="K639" s="28">
        <f t="shared" si="46"/>
        <v>390.01541666666662</v>
      </c>
      <c r="L639" s="28">
        <f t="shared" si="46"/>
        <v>389.80416666666673</v>
      </c>
      <c r="M639" s="28">
        <f t="shared" si="46"/>
        <v>389.59833333333341</v>
      </c>
      <c r="N639" s="28">
        <f t="shared" si="46"/>
        <v>389.37125000000009</v>
      </c>
    </row>
    <row r="640" spans="1:14" x14ac:dyDescent="0.4">
      <c r="A640" s="1">
        <v>40664</v>
      </c>
      <c r="B640" s="28">
        <v>391.41708333333327</v>
      </c>
      <c r="C640" s="28">
        <f t="shared" si="46"/>
        <v>391.27791666666667</v>
      </c>
      <c r="D640" s="28">
        <f t="shared" si="46"/>
        <v>391.11416666666656</v>
      </c>
      <c r="E640" s="28">
        <f t="shared" si="46"/>
        <v>390.95374999999996</v>
      </c>
      <c r="F640" s="28">
        <f t="shared" si="46"/>
        <v>390.78916666666674</v>
      </c>
      <c r="G640" s="28">
        <f t="shared" si="46"/>
        <v>390.6345833333333</v>
      </c>
      <c r="H640" s="28">
        <f t="shared" si="46"/>
        <v>390.53</v>
      </c>
      <c r="I640" s="28">
        <f t="shared" si="46"/>
        <v>390.44458333333336</v>
      </c>
      <c r="J640" s="28">
        <f t="shared" si="46"/>
        <v>390.34333333333331</v>
      </c>
      <c r="K640" s="28">
        <f t="shared" si="46"/>
        <v>390.20666666666671</v>
      </c>
      <c r="L640" s="28">
        <f t="shared" si="46"/>
        <v>390.01541666666662</v>
      </c>
      <c r="M640" s="28">
        <f t="shared" si="46"/>
        <v>389.80416666666673</v>
      </c>
      <c r="N640" s="28">
        <f t="shared" si="46"/>
        <v>389.59833333333341</v>
      </c>
    </row>
    <row r="641" spans="1:14" x14ac:dyDescent="0.4">
      <c r="A641" s="1">
        <v>40695</v>
      </c>
      <c r="B641" s="28">
        <v>391.56541666666664</v>
      </c>
      <c r="C641" s="28">
        <f t="shared" si="46"/>
        <v>391.41708333333327</v>
      </c>
      <c r="D641" s="28">
        <f t="shared" si="46"/>
        <v>391.27791666666667</v>
      </c>
      <c r="E641" s="28">
        <f t="shared" si="46"/>
        <v>391.11416666666656</v>
      </c>
      <c r="F641" s="28">
        <f t="shared" si="46"/>
        <v>390.95374999999996</v>
      </c>
      <c r="G641" s="28">
        <f t="shared" si="46"/>
        <v>390.78916666666674</v>
      </c>
      <c r="H641" s="28">
        <f t="shared" si="46"/>
        <v>390.6345833333333</v>
      </c>
      <c r="I641" s="28">
        <f t="shared" si="46"/>
        <v>390.53</v>
      </c>
      <c r="J641" s="28">
        <f t="shared" si="46"/>
        <v>390.44458333333336</v>
      </c>
      <c r="K641" s="28">
        <f t="shared" si="46"/>
        <v>390.34333333333331</v>
      </c>
      <c r="L641" s="28">
        <f t="shared" si="46"/>
        <v>390.20666666666671</v>
      </c>
      <c r="M641" s="28">
        <f t="shared" si="46"/>
        <v>390.01541666666662</v>
      </c>
      <c r="N641" s="28">
        <f t="shared" si="46"/>
        <v>389.80416666666673</v>
      </c>
    </row>
    <row r="642" spans="1:14" x14ac:dyDescent="0.4">
      <c r="A642" s="1">
        <v>40725</v>
      </c>
      <c r="B642" s="28">
        <v>391.72208333333333</v>
      </c>
      <c r="C642" s="28">
        <f t="shared" si="46"/>
        <v>391.56541666666664</v>
      </c>
      <c r="D642" s="28">
        <f t="shared" si="46"/>
        <v>391.41708333333327</v>
      </c>
      <c r="E642" s="28">
        <f t="shared" si="46"/>
        <v>391.27791666666667</v>
      </c>
      <c r="F642" s="28">
        <f t="shared" si="46"/>
        <v>391.11416666666656</v>
      </c>
      <c r="G642" s="28">
        <f t="shared" si="46"/>
        <v>390.95374999999996</v>
      </c>
      <c r="H642" s="28">
        <f t="shared" si="46"/>
        <v>390.78916666666674</v>
      </c>
      <c r="I642" s="28">
        <f t="shared" si="46"/>
        <v>390.6345833333333</v>
      </c>
      <c r="J642" s="28">
        <f t="shared" si="46"/>
        <v>390.53</v>
      </c>
      <c r="K642" s="28">
        <f t="shared" si="46"/>
        <v>390.44458333333336</v>
      </c>
      <c r="L642" s="28">
        <f t="shared" si="46"/>
        <v>390.34333333333331</v>
      </c>
      <c r="M642" s="28">
        <f t="shared" si="46"/>
        <v>390.20666666666671</v>
      </c>
      <c r="N642" s="28">
        <f t="shared" si="46"/>
        <v>390.01541666666662</v>
      </c>
    </row>
    <row r="643" spans="1:14" x14ac:dyDescent="0.4">
      <c r="A643" s="1">
        <v>40756</v>
      </c>
      <c r="B643" s="28">
        <v>391.85541666666671</v>
      </c>
      <c r="C643" s="28">
        <f t="shared" si="46"/>
        <v>391.72208333333333</v>
      </c>
      <c r="D643" s="28">
        <f t="shared" si="46"/>
        <v>391.56541666666664</v>
      </c>
      <c r="E643" s="28">
        <f t="shared" si="46"/>
        <v>391.41708333333327</v>
      </c>
      <c r="F643" s="28">
        <f t="shared" si="46"/>
        <v>391.27791666666667</v>
      </c>
      <c r="G643" s="28">
        <f t="shared" si="46"/>
        <v>391.11416666666656</v>
      </c>
      <c r="H643" s="28">
        <f t="shared" si="46"/>
        <v>390.95374999999996</v>
      </c>
      <c r="I643" s="28">
        <f t="shared" si="46"/>
        <v>390.78916666666674</v>
      </c>
      <c r="J643" s="28">
        <f t="shared" si="46"/>
        <v>390.6345833333333</v>
      </c>
      <c r="K643" s="28">
        <f t="shared" si="46"/>
        <v>390.53</v>
      </c>
      <c r="L643" s="28">
        <f t="shared" si="46"/>
        <v>390.44458333333336</v>
      </c>
      <c r="M643" s="28">
        <f t="shared" si="46"/>
        <v>390.34333333333331</v>
      </c>
      <c r="N643" s="28">
        <f t="shared" si="46"/>
        <v>390.20666666666671</v>
      </c>
    </row>
    <row r="644" spans="1:14" x14ac:dyDescent="0.4">
      <c r="A644" s="1">
        <v>40787</v>
      </c>
      <c r="B644" s="28">
        <v>391.99458333333337</v>
      </c>
      <c r="C644" s="28">
        <f t="shared" si="46"/>
        <v>391.85541666666671</v>
      </c>
      <c r="D644" s="28">
        <f t="shared" si="46"/>
        <v>391.72208333333333</v>
      </c>
      <c r="E644" s="28">
        <f t="shared" si="46"/>
        <v>391.56541666666664</v>
      </c>
      <c r="F644" s="28">
        <f t="shared" si="46"/>
        <v>391.41708333333327</v>
      </c>
      <c r="G644" s="28">
        <f t="shared" si="46"/>
        <v>391.27791666666667</v>
      </c>
      <c r="H644" s="28">
        <f t="shared" si="46"/>
        <v>391.11416666666656</v>
      </c>
      <c r="I644" s="28">
        <f t="shared" si="46"/>
        <v>390.95374999999996</v>
      </c>
      <c r="J644" s="28">
        <f t="shared" si="46"/>
        <v>390.78916666666674</v>
      </c>
      <c r="K644" s="28">
        <f t="shared" si="46"/>
        <v>390.6345833333333</v>
      </c>
      <c r="L644" s="28">
        <f t="shared" si="46"/>
        <v>390.53</v>
      </c>
      <c r="M644" s="28">
        <f t="shared" si="46"/>
        <v>390.44458333333336</v>
      </c>
      <c r="N644" s="28">
        <f t="shared" si="46"/>
        <v>390.34333333333331</v>
      </c>
    </row>
    <row r="645" spans="1:14" x14ac:dyDescent="0.4">
      <c r="A645" s="1">
        <v>40817</v>
      </c>
      <c r="B645" s="28">
        <v>392.20166666666665</v>
      </c>
      <c r="C645" s="28">
        <f t="shared" si="46"/>
        <v>391.99458333333337</v>
      </c>
      <c r="D645" s="28">
        <f t="shared" si="46"/>
        <v>391.85541666666671</v>
      </c>
      <c r="E645" s="28">
        <f t="shared" si="46"/>
        <v>391.72208333333333</v>
      </c>
      <c r="F645" s="28">
        <f t="shared" si="46"/>
        <v>391.56541666666664</v>
      </c>
      <c r="G645" s="28">
        <f t="shared" si="46"/>
        <v>391.41708333333327</v>
      </c>
      <c r="H645" s="28">
        <f t="shared" si="46"/>
        <v>391.27791666666667</v>
      </c>
      <c r="I645" s="28">
        <f t="shared" si="46"/>
        <v>391.11416666666656</v>
      </c>
      <c r="J645" s="28">
        <f t="shared" si="46"/>
        <v>390.95374999999996</v>
      </c>
      <c r="K645" s="28">
        <f t="shared" si="46"/>
        <v>390.78916666666674</v>
      </c>
      <c r="L645" s="28">
        <f t="shared" si="46"/>
        <v>390.6345833333333</v>
      </c>
      <c r="M645" s="28">
        <f t="shared" si="46"/>
        <v>390.53</v>
      </c>
      <c r="N645" s="28">
        <f t="shared" si="46"/>
        <v>390.44458333333336</v>
      </c>
    </row>
    <row r="646" spans="1:14" x14ac:dyDescent="0.4">
      <c r="A646" s="1">
        <v>40848</v>
      </c>
      <c r="B646" s="28">
        <v>392.43708333333331</v>
      </c>
      <c r="C646" s="28">
        <f t="shared" si="46"/>
        <v>392.20166666666665</v>
      </c>
      <c r="D646" s="28">
        <f t="shared" si="46"/>
        <v>391.99458333333337</v>
      </c>
      <c r="E646" s="28">
        <f t="shared" si="46"/>
        <v>391.85541666666671</v>
      </c>
      <c r="F646" s="28">
        <f t="shared" si="46"/>
        <v>391.72208333333333</v>
      </c>
      <c r="G646" s="28">
        <f t="shared" si="46"/>
        <v>391.56541666666664</v>
      </c>
      <c r="H646" s="28">
        <f t="shared" si="46"/>
        <v>391.41708333333327</v>
      </c>
      <c r="I646" s="28">
        <f t="shared" si="46"/>
        <v>391.27791666666667</v>
      </c>
      <c r="J646" s="28">
        <f t="shared" si="46"/>
        <v>391.11416666666656</v>
      </c>
      <c r="K646" s="28">
        <f t="shared" si="46"/>
        <v>390.95374999999996</v>
      </c>
      <c r="L646" s="28">
        <f t="shared" si="46"/>
        <v>390.78916666666674</v>
      </c>
      <c r="M646" s="28">
        <f t="shared" si="46"/>
        <v>390.6345833333333</v>
      </c>
      <c r="N646" s="28">
        <f t="shared" si="46"/>
        <v>390.53</v>
      </c>
    </row>
    <row r="647" spans="1:14" x14ac:dyDescent="0.4">
      <c r="A647" s="1">
        <v>40878</v>
      </c>
      <c r="B647" s="28">
        <v>392.63625000000002</v>
      </c>
      <c r="C647" s="28">
        <f t="shared" si="46"/>
        <v>392.43708333333331</v>
      </c>
      <c r="D647" s="28">
        <f t="shared" si="46"/>
        <v>392.20166666666665</v>
      </c>
      <c r="E647" s="28">
        <f t="shared" si="46"/>
        <v>391.99458333333337</v>
      </c>
      <c r="F647" s="28">
        <f t="shared" si="46"/>
        <v>391.85541666666671</v>
      </c>
      <c r="G647" s="28">
        <f t="shared" si="46"/>
        <v>391.72208333333333</v>
      </c>
      <c r="H647" s="28">
        <f t="shared" si="46"/>
        <v>391.56541666666664</v>
      </c>
      <c r="I647" s="28">
        <f t="shared" si="46"/>
        <v>391.41708333333327</v>
      </c>
      <c r="J647" s="28">
        <f t="shared" si="46"/>
        <v>391.27791666666667</v>
      </c>
      <c r="K647" s="28">
        <f t="shared" si="46"/>
        <v>391.11416666666656</v>
      </c>
      <c r="L647" s="28">
        <f t="shared" si="46"/>
        <v>390.95374999999996</v>
      </c>
      <c r="M647" s="28">
        <f t="shared" si="46"/>
        <v>390.78916666666674</v>
      </c>
      <c r="N647" s="28">
        <f t="shared" si="46"/>
        <v>390.6345833333333</v>
      </c>
    </row>
    <row r="648" spans="1:14" x14ac:dyDescent="0.4">
      <c r="A648" s="1">
        <v>40909</v>
      </c>
      <c r="B648" s="28">
        <v>392.80791666666664</v>
      </c>
      <c r="C648" s="28">
        <f t="shared" si="46"/>
        <v>392.63625000000002</v>
      </c>
      <c r="D648" s="28">
        <f t="shared" si="46"/>
        <v>392.43708333333331</v>
      </c>
      <c r="E648" s="28">
        <f t="shared" si="46"/>
        <v>392.20166666666665</v>
      </c>
      <c r="F648" s="28">
        <f t="shared" si="46"/>
        <v>391.99458333333337</v>
      </c>
      <c r="G648" s="28">
        <f t="shared" si="46"/>
        <v>391.85541666666671</v>
      </c>
      <c r="H648" s="28">
        <f t="shared" si="46"/>
        <v>391.72208333333333</v>
      </c>
      <c r="I648" s="28">
        <f t="shared" si="46"/>
        <v>391.56541666666664</v>
      </c>
      <c r="J648" s="28">
        <f t="shared" si="46"/>
        <v>391.41708333333327</v>
      </c>
      <c r="K648" s="28">
        <f t="shared" si="46"/>
        <v>391.27791666666667</v>
      </c>
      <c r="L648" s="28">
        <f t="shared" si="46"/>
        <v>391.11416666666656</v>
      </c>
      <c r="M648" s="28">
        <f t="shared" si="46"/>
        <v>390.95374999999996</v>
      </c>
      <c r="N648" s="28">
        <f t="shared" si="46"/>
        <v>390.78916666666674</v>
      </c>
    </row>
    <row r="649" spans="1:14" x14ac:dyDescent="0.4">
      <c r="A649" s="1">
        <v>40940</v>
      </c>
      <c r="B649" s="28">
        <v>392.98541666666665</v>
      </c>
      <c r="C649" s="28">
        <f t="shared" si="46"/>
        <v>392.80791666666664</v>
      </c>
      <c r="D649" s="28">
        <f t="shared" si="46"/>
        <v>392.63625000000002</v>
      </c>
      <c r="E649" s="28">
        <f t="shared" si="46"/>
        <v>392.43708333333331</v>
      </c>
      <c r="F649" s="28">
        <f t="shared" si="46"/>
        <v>392.20166666666665</v>
      </c>
      <c r="G649" s="28">
        <f t="shared" si="46"/>
        <v>391.99458333333337</v>
      </c>
      <c r="H649" s="28">
        <f t="shared" si="46"/>
        <v>391.85541666666671</v>
      </c>
      <c r="I649" s="28">
        <f t="shared" si="46"/>
        <v>391.72208333333333</v>
      </c>
      <c r="J649" s="28">
        <f t="shared" si="46"/>
        <v>391.56541666666664</v>
      </c>
      <c r="K649" s="28">
        <f t="shared" si="46"/>
        <v>391.41708333333327</v>
      </c>
      <c r="L649" s="28">
        <f t="shared" si="46"/>
        <v>391.27791666666667</v>
      </c>
      <c r="M649" s="28">
        <f t="shared" si="46"/>
        <v>391.11416666666656</v>
      </c>
      <c r="N649" s="28">
        <f t="shared" si="46"/>
        <v>390.95374999999996</v>
      </c>
    </row>
    <row r="650" spans="1:14" x14ac:dyDescent="0.4">
      <c r="A650" s="1">
        <v>40969</v>
      </c>
      <c r="B650" s="28">
        <v>393.17124999999993</v>
      </c>
      <c r="C650" s="28">
        <f t="shared" si="46"/>
        <v>392.98541666666665</v>
      </c>
      <c r="D650" s="28">
        <f t="shared" si="46"/>
        <v>392.80791666666664</v>
      </c>
      <c r="E650" s="28">
        <f t="shared" si="46"/>
        <v>392.63625000000002</v>
      </c>
      <c r="F650" s="28">
        <f t="shared" si="46"/>
        <v>392.43708333333331</v>
      </c>
      <c r="G650" s="28">
        <f t="shared" si="46"/>
        <v>392.20166666666665</v>
      </c>
      <c r="H650" s="28">
        <f t="shared" si="46"/>
        <v>391.99458333333337</v>
      </c>
      <c r="I650" s="28">
        <f t="shared" si="46"/>
        <v>391.85541666666671</v>
      </c>
      <c r="J650" s="28">
        <f t="shared" si="46"/>
        <v>391.72208333333333</v>
      </c>
      <c r="K650" s="28">
        <f t="shared" si="46"/>
        <v>391.56541666666664</v>
      </c>
      <c r="L650" s="28">
        <f t="shared" si="46"/>
        <v>391.41708333333327</v>
      </c>
      <c r="M650" s="28">
        <f t="shared" si="46"/>
        <v>391.27791666666667</v>
      </c>
      <c r="N650" s="28">
        <f t="shared" si="46"/>
        <v>391.11416666666656</v>
      </c>
    </row>
    <row r="651" spans="1:14" x14ac:dyDescent="0.4">
      <c r="A651" s="1">
        <v>41000</v>
      </c>
      <c r="B651" s="28">
        <v>393.34666666666664</v>
      </c>
      <c r="C651" s="28">
        <f t="shared" si="46"/>
        <v>393.17124999999993</v>
      </c>
      <c r="D651" s="28">
        <f t="shared" si="46"/>
        <v>392.98541666666665</v>
      </c>
      <c r="E651" s="28">
        <f t="shared" si="46"/>
        <v>392.80791666666664</v>
      </c>
      <c r="F651" s="28">
        <f t="shared" si="46"/>
        <v>392.63625000000002</v>
      </c>
      <c r="G651" s="28">
        <f t="shared" si="46"/>
        <v>392.43708333333331</v>
      </c>
      <c r="H651" s="28">
        <f t="shared" si="46"/>
        <v>392.20166666666665</v>
      </c>
      <c r="I651" s="28">
        <f t="shared" si="46"/>
        <v>391.99458333333337</v>
      </c>
      <c r="J651" s="28">
        <f t="shared" si="46"/>
        <v>391.85541666666671</v>
      </c>
      <c r="K651" s="28">
        <f t="shared" si="46"/>
        <v>391.72208333333333</v>
      </c>
      <c r="L651" s="28">
        <f t="shared" si="46"/>
        <v>391.56541666666664</v>
      </c>
      <c r="M651" s="28">
        <f t="shared" si="46"/>
        <v>391.41708333333327</v>
      </c>
      <c r="N651" s="28">
        <f t="shared" si="46"/>
        <v>391.27791666666667</v>
      </c>
    </row>
    <row r="652" spans="1:14" x14ac:dyDescent="0.4">
      <c r="A652" s="1">
        <v>41030</v>
      </c>
      <c r="B652" s="28">
        <v>393.54625000000004</v>
      </c>
      <c r="C652" s="28">
        <f t="shared" si="46"/>
        <v>393.34666666666664</v>
      </c>
      <c r="D652" s="28">
        <f t="shared" si="46"/>
        <v>393.17124999999993</v>
      </c>
      <c r="E652" s="28">
        <f t="shared" si="46"/>
        <v>392.98541666666665</v>
      </c>
      <c r="F652" s="28">
        <f t="shared" si="46"/>
        <v>392.80791666666664</v>
      </c>
      <c r="G652" s="28">
        <f t="shared" si="46"/>
        <v>392.63625000000002</v>
      </c>
      <c r="H652" s="28">
        <f t="shared" si="46"/>
        <v>392.43708333333331</v>
      </c>
      <c r="I652" s="28">
        <f t="shared" si="46"/>
        <v>392.20166666666665</v>
      </c>
      <c r="J652" s="28">
        <f t="shared" si="46"/>
        <v>391.99458333333337</v>
      </c>
      <c r="K652" s="28">
        <f t="shared" si="46"/>
        <v>391.85541666666671</v>
      </c>
      <c r="L652" s="28">
        <f t="shared" si="46"/>
        <v>391.72208333333333</v>
      </c>
      <c r="M652" s="28">
        <f t="shared" si="46"/>
        <v>391.56541666666664</v>
      </c>
      <c r="N652" s="28">
        <f t="shared" si="46"/>
        <v>391.41708333333327</v>
      </c>
    </row>
    <row r="653" spans="1:14" x14ac:dyDescent="0.4">
      <c r="A653" s="1">
        <v>41061</v>
      </c>
      <c r="B653" s="28">
        <v>393.76458333333329</v>
      </c>
      <c r="C653" s="28">
        <f t="shared" si="46"/>
        <v>393.54625000000004</v>
      </c>
      <c r="D653" s="28">
        <f t="shared" si="46"/>
        <v>393.34666666666664</v>
      </c>
      <c r="E653" s="28">
        <f t="shared" si="46"/>
        <v>393.17124999999993</v>
      </c>
      <c r="F653" s="28">
        <f t="shared" si="46"/>
        <v>392.98541666666665</v>
      </c>
      <c r="G653" s="28">
        <f t="shared" si="46"/>
        <v>392.80791666666664</v>
      </c>
      <c r="H653" s="28">
        <f t="shared" si="46"/>
        <v>392.63625000000002</v>
      </c>
      <c r="I653" s="28">
        <f t="shared" si="46"/>
        <v>392.43708333333331</v>
      </c>
      <c r="J653" s="28">
        <f t="shared" si="46"/>
        <v>392.20166666666665</v>
      </c>
      <c r="K653" s="28">
        <f t="shared" si="46"/>
        <v>391.99458333333337</v>
      </c>
      <c r="L653" s="28">
        <f t="shared" si="46"/>
        <v>391.85541666666671</v>
      </c>
      <c r="M653" s="28">
        <f t="shared" si="46"/>
        <v>391.72208333333333</v>
      </c>
      <c r="N653" s="28">
        <f t="shared" si="46"/>
        <v>391.56541666666664</v>
      </c>
    </row>
    <row r="654" spans="1:14" x14ac:dyDescent="0.4">
      <c r="A654" s="1">
        <v>41091</v>
      </c>
      <c r="B654" s="28">
        <v>393.97583333333324</v>
      </c>
      <c r="C654" s="28">
        <f t="shared" si="46"/>
        <v>393.76458333333329</v>
      </c>
      <c r="D654" s="28">
        <f t="shared" si="46"/>
        <v>393.54625000000004</v>
      </c>
      <c r="E654" s="28">
        <f t="shared" si="46"/>
        <v>393.34666666666664</v>
      </c>
      <c r="F654" s="28">
        <f t="shared" si="46"/>
        <v>393.17124999999993</v>
      </c>
      <c r="G654" s="28">
        <f t="shared" si="46"/>
        <v>392.98541666666665</v>
      </c>
      <c r="H654" s="28">
        <f t="shared" si="46"/>
        <v>392.80791666666664</v>
      </c>
      <c r="I654" s="28">
        <f t="shared" si="46"/>
        <v>392.63625000000002</v>
      </c>
      <c r="J654" s="28">
        <f t="shared" si="46"/>
        <v>392.43708333333331</v>
      </c>
      <c r="K654" s="28">
        <f t="shared" si="46"/>
        <v>392.20166666666665</v>
      </c>
      <c r="L654" s="28">
        <f t="shared" si="46"/>
        <v>391.99458333333337</v>
      </c>
      <c r="M654" s="28">
        <f t="shared" si="46"/>
        <v>391.85541666666671</v>
      </c>
      <c r="N654" s="28">
        <f t="shared" si="46"/>
        <v>391.72208333333333</v>
      </c>
    </row>
    <row r="655" spans="1:14" x14ac:dyDescent="0.4">
      <c r="A655" s="1">
        <v>41122</v>
      </c>
      <c r="B655" s="28">
        <v>394.22750000000002</v>
      </c>
      <c r="C655" s="28">
        <f t="shared" si="46"/>
        <v>393.97583333333324</v>
      </c>
      <c r="D655" s="28">
        <f t="shared" si="46"/>
        <v>393.76458333333329</v>
      </c>
      <c r="E655" s="28">
        <f t="shared" si="46"/>
        <v>393.54625000000004</v>
      </c>
      <c r="F655" s="28">
        <f t="shared" si="46"/>
        <v>393.34666666666664</v>
      </c>
      <c r="G655" s="28">
        <f t="shared" si="46"/>
        <v>393.17124999999993</v>
      </c>
      <c r="H655" s="28">
        <f t="shared" si="46"/>
        <v>392.98541666666665</v>
      </c>
      <c r="I655" s="28">
        <f t="shared" si="46"/>
        <v>392.80791666666664</v>
      </c>
      <c r="J655" s="28">
        <f t="shared" si="46"/>
        <v>392.63625000000002</v>
      </c>
      <c r="K655" s="28">
        <f t="shared" si="46"/>
        <v>392.43708333333331</v>
      </c>
      <c r="L655" s="28">
        <f t="shared" si="46"/>
        <v>392.20166666666665</v>
      </c>
      <c r="M655" s="28">
        <f t="shared" si="46"/>
        <v>391.99458333333337</v>
      </c>
      <c r="N655" s="28">
        <f t="shared" si="46"/>
        <v>391.85541666666671</v>
      </c>
    </row>
    <row r="656" spans="1:14" x14ac:dyDescent="0.4">
      <c r="A656" s="1">
        <v>41153</v>
      </c>
      <c r="B656" s="28">
        <v>394.49416666666667</v>
      </c>
      <c r="C656" s="28">
        <f t="shared" si="46"/>
        <v>394.22750000000002</v>
      </c>
      <c r="D656" s="28">
        <f t="shared" si="46"/>
        <v>393.97583333333324</v>
      </c>
      <c r="E656" s="28">
        <f t="shared" si="46"/>
        <v>393.76458333333329</v>
      </c>
      <c r="F656" s="28">
        <f t="shared" si="46"/>
        <v>393.54625000000004</v>
      </c>
      <c r="G656" s="28">
        <f t="shared" si="46"/>
        <v>393.34666666666664</v>
      </c>
      <c r="H656" s="28">
        <f t="shared" si="46"/>
        <v>393.17124999999993</v>
      </c>
      <c r="I656" s="28">
        <f t="shared" si="46"/>
        <v>392.98541666666665</v>
      </c>
      <c r="J656" s="28">
        <f t="shared" si="46"/>
        <v>392.80791666666664</v>
      </c>
      <c r="K656" s="28">
        <f t="shared" si="46"/>
        <v>392.63625000000002</v>
      </c>
      <c r="L656" s="28">
        <f t="shared" si="46"/>
        <v>392.43708333333331</v>
      </c>
      <c r="M656" s="28">
        <f t="shared" si="46"/>
        <v>392.20166666666665</v>
      </c>
      <c r="N656" s="28">
        <f t="shared" si="46"/>
        <v>391.99458333333337</v>
      </c>
    </row>
    <row r="657" spans="1:14" x14ac:dyDescent="0.4">
      <c r="A657" s="1">
        <v>41183</v>
      </c>
      <c r="B657" s="28">
        <v>394.69499999999999</v>
      </c>
      <c r="C657" s="28">
        <f t="shared" si="46"/>
        <v>394.49416666666667</v>
      </c>
      <c r="D657" s="28">
        <f t="shared" si="46"/>
        <v>394.22750000000002</v>
      </c>
      <c r="E657" s="28">
        <f t="shared" si="46"/>
        <v>393.97583333333324</v>
      </c>
      <c r="F657" s="28">
        <f t="shared" si="46"/>
        <v>393.76458333333329</v>
      </c>
      <c r="G657" s="28">
        <f t="shared" si="46"/>
        <v>393.54625000000004</v>
      </c>
      <c r="H657" s="28">
        <f t="shared" si="46"/>
        <v>393.34666666666664</v>
      </c>
      <c r="I657" s="28">
        <f t="shared" si="46"/>
        <v>393.17124999999993</v>
      </c>
      <c r="J657" s="28">
        <f t="shared" si="46"/>
        <v>392.98541666666665</v>
      </c>
      <c r="K657" s="28">
        <f t="shared" si="46"/>
        <v>392.80791666666664</v>
      </c>
      <c r="L657" s="28">
        <f t="shared" si="46"/>
        <v>392.63625000000002</v>
      </c>
      <c r="M657" s="28">
        <f t="shared" si="46"/>
        <v>392.43708333333331</v>
      </c>
      <c r="N657" s="28">
        <f t="shared" si="46"/>
        <v>392.20166666666665</v>
      </c>
    </row>
    <row r="658" spans="1:14" x14ac:dyDescent="0.4">
      <c r="A658" s="1">
        <v>41214</v>
      </c>
      <c r="B658" s="28">
        <v>394.90458333333339</v>
      </c>
      <c r="C658" s="28">
        <f t="shared" si="46"/>
        <v>394.69499999999999</v>
      </c>
      <c r="D658" s="28">
        <f t="shared" si="46"/>
        <v>394.49416666666667</v>
      </c>
      <c r="E658" s="28">
        <f t="shared" si="46"/>
        <v>394.22750000000002</v>
      </c>
      <c r="F658" s="28">
        <f t="shared" si="46"/>
        <v>393.97583333333324</v>
      </c>
      <c r="G658" s="28">
        <f t="shared" ref="G658:U721" si="47">IF(F657=0,"",F657)</f>
        <v>393.76458333333329</v>
      </c>
      <c r="H658" s="28">
        <f t="shared" si="47"/>
        <v>393.54625000000004</v>
      </c>
      <c r="I658" s="28">
        <f t="shared" si="47"/>
        <v>393.34666666666664</v>
      </c>
      <c r="J658" s="28">
        <f t="shared" si="47"/>
        <v>393.17124999999993</v>
      </c>
      <c r="K658" s="28">
        <f t="shared" si="47"/>
        <v>392.98541666666665</v>
      </c>
      <c r="L658" s="28">
        <f t="shared" si="47"/>
        <v>392.80791666666664</v>
      </c>
      <c r="M658" s="28">
        <f t="shared" si="47"/>
        <v>392.63625000000002</v>
      </c>
      <c r="N658" s="28">
        <f t="shared" si="47"/>
        <v>392.43708333333331</v>
      </c>
    </row>
    <row r="659" spans="1:14" x14ac:dyDescent="0.4">
      <c r="A659" s="1">
        <v>41244</v>
      </c>
      <c r="B659" s="28">
        <v>395.15875000000005</v>
      </c>
      <c r="C659" s="28">
        <f t="shared" ref="C659:Q722" si="48">IF(B658=0,"",B658)</f>
        <v>394.90458333333339</v>
      </c>
      <c r="D659" s="28">
        <f t="shared" si="48"/>
        <v>394.69499999999999</v>
      </c>
      <c r="E659" s="28">
        <f t="shared" si="48"/>
        <v>394.49416666666667</v>
      </c>
      <c r="F659" s="28">
        <f t="shared" si="48"/>
        <v>394.22750000000002</v>
      </c>
      <c r="G659" s="28">
        <f t="shared" si="48"/>
        <v>393.97583333333324</v>
      </c>
      <c r="H659" s="28">
        <f t="shared" si="48"/>
        <v>393.76458333333329</v>
      </c>
      <c r="I659" s="28">
        <f t="shared" si="48"/>
        <v>393.54625000000004</v>
      </c>
      <c r="J659" s="28">
        <f t="shared" si="48"/>
        <v>393.34666666666664</v>
      </c>
      <c r="K659" s="28">
        <f t="shared" si="48"/>
        <v>393.17124999999993</v>
      </c>
      <c r="L659" s="28">
        <f t="shared" si="48"/>
        <v>392.98541666666665</v>
      </c>
      <c r="M659" s="28">
        <f t="shared" si="48"/>
        <v>392.80791666666664</v>
      </c>
      <c r="N659" s="28">
        <f t="shared" si="48"/>
        <v>392.63625000000002</v>
      </c>
    </row>
    <row r="660" spans="1:14" x14ac:dyDescent="0.4">
      <c r="A660" s="1">
        <v>41275</v>
      </c>
      <c r="B660" s="28">
        <v>395.40208333333339</v>
      </c>
      <c r="C660" s="28">
        <f t="shared" si="48"/>
        <v>395.15875000000005</v>
      </c>
      <c r="D660" s="28">
        <f t="shared" si="48"/>
        <v>394.90458333333339</v>
      </c>
      <c r="E660" s="28">
        <f t="shared" si="48"/>
        <v>394.69499999999999</v>
      </c>
      <c r="F660" s="28">
        <f t="shared" si="48"/>
        <v>394.49416666666667</v>
      </c>
      <c r="G660" s="28">
        <f t="shared" si="48"/>
        <v>394.22750000000002</v>
      </c>
      <c r="H660" s="28">
        <f t="shared" si="48"/>
        <v>393.97583333333324</v>
      </c>
      <c r="I660" s="28">
        <f t="shared" si="48"/>
        <v>393.76458333333329</v>
      </c>
      <c r="J660" s="28">
        <f t="shared" si="48"/>
        <v>393.54625000000004</v>
      </c>
      <c r="K660" s="28">
        <f t="shared" si="48"/>
        <v>393.34666666666664</v>
      </c>
      <c r="L660" s="28">
        <f t="shared" si="48"/>
        <v>393.17124999999993</v>
      </c>
      <c r="M660" s="28">
        <f t="shared" si="48"/>
        <v>392.98541666666665</v>
      </c>
      <c r="N660" s="28">
        <f t="shared" si="48"/>
        <v>392.80791666666664</v>
      </c>
    </row>
    <row r="661" spans="1:14" x14ac:dyDescent="0.4">
      <c r="A661" s="1">
        <v>41306</v>
      </c>
      <c r="B661" s="28">
        <v>395.64041666666668</v>
      </c>
      <c r="C661" s="28">
        <f t="shared" si="48"/>
        <v>395.40208333333339</v>
      </c>
      <c r="D661" s="28">
        <f t="shared" si="48"/>
        <v>395.15875000000005</v>
      </c>
      <c r="E661" s="28">
        <f t="shared" si="48"/>
        <v>394.90458333333339</v>
      </c>
      <c r="F661" s="28">
        <f t="shared" si="48"/>
        <v>394.69499999999999</v>
      </c>
      <c r="G661" s="28">
        <f t="shared" si="48"/>
        <v>394.49416666666667</v>
      </c>
      <c r="H661" s="28">
        <f t="shared" si="48"/>
        <v>394.22750000000002</v>
      </c>
      <c r="I661" s="28">
        <f t="shared" si="48"/>
        <v>393.97583333333324</v>
      </c>
      <c r="J661" s="28">
        <f t="shared" si="48"/>
        <v>393.76458333333329</v>
      </c>
      <c r="K661" s="28">
        <f t="shared" si="48"/>
        <v>393.54625000000004</v>
      </c>
      <c r="L661" s="28">
        <f t="shared" si="48"/>
        <v>393.34666666666664</v>
      </c>
      <c r="M661" s="28">
        <f t="shared" si="48"/>
        <v>393.17124999999993</v>
      </c>
      <c r="N661" s="28">
        <f t="shared" si="48"/>
        <v>392.98541666666665</v>
      </c>
    </row>
    <row r="662" spans="1:14" x14ac:dyDescent="0.4">
      <c r="A662" s="1">
        <v>41334</v>
      </c>
      <c r="B662" s="28">
        <v>395.85416666666669</v>
      </c>
      <c r="C662" s="28">
        <f t="shared" si="48"/>
        <v>395.64041666666668</v>
      </c>
      <c r="D662" s="28">
        <f t="shared" si="48"/>
        <v>395.40208333333339</v>
      </c>
      <c r="E662" s="28">
        <f t="shared" si="48"/>
        <v>395.15875000000005</v>
      </c>
      <c r="F662" s="28">
        <f t="shared" si="48"/>
        <v>394.90458333333339</v>
      </c>
      <c r="G662" s="28">
        <f t="shared" si="48"/>
        <v>394.69499999999999</v>
      </c>
      <c r="H662" s="28">
        <f t="shared" si="48"/>
        <v>394.49416666666667</v>
      </c>
      <c r="I662" s="28">
        <f t="shared" si="48"/>
        <v>394.22750000000002</v>
      </c>
      <c r="J662" s="28">
        <f t="shared" si="48"/>
        <v>393.97583333333324</v>
      </c>
      <c r="K662" s="28">
        <f t="shared" si="48"/>
        <v>393.76458333333329</v>
      </c>
      <c r="L662" s="28">
        <f t="shared" si="48"/>
        <v>393.54625000000004</v>
      </c>
      <c r="M662" s="28">
        <f t="shared" si="48"/>
        <v>393.34666666666664</v>
      </c>
      <c r="N662" s="28">
        <f t="shared" si="48"/>
        <v>393.17124999999993</v>
      </c>
    </row>
    <row r="663" spans="1:14" x14ac:dyDescent="0.4">
      <c r="A663" s="1">
        <v>41365</v>
      </c>
      <c r="B663" s="28">
        <v>396.0604166666667</v>
      </c>
      <c r="C663" s="28">
        <f t="shared" si="48"/>
        <v>395.85416666666669</v>
      </c>
      <c r="D663" s="28">
        <f t="shared" si="48"/>
        <v>395.64041666666668</v>
      </c>
      <c r="E663" s="28">
        <f t="shared" si="48"/>
        <v>395.40208333333339</v>
      </c>
      <c r="F663" s="28">
        <f t="shared" si="48"/>
        <v>395.15875000000005</v>
      </c>
      <c r="G663" s="28">
        <f t="shared" si="48"/>
        <v>394.90458333333339</v>
      </c>
      <c r="H663" s="28">
        <f t="shared" si="48"/>
        <v>394.69499999999999</v>
      </c>
      <c r="I663" s="28">
        <f t="shared" si="48"/>
        <v>394.49416666666667</v>
      </c>
      <c r="J663" s="28">
        <f t="shared" si="48"/>
        <v>394.22750000000002</v>
      </c>
      <c r="K663" s="28">
        <f t="shared" si="48"/>
        <v>393.97583333333324</v>
      </c>
      <c r="L663" s="28">
        <f t="shared" si="48"/>
        <v>393.76458333333329</v>
      </c>
      <c r="M663" s="28">
        <f t="shared" si="48"/>
        <v>393.54625000000004</v>
      </c>
      <c r="N663" s="28">
        <f t="shared" si="48"/>
        <v>393.34666666666664</v>
      </c>
    </row>
    <row r="664" spans="1:14" x14ac:dyDescent="0.4">
      <c r="A664" s="1">
        <v>41395</v>
      </c>
      <c r="B664" s="28">
        <v>396.26583333333338</v>
      </c>
      <c r="C664" s="28">
        <f t="shared" si="48"/>
        <v>396.0604166666667</v>
      </c>
      <c r="D664" s="28">
        <f t="shared" si="48"/>
        <v>395.85416666666669</v>
      </c>
      <c r="E664" s="28">
        <f t="shared" si="48"/>
        <v>395.64041666666668</v>
      </c>
      <c r="F664" s="28">
        <f t="shared" si="48"/>
        <v>395.40208333333339</v>
      </c>
      <c r="G664" s="28">
        <f t="shared" si="48"/>
        <v>395.15875000000005</v>
      </c>
      <c r="H664" s="28">
        <f t="shared" si="48"/>
        <v>394.90458333333339</v>
      </c>
      <c r="I664" s="28">
        <f t="shared" si="48"/>
        <v>394.69499999999999</v>
      </c>
      <c r="J664" s="28">
        <f t="shared" si="48"/>
        <v>394.49416666666667</v>
      </c>
      <c r="K664" s="28">
        <f t="shared" si="48"/>
        <v>394.22750000000002</v>
      </c>
      <c r="L664" s="28">
        <f t="shared" si="48"/>
        <v>393.97583333333324</v>
      </c>
      <c r="M664" s="28">
        <f t="shared" si="48"/>
        <v>393.76458333333329</v>
      </c>
      <c r="N664" s="28">
        <f t="shared" si="48"/>
        <v>393.54625000000004</v>
      </c>
    </row>
    <row r="665" spans="1:14" x14ac:dyDescent="0.4">
      <c r="A665" s="1">
        <v>41426</v>
      </c>
      <c r="B665" s="28">
        <v>396.46291666666667</v>
      </c>
      <c r="C665" s="28">
        <f t="shared" si="48"/>
        <v>396.26583333333338</v>
      </c>
      <c r="D665" s="28">
        <f t="shared" si="48"/>
        <v>396.0604166666667</v>
      </c>
      <c r="E665" s="28">
        <f t="shared" si="48"/>
        <v>395.85416666666669</v>
      </c>
      <c r="F665" s="28">
        <f t="shared" si="48"/>
        <v>395.64041666666668</v>
      </c>
      <c r="G665" s="28">
        <f t="shared" si="48"/>
        <v>395.40208333333339</v>
      </c>
      <c r="H665" s="28">
        <f t="shared" si="48"/>
        <v>395.15875000000005</v>
      </c>
      <c r="I665" s="28">
        <f t="shared" si="48"/>
        <v>394.90458333333339</v>
      </c>
      <c r="J665" s="28">
        <f t="shared" si="48"/>
        <v>394.69499999999999</v>
      </c>
      <c r="K665" s="28">
        <f t="shared" si="48"/>
        <v>394.49416666666667</v>
      </c>
      <c r="L665" s="28">
        <f t="shared" si="48"/>
        <v>394.22750000000002</v>
      </c>
      <c r="M665" s="28">
        <f t="shared" si="48"/>
        <v>393.97583333333324</v>
      </c>
      <c r="N665" s="28">
        <f t="shared" si="48"/>
        <v>393.76458333333329</v>
      </c>
    </row>
    <row r="666" spans="1:14" x14ac:dyDescent="0.4">
      <c r="A666" s="1">
        <v>41456</v>
      </c>
      <c r="B666" s="28">
        <v>396.66333333333336</v>
      </c>
      <c r="C666" s="28">
        <f t="shared" si="48"/>
        <v>396.46291666666667</v>
      </c>
      <c r="D666" s="28">
        <f t="shared" si="48"/>
        <v>396.26583333333338</v>
      </c>
      <c r="E666" s="28">
        <f t="shared" si="48"/>
        <v>396.0604166666667</v>
      </c>
      <c r="F666" s="28">
        <f t="shared" si="48"/>
        <v>395.85416666666669</v>
      </c>
      <c r="G666" s="28">
        <f t="shared" si="48"/>
        <v>395.64041666666668</v>
      </c>
      <c r="H666" s="28">
        <f t="shared" si="48"/>
        <v>395.40208333333339</v>
      </c>
      <c r="I666" s="28">
        <f t="shared" si="48"/>
        <v>395.15875000000005</v>
      </c>
      <c r="J666" s="28">
        <f t="shared" si="48"/>
        <v>394.90458333333339</v>
      </c>
      <c r="K666" s="28">
        <f t="shared" si="48"/>
        <v>394.69499999999999</v>
      </c>
      <c r="L666" s="28">
        <f t="shared" si="48"/>
        <v>394.49416666666667</v>
      </c>
      <c r="M666" s="28">
        <f t="shared" si="48"/>
        <v>394.22750000000002</v>
      </c>
      <c r="N666" s="28">
        <f t="shared" si="48"/>
        <v>393.97583333333324</v>
      </c>
    </row>
    <row r="667" spans="1:14" x14ac:dyDescent="0.4">
      <c r="A667" s="1">
        <v>41487</v>
      </c>
      <c r="B667" s="28">
        <v>396.81208333333331</v>
      </c>
      <c r="C667" s="28">
        <f t="shared" si="48"/>
        <v>396.66333333333336</v>
      </c>
      <c r="D667" s="28">
        <f t="shared" si="48"/>
        <v>396.46291666666667</v>
      </c>
      <c r="E667" s="28">
        <f t="shared" si="48"/>
        <v>396.26583333333338</v>
      </c>
      <c r="F667" s="28">
        <f t="shared" si="48"/>
        <v>396.0604166666667</v>
      </c>
      <c r="G667" s="28">
        <f t="shared" si="48"/>
        <v>395.85416666666669</v>
      </c>
      <c r="H667" s="28">
        <f t="shared" si="48"/>
        <v>395.64041666666668</v>
      </c>
      <c r="I667" s="28">
        <f t="shared" si="48"/>
        <v>395.40208333333339</v>
      </c>
      <c r="J667" s="28">
        <f t="shared" si="48"/>
        <v>395.15875000000005</v>
      </c>
      <c r="K667" s="28">
        <f t="shared" si="48"/>
        <v>394.90458333333339</v>
      </c>
      <c r="L667" s="28">
        <f t="shared" si="48"/>
        <v>394.69499999999999</v>
      </c>
      <c r="M667" s="28">
        <f t="shared" si="48"/>
        <v>394.49416666666667</v>
      </c>
      <c r="N667" s="28">
        <f t="shared" si="48"/>
        <v>394.22750000000002</v>
      </c>
    </row>
    <row r="668" spans="1:14" x14ac:dyDescent="0.4">
      <c r="A668" s="1">
        <v>41518</v>
      </c>
      <c r="B668" s="28">
        <v>396.95625000000001</v>
      </c>
      <c r="C668" s="28">
        <f t="shared" si="48"/>
        <v>396.81208333333331</v>
      </c>
      <c r="D668" s="28">
        <f t="shared" si="48"/>
        <v>396.66333333333336</v>
      </c>
      <c r="E668" s="28">
        <f t="shared" si="48"/>
        <v>396.46291666666667</v>
      </c>
      <c r="F668" s="28">
        <f t="shared" si="48"/>
        <v>396.26583333333338</v>
      </c>
      <c r="G668" s="28">
        <f t="shared" si="48"/>
        <v>396.0604166666667</v>
      </c>
      <c r="H668" s="28">
        <f t="shared" si="48"/>
        <v>395.85416666666669</v>
      </c>
      <c r="I668" s="28">
        <f t="shared" si="48"/>
        <v>395.64041666666668</v>
      </c>
      <c r="J668" s="28">
        <f t="shared" si="48"/>
        <v>395.40208333333339</v>
      </c>
      <c r="K668" s="28">
        <f t="shared" si="48"/>
        <v>395.15875000000005</v>
      </c>
      <c r="L668" s="28">
        <f t="shared" si="48"/>
        <v>394.90458333333339</v>
      </c>
      <c r="M668" s="28">
        <f t="shared" si="48"/>
        <v>394.69499999999999</v>
      </c>
      <c r="N668" s="28">
        <f t="shared" si="48"/>
        <v>394.49416666666667</v>
      </c>
    </row>
    <row r="669" spans="1:14" x14ac:dyDescent="0.4">
      <c r="A669" s="1">
        <v>41548</v>
      </c>
      <c r="B669" s="28">
        <v>397.17249999999996</v>
      </c>
      <c r="C669" s="28">
        <f t="shared" si="48"/>
        <v>396.95625000000001</v>
      </c>
      <c r="D669" s="28">
        <f t="shared" si="48"/>
        <v>396.81208333333331</v>
      </c>
      <c r="E669" s="28">
        <f t="shared" si="48"/>
        <v>396.66333333333336</v>
      </c>
      <c r="F669" s="28">
        <f t="shared" si="48"/>
        <v>396.46291666666667</v>
      </c>
      <c r="G669" s="28">
        <f t="shared" si="48"/>
        <v>396.26583333333338</v>
      </c>
      <c r="H669" s="28">
        <f t="shared" si="48"/>
        <v>396.0604166666667</v>
      </c>
      <c r="I669" s="28">
        <f t="shared" si="48"/>
        <v>395.85416666666669</v>
      </c>
      <c r="J669" s="28">
        <f t="shared" si="48"/>
        <v>395.64041666666668</v>
      </c>
      <c r="K669" s="28">
        <f t="shared" si="48"/>
        <v>395.40208333333339</v>
      </c>
      <c r="L669" s="28">
        <f t="shared" si="48"/>
        <v>395.15875000000005</v>
      </c>
      <c r="M669" s="28">
        <f t="shared" si="48"/>
        <v>394.90458333333339</v>
      </c>
      <c r="N669" s="28">
        <f t="shared" si="48"/>
        <v>394.69499999999999</v>
      </c>
    </row>
    <row r="670" spans="1:14" x14ac:dyDescent="0.4">
      <c r="A670" s="1">
        <v>41579</v>
      </c>
      <c r="B670" s="28">
        <v>397.37583333333333</v>
      </c>
      <c r="C670" s="28">
        <f t="shared" si="48"/>
        <v>397.17249999999996</v>
      </c>
      <c r="D670" s="28">
        <f t="shared" si="48"/>
        <v>396.95625000000001</v>
      </c>
      <c r="E670" s="28">
        <f t="shared" si="48"/>
        <v>396.81208333333331</v>
      </c>
      <c r="F670" s="28">
        <f t="shared" si="48"/>
        <v>396.66333333333336</v>
      </c>
      <c r="G670" s="28">
        <f t="shared" si="48"/>
        <v>396.46291666666667</v>
      </c>
      <c r="H670" s="28">
        <f t="shared" si="48"/>
        <v>396.26583333333338</v>
      </c>
      <c r="I670" s="28">
        <f t="shared" si="48"/>
        <v>396.0604166666667</v>
      </c>
      <c r="J670" s="28">
        <f t="shared" si="48"/>
        <v>395.85416666666669</v>
      </c>
      <c r="K670" s="28">
        <f t="shared" si="48"/>
        <v>395.64041666666668</v>
      </c>
      <c r="L670" s="28">
        <f t="shared" si="48"/>
        <v>395.40208333333339</v>
      </c>
      <c r="M670" s="28">
        <f t="shared" si="48"/>
        <v>395.15875000000005</v>
      </c>
      <c r="N670" s="28">
        <f t="shared" si="48"/>
        <v>394.90458333333339</v>
      </c>
    </row>
    <row r="671" spans="1:14" x14ac:dyDescent="0.4">
      <c r="A671" s="1">
        <v>41609</v>
      </c>
      <c r="B671" s="28">
        <v>397.55666666666667</v>
      </c>
      <c r="C671" s="28">
        <f t="shared" si="48"/>
        <v>397.37583333333333</v>
      </c>
      <c r="D671" s="28">
        <f t="shared" si="48"/>
        <v>397.17249999999996</v>
      </c>
      <c r="E671" s="28">
        <f t="shared" si="48"/>
        <v>396.95625000000001</v>
      </c>
      <c r="F671" s="28">
        <f t="shared" si="48"/>
        <v>396.81208333333331</v>
      </c>
      <c r="G671" s="28">
        <f t="shared" si="48"/>
        <v>396.66333333333336</v>
      </c>
      <c r="H671" s="28">
        <f t="shared" si="48"/>
        <v>396.46291666666667</v>
      </c>
      <c r="I671" s="28">
        <f t="shared" si="48"/>
        <v>396.26583333333338</v>
      </c>
      <c r="J671" s="28">
        <f t="shared" si="48"/>
        <v>396.0604166666667</v>
      </c>
      <c r="K671" s="28">
        <f t="shared" si="48"/>
        <v>395.85416666666669</v>
      </c>
      <c r="L671" s="28">
        <f t="shared" si="48"/>
        <v>395.64041666666668</v>
      </c>
      <c r="M671" s="28">
        <f t="shared" si="48"/>
        <v>395.40208333333339</v>
      </c>
      <c r="N671" s="28">
        <f t="shared" si="48"/>
        <v>395.15875000000005</v>
      </c>
    </row>
    <row r="672" spans="1:14" x14ac:dyDescent="0.4">
      <c r="A672" s="1">
        <v>41640</v>
      </c>
      <c r="B672" s="28">
        <v>397.72916666666669</v>
      </c>
      <c r="C672" s="28">
        <f t="shared" si="48"/>
        <v>397.55666666666667</v>
      </c>
      <c r="D672" s="28">
        <f t="shared" si="48"/>
        <v>397.37583333333333</v>
      </c>
      <c r="E672" s="28">
        <f t="shared" si="48"/>
        <v>397.17249999999996</v>
      </c>
      <c r="F672" s="28">
        <f t="shared" si="48"/>
        <v>396.95625000000001</v>
      </c>
      <c r="G672" s="28">
        <f t="shared" si="48"/>
        <v>396.81208333333331</v>
      </c>
      <c r="H672" s="28">
        <f t="shared" si="48"/>
        <v>396.66333333333336</v>
      </c>
      <c r="I672" s="28">
        <f t="shared" si="48"/>
        <v>396.46291666666667</v>
      </c>
      <c r="J672" s="28">
        <f t="shared" si="48"/>
        <v>396.26583333333338</v>
      </c>
      <c r="K672" s="28">
        <f t="shared" si="48"/>
        <v>396.0604166666667</v>
      </c>
      <c r="L672" s="28">
        <f t="shared" si="48"/>
        <v>395.85416666666669</v>
      </c>
      <c r="M672" s="28">
        <f t="shared" si="48"/>
        <v>395.64041666666668</v>
      </c>
      <c r="N672" s="28">
        <f t="shared" si="48"/>
        <v>395.40208333333339</v>
      </c>
    </row>
    <row r="673" spans="1:14" x14ac:dyDescent="0.4">
      <c r="A673" s="1">
        <v>41671</v>
      </c>
      <c r="B673" s="28">
        <v>397.87500000000006</v>
      </c>
      <c r="C673" s="28">
        <f t="shared" si="48"/>
        <v>397.72916666666669</v>
      </c>
      <c r="D673" s="28">
        <f t="shared" si="48"/>
        <v>397.55666666666667</v>
      </c>
      <c r="E673" s="28">
        <f t="shared" si="48"/>
        <v>397.37583333333333</v>
      </c>
      <c r="F673" s="28">
        <f t="shared" si="48"/>
        <v>397.17249999999996</v>
      </c>
      <c r="G673" s="28">
        <f t="shared" si="48"/>
        <v>396.95625000000001</v>
      </c>
      <c r="H673" s="28">
        <f t="shared" si="48"/>
        <v>396.81208333333331</v>
      </c>
      <c r="I673" s="28">
        <f t="shared" si="48"/>
        <v>396.66333333333336</v>
      </c>
      <c r="J673" s="28">
        <f t="shared" si="48"/>
        <v>396.46291666666667</v>
      </c>
      <c r="K673" s="28">
        <f t="shared" si="48"/>
        <v>396.26583333333338</v>
      </c>
      <c r="L673" s="28">
        <f t="shared" si="48"/>
        <v>396.0604166666667</v>
      </c>
      <c r="M673" s="28">
        <f t="shared" si="48"/>
        <v>395.85416666666669</v>
      </c>
      <c r="N673" s="28">
        <f t="shared" si="48"/>
        <v>395.64041666666668</v>
      </c>
    </row>
    <row r="674" spans="1:14" x14ac:dyDescent="0.4">
      <c r="A674" s="1">
        <v>41699</v>
      </c>
      <c r="B674" s="28">
        <v>398.03375</v>
      </c>
      <c r="C674" s="28">
        <f t="shared" si="48"/>
        <v>397.87500000000006</v>
      </c>
      <c r="D674" s="28">
        <f t="shared" si="48"/>
        <v>397.72916666666669</v>
      </c>
      <c r="E674" s="28">
        <f t="shared" si="48"/>
        <v>397.55666666666667</v>
      </c>
      <c r="F674" s="28">
        <f t="shared" si="48"/>
        <v>397.37583333333333</v>
      </c>
      <c r="G674" s="28">
        <f t="shared" si="48"/>
        <v>397.17249999999996</v>
      </c>
      <c r="H674" s="28">
        <f t="shared" si="48"/>
        <v>396.95625000000001</v>
      </c>
      <c r="I674" s="28">
        <f t="shared" si="48"/>
        <v>396.81208333333331</v>
      </c>
      <c r="J674" s="28">
        <f t="shared" si="48"/>
        <v>396.66333333333336</v>
      </c>
      <c r="K674" s="28">
        <f t="shared" si="48"/>
        <v>396.46291666666667</v>
      </c>
      <c r="L674" s="28">
        <f t="shared" si="48"/>
        <v>396.26583333333338</v>
      </c>
      <c r="M674" s="28">
        <f t="shared" si="48"/>
        <v>396.0604166666667</v>
      </c>
      <c r="N674" s="28">
        <f t="shared" si="48"/>
        <v>395.85416666666669</v>
      </c>
    </row>
    <row r="675" spans="1:14" x14ac:dyDescent="0.4">
      <c r="A675" s="1">
        <v>41730</v>
      </c>
      <c r="B675" s="28">
        <v>398.19874999999996</v>
      </c>
      <c r="C675" s="28">
        <f t="shared" si="48"/>
        <v>398.03375</v>
      </c>
      <c r="D675" s="28">
        <f t="shared" si="48"/>
        <v>397.87500000000006</v>
      </c>
      <c r="E675" s="28">
        <f t="shared" si="48"/>
        <v>397.72916666666669</v>
      </c>
      <c r="F675" s="28">
        <f t="shared" si="48"/>
        <v>397.55666666666667</v>
      </c>
      <c r="G675" s="28">
        <f t="shared" si="48"/>
        <v>397.37583333333333</v>
      </c>
      <c r="H675" s="28">
        <f t="shared" si="48"/>
        <v>397.17249999999996</v>
      </c>
      <c r="I675" s="28">
        <f t="shared" si="48"/>
        <v>396.95625000000001</v>
      </c>
      <c r="J675" s="28">
        <f t="shared" si="48"/>
        <v>396.81208333333331</v>
      </c>
      <c r="K675" s="28">
        <f t="shared" si="48"/>
        <v>396.66333333333336</v>
      </c>
      <c r="L675" s="28">
        <f t="shared" si="48"/>
        <v>396.46291666666667</v>
      </c>
      <c r="M675" s="28">
        <f t="shared" si="48"/>
        <v>396.26583333333338</v>
      </c>
      <c r="N675" s="28">
        <f t="shared" si="48"/>
        <v>396.0604166666667</v>
      </c>
    </row>
    <row r="676" spans="1:14" x14ac:dyDescent="0.4">
      <c r="A676" s="1">
        <v>41760</v>
      </c>
      <c r="B676" s="28">
        <v>398.36500000000001</v>
      </c>
      <c r="C676" s="28">
        <f t="shared" si="48"/>
        <v>398.19874999999996</v>
      </c>
      <c r="D676" s="28">
        <f t="shared" si="48"/>
        <v>398.03375</v>
      </c>
      <c r="E676" s="28">
        <f t="shared" si="48"/>
        <v>397.87500000000006</v>
      </c>
      <c r="F676" s="28">
        <f t="shared" si="48"/>
        <v>397.72916666666669</v>
      </c>
      <c r="G676" s="28">
        <f t="shared" si="48"/>
        <v>397.55666666666667</v>
      </c>
      <c r="H676" s="28">
        <f t="shared" si="48"/>
        <v>397.37583333333333</v>
      </c>
      <c r="I676" s="28">
        <f t="shared" si="48"/>
        <v>397.17249999999996</v>
      </c>
      <c r="J676" s="28">
        <f t="shared" si="48"/>
        <v>396.95625000000001</v>
      </c>
      <c r="K676" s="28">
        <f t="shared" si="48"/>
        <v>396.81208333333331</v>
      </c>
      <c r="L676" s="28">
        <f t="shared" si="48"/>
        <v>396.66333333333336</v>
      </c>
      <c r="M676" s="28">
        <f t="shared" si="48"/>
        <v>396.46291666666667</v>
      </c>
      <c r="N676" s="28">
        <f t="shared" si="48"/>
        <v>396.26583333333338</v>
      </c>
    </row>
    <row r="677" spans="1:14" x14ac:dyDescent="0.4">
      <c r="A677" s="1">
        <v>41791</v>
      </c>
      <c r="B677" s="28">
        <v>398.53208333333333</v>
      </c>
      <c r="C677" s="28">
        <f t="shared" si="48"/>
        <v>398.36500000000001</v>
      </c>
      <c r="D677" s="28">
        <f t="shared" si="48"/>
        <v>398.19874999999996</v>
      </c>
      <c r="E677" s="28">
        <f t="shared" si="48"/>
        <v>398.03375</v>
      </c>
      <c r="F677" s="28">
        <f t="shared" si="48"/>
        <v>397.87500000000006</v>
      </c>
      <c r="G677" s="28">
        <f t="shared" si="48"/>
        <v>397.72916666666669</v>
      </c>
      <c r="H677" s="28">
        <f t="shared" si="48"/>
        <v>397.55666666666667</v>
      </c>
      <c r="I677" s="28">
        <f t="shared" si="48"/>
        <v>397.37583333333333</v>
      </c>
      <c r="J677" s="28">
        <f t="shared" si="48"/>
        <v>397.17249999999996</v>
      </c>
      <c r="K677" s="28">
        <f t="shared" si="48"/>
        <v>396.95625000000001</v>
      </c>
      <c r="L677" s="28">
        <f t="shared" si="48"/>
        <v>396.81208333333331</v>
      </c>
      <c r="M677" s="28">
        <f t="shared" si="48"/>
        <v>396.66333333333336</v>
      </c>
      <c r="N677" s="28">
        <f t="shared" si="48"/>
        <v>396.46291666666667</v>
      </c>
    </row>
    <row r="678" spans="1:14" x14ac:dyDescent="0.4">
      <c r="A678" s="1">
        <v>41821</v>
      </c>
      <c r="B678" s="28">
        <v>398.69416666666666</v>
      </c>
      <c r="C678" s="28">
        <f t="shared" si="48"/>
        <v>398.53208333333333</v>
      </c>
      <c r="D678" s="28">
        <f t="shared" si="48"/>
        <v>398.36500000000001</v>
      </c>
      <c r="E678" s="28">
        <f t="shared" si="48"/>
        <v>398.19874999999996</v>
      </c>
      <c r="F678" s="28">
        <f t="shared" si="48"/>
        <v>398.03375</v>
      </c>
      <c r="G678" s="28">
        <f t="shared" si="48"/>
        <v>397.87500000000006</v>
      </c>
      <c r="H678" s="28">
        <f t="shared" si="48"/>
        <v>397.72916666666669</v>
      </c>
      <c r="I678" s="28">
        <f t="shared" si="48"/>
        <v>397.55666666666667</v>
      </c>
      <c r="J678" s="28">
        <f t="shared" si="48"/>
        <v>397.37583333333333</v>
      </c>
      <c r="K678" s="28">
        <f t="shared" si="48"/>
        <v>397.17249999999996</v>
      </c>
      <c r="L678" s="28">
        <f t="shared" si="48"/>
        <v>396.95625000000001</v>
      </c>
      <c r="M678" s="28">
        <f t="shared" si="48"/>
        <v>396.81208333333331</v>
      </c>
      <c r="N678" s="28">
        <f t="shared" si="48"/>
        <v>396.66333333333336</v>
      </c>
    </row>
    <row r="679" spans="1:14" x14ac:dyDescent="0.4">
      <c r="A679" s="1">
        <v>41852</v>
      </c>
      <c r="B679" s="28">
        <v>398.86625000000004</v>
      </c>
      <c r="C679" s="28">
        <f t="shared" si="48"/>
        <v>398.69416666666666</v>
      </c>
      <c r="D679" s="28">
        <f t="shared" si="48"/>
        <v>398.53208333333333</v>
      </c>
      <c r="E679" s="28">
        <f t="shared" si="48"/>
        <v>398.36500000000001</v>
      </c>
      <c r="F679" s="28">
        <f t="shared" si="48"/>
        <v>398.19874999999996</v>
      </c>
      <c r="G679" s="28">
        <f t="shared" si="48"/>
        <v>398.03375</v>
      </c>
      <c r="H679" s="28">
        <f t="shared" si="48"/>
        <v>397.87500000000006</v>
      </c>
      <c r="I679" s="28">
        <f t="shared" si="48"/>
        <v>397.72916666666669</v>
      </c>
      <c r="J679" s="28">
        <f t="shared" si="48"/>
        <v>397.55666666666667</v>
      </c>
      <c r="K679" s="28">
        <f t="shared" si="48"/>
        <v>397.37583333333333</v>
      </c>
      <c r="L679" s="28">
        <f t="shared" si="48"/>
        <v>397.17249999999996</v>
      </c>
      <c r="M679" s="28">
        <f t="shared" si="48"/>
        <v>396.95625000000001</v>
      </c>
      <c r="N679" s="28">
        <f t="shared" si="48"/>
        <v>396.81208333333331</v>
      </c>
    </row>
    <row r="680" spans="1:14" x14ac:dyDescent="0.4">
      <c r="A680" s="1">
        <v>41883</v>
      </c>
      <c r="B680" s="28">
        <v>399.04333333333335</v>
      </c>
      <c r="C680" s="28">
        <f t="shared" si="48"/>
        <v>398.86625000000004</v>
      </c>
      <c r="D680" s="28">
        <f t="shared" si="48"/>
        <v>398.69416666666666</v>
      </c>
      <c r="E680" s="28">
        <f t="shared" si="48"/>
        <v>398.53208333333333</v>
      </c>
      <c r="F680" s="28">
        <f t="shared" ref="F680:U695" si="49">IF(E679=0,"",E679)</f>
        <v>398.36500000000001</v>
      </c>
      <c r="G680" s="28">
        <f t="shared" si="49"/>
        <v>398.19874999999996</v>
      </c>
      <c r="H680" s="28">
        <f t="shared" si="49"/>
        <v>398.03375</v>
      </c>
      <c r="I680" s="28">
        <f t="shared" si="49"/>
        <v>397.87500000000006</v>
      </c>
      <c r="J680" s="28">
        <f t="shared" si="49"/>
        <v>397.72916666666669</v>
      </c>
      <c r="K680" s="28">
        <f t="shared" si="49"/>
        <v>397.55666666666667</v>
      </c>
      <c r="L680" s="28">
        <f t="shared" si="49"/>
        <v>397.37583333333333</v>
      </c>
      <c r="M680" s="28">
        <f t="shared" si="49"/>
        <v>397.17249999999996</v>
      </c>
      <c r="N680" s="28">
        <f t="shared" si="49"/>
        <v>396.95625000000001</v>
      </c>
    </row>
    <row r="681" spans="1:14" x14ac:dyDescent="0.4">
      <c r="A681" s="1">
        <v>41913</v>
      </c>
      <c r="B681" s="28">
        <v>399.2166666666667</v>
      </c>
      <c r="C681" s="28">
        <f t="shared" ref="C681:N744" si="50">IF(B680=0,"",B680)</f>
        <v>399.04333333333335</v>
      </c>
      <c r="D681" s="28">
        <f t="shared" si="50"/>
        <v>398.86625000000004</v>
      </c>
      <c r="E681" s="28">
        <f t="shared" si="50"/>
        <v>398.69416666666666</v>
      </c>
      <c r="F681" s="28">
        <f t="shared" si="50"/>
        <v>398.53208333333333</v>
      </c>
      <c r="G681" s="28">
        <f t="shared" si="50"/>
        <v>398.36500000000001</v>
      </c>
      <c r="H681" s="28">
        <f t="shared" si="50"/>
        <v>398.19874999999996</v>
      </c>
      <c r="I681" s="28">
        <f t="shared" si="50"/>
        <v>398.03375</v>
      </c>
      <c r="J681" s="28">
        <f t="shared" si="50"/>
        <v>397.87500000000006</v>
      </c>
      <c r="K681" s="28">
        <f t="shared" si="50"/>
        <v>397.72916666666669</v>
      </c>
      <c r="L681" s="28">
        <f t="shared" si="50"/>
        <v>397.55666666666667</v>
      </c>
      <c r="M681" s="28">
        <f t="shared" si="50"/>
        <v>397.37583333333333</v>
      </c>
      <c r="N681" s="28">
        <f t="shared" si="50"/>
        <v>397.17249999999996</v>
      </c>
    </row>
    <row r="682" spans="1:14" x14ac:dyDescent="0.4">
      <c r="A682" s="1">
        <v>41944</v>
      </c>
      <c r="B682" s="28">
        <v>399.39750000000004</v>
      </c>
      <c r="C682" s="28">
        <f t="shared" si="50"/>
        <v>399.2166666666667</v>
      </c>
      <c r="D682" s="28">
        <f t="shared" si="50"/>
        <v>399.04333333333335</v>
      </c>
      <c r="E682" s="28">
        <f t="shared" si="50"/>
        <v>398.86625000000004</v>
      </c>
      <c r="F682" s="28">
        <f t="shared" si="50"/>
        <v>398.69416666666666</v>
      </c>
      <c r="G682" s="28">
        <f t="shared" si="50"/>
        <v>398.53208333333333</v>
      </c>
      <c r="H682" s="28">
        <f t="shared" si="50"/>
        <v>398.36500000000001</v>
      </c>
      <c r="I682" s="28">
        <f t="shared" si="50"/>
        <v>398.19874999999996</v>
      </c>
      <c r="J682" s="28">
        <f t="shared" si="50"/>
        <v>398.03375</v>
      </c>
      <c r="K682" s="28">
        <f t="shared" si="50"/>
        <v>397.87500000000006</v>
      </c>
      <c r="L682" s="28">
        <f t="shared" si="50"/>
        <v>397.72916666666669</v>
      </c>
      <c r="M682" s="28">
        <f t="shared" si="50"/>
        <v>397.55666666666667</v>
      </c>
      <c r="N682" s="28">
        <f t="shared" si="50"/>
        <v>397.37583333333333</v>
      </c>
    </row>
    <row r="683" spans="1:14" x14ac:dyDescent="0.4">
      <c r="A683" s="1">
        <v>41974</v>
      </c>
      <c r="B683" s="28">
        <v>399.55541666666664</v>
      </c>
      <c r="C683" s="28">
        <f t="shared" si="50"/>
        <v>399.39750000000004</v>
      </c>
      <c r="D683" s="28">
        <f t="shared" si="50"/>
        <v>399.2166666666667</v>
      </c>
      <c r="E683" s="28">
        <f t="shared" si="50"/>
        <v>399.04333333333335</v>
      </c>
      <c r="F683" s="28">
        <f t="shared" si="50"/>
        <v>398.86625000000004</v>
      </c>
      <c r="G683" s="28">
        <f t="shared" si="50"/>
        <v>398.69416666666666</v>
      </c>
      <c r="H683" s="28">
        <f t="shared" si="50"/>
        <v>398.53208333333333</v>
      </c>
      <c r="I683" s="28">
        <f t="shared" si="50"/>
        <v>398.36500000000001</v>
      </c>
      <c r="J683" s="28">
        <f t="shared" si="50"/>
        <v>398.19874999999996</v>
      </c>
      <c r="K683" s="28">
        <f t="shared" si="50"/>
        <v>398.03375</v>
      </c>
      <c r="L683" s="28">
        <f t="shared" si="50"/>
        <v>397.87500000000006</v>
      </c>
      <c r="M683" s="28">
        <f t="shared" si="50"/>
        <v>397.72916666666669</v>
      </c>
      <c r="N683" s="28">
        <f t="shared" si="50"/>
        <v>397.55666666666667</v>
      </c>
    </row>
    <row r="684" spans="1:14" x14ac:dyDescent="0.4">
      <c r="A684" s="1">
        <v>42005</v>
      </c>
      <c r="B684" s="28">
        <v>399.72666666666674</v>
      </c>
      <c r="C684" s="28">
        <f t="shared" si="50"/>
        <v>399.55541666666664</v>
      </c>
      <c r="D684" s="28">
        <f t="shared" si="50"/>
        <v>399.39750000000004</v>
      </c>
      <c r="E684" s="28">
        <f t="shared" si="50"/>
        <v>399.2166666666667</v>
      </c>
      <c r="F684" s="28">
        <f t="shared" si="50"/>
        <v>399.04333333333335</v>
      </c>
      <c r="G684" s="28">
        <f t="shared" si="50"/>
        <v>398.86625000000004</v>
      </c>
      <c r="H684" s="28">
        <f t="shared" si="50"/>
        <v>398.69416666666666</v>
      </c>
      <c r="I684" s="28">
        <f t="shared" si="50"/>
        <v>398.53208333333333</v>
      </c>
      <c r="J684" s="28">
        <f t="shared" si="50"/>
        <v>398.36500000000001</v>
      </c>
      <c r="K684" s="28">
        <f t="shared" si="50"/>
        <v>398.19874999999996</v>
      </c>
      <c r="L684" s="28">
        <f t="shared" si="50"/>
        <v>398.03375</v>
      </c>
      <c r="M684" s="28">
        <f t="shared" si="50"/>
        <v>397.87500000000006</v>
      </c>
      <c r="N684" s="28">
        <f t="shared" si="50"/>
        <v>397.72916666666669</v>
      </c>
    </row>
    <row r="685" spans="1:14" x14ac:dyDescent="0.4">
      <c r="A685" s="1">
        <v>42036</v>
      </c>
      <c r="B685" s="28">
        <v>399.90708333333333</v>
      </c>
      <c r="C685" s="28">
        <f t="shared" si="50"/>
        <v>399.72666666666674</v>
      </c>
      <c r="D685" s="28">
        <f t="shared" si="50"/>
        <v>399.55541666666664</v>
      </c>
      <c r="E685" s="28">
        <f t="shared" si="50"/>
        <v>399.39750000000004</v>
      </c>
      <c r="F685" s="28">
        <f t="shared" si="50"/>
        <v>399.2166666666667</v>
      </c>
      <c r="G685" s="28">
        <f t="shared" si="50"/>
        <v>399.04333333333335</v>
      </c>
      <c r="H685" s="28">
        <f t="shared" si="50"/>
        <v>398.86625000000004</v>
      </c>
      <c r="I685" s="28">
        <f t="shared" si="50"/>
        <v>398.69416666666666</v>
      </c>
      <c r="J685" s="28">
        <f t="shared" si="50"/>
        <v>398.53208333333333</v>
      </c>
      <c r="K685" s="28">
        <f t="shared" si="50"/>
        <v>398.36500000000001</v>
      </c>
      <c r="L685" s="28">
        <f t="shared" si="50"/>
        <v>398.19874999999996</v>
      </c>
      <c r="M685" s="28">
        <f t="shared" si="50"/>
        <v>398.03375</v>
      </c>
      <c r="N685" s="28">
        <f t="shared" si="50"/>
        <v>397.87500000000006</v>
      </c>
    </row>
    <row r="686" spans="1:14" x14ac:dyDescent="0.4">
      <c r="A686" s="1">
        <v>42064</v>
      </c>
      <c r="B686" s="28">
        <v>400.06916666666666</v>
      </c>
      <c r="C686" s="28">
        <f t="shared" si="50"/>
        <v>399.90708333333333</v>
      </c>
      <c r="D686" s="28">
        <f t="shared" si="50"/>
        <v>399.72666666666674</v>
      </c>
      <c r="E686" s="28">
        <f t="shared" si="50"/>
        <v>399.55541666666664</v>
      </c>
      <c r="F686" s="28">
        <f t="shared" si="50"/>
        <v>399.39750000000004</v>
      </c>
      <c r="G686" s="28">
        <f t="shared" si="50"/>
        <v>399.2166666666667</v>
      </c>
      <c r="H686" s="28">
        <f t="shared" si="50"/>
        <v>399.04333333333335</v>
      </c>
      <c r="I686" s="28">
        <f t="shared" si="50"/>
        <v>398.86625000000004</v>
      </c>
      <c r="J686" s="28">
        <f t="shared" si="50"/>
        <v>398.69416666666666</v>
      </c>
      <c r="K686" s="28">
        <f t="shared" si="50"/>
        <v>398.53208333333333</v>
      </c>
      <c r="L686" s="28">
        <f t="shared" si="50"/>
        <v>398.36500000000001</v>
      </c>
      <c r="M686" s="28">
        <f t="shared" si="50"/>
        <v>398.19874999999996</v>
      </c>
      <c r="N686" s="28">
        <f t="shared" si="50"/>
        <v>398.03375</v>
      </c>
    </row>
    <row r="687" spans="1:14" x14ac:dyDescent="0.4">
      <c r="A687" s="1">
        <v>42095</v>
      </c>
      <c r="B687" s="28">
        <v>400.26624999999996</v>
      </c>
      <c r="C687" s="28">
        <f t="shared" si="50"/>
        <v>400.06916666666666</v>
      </c>
      <c r="D687" s="28">
        <f t="shared" si="50"/>
        <v>399.90708333333333</v>
      </c>
      <c r="E687" s="28">
        <f t="shared" si="50"/>
        <v>399.72666666666674</v>
      </c>
      <c r="F687" s="28">
        <f t="shared" si="50"/>
        <v>399.55541666666664</v>
      </c>
      <c r="G687" s="28">
        <f t="shared" si="50"/>
        <v>399.39750000000004</v>
      </c>
      <c r="H687" s="28">
        <f t="shared" si="50"/>
        <v>399.2166666666667</v>
      </c>
      <c r="I687" s="28">
        <f t="shared" si="50"/>
        <v>399.04333333333335</v>
      </c>
      <c r="J687" s="28">
        <f t="shared" si="50"/>
        <v>398.86625000000004</v>
      </c>
      <c r="K687" s="28">
        <f t="shared" si="50"/>
        <v>398.69416666666666</v>
      </c>
      <c r="L687" s="28">
        <f t="shared" si="50"/>
        <v>398.53208333333333</v>
      </c>
      <c r="M687" s="28">
        <f t="shared" si="50"/>
        <v>398.36500000000001</v>
      </c>
      <c r="N687" s="28">
        <f t="shared" si="50"/>
        <v>398.19874999999996</v>
      </c>
    </row>
    <row r="688" spans="1:14" x14ac:dyDescent="0.4">
      <c r="A688" s="1">
        <v>42125</v>
      </c>
      <c r="B688" s="28">
        <v>400.50125000000003</v>
      </c>
      <c r="C688" s="28">
        <f t="shared" si="50"/>
        <v>400.26624999999996</v>
      </c>
      <c r="D688" s="28">
        <f t="shared" si="50"/>
        <v>400.06916666666666</v>
      </c>
      <c r="E688" s="28">
        <f t="shared" si="50"/>
        <v>399.90708333333333</v>
      </c>
      <c r="F688" s="28">
        <f t="shared" si="50"/>
        <v>399.72666666666674</v>
      </c>
      <c r="G688" s="28">
        <f t="shared" si="50"/>
        <v>399.55541666666664</v>
      </c>
      <c r="H688" s="28">
        <f t="shared" si="50"/>
        <v>399.39750000000004</v>
      </c>
      <c r="I688" s="28">
        <f t="shared" si="50"/>
        <v>399.2166666666667</v>
      </c>
      <c r="J688" s="28">
        <f t="shared" si="50"/>
        <v>399.04333333333335</v>
      </c>
      <c r="K688" s="28">
        <f t="shared" si="50"/>
        <v>398.86625000000004</v>
      </c>
      <c r="L688" s="28">
        <f t="shared" si="50"/>
        <v>398.69416666666666</v>
      </c>
      <c r="M688" s="28">
        <f t="shared" si="50"/>
        <v>398.53208333333333</v>
      </c>
      <c r="N688" s="28">
        <f t="shared" si="50"/>
        <v>398.36500000000001</v>
      </c>
    </row>
    <row r="689" spans="1:14" x14ac:dyDescent="0.4">
      <c r="A689" s="1">
        <v>42156</v>
      </c>
      <c r="B689" s="28">
        <v>400.75583333333333</v>
      </c>
      <c r="C689" s="28">
        <f t="shared" si="50"/>
        <v>400.50125000000003</v>
      </c>
      <c r="D689" s="28">
        <f t="shared" si="50"/>
        <v>400.26624999999996</v>
      </c>
      <c r="E689" s="28">
        <f t="shared" si="50"/>
        <v>400.06916666666666</v>
      </c>
      <c r="F689" s="28">
        <f t="shared" si="50"/>
        <v>399.90708333333333</v>
      </c>
      <c r="G689" s="28">
        <f t="shared" si="50"/>
        <v>399.72666666666674</v>
      </c>
      <c r="H689" s="28">
        <f t="shared" si="50"/>
        <v>399.55541666666664</v>
      </c>
      <c r="I689" s="28">
        <f t="shared" si="50"/>
        <v>399.39750000000004</v>
      </c>
      <c r="J689" s="28">
        <f t="shared" si="50"/>
        <v>399.2166666666667</v>
      </c>
      <c r="K689" s="28">
        <f t="shared" si="50"/>
        <v>399.04333333333335</v>
      </c>
      <c r="L689" s="28">
        <f t="shared" si="50"/>
        <v>398.86625000000004</v>
      </c>
      <c r="M689" s="28">
        <f t="shared" si="50"/>
        <v>398.69416666666666</v>
      </c>
      <c r="N689" s="28">
        <f t="shared" si="50"/>
        <v>398.53208333333333</v>
      </c>
    </row>
    <row r="690" spans="1:14" x14ac:dyDescent="0.4">
      <c r="A690" s="1">
        <v>42186</v>
      </c>
      <c r="B690" s="28">
        <v>401.00166666666672</v>
      </c>
      <c r="C690" s="28">
        <f t="shared" si="50"/>
        <v>400.75583333333333</v>
      </c>
      <c r="D690" s="28">
        <f t="shared" si="50"/>
        <v>400.50125000000003</v>
      </c>
      <c r="E690" s="28">
        <f t="shared" si="50"/>
        <v>400.26624999999996</v>
      </c>
      <c r="F690" s="28">
        <f t="shared" si="50"/>
        <v>400.06916666666666</v>
      </c>
      <c r="G690" s="28">
        <f t="shared" si="50"/>
        <v>399.90708333333333</v>
      </c>
      <c r="H690" s="28">
        <f t="shared" si="50"/>
        <v>399.72666666666674</v>
      </c>
      <c r="I690" s="28">
        <f t="shared" si="50"/>
        <v>399.55541666666664</v>
      </c>
      <c r="J690" s="28">
        <f t="shared" si="50"/>
        <v>399.39750000000004</v>
      </c>
      <c r="K690" s="28">
        <f t="shared" si="50"/>
        <v>399.2166666666667</v>
      </c>
      <c r="L690" s="28">
        <f t="shared" si="50"/>
        <v>399.04333333333335</v>
      </c>
      <c r="M690" s="28">
        <f t="shared" si="50"/>
        <v>398.86625000000004</v>
      </c>
      <c r="N690" s="28">
        <f t="shared" si="50"/>
        <v>398.69416666666666</v>
      </c>
    </row>
    <row r="691" spans="1:14" x14ac:dyDescent="0.4">
      <c r="A691" s="1">
        <v>42217</v>
      </c>
      <c r="B691" s="28">
        <v>401.27875</v>
      </c>
      <c r="C691" s="28">
        <f t="shared" si="50"/>
        <v>401.00166666666672</v>
      </c>
      <c r="D691" s="28">
        <f t="shared" si="50"/>
        <v>400.75583333333333</v>
      </c>
      <c r="E691" s="28">
        <f t="shared" si="50"/>
        <v>400.50125000000003</v>
      </c>
      <c r="F691" s="28">
        <f t="shared" si="50"/>
        <v>400.26624999999996</v>
      </c>
      <c r="G691" s="28">
        <f t="shared" si="50"/>
        <v>400.06916666666666</v>
      </c>
      <c r="H691" s="28">
        <f t="shared" si="50"/>
        <v>399.90708333333333</v>
      </c>
      <c r="I691" s="28">
        <f t="shared" si="50"/>
        <v>399.72666666666674</v>
      </c>
      <c r="J691" s="28">
        <f t="shared" si="50"/>
        <v>399.55541666666664</v>
      </c>
      <c r="K691" s="28">
        <f t="shared" si="50"/>
        <v>399.39750000000004</v>
      </c>
      <c r="L691" s="28">
        <f t="shared" si="50"/>
        <v>399.2166666666667</v>
      </c>
      <c r="M691" s="28">
        <f t="shared" si="50"/>
        <v>399.04333333333335</v>
      </c>
      <c r="N691" s="28">
        <f t="shared" si="50"/>
        <v>398.86625000000004</v>
      </c>
    </row>
    <row r="692" spans="1:14" x14ac:dyDescent="0.4">
      <c r="A692" s="1">
        <v>42248</v>
      </c>
      <c r="B692" s="28">
        <v>401.57833333333332</v>
      </c>
      <c r="C692" s="28">
        <f t="shared" si="50"/>
        <v>401.27875</v>
      </c>
      <c r="D692" s="28">
        <f t="shared" si="50"/>
        <v>401.00166666666672</v>
      </c>
      <c r="E692" s="28">
        <f t="shared" si="50"/>
        <v>400.75583333333333</v>
      </c>
      <c r="F692" s="28">
        <f t="shared" si="50"/>
        <v>400.50125000000003</v>
      </c>
      <c r="G692" s="28">
        <f t="shared" si="50"/>
        <v>400.26624999999996</v>
      </c>
      <c r="H692" s="28">
        <f t="shared" si="50"/>
        <v>400.06916666666666</v>
      </c>
      <c r="I692" s="28">
        <f t="shared" si="50"/>
        <v>399.90708333333333</v>
      </c>
      <c r="J692" s="28">
        <f t="shared" si="50"/>
        <v>399.72666666666674</v>
      </c>
      <c r="K692" s="28">
        <f t="shared" si="50"/>
        <v>399.55541666666664</v>
      </c>
      <c r="L692" s="28">
        <f t="shared" si="50"/>
        <v>399.39750000000004</v>
      </c>
      <c r="M692" s="28">
        <f t="shared" si="50"/>
        <v>399.2166666666667</v>
      </c>
      <c r="N692" s="28">
        <f t="shared" si="50"/>
        <v>399.04333333333335</v>
      </c>
    </row>
    <row r="693" spans="1:14" x14ac:dyDescent="0.4">
      <c r="A693" s="1">
        <v>42278</v>
      </c>
      <c r="B693" s="28">
        <v>401.88916666666665</v>
      </c>
      <c r="C693" s="28">
        <f t="shared" si="50"/>
        <v>401.57833333333332</v>
      </c>
      <c r="D693" s="28">
        <f t="shared" si="50"/>
        <v>401.27875</v>
      </c>
      <c r="E693" s="28">
        <f t="shared" si="50"/>
        <v>401.00166666666672</v>
      </c>
      <c r="F693" s="28">
        <f t="shared" si="50"/>
        <v>400.75583333333333</v>
      </c>
      <c r="G693" s="28">
        <f t="shared" si="50"/>
        <v>400.50125000000003</v>
      </c>
      <c r="H693" s="28">
        <f t="shared" si="50"/>
        <v>400.26624999999996</v>
      </c>
      <c r="I693" s="28">
        <f t="shared" si="50"/>
        <v>400.06916666666666</v>
      </c>
      <c r="J693" s="28">
        <f t="shared" si="50"/>
        <v>399.90708333333333</v>
      </c>
      <c r="K693" s="28">
        <f t="shared" si="50"/>
        <v>399.72666666666674</v>
      </c>
      <c r="L693" s="28">
        <f t="shared" si="50"/>
        <v>399.55541666666664</v>
      </c>
      <c r="M693" s="28">
        <f t="shared" si="50"/>
        <v>399.39750000000004</v>
      </c>
      <c r="N693" s="28">
        <f t="shared" si="50"/>
        <v>399.2166666666667</v>
      </c>
    </row>
    <row r="694" spans="1:14" x14ac:dyDescent="0.4">
      <c r="A694" s="1">
        <v>42309</v>
      </c>
      <c r="B694" s="28">
        <v>402.2091666666667</v>
      </c>
      <c r="C694" s="28">
        <f t="shared" si="50"/>
        <v>401.88916666666665</v>
      </c>
      <c r="D694" s="28">
        <f t="shared" si="50"/>
        <v>401.57833333333332</v>
      </c>
      <c r="E694" s="28">
        <f t="shared" si="50"/>
        <v>401.27875</v>
      </c>
      <c r="F694" s="28">
        <f t="shared" si="50"/>
        <v>401.00166666666672</v>
      </c>
      <c r="G694" s="28">
        <f t="shared" si="50"/>
        <v>400.75583333333333</v>
      </c>
      <c r="H694" s="28">
        <f t="shared" si="50"/>
        <v>400.50125000000003</v>
      </c>
      <c r="I694" s="28">
        <f t="shared" si="50"/>
        <v>400.26624999999996</v>
      </c>
      <c r="J694" s="28">
        <f t="shared" si="50"/>
        <v>400.06916666666666</v>
      </c>
      <c r="K694" s="28">
        <f t="shared" si="50"/>
        <v>399.90708333333333</v>
      </c>
      <c r="L694" s="28">
        <f t="shared" si="50"/>
        <v>399.72666666666674</v>
      </c>
      <c r="M694" s="28">
        <f t="shared" si="50"/>
        <v>399.55541666666664</v>
      </c>
      <c r="N694" s="28">
        <f t="shared" si="50"/>
        <v>399.39750000000004</v>
      </c>
    </row>
    <row r="695" spans="1:14" x14ac:dyDescent="0.4">
      <c r="A695" s="1">
        <v>42339</v>
      </c>
      <c r="B695" s="28">
        <v>402.52916666666664</v>
      </c>
      <c r="C695" s="28">
        <f t="shared" si="50"/>
        <v>402.2091666666667</v>
      </c>
      <c r="D695" s="28">
        <f t="shared" si="50"/>
        <v>401.88916666666665</v>
      </c>
      <c r="E695" s="28">
        <f t="shared" si="50"/>
        <v>401.57833333333332</v>
      </c>
      <c r="F695" s="28">
        <f t="shared" si="50"/>
        <v>401.27875</v>
      </c>
      <c r="G695" s="28">
        <f t="shared" si="50"/>
        <v>401.00166666666672</v>
      </c>
      <c r="H695" s="28">
        <f t="shared" si="50"/>
        <v>400.75583333333333</v>
      </c>
      <c r="I695" s="28">
        <f t="shared" si="50"/>
        <v>400.50125000000003</v>
      </c>
      <c r="J695" s="28">
        <f t="shared" si="50"/>
        <v>400.26624999999996</v>
      </c>
      <c r="K695" s="28">
        <f t="shared" si="50"/>
        <v>400.06916666666666</v>
      </c>
      <c r="L695" s="28">
        <f t="shared" si="50"/>
        <v>399.90708333333333</v>
      </c>
      <c r="M695" s="28">
        <f t="shared" si="50"/>
        <v>399.72666666666674</v>
      </c>
      <c r="N695" s="28">
        <f t="shared" si="50"/>
        <v>399.55541666666664</v>
      </c>
    </row>
    <row r="696" spans="1:14" x14ac:dyDescent="0.4">
      <c r="A696" s="1">
        <v>42370</v>
      </c>
      <c r="B696" s="28">
        <v>402.82124999999996</v>
      </c>
      <c r="C696" s="28">
        <f t="shared" si="50"/>
        <v>402.52916666666664</v>
      </c>
      <c r="D696" s="28">
        <f t="shared" si="50"/>
        <v>402.2091666666667</v>
      </c>
      <c r="E696" s="28">
        <f t="shared" si="50"/>
        <v>401.88916666666665</v>
      </c>
      <c r="F696" s="28">
        <f t="shared" si="50"/>
        <v>401.57833333333332</v>
      </c>
      <c r="G696" s="28">
        <f t="shared" si="50"/>
        <v>401.27875</v>
      </c>
      <c r="H696" s="28">
        <f t="shared" si="50"/>
        <v>401.00166666666672</v>
      </c>
      <c r="I696" s="28">
        <f t="shared" si="50"/>
        <v>400.75583333333333</v>
      </c>
      <c r="J696" s="28">
        <f t="shared" si="50"/>
        <v>400.50125000000003</v>
      </c>
      <c r="K696" s="28">
        <f t="shared" si="50"/>
        <v>400.26624999999996</v>
      </c>
      <c r="L696" s="28">
        <f t="shared" si="50"/>
        <v>400.06916666666666</v>
      </c>
      <c r="M696" s="28">
        <f t="shared" si="50"/>
        <v>399.90708333333333</v>
      </c>
      <c r="N696" s="28">
        <f t="shared" si="50"/>
        <v>399.72666666666674</v>
      </c>
    </row>
    <row r="697" spans="1:14" x14ac:dyDescent="0.4">
      <c r="A697" s="1">
        <v>42401</v>
      </c>
      <c r="B697" s="28">
        <v>403.0766666666666</v>
      </c>
      <c r="C697" s="28">
        <f t="shared" si="50"/>
        <v>402.82124999999996</v>
      </c>
      <c r="D697" s="28">
        <f t="shared" si="50"/>
        <v>402.52916666666664</v>
      </c>
      <c r="E697" s="28">
        <f t="shared" si="50"/>
        <v>402.2091666666667</v>
      </c>
      <c r="F697" s="28">
        <f t="shared" si="50"/>
        <v>401.88916666666665</v>
      </c>
      <c r="G697" s="28">
        <f t="shared" si="50"/>
        <v>401.57833333333332</v>
      </c>
      <c r="H697" s="28">
        <f t="shared" si="50"/>
        <v>401.27875</v>
      </c>
      <c r="I697" s="28">
        <f t="shared" si="50"/>
        <v>401.00166666666672</v>
      </c>
      <c r="J697" s="28">
        <f t="shared" si="50"/>
        <v>400.75583333333333</v>
      </c>
      <c r="K697" s="28">
        <f t="shared" si="50"/>
        <v>400.50125000000003</v>
      </c>
      <c r="L697" s="28">
        <f t="shared" si="50"/>
        <v>400.26624999999996</v>
      </c>
      <c r="M697" s="28">
        <f t="shared" si="50"/>
        <v>400.06916666666666</v>
      </c>
      <c r="N697" s="28">
        <f t="shared" si="50"/>
        <v>399.90708333333333</v>
      </c>
    </row>
    <row r="698" spans="1:14" x14ac:dyDescent="0.4">
      <c r="A698" s="1">
        <v>42430</v>
      </c>
      <c r="B698" s="28">
        <v>403.3579166666666</v>
      </c>
      <c r="C698" s="28">
        <f t="shared" si="50"/>
        <v>403.0766666666666</v>
      </c>
      <c r="D698" s="28">
        <f t="shared" si="50"/>
        <v>402.82124999999996</v>
      </c>
      <c r="E698" s="28">
        <f t="shared" si="50"/>
        <v>402.52916666666664</v>
      </c>
      <c r="F698" s="28">
        <f t="shared" si="50"/>
        <v>402.2091666666667</v>
      </c>
      <c r="G698" s="28">
        <f t="shared" si="50"/>
        <v>401.88916666666665</v>
      </c>
      <c r="H698" s="28">
        <f t="shared" si="50"/>
        <v>401.57833333333332</v>
      </c>
      <c r="I698" s="28">
        <f t="shared" si="50"/>
        <v>401.27875</v>
      </c>
      <c r="J698" s="28">
        <f t="shared" si="50"/>
        <v>401.00166666666672</v>
      </c>
      <c r="K698" s="28">
        <f t="shared" si="50"/>
        <v>400.75583333333333</v>
      </c>
      <c r="L698" s="28">
        <f t="shared" si="50"/>
        <v>400.50125000000003</v>
      </c>
      <c r="M698" s="28">
        <f t="shared" si="50"/>
        <v>400.26624999999996</v>
      </c>
      <c r="N698" s="28">
        <f t="shared" si="50"/>
        <v>400.06916666666666</v>
      </c>
    </row>
    <row r="699" spans="1:14" x14ac:dyDescent="0.4">
      <c r="A699" s="1">
        <v>42461</v>
      </c>
      <c r="B699" s="28">
        <v>403.63833333333332</v>
      </c>
      <c r="C699" s="28">
        <f t="shared" si="50"/>
        <v>403.3579166666666</v>
      </c>
      <c r="D699" s="28">
        <f t="shared" si="50"/>
        <v>403.0766666666666</v>
      </c>
      <c r="E699" s="28">
        <f t="shared" si="50"/>
        <v>402.82124999999996</v>
      </c>
      <c r="F699" s="28">
        <f t="shared" si="50"/>
        <v>402.52916666666664</v>
      </c>
      <c r="G699" s="28">
        <f t="shared" si="50"/>
        <v>402.2091666666667</v>
      </c>
      <c r="H699" s="28">
        <f t="shared" si="50"/>
        <v>401.88916666666665</v>
      </c>
      <c r="I699" s="28">
        <f t="shared" si="50"/>
        <v>401.57833333333332</v>
      </c>
      <c r="J699" s="28">
        <f t="shared" si="50"/>
        <v>401.27875</v>
      </c>
      <c r="K699" s="28">
        <f t="shared" si="50"/>
        <v>401.00166666666672</v>
      </c>
      <c r="L699" s="28">
        <f t="shared" si="50"/>
        <v>400.75583333333333</v>
      </c>
      <c r="M699" s="28">
        <f t="shared" si="50"/>
        <v>400.50125000000003</v>
      </c>
      <c r="N699" s="28">
        <f t="shared" si="50"/>
        <v>400.26624999999996</v>
      </c>
    </row>
    <row r="700" spans="1:14" x14ac:dyDescent="0.4">
      <c r="A700" s="1">
        <v>42491</v>
      </c>
      <c r="B700" s="28">
        <v>403.91416666666669</v>
      </c>
      <c r="C700" s="28">
        <f t="shared" si="50"/>
        <v>403.63833333333332</v>
      </c>
      <c r="D700" s="28">
        <f t="shared" si="50"/>
        <v>403.3579166666666</v>
      </c>
      <c r="E700" s="28">
        <f t="shared" si="50"/>
        <v>403.0766666666666</v>
      </c>
      <c r="F700" s="28">
        <f t="shared" si="50"/>
        <v>402.82124999999996</v>
      </c>
      <c r="G700" s="28">
        <f t="shared" si="50"/>
        <v>402.52916666666664</v>
      </c>
      <c r="H700" s="28">
        <f t="shared" si="50"/>
        <v>402.2091666666667</v>
      </c>
      <c r="I700" s="28">
        <f t="shared" si="50"/>
        <v>401.88916666666665</v>
      </c>
      <c r="J700" s="28">
        <f t="shared" si="50"/>
        <v>401.57833333333332</v>
      </c>
      <c r="K700" s="28">
        <f t="shared" si="50"/>
        <v>401.27875</v>
      </c>
      <c r="L700" s="28">
        <f t="shared" si="50"/>
        <v>401.00166666666672</v>
      </c>
      <c r="M700" s="28">
        <f t="shared" si="50"/>
        <v>400.75583333333333</v>
      </c>
      <c r="N700" s="28">
        <f t="shared" si="50"/>
        <v>400.50125000000003</v>
      </c>
    </row>
    <row r="701" spans="1:14" x14ac:dyDescent="0.4">
      <c r="A701" s="1">
        <v>42522</v>
      </c>
      <c r="B701" s="28">
        <v>404.16666666666669</v>
      </c>
      <c r="C701" s="28">
        <f t="shared" si="50"/>
        <v>403.91416666666669</v>
      </c>
      <c r="D701" s="28">
        <f t="shared" si="50"/>
        <v>403.63833333333332</v>
      </c>
      <c r="E701" s="28">
        <f t="shared" si="50"/>
        <v>403.3579166666666</v>
      </c>
      <c r="F701" s="28">
        <f t="shared" si="50"/>
        <v>403.0766666666666</v>
      </c>
      <c r="G701" s="28">
        <f t="shared" si="50"/>
        <v>402.82124999999996</v>
      </c>
      <c r="H701" s="28">
        <f t="shared" si="50"/>
        <v>402.52916666666664</v>
      </c>
      <c r="I701" s="28">
        <f t="shared" si="50"/>
        <v>402.2091666666667</v>
      </c>
      <c r="J701" s="28">
        <f t="shared" si="50"/>
        <v>401.88916666666665</v>
      </c>
      <c r="K701" s="28">
        <f t="shared" si="50"/>
        <v>401.57833333333332</v>
      </c>
      <c r="L701" s="28">
        <f t="shared" si="50"/>
        <v>401.27875</v>
      </c>
      <c r="M701" s="28">
        <f t="shared" si="50"/>
        <v>401.00166666666672</v>
      </c>
      <c r="N701" s="28">
        <f t="shared" si="50"/>
        <v>400.75583333333333</v>
      </c>
    </row>
    <row r="702" spans="1:14" x14ac:dyDescent="0.4">
      <c r="A702" s="1">
        <v>42552</v>
      </c>
      <c r="B702" s="28">
        <v>404.42</v>
      </c>
      <c r="C702" s="28">
        <f t="shared" si="50"/>
        <v>404.16666666666669</v>
      </c>
      <c r="D702" s="28">
        <f t="shared" si="50"/>
        <v>403.91416666666669</v>
      </c>
      <c r="E702" s="28">
        <f t="shared" si="50"/>
        <v>403.63833333333332</v>
      </c>
      <c r="F702" s="28">
        <f t="shared" ref="C702:Q765" si="51">IF(E701=0,"",E701)</f>
        <v>403.3579166666666</v>
      </c>
      <c r="G702" s="28">
        <f t="shared" si="51"/>
        <v>403.0766666666666</v>
      </c>
      <c r="H702" s="28">
        <f t="shared" si="51"/>
        <v>402.82124999999996</v>
      </c>
      <c r="I702" s="28">
        <f t="shared" si="51"/>
        <v>402.52916666666664</v>
      </c>
      <c r="J702" s="28">
        <f t="shared" si="51"/>
        <v>402.2091666666667</v>
      </c>
      <c r="K702" s="28">
        <f t="shared" si="51"/>
        <v>401.88916666666665</v>
      </c>
      <c r="L702" s="28">
        <f t="shared" si="51"/>
        <v>401.57833333333332</v>
      </c>
      <c r="M702" s="28">
        <f t="shared" si="51"/>
        <v>401.27875</v>
      </c>
      <c r="N702" s="28">
        <f t="shared" si="51"/>
        <v>401.00166666666672</v>
      </c>
    </row>
    <row r="703" spans="1:14" x14ac:dyDescent="0.4">
      <c r="A703" s="1">
        <v>42583</v>
      </c>
      <c r="B703" s="28">
        <v>404.6658333333333</v>
      </c>
      <c r="C703" s="28">
        <f t="shared" si="51"/>
        <v>404.42</v>
      </c>
      <c r="D703" s="28">
        <f t="shared" si="51"/>
        <v>404.16666666666669</v>
      </c>
      <c r="E703" s="28">
        <f t="shared" si="51"/>
        <v>403.91416666666669</v>
      </c>
      <c r="F703" s="28">
        <f t="shared" si="51"/>
        <v>403.63833333333332</v>
      </c>
      <c r="G703" s="28">
        <f t="shared" si="51"/>
        <v>403.3579166666666</v>
      </c>
      <c r="H703" s="28">
        <f t="shared" si="51"/>
        <v>403.0766666666666</v>
      </c>
      <c r="I703" s="28">
        <f t="shared" si="51"/>
        <v>402.82124999999996</v>
      </c>
      <c r="J703" s="28">
        <f t="shared" si="51"/>
        <v>402.52916666666664</v>
      </c>
      <c r="K703" s="28">
        <f t="shared" si="51"/>
        <v>402.2091666666667</v>
      </c>
      <c r="L703" s="28">
        <f t="shared" si="51"/>
        <v>401.88916666666665</v>
      </c>
      <c r="M703" s="28">
        <f t="shared" si="51"/>
        <v>401.57833333333332</v>
      </c>
      <c r="N703" s="28">
        <f t="shared" si="51"/>
        <v>401.27875</v>
      </c>
    </row>
    <row r="704" spans="1:14" x14ac:dyDescent="0.4">
      <c r="A704" s="1">
        <v>42614</v>
      </c>
      <c r="B704" s="28">
        <v>404.8608333333334</v>
      </c>
      <c r="C704" s="28">
        <f t="shared" si="51"/>
        <v>404.6658333333333</v>
      </c>
      <c r="D704" s="28">
        <f t="shared" si="51"/>
        <v>404.42</v>
      </c>
      <c r="E704" s="28">
        <f t="shared" si="51"/>
        <v>404.16666666666669</v>
      </c>
      <c r="F704" s="28">
        <f t="shared" si="51"/>
        <v>403.91416666666669</v>
      </c>
      <c r="G704" s="28">
        <f t="shared" si="51"/>
        <v>403.63833333333332</v>
      </c>
      <c r="H704" s="28">
        <f t="shared" si="51"/>
        <v>403.3579166666666</v>
      </c>
      <c r="I704" s="28">
        <f t="shared" si="51"/>
        <v>403.0766666666666</v>
      </c>
      <c r="J704" s="28">
        <f t="shared" si="51"/>
        <v>402.82124999999996</v>
      </c>
      <c r="K704" s="28">
        <f t="shared" si="51"/>
        <v>402.52916666666664</v>
      </c>
      <c r="L704" s="28">
        <f t="shared" si="51"/>
        <v>402.2091666666667</v>
      </c>
      <c r="M704" s="28">
        <f t="shared" si="51"/>
        <v>401.88916666666665</v>
      </c>
      <c r="N704" s="28">
        <f t="shared" si="51"/>
        <v>401.57833333333332</v>
      </c>
    </row>
    <row r="705" spans="1:14" x14ac:dyDescent="0.4">
      <c r="A705" s="1">
        <v>42644</v>
      </c>
      <c r="B705" s="28">
        <v>405.01</v>
      </c>
      <c r="C705" s="28">
        <f t="shared" si="51"/>
        <v>404.8608333333334</v>
      </c>
      <c r="D705" s="28">
        <f t="shared" si="51"/>
        <v>404.6658333333333</v>
      </c>
      <c r="E705" s="28">
        <f t="shared" si="51"/>
        <v>404.42</v>
      </c>
      <c r="F705" s="28">
        <f t="shared" si="51"/>
        <v>404.16666666666669</v>
      </c>
      <c r="G705" s="28">
        <f t="shared" si="51"/>
        <v>403.91416666666669</v>
      </c>
      <c r="H705" s="28">
        <f t="shared" si="51"/>
        <v>403.63833333333332</v>
      </c>
      <c r="I705" s="28">
        <f t="shared" si="51"/>
        <v>403.3579166666666</v>
      </c>
      <c r="J705" s="28">
        <f t="shared" si="51"/>
        <v>403.0766666666666</v>
      </c>
      <c r="K705" s="28">
        <f t="shared" si="51"/>
        <v>402.82124999999996</v>
      </c>
      <c r="L705" s="28">
        <f t="shared" si="51"/>
        <v>402.52916666666664</v>
      </c>
      <c r="M705" s="28">
        <f t="shared" si="51"/>
        <v>402.2091666666667</v>
      </c>
      <c r="N705" s="28">
        <f t="shared" si="51"/>
        <v>401.88916666666665</v>
      </c>
    </row>
    <row r="706" spans="1:14" x14ac:dyDescent="0.4">
      <c r="A706" s="1">
        <v>42675</v>
      </c>
      <c r="B706" s="28">
        <v>405.16124999999994</v>
      </c>
      <c r="C706" s="28">
        <f t="shared" si="51"/>
        <v>405.01</v>
      </c>
      <c r="D706" s="28">
        <f t="shared" si="51"/>
        <v>404.8608333333334</v>
      </c>
      <c r="E706" s="28">
        <f t="shared" si="51"/>
        <v>404.6658333333333</v>
      </c>
      <c r="F706" s="28">
        <f t="shared" si="51"/>
        <v>404.42</v>
      </c>
      <c r="G706" s="28">
        <f t="shared" si="51"/>
        <v>404.16666666666669</v>
      </c>
      <c r="H706" s="28">
        <f t="shared" si="51"/>
        <v>403.91416666666669</v>
      </c>
      <c r="I706" s="28">
        <f t="shared" si="51"/>
        <v>403.63833333333332</v>
      </c>
      <c r="J706" s="28">
        <f t="shared" si="51"/>
        <v>403.3579166666666</v>
      </c>
      <c r="K706" s="28">
        <f t="shared" si="51"/>
        <v>403.0766666666666</v>
      </c>
      <c r="L706" s="28">
        <f t="shared" si="51"/>
        <v>402.82124999999996</v>
      </c>
      <c r="M706" s="28">
        <f t="shared" si="51"/>
        <v>402.52916666666664</v>
      </c>
      <c r="N706" s="28">
        <f t="shared" si="51"/>
        <v>402.2091666666667</v>
      </c>
    </row>
    <row r="707" spans="1:14" x14ac:dyDescent="0.4">
      <c r="A707" s="1">
        <v>42705</v>
      </c>
      <c r="B707" s="28">
        <v>405.34333333333331</v>
      </c>
      <c r="C707" s="28">
        <f t="shared" si="51"/>
        <v>405.16124999999994</v>
      </c>
      <c r="D707" s="28">
        <f t="shared" si="51"/>
        <v>405.01</v>
      </c>
      <c r="E707" s="28">
        <f t="shared" si="51"/>
        <v>404.8608333333334</v>
      </c>
      <c r="F707" s="28">
        <f t="shared" si="51"/>
        <v>404.6658333333333</v>
      </c>
      <c r="G707" s="28">
        <f t="shared" si="51"/>
        <v>404.42</v>
      </c>
      <c r="H707" s="28">
        <f t="shared" si="51"/>
        <v>404.16666666666669</v>
      </c>
      <c r="I707" s="28">
        <f t="shared" si="51"/>
        <v>403.91416666666669</v>
      </c>
      <c r="J707" s="28">
        <f t="shared" si="51"/>
        <v>403.63833333333332</v>
      </c>
      <c r="K707" s="28">
        <f t="shared" si="51"/>
        <v>403.3579166666666</v>
      </c>
      <c r="L707" s="28">
        <f t="shared" si="51"/>
        <v>403.0766666666666</v>
      </c>
      <c r="M707" s="28">
        <f t="shared" si="51"/>
        <v>402.82124999999996</v>
      </c>
      <c r="N707" s="28">
        <f t="shared" si="51"/>
        <v>402.52916666666664</v>
      </c>
    </row>
    <row r="708" spans="1:14" x14ac:dyDescent="0.4">
      <c r="A708" s="1">
        <v>42736</v>
      </c>
      <c r="B708" s="28">
        <v>405.54416666666663</v>
      </c>
      <c r="C708" s="28">
        <f t="shared" si="51"/>
        <v>405.34333333333331</v>
      </c>
      <c r="D708" s="28">
        <f t="shared" si="51"/>
        <v>405.16124999999994</v>
      </c>
      <c r="E708" s="28">
        <f t="shared" si="51"/>
        <v>405.01</v>
      </c>
      <c r="F708" s="28">
        <f t="shared" si="51"/>
        <v>404.8608333333334</v>
      </c>
      <c r="G708" s="28">
        <f t="shared" si="51"/>
        <v>404.6658333333333</v>
      </c>
      <c r="H708" s="28">
        <f t="shared" si="51"/>
        <v>404.42</v>
      </c>
      <c r="I708" s="28">
        <f t="shared" si="51"/>
        <v>404.16666666666669</v>
      </c>
      <c r="J708" s="28">
        <f t="shared" si="51"/>
        <v>403.91416666666669</v>
      </c>
      <c r="K708" s="28">
        <f t="shared" si="51"/>
        <v>403.63833333333332</v>
      </c>
      <c r="L708" s="28">
        <f t="shared" si="51"/>
        <v>403.3579166666666</v>
      </c>
      <c r="M708" s="28">
        <f t="shared" si="51"/>
        <v>403.0766666666666</v>
      </c>
      <c r="N708" s="28">
        <f t="shared" si="51"/>
        <v>402.82124999999996</v>
      </c>
    </row>
    <row r="709" spans="1:14" x14ac:dyDescent="0.4">
      <c r="A709" s="1">
        <v>42767</v>
      </c>
      <c r="B709" s="28">
        <v>405.78166666666669</v>
      </c>
      <c r="C709" s="28">
        <f t="shared" si="51"/>
        <v>405.54416666666663</v>
      </c>
      <c r="D709" s="28">
        <f t="shared" si="51"/>
        <v>405.34333333333331</v>
      </c>
      <c r="E709" s="28">
        <f t="shared" si="51"/>
        <v>405.16124999999994</v>
      </c>
      <c r="F709" s="28">
        <f t="shared" si="51"/>
        <v>405.01</v>
      </c>
      <c r="G709" s="28">
        <f t="shared" si="51"/>
        <v>404.8608333333334</v>
      </c>
      <c r="H709" s="28">
        <f t="shared" si="51"/>
        <v>404.6658333333333</v>
      </c>
      <c r="I709" s="28">
        <f t="shared" si="51"/>
        <v>404.42</v>
      </c>
      <c r="J709" s="28">
        <f t="shared" si="51"/>
        <v>404.16666666666669</v>
      </c>
      <c r="K709" s="28">
        <f t="shared" si="51"/>
        <v>403.91416666666669</v>
      </c>
      <c r="L709" s="28">
        <f t="shared" si="51"/>
        <v>403.63833333333332</v>
      </c>
      <c r="M709" s="28">
        <f t="shared" si="51"/>
        <v>403.3579166666666</v>
      </c>
      <c r="N709" s="28">
        <f t="shared" si="51"/>
        <v>403.0766666666666</v>
      </c>
    </row>
    <row r="710" spans="1:14" x14ac:dyDescent="0.4">
      <c r="A710" s="1">
        <v>42795</v>
      </c>
      <c r="B710" s="28">
        <v>406.00083333333333</v>
      </c>
      <c r="C710" s="28">
        <f t="shared" si="51"/>
        <v>405.78166666666669</v>
      </c>
      <c r="D710" s="28">
        <f t="shared" si="51"/>
        <v>405.54416666666663</v>
      </c>
      <c r="E710" s="28">
        <f t="shared" si="51"/>
        <v>405.34333333333331</v>
      </c>
      <c r="F710" s="28">
        <f t="shared" si="51"/>
        <v>405.16124999999994</v>
      </c>
      <c r="G710" s="28">
        <f t="shared" si="51"/>
        <v>405.01</v>
      </c>
      <c r="H710" s="28">
        <f t="shared" si="51"/>
        <v>404.8608333333334</v>
      </c>
      <c r="I710" s="28">
        <f t="shared" si="51"/>
        <v>404.6658333333333</v>
      </c>
      <c r="J710" s="28">
        <f t="shared" si="51"/>
        <v>404.42</v>
      </c>
      <c r="K710" s="28">
        <f t="shared" si="51"/>
        <v>404.16666666666669</v>
      </c>
      <c r="L710" s="28">
        <f t="shared" si="51"/>
        <v>403.91416666666669</v>
      </c>
      <c r="M710" s="28">
        <f t="shared" si="51"/>
        <v>403.63833333333332</v>
      </c>
      <c r="N710" s="28">
        <f t="shared" si="51"/>
        <v>403.3579166666666</v>
      </c>
    </row>
    <row r="711" spans="1:14" x14ac:dyDescent="0.4">
      <c r="A711" s="1">
        <v>42826</v>
      </c>
      <c r="B711" s="28">
        <v>406.18416666666673</v>
      </c>
      <c r="C711" s="28">
        <f t="shared" si="51"/>
        <v>406.00083333333333</v>
      </c>
      <c r="D711" s="28">
        <f t="shared" si="51"/>
        <v>405.78166666666669</v>
      </c>
      <c r="E711" s="28">
        <f t="shared" si="51"/>
        <v>405.54416666666663</v>
      </c>
      <c r="F711" s="28">
        <f t="shared" si="51"/>
        <v>405.34333333333331</v>
      </c>
      <c r="G711" s="28">
        <f t="shared" si="51"/>
        <v>405.16124999999994</v>
      </c>
      <c r="H711" s="28">
        <f t="shared" si="51"/>
        <v>405.01</v>
      </c>
      <c r="I711" s="28">
        <f t="shared" si="51"/>
        <v>404.8608333333334</v>
      </c>
      <c r="J711" s="28">
        <f t="shared" si="51"/>
        <v>404.6658333333333</v>
      </c>
      <c r="K711" s="28">
        <f t="shared" si="51"/>
        <v>404.42</v>
      </c>
      <c r="L711" s="28">
        <f t="shared" si="51"/>
        <v>404.16666666666669</v>
      </c>
      <c r="M711" s="28">
        <f t="shared" si="51"/>
        <v>403.91416666666669</v>
      </c>
      <c r="N711" s="28">
        <f t="shared" si="51"/>
        <v>403.63833333333332</v>
      </c>
    </row>
    <row r="712" spans="1:14" x14ac:dyDescent="0.4">
      <c r="A712" s="1">
        <v>42856</v>
      </c>
      <c r="B712" s="28">
        <v>406.33708333333334</v>
      </c>
      <c r="C712" s="28">
        <f t="shared" si="51"/>
        <v>406.18416666666673</v>
      </c>
      <c r="D712" s="28">
        <f t="shared" si="51"/>
        <v>406.00083333333333</v>
      </c>
      <c r="E712" s="28">
        <f t="shared" si="51"/>
        <v>405.78166666666669</v>
      </c>
      <c r="F712" s="28">
        <f t="shared" si="51"/>
        <v>405.54416666666663</v>
      </c>
      <c r="G712" s="28">
        <f t="shared" si="51"/>
        <v>405.34333333333331</v>
      </c>
      <c r="H712" s="28">
        <f t="shared" si="51"/>
        <v>405.16124999999994</v>
      </c>
      <c r="I712" s="28">
        <f t="shared" si="51"/>
        <v>405.01</v>
      </c>
      <c r="J712" s="28">
        <f t="shared" si="51"/>
        <v>404.8608333333334</v>
      </c>
      <c r="K712" s="28">
        <f t="shared" si="51"/>
        <v>404.6658333333333</v>
      </c>
      <c r="L712" s="28">
        <f t="shared" si="51"/>
        <v>404.42</v>
      </c>
      <c r="M712" s="28">
        <f t="shared" si="51"/>
        <v>404.16666666666669</v>
      </c>
      <c r="N712" s="28">
        <f t="shared" si="51"/>
        <v>403.91416666666669</v>
      </c>
    </row>
    <row r="713" spans="1:14" x14ac:dyDescent="0.4">
      <c r="A713" s="1">
        <v>42887</v>
      </c>
      <c r="B713" s="28">
        <v>406.49250000000001</v>
      </c>
      <c r="C713" s="28">
        <f t="shared" si="51"/>
        <v>406.33708333333334</v>
      </c>
      <c r="D713" s="28">
        <f t="shared" si="51"/>
        <v>406.18416666666673</v>
      </c>
      <c r="E713" s="28">
        <f t="shared" si="51"/>
        <v>406.00083333333333</v>
      </c>
      <c r="F713" s="28">
        <f t="shared" si="51"/>
        <v>405.78166666666669</v>
      </c>
      <c r="G713" s="28">
        <f t="shared" si="51"/>
        <v>405.54416666666663</v>
      </c>
      <c r="H713" s="28">
        <f t="shared" si="51"/>
        <v>405.34333333333331</v>
      </c>
      <c r="I713" s="28">
        <f t="shared" si="51"/>
        <v>405.16124999999994</v>
      </c>
      <c r="J713" s="28">
        <f t="shared" si="51"/>
        <v>405.01</v>
      </c>
      <c r="K713" s="28">
        <f t="shared" si="51"/>
        <v>404.8608333333334</v>
      </c>
      <c r="L713" s="28">
        <f t="shared" si="51"/>
        <v>404.6658333333333</v>
      </c>
      <c r="M713" s="28">
        <f t="shared" si="51"/>
        <v>404.42</v>
      </c>
      <c r="N713" s="28">
        <f t="shared" si="51"/>
        <v>404.16666666666669</v>
      </c>
    </row>
    <row r="714" spans="1:14" x14ac:dyDescent="0.4">
      <c r="A714" s="1">
        <v>42917</v>
      </c>
      <c r="B714" s="28">
        <v>406.66666666666657</v>
      </c>
      <c r="C714" s="28">
        <f t="shared" si="51"/>
        <v>406.49250000000001</v>
      </c>
      <c r="D714" s="28">
        <f t="shared" si="51"/>
        <v>406.33708333333334</v>
      </c>
      <c r="E714" s="28">
        <f t="shared" si="51"/>
        <v>406.18416666666673</v>
      </c>
      <c r="F714" s="28">
        <f t="shared" si="51"/>
        <v>406.00083333333333</v>
      </c>
      <c r="G714" s="28">
        <f t="shared" si="51"/>
        <v>405.78166666666669</v>
      </c>
      <c r="H714" s="28">
        <f t="shared" si="51"/>
        <v>405.54416666666663</v>
      </c>
      <c r="I714" s="28">
        <f t="shared" si="51"/>
        <v>405.34333333333331</v>
      </c>
      <c r="J714" s="28">
        <f t="shared" si="51"/>
        <v>405.16124999999994</v>
      </c>
      <c r="K714" s="28">
        <f t="shared" si="51"/>
        <v>405.01</v>
      </c>
      <c r="L714" s="28">
        <f t="shared" si="51"/>
        <v>404.8608333333334</v>
      </c>
      <c r="M714" s="28">
        <f t="shared" si="51"/>
        <v>404.6658333333333</v>
      </c>
      <c r="N714" s="28">
        <f t="shared" si="51"/>
        <v>404.42</v>
      </c>
    </row>
    <row r="715" spans="1:14" x14ac:dyDescent="0.4">
      <c r="A715" s="1">
        <v>42948</v>
      </c>
      <c r="B715" s="28">
        <v>406.81999999999994</v>
      </c>
      <c r="C715" s="28">
        <f t="shared" si="51"/>
        <v>406.66666666666657</v>
      </c>
      <c r="D715" s="28">
        <f t="shared" si="51"/>
        <v>406.49250000000001</v>
      </c>
      <c r="E715" s="28">
        <f t="shared" si="51"/>
        <v>406.33708333333334</v>
      </c>
      <c r="F715" s="28">
        <f t="shared" si="51"/>
        <v>406.18416666666673</v>
      </c>
      <c r="G715" s="28">
        <f t="shared" si="51"/>
        <v>406.00083333333333</v>
      </c>
      <c r="H715" s="28">
        <f t="shared" si="51"/>
        <v>405.78166666666669</v>
      </c>
      <c r="I715" s="28">
        <f t="shared" si="51"/>
        <v>405.54416666666663</v>
      </c>
      <c r="J715" s="28">
        <f t="shared" si="51"/>
        <v>405.34333333333331</v>
      </c>
      <c r="K715" s="28">
        <f t="shared" si="51"/>
        <v>405.16124999999994</v>
      </c>
      <c r="L715" s="28">
        <f t="shared" si="51"/>
        <v>405.01</v>
      </c>
      <c r="M715" s="28">
        <f t="shared" si="51"/>
        <v>404.8608333333334</v>
      </c>
      <c r="N715" s="28">
        <f t="shared" si="51"/>
        <v>404.6658333333333</v>
      </c>
    </row>
    <row r="716" spans="1:14" x14ac:dyDescent="0.4">
      <c r="A716" s="1">
        <v>42979</v>
      </c>
      <c r="B716" s="28">
        <v>406.98250000000002</v>
      </c>
      <c r="C716" s="28">
        <f t="shared" si="51"/>
        <v>406.81999999999994</v>
      </c>
      <c r="D716" s="28">
        <f t="shared" si="51"/>
        <v>406.66666666666657</v>
      </c>
      <c r="E716" s="28">
        <f t="shared" si="51"/>
        <v>406.49250000000001</v>
      </c>
      <c r="F716" s="28">
        <f t="shared" si="51"/>
        <v>406.33708333333334</v>
      </c>
      <c r="G716" s="28">
        <f t="shared" si="51"/>
        <v>406.18416666666673</v>
      </c>
      <c r="H716" s="28">
        <f t="shared" si="51"/>
        <v>406.00083333333333</v>
      </c>
      <c r="I716" s="28">
        <f t="shared" si="51"/>
        <v>405.78166666666669</v>
      </c>
      <c r="J716" s="28">
        <f t="shared" si="51"/>
        <v>405.54416666666663</v>
      </c>
      <c r="K716" s="28">
        <f t="shared" si="51"/>
        <v>405.34333333333331</v>
      </c>
      <c r="L716" s="28">
        <f t="shared" si="51"/>
        <v>405.16124999999994</v>
      </c>
      <c r="M716" s="28">
        <f t="shared" si="51"/>
        <v>405.01</v>
      </c>
      <c r="N716" s="28">
        <f t="shared" si="51"/>
        <v>404.8608333333334</v>
      </c>
    </row>
    <row r="717" spans="1:14" x14ac:dyDescent="0.4">
      <c r="A717" s="1">
        <v>43009</v>
      </c>
      <c r="B717" s="28">
        <v>407.13041666666663</v>
      </c>
      <c r="C717" s="28">
        <f t="shared" si="51"/>
        <v>406.98250000000002</v>
      </c>
      <c r="D717" s="28">
        <f t="shared" si="51"/>
        <v>406.81999999999994</v>
      </c>
      <c r="E717" s="28">
        <f t="shared" si="51"/>
        <v>406.66666666666657</v>
      </c>
      <c r="F717" s="28">
        <f t="shared" si="51"/>
        <v>406.49250000000001</v>
      </c>
      <c r="G717" s="28">
        <f t="shared" si="51"/>
        <v>406.33708333333334</v>
      </c>
      <c r="H717" s="28">
        <f t="shared" si="51"/>
        <v>406.18416666666673</v>
      </c>
      <c r="I717" s="28">
        <f t="shared" si="51"/>
        <v>406.00083333333333</v>
      </c>
      <c r="J717" s="28">
        <f t="shared" si="51"/>
        <v>405.78166666666669</v>
      </c>
      <c r="K717" s="28">
        <f t="shared" si="51"/>
        <v>405.54416666666663</v>
      </c>
      <c r="L717" s="28">
        <f t="shared" si="51"/>
        <v>405.34333333333331</v>
      </c>
      <c r="M717" s="28">
        <f t="shared" si="51"/>
        <v>405.16124999999994</v>
      </c>
      <c r="N717" s="28">
        <f t="shared" si="51"/>
        <v>405.01</v>
      </c>
    </row>
    <row r="718" spans="1:14" x14ac:dyDescent="0.4">
      <c r="A718" s="1">
        <v>43040</v>
      </c>
      <c r="B718" s="28">
        <v>407.24458333333331</v>
      </c>
      <c r="C718" s="28">
        <f t="shared" si="51"/>
        <v>407.13041666666663</v>
      </c>
      <c r="D718" s="28">
        <f t="shared" si="51"/>
        <v>406.98250000000002</v>
      </c>
      <c r="E718" s="28">
        <f t="shared" si="51"/>
        <v>406.81999999999994</v>
      </c>
      <c r="F718" s="28">
        <f t="shared" si="51"/>
        <v>406.66666666666657</v>
      </c>
      <c r="G718" s="28">
        <f t="shared" si="51"/>
        <v>406.49250000000001</v>
      </c>
      <c r="H718" s="28">
        <f t="shared" si="51"/>
        <v>406.33708333333334</v>
      </c>
      <c r="I718" s="28">
        <f t="shared" si="51"/>
        <v>406.18416666666673</v>
      </c>
      <c r="J718" s="28">
        <f t="shared" si="51"/>
        <v>406.00083333333333</v>
      </c>
      <c r="K718" s="28">
        <f t="shared" si="51"/>
        <v>405.78166666666669</v>
      </c>
      <c r="L718" s="28">
        <f t="shared" si="51"/>
        <v>405.54416666666663</v>
      </c>
      <c r="M718" s="28">
        <f t="shared" si="51"/>
        <v>405.34333333333331</v>
      </c>
      <c r="N718" s="28">
        <f t="shared" si="51"/>
        <v>405.16124999999994</v>
      </c>
    </row>
    <row r="719" spans="1:14" x14ac:dyDescent="0.4">
      <c r="A719" s="1">
        <v>43070</v>
      </c>
      <c r="B719" s="28">
        <v>407.37583333333328</v>
      </c>
      <c r="C719" s="28">
        <f t="shared" si="51"/>
        <v>407.24458333333331</v>
      </c>
      <c r="D719" s="28">
        <f t="shared" si="51"/>
        <v>407.13041666666663</v>
      </c>
      <c r="E719" s="28">
        <f t="shared" si="51"/>
        <v>406.98250000000002</v>
      </c>
      <c r="F719" s="28">
        <f t="shared" si="51"/>
        <v>406.81999999999994</v>
      </c>
      <c r="G719" s="28">
        <f t="shared" si="51"/>
        <v>406.66666666666657</v>
      </c>
      <c r="H719" s="28">
        <f t="shared" si="51"/>
        <v>406.49250000000001</v>
      </c>
      <c r="I719" s="28">
        <f t="shared" si="51"/>
        <v>406.33708333333334</v>
      </c>
      <c r="J719" s="28">
        <f t="shared" si="51"/>
        <v>406.18416666666673</v>
      </c>
      <c r="K719" s="28">
        <f t="shared" si="51"/>
        <v>406.00083333333333</v>
      </c>
      <c r="L719" s="28">
        <f t="shared" si="51"/>
        <v>405.78166666666669</v>
      </c>
      <c r="M719" s="28">
        <f t="shared" si="51"/>
        <v>405.54416666666663</v>
      </c>
      <c r="N719" s="28">
        <f t="shared" si="51"/>
        <v>405.34333333333331</v>
      </c>
    </row>
    <row r="720" spans="1:14" x14ac:dyDescent="0.4">
      <c r="A720" s="1">
        <v>43101</v>
      </c>
      <c r="B720" s="28">
        <v>407.52</v>
      </c>
      <c r="C720" s="28">
        <f t="shared" si="51"/>
        <v>407.37583333333328</v>
      </c>
      <c r="D720" s="28">
        <f t="shared" si="51"/>
        <v>407.24458333333331</v>
      </c>
      <c r="E720" s="28">
        <f t="shared" si="51"/>
        <v>407.13041666666663</v>
      </c>
      <c r="F720" s="28">
        <f t="shared" si="51"/>
        <v>406.98250000000002</v>
      </c>
      <c r="G720" s="28">
        <f t="shared" si="51"/>
        <v>406.81999999999994</v>
      </c>
      <c r="H720" s="28">
        <f t="shared" si="51"/>
        <v>406.66666666666657</v>
      </c>
      <c r="I720" s="28">
        <f t="shared" si="51"/>
        <v>406.49250000000001</v>
      </c>
      <c r="J720" s="28">
        <f t="shared" si="51"/>
        <v>406.33708333333334</v>
      </c>
      <c r="K720" s="28">
        <f t="shared" si="51"/>
        <v>406.18416666666673</v>
      </c>
      <c r="L720" s="28">
        <f t="shared" si="51"/>
        <v>406.00083333333333</v>
      </c>
      <c r="M720" s="28">
        <f t="shared" si="51"/>
        <v>405.78166666666669</v>
      </c>
      <c r="N720" s="28">
        <f t="shared" si="51"/>
        <v>405.54416666666663</v>
      </c>
    </row>
    <row r="721" spans="1:14" x14ac:dyDescent="0.4">
      <c r="A721" s="1">
        <v>43132</v>
      </c>
      <c r="B721" s="28">
        <v>407.66833333333329</v>
      </c>
      <c r="C721" s="28">
        <f t="shared" si="51"/>
        <v>407.52</v>
      </c>
      <c r="D721" s="28">
        <f t="shared" si="51"/>
        <v>407.37583333333328</v>
      </c>
      <c r="E721" s="28">
        <f t="shared" si="51"/>
        <v>407.24458333333331</v>
      </c>
      <c r="F721" s="28">
        <f t="shared" si="51"/>
        <v>407.13041666666663</v>
      </c>
      <c r="G721" s="28">
        <f t="shared" si="51"/>
        <v>406.98250000000002</v>
      </c>
      <c r="H721" s="28">
        <f t="shared" si="51"/>
        <v>406.81999999999994</v>
      </c>
      <c r="I721" s="28">
        <f t="shared" si="51"/>
        <v>406.66666666666657</v>
      </c>
      <c r="J721" s="28">
        <f t="shared" si="51"/>
        <v>406.49250000000001</v>
      </c>
      <c r="K721" s="28">
        <f t="shared" si="51"/>
        <v>406.33708333333334</v>
      </c>
      <c r="L721" s="28">
        <f t="shared" si="51"/>
        <v>406.18416666666673</v>
      </c>
      <c r="M721" s="28">
        <f t="shared" si="51"/>
        <v>406.00083333333333</v>
      </c>
      <c r="N721" s="28">
        <f t="shared" si="51"/>
        <v>405.78166666666669</v>
      </c>
    </row>
    <row r="722" spans="1:14" x14ac:dyDescent="0.4">
      <c r="A722" s="1">
        <v>43160</v>
      </c>
      <c r="B722" s="28">
        <v>407.84249999999997</v>
      </c>
      <c r="C722" s="28">
        <f t="shared" si="51"/>
        <v>407.66833333333329</v>
      </c>
      <c r="D722" s="28">
        <f t="shared" si="51"/>
        <v>407.52</v>
      </c>
      <c r="E722" s="28">
        <f t="shared" si="51"/>
        <v>407.37583333333328</v>
      </c>
      <c r="F722" s="28">
        <f t="shared" si="51"/>
        <v>407.24458333333331</v>
      </c>
      <c r="G722" s="28">
        <f t="shared" si="51"/>
        <v>407.13041666666663</v>
      </c>
      <c r="H722" s="28">
        <f t="shared" si="51"/>
        <v>406.98250000000002</v>
      </c>
      <c r="I722" s="28">
        <f t="shared" si="51"/>
        <v>406.81999999999994</v>
      </c>
      <c r="J722" s="28">
        <f t="shared" si="51"/>
        <v>406.66666666666657</v>
      </c>
      <c r="K722" s="28">
        <f t="shared" si="51"/>
        <v>406.49250000000001</v>
      </c>
      <c r="L722" s="28">
        <f t="shared" si="51"/>
        <v>406.33708333333334</v>
      </c>
      <c r="M722" s="28">
        <f t="shared" si="51"/>
        <v>406.18416666666673</v>
      </c>
      <c r="N722" s="28">
        <f t="shared" si="51"/>
        <v>406.00083333333333</v>
      </c>
    </row>
    <row r="723" spans="1:14" x14ac:dyDescent="0.4">
      <c r="A723" s="1">
        <v>43191</v>
      </c>
      <c r="B723" s="28">
        <v>408.03708333333338</v>
      </c>
      <c r="C723" s="28">
        <f t="shared" si="51"/>
        <v>407.84249999999997</v>
      </c>
      <c r="D723" s="28">
        <f t="shared" si="51"/>
        <v>407.66833333333329</v>
      </c>
      <c r="E723" s="28">
        <f t="shared" si="51"/>
        <v>407.52</v>
      </c>
      <c r="F723" s="28">
        <f t="shared" si="51"/>
        <v>407.37583333333328</v>
      </c>
      <c r="G723" s="28">
        <f t="shared" si="51"/>
        <v>407.24458333333331</v>
      </c>
      <c r="H723" s="28">
        <f t="shared" si="51"/>
        <v>407.13041666666663</v>
      </c>
      <c r="I723" s="28">
        <f t="shared" ref="I723:T762" si="52">IF(H722=0,"",H722)</f>
        <v>406.98250000000002</v>
      </c>
      <c r="J723" s="28">
        <f t="shared" si="52"/>
        <v>406.81999999999994</v>
      </c>
      <c r="K723" s="28">
        <f t="shared" si="52"/>
        <v>406.66666666666657</v>
      </c>
      <c r="L723" s="28">
        <f t="shared" si="52"/>
        <v>406.49250000000001</v>
      </c>
      <c r="M723" s="28">
        <f t="shared" si="52"/>
        <v>406.33708333333334</v>
      </c>
      <c r="N723" s="28">
        <f t="shared" si="52"/>
        <v>406.18416666666673</v>
      </c>
    </row>
    <row r="724" spans="1:14" x14ac:dyDescent="0.4">
      <c r="A724" s="1">
        <v>43221</v>
      </c>
      <c r="B724" s="28">
        <v>408.25791666666669</v>
      </c>
      <c r="C724" s="28">
        <f t="shared" ref="C724:N763" si="53">IF(B723=0,"",B723)</f>
        <v>408.03708333333338</v>
      </c>
      <c r="D724" s="28">
        <f t="shared" si="53"/>
        <v>407.84249999999997</v>
      </c>
      <c r="E724" s="28">
        <f t="shared" si="53"/>
        <v>407.66833333333329</v>
      </c>
      <c r="F724" s="28">
        <f t="shared" si="53"/>
        <v>407.52</v>
      </c>
      <c r="G724" s="28">
        <f t="shared" si="53"/>
        <v>407.37583333333328</v>
      </c>
      <c r="H724" s="28">
        <f t="shared" si="53"/>
        <v>407.24458333333331</v>
      </c>
      <c r="I724" s="28">
        <f t="shared" si="53"/>
        <v>407.13041666666663</v>
      </c>
      <c r="J724" s="28">
        <f t="shared" si="53"/>
        <v>406.98250000000002</v>
      </c>
      <c r="K724" s="28">
        <f t="shared" si="53"/>
        <v>406.81999999999994</v>
      </c>
      <c r="L724" s="28">
        <f t="shared" si="53"/>
        <v>406.66666666666657</v>
      </c>
      <c r="M724" s="28">
        <f t="shared" si="53"/>
        <v>406.49250000000001</v>
      </c>
      <c r="N724" s="28">
        <f t="shared" si="53"/>
        <v>406.33708333333334</v>
      </c>
    </row>
    <row r="725" spans="1:14" x14ac:dyDescent="0.4">
      <c r="A725" s="1">
        <v>43252</v>
      </c>
      <c r="B725" s="28">
        <v>408.48416666666662</v>
      </c>
      <c r="C725" s="28">
        <f t="shared" si="53"/>
        <v>408.25791666666669</v>
      </c>
      <c r="D725" s="28">
        <f t="shared" si="53"/>
        <v>408.03708333333338</v>
      </c>
      <c r="E725" s="28">
        <f t="shared" si="53"/>
        <v>407.84249999999997</v>
      </c>
      <c r="F725" s="28">
        <f t="shared" si="53"/>
        <v>407.66833333333329</v>
      </c>
      <c r="G725" s="28">
        <f t="shared" si="53"/>
        <v>407.52</v>
      </c>
      <c r="H725" s="28">
        <f t="shared" si="53"/>
        <v>407.37583333333328</v>
      </c>
      <c r="I725" s="28">
        <f t="shared" si="53"/>
        <v>407.24458333333331</v>
      </c>
      <c r="J725" s="28">
        <f t="shared" si="53"/>
        <v>407.13041666666663</v>
      </c>
      <c r="K725" s="28">
        <f t="shared" si="53"/>
        <v>406.98250000000002</v>
      </c>
      <c r="L725" s="28">
        <f t="shared" si="53"/>
        <v>406.81999999999994</v>
      </c>
      <c r="M725" s="28">
        <f t="shared" si="53"/>
        <v>406.66666666666657</v>
      </c>
      <c r="N725" s="28">
        <f t="shared" si="53"/>
        <v>406.49250000000001</v>
      </c>
    </row>
    <row r="726" spans="1:14" x14ac:dyDescent="0.4">
      <c r="A726" s="1">
        <v>43282</v>
      </c>
      <c r="B726" s="28">
        <v>408.70708333333329</v>
      </c>
      <c r="C726" s="28">
        <f t="shared" si="53"/>
        <v>408.48416666666662</v>
      </c>
      <c r="D726" s="28">
        <f t="shared" si="53"/>
        <v>408.25791666666669</v>
      </c>
      <c r="E726" s="28">
        <f t="shared" si="53"/>
        <v>408.03708333333338</v>
      </c>
      <c r="F726" s="28">
        <f t="shared" si="53"/>
        <v>407.84249999999997</v>
      </c>
      <c r="G726" s="28">
        <f t="shared" si="53"/>
        <v>407.66833333333329</v>
      </c>
      <c r="H726" s="28">
        <f t="shared" si="53"/>
        <v>407.52</v>
      </c>
      <c r="I726" s="28">
        <f t="shared" si="53"/>
        <v>407.37583333333328</v>
      </c>
      <c r="J726" s="28">
        <f t="shared" si="53"/>
        <v>407.24458333333331</v>
      </c>
      <c r="K726" s="28">
        <f t="shared" si="53"/>
        <v>407.13041666666663</v>
      </c>
      <c r="L726" s="28">
        <f t="shared" si="53"/>
        <v>406.98250000000002</v>
      </c>
      <c r="M726" s="28">
        <f t="shared" si="53"/>
        <v>406.81999999999994</v>
      </c>
      <c r="N726" s="28">
        <f t="shared" si="53"/>
        <v>406.66666666666657</v>
      </c>
    </row>
    <row r="727" spans="1:14" x14ac:dyDescent="0.4">
      <c r="A727" s="1">
        <v>43313</v>
      </c>
      <c r="B727" s="28">
        <v>408.96500000000009</v>
      </c>
      <c r="C727" s="28">
        <f t="shared" si="53"/>
        <v>408.70708333333329</v>
      </c>
      <c r="D727" s="28">
        <f t="shared" si="53"/>
        <v>408.48416666666662</v>
      </c>
      <c r="E727" s="28">
        <f t="shared" si="53"/>
        <v>408.25791666666669</v>
      </c>
      <c r="F727" s="28">
        <f t="shared" si="53"/>
        <v>408.03708333333338</v>
      </c>
      <c r="G727" s="28">
        <f t="shared" si="53"/>
        <v>407.84249999999997</v>
      </c>
      <c r="H727" s="28">
        <f t="shared" si="53"/>
        <v>407.66833333333329</v>
      </c>
      <c r="I727" s="28">
        <f t="shared" si="53"/>
        <v>407.52</v>
      </c>
      <c r="J727" s="28">
        <f t="shared" si="53"/>
        <v>407.37583333333328</v>
      </c>
      <c r="K727" s="28">
        <f t="shared" si="53"/>
        <v>407.24458333333331</v>
      </c>
      <c r="L727" s="28">
        <f t="shared" si="53"/>
        <v>407.13041666666663</v>
      </c>
      <c r="M727" s="28">
        <f t="shared" si="53"/>
        <v>406.98250000000002</v>
      </c>
      <c r="N727" s="28">
        <f t="shared" si="53"/>
        <v>406.81999999999994</v>
      </c>
    </row>
    <row r="728" spans="1:14" x14ac:dyDescent="0.4">
      <c r="A728" s="1">
        <v>43344</v>
      </c>
      <c r="B728" s="28">
        <v>409.21791666666672</v>
      </c>
      <c r="C728" s="28">
        <f t="shared" si="53"/>
        <v>408.96500000000009</v>
      </c>
      <c r="D728" s="28">
        <f t="shared" si="53"/>
        <v>408.70708333333329</v>
      </c>
      <c r="E728" s="28">
        <f t="shared" si="53"/>
        <v>408.48416666666662</v>
      </c>
      <c r="F728" s="28">
        <f t="shared" si="53"/>
        <v>408.25791666666669</v>
      </c>
      <c r="G728" s="28">
        <f t="shared" si="53"/>
        <v>408.03708333333338</v>
      </c>
      <c r="H728" s="28">
        <f t="shared" si="53"/>
        <v>407.84249999999997</v>
      </c>
      <c r="I728" s="28">
        <f t="shared" si="53"/>
        <v>407.66833333333329</v>
      </c>
      <c r="J728" s="28">
        <f t="shared" si="53"/>
        <v>407.52</v>
      </c>
      <c r="K728" s="28">
        <f t="shared" si="53"/>
        <v>407.37583333333328</v>
      </c>
      <c r="L728" s="28">
        <f t="shared" si="53"/>
        <v>407.24458333333331</v>
      </c>
      <c r="M728" s="28">
        <f t="shared" si="53"/>
        <v>407.13041666666663</v>
      </c>
      <c r="N728" s="28">
        <f t="shared" si="53"/>
        <v>406.98250000000002</v>
      </c>
    </row>
    <row r="729" spans="1:14" x14ac:dyDescent="0.4">
      <c r="A729" s="1">
        <v>43374</v>
      </c>
      <c r="B729" s="28">
        <v>409.46666666666664</v>
      </c>
      <c r="C729" s="28">
        <f t="shared" si="53"/>
        <v>409.21791666666672</v>
      </c>
      <c r="D729" s="28">
        <f t="shared" si="53"/>
        <v>408.96500000000009</v>
      </c>
      <c r="E729" s="28">
        <f t="shared" si="53"/>
        <v>408.70708333333329</v>
      </c>
      <c r="F729" s="28">
        <f t="shared" si="53"/>
        <v>408.48416666666662</v>
      </c>
      <c r="G729" s="28">
        <f t="shared" si="53"/>
        <v>408.25791666666669</v>
      </c>
      <c r="H729" s="28">
        <f t="shared" si="53"/>
        <v>408.03708333333338</v>
      </c>
      <c r="I729" s="28">
        <f t="shared" si="53"/>
        <v>407.84249999999997</v>
      </c>
      <c r="J729" s="28">
        <f t="shared" si="53"/>
        <v>407.66833333333329</v>
      </c>
      <c r="K729" s="28">
        <f t="shared" si="53"/>
        <v>407.52</v>
      </c>
      <c r="L729" s="28">
        <f t="shared" si="53"/>
        <v>407.37583333333328</v>
      </c>
      <c r="M729" s="28">
        <f t="shared" si="53"/>
        <v>407.24458333333331</v>
      </c>
      <c r="N729" s="28">
        <f t="shared" si="53"/>
        <v>407.13041666666663</v>
      </c>
    </row>
    <row r="730" spans="1:14" x14ac:dyDescent="0.4">
      <c r="A730" s="1">
        <v>43405</v>
      </c>
      <c r="B730" s="28">
        <v>409.74791666666664</v>
      </c>
      <c r="C730" s="28">
        <f t="shared" si="53"/>
        <v>409.46666666666664</v>
      </c>
      <c r="D730" s="28">
        <f t="shared" si="53"/>
        <v>409.21791666666672</v>
      </c>
      <c r="E730" s="28">
        <f t="shared" si="53"/>
        <v>408.96500000000009</v>
      </c>
      <c r="F730" s="28">
        <f t="shared" si="53"/>
        <v>408.70708333333329</v>
      </c>
      <c r="G730" s="28">
        <f t="shared" si="53"/>
        <v>408.48416666666662</v>
      </c>
      <c r="H730" s="28">
        <f t="shared" si="53"/>
        <v>408.25791666666669</v>
      </c>
      <c r="I730" s="28">
        <f t="shared" si="53"/>
        <v>408.03708333333338</v>
      </c>
      <c r="J730" s="28">
        <f t="shared" si="53"/>
        <v>407.84249999999997</v>
      </c>
      <c r="K730" s="28">
        <f t="shared" si="53"/>
        <v>407.66833333333329</v>
      </c>
      <c r="L730" s="28">
        <f t="shared" si="53"/>
        <v>407.52</v>
      </c>
      <c r="M730" s="28">
        <f t="shared" si="53"/>
        <v>407.37583333333328</v>
      </c>
      <c r="N730" s="28">
        <f t="shared" si="53"/>
        <v>407.24458333333331</v>
      </c>
    </row>
    <row r="731" spans="1:14" x14ac:dyDescent="0.4">
      <c r="A731" s="1">
        <v>43435</v>
      </c>
      <c r="B731" s="28">
        <v>410.02333333333331</v>
      </c>
      <c r="C731" s="28">
        <f t="shared" si="53"/>
        <v>409.74791666666664</v>
      </c>
      <c r="D731" s="28">
        <f t="shared" si="53"/>
        <v>409.46666666666664</v>
      </c>
      <c r="E731" s="28">
        <f t="shared" si="53"/>
        <v>409.21791666666672</v>
      </c>
      <c r="F731" s="28">
        <f t="shared" si="53"/>
        <v>408.96500000000009</v>
      </c>
      <c r="G731" s="28">
        <f t="shared" si="53"/>
        <v>408.70708333333329</v>
      </c>
      <c r="H731" s="28">
        <f t="shared" si="53"/>
        <v>408.48416666666662</v>
      </c>
      <c r="I731" s="28">
        <f t="shared" si="53"/>
        <v>408.25791666666669</v>
      </c>
      <c r="J731" s="28">
        <f t="shared" si="53"/>
        <v>408.03708333333338</v>
      </c>
      <c r="K731" s="28">
        <f t="shared" si="53"/>
        <v>407.84249999999997</v>
      </c>
      <c r="L731" s="28">
        <f t="shared" si="53"/>
        <v>407.66833333333329</v>
      </c>
      <c r="M731" s="28">
        <f t="shared" si="53"/>
        <v>407.52</v>
      </c>
      <c r="N731" s="28">
        <f t="shared" si="53"/>
        <v>407.37583333333328</v>
      </c>
    </row>
    <row r="732" spans="1:14" x14ac:dyDescent="0.4">
      <c r="A732" s="1">
        <v>43466</v>
      </c>
      <c r="B732" s="28">
        <v>410.27458333333334</v>
      </c>
      <c r="C732" s="28">
        <f t="shared" si="53"/>
        <v>410.02333333333331</v>
      </c>
      <c r="D732" s="28">
        <f t="shared" si="53"/>
        <v>409.74791666666664</v>
      </c>
      <c r="E732" s="28">
        <f t="shared" si="53"/>
        <v>409.46666666666664</v>
      </c>
      <c r="F732" s="28">
        <f t="shared" si="53"/>
        <v>409.21791666666672</v>
      </c>
      <c r="G732" s="28">
        <f t="shared" si="53"/>
        <v>408.96500000000009</v>
      </c>
      <c r="H732" s="28">
        <f t="shared" si="53"/>
        <v>408.70708333333329</v>
      </c>
      <c r="I732" s="28">
        <f t="shared" si="53"/>
        <v>408.48416666666662</v>
      </c>
      <c r="J732" s="28">
        <f t="shared" si="53"/>
        <v>408.25791666666669</v>
      </c>
      <c r="K732" s="28">
        <f t="shared" si="53"/>
        <v>408.03708333333338</v>
      </c>
      <c r="L732" s="28">
        <f t="shared" si="53"/>
        <v>407.84249999999997</v>
      </c>
      <c r="M732" s="28">
        <f t="shared" si="53"/>
        <v>407.66833333333329</v>
      </c>
      <c r="N732" s="28">
        <f t="shared" si="53"/>
        <v>407.52</v>
      </c>
    </row>
    <row r="733" spans="1:14" x14ac:dyDescent="0.4">
      <c r="A733" s="1">
        <v>43497</v>
      </c>
      <c r="B733" s="28">
        <v>410.52166666666659</v>
      </c>
      <c r="C733" s="28">
        <f t="shared" si="53"/>
        <v>410.27458333333334</v>
      </c>
      <c r="D733" s="28">
        <f t="shared" si="53"/>
        <v>410.02333333333331</v>
      </c>
      <c r="E733" s="28">
        <f t="shared" si="53"/>
        <v>409.74791666666664</v>
      </c>
      <c r="F733" s="28">
        <f t="shared" si="53"/>
        <v>409.46666666666664</v>
      </c>
      <c r="G733" s="28">
        <f t="shared" si="53"/>
        <v>409.21791666666672</v>
      </c>
      <c r="H733" s="28">
        <f t="shared" si="53"/>
        <v>408.96500000000009</v>
      </c>
      <c r="I733" s="28">
        <f t="shared" si="53"/>
        <v>408.70708333333329</v>
      </c>
      <c r="J733" s="28">
        <f t="shared" si="53"/>
        <v>408.48416666666662</v>
      </c>
      <c r="K733" s="28">
        <f t="shared" si="53"/>
        <v>408.25791666666669</v>
      </c>
      <c r="L733" s="28">
        <f t="shared" si="53"/>
        <v>408.03708333333338</v>
      </c>
      <c r="M733" s="28">
        <f t="shared" si="53"/>
        <v>407.84249999999997</v>
      </c>
      <c r="N733" s="28">
        <f t="shared" si="53"/>
        <v>407.66833333333329</v>
      </c>
    </row>
    <row r="734" spans="1:14" x14ac:dyDescent="0.4">
      <c r="A734" s="1">
        <v>43525</v>
      </c>
      <c r="B734" s="28">
        <v>410.76916666666665</v>
      </c>
      <c r="C734" s="28">
        <f t="shared" si="53"/>
        <v>410.52166666666659</v>
      </c>
      <c r="D734" s="28">
        <f t="shared" si="53"/>
        <v>410.27458333333334</v>
      </c>
      <c r="E734" s="28">
        <f t="shared" si="53"/>
        <v>410.02333333333331</v>
      </c>
      <c r="F734" s="28">
        <f t="shared" si="53"/>
        <v>409.74791666666664</v>
      </c>
      <c r="G734" s="28">
        <f t="shared" si="53"/>
        <v>409.46666666666664</v>
      </c>
      <c r="H734" s="28">
        <f t="shared" si="53"/>
        <v>409.21791666666672</v>
      </c>
      <c r="I734" s="28">
        <f t="shared" si="53"/>
        <v>408.96500000000009</v>
      </c>
      <c r="J734" s="28">
        <f t="shared" si="53"/>
        <v>408.70708333333329</v>
      </c>
      <c r="K734" s="28">
        <f t="shared" si="53"/>
        <v>408.48416666666662</v>
      </c>
      <c r="L734" s="28">
        <f t="shared" si="53"/>
        <v>408.25791666666669</v>
      </c>
      <c r="M734" s="28">
        <f t="shared" si="53"/>
        <v>408.03708333333338</v>
      </c>
      <c r="N734" s="28">
        <f t="shared" si="53"/>
        <v>407.84249999999997</v>
      </c>
    </row>
    <row r="735" spans="1:14" x14ac:dyDescent="0.4">
      <c r="A735" s="1">
        <v>43556</v>
      </c>
      <c r="B735" s="28">
        <v>410.99416666666656</v>
      </c>
      <c r="C735" s="28">
        <f t="shared" si="53"/>
        <v>410.76916666666665</v>
      </c>
      <c r="D735" s="28">
        <f t="shared" si="53"/>
        <v>410.52166666666659</v>
      </c>
      <c r="E735" s="28">
        <f t="shared" si="53"/>
        <v>410.27458333333334</v>
      </c>
      <c r="F735" s="28">
        <f t="shared" si="53"/>
        <v>410.02333333333331</v>
      </c>
      <c r="G735" s="28">
        <f t="shared" si="53"/>
        <v>409.74791666666664</v>
      </c>
      <c r="H735" s="28">
        <f t="shared" si="53"/>
        <v>409.46666666666664</v>
      </c>
      <c r="I735" s="28">
        <f t="shared" si="53"/>
        <v>409.21791666666672</v>
      </c>
      <c r="J735" s="28">
        <f t="shared" si="53"/>
        <v>408.96500000000009</v>
      </c>
      <c r="K735" s="28">
        <f t="shared" si="53"/>
        <v>408.70708333333329</v>
      </c>
      <c r="L735" s="28">
        <f t="shared" si="53"/>
        <v>408.48416666666662</v>
      </c>
      <c r="M735" s="28">
        <f t="shared" si="53"/>
        <v>408.25791666666669</v>
      </c>
      <c r="N735" s="28">
        <f t="shared" si="53"/>
        <v>408.03708333333338</v>
      </c>
    </row>
    <row r="736" spans="1:14" x14ac:dyDescent="0.4">
      <c r="A736" s="1">
        <v>43586</v>
      </c>
      <c r="B736" s="28">
        <v>411.18624999999997</v>
      </c>
      <c r="C736" s="28">
        <f t="shared" si="53"/>
        <v>410.99416666666656</v>
      </c>
      <c r="D736" s="28">
        <f t="shared" si="53"/>
        <v>410.76916666666665</v>
      </c>
      <c r="E736" s="28">
        <f t="shared" si="53"/>
        <v>410.52166666666659</v>
      </c>
      <c r="F736" s="28">
        <f t="shared" si="53"/>
        <v>410.27458333333334</v>
      </c>
      <c r="G736" s="28">
        <f t="shared" si="53"/>
        <v>410.02333333333331</v>
      </c>
      <c r="H736" s="28">
        <f t="shared" si="53"/>
        <v>409.74791666666664</v>
      </c>
      <c r="I736" s="28">
        <f t="shared" si="53"/>
        <v>409.46666666666664</v>
      </c>
      <c r="J736" s="28">
        <f t="shared" si="53"/>
        <v>409.21791666666672</v>
      </c>
      <c r="K736" s="28">
        <f t="shared" si="53"/>
        <v>408.96500000000009</v>
      </c>
      <c r="L736" s="28">
        <f t="shared" si="53"/>
        <v>408.70708333333329</v>
      </c>
      <c r="M736" s="28">
        <f t="shared" si="53"/>
        <v>408.48416666666662</v>
      </c>
      <c r="N736" s="28">
        <f t="shared" si="53"/>
        <v>408.25791666666669</v>
      </c>
    </row>
    <row r="737" spans="1:14" x14ac:dyDescent="0.4">
      <c r="A737" s="1">
        <v>43617</v>
      </c>
      <c r="B737" s="28">
        <v>411.38583333333332</v>
      </c>
      <c r="C737" s="28">
        <f t="shared" si="53"/>
        <v>411.18624999999997</v>
      </c>
      <c r="D737" s="28">
        <f t="shared" si="53"/>
        <v>410.99416666666656</v>
      </c>
      <c r="E737" s="28">
        <f t="shared" si="53"/>
        <v>410.76916666666665</v>
      </c>
      <c r="F737" s="28">
        <f t="shared" si="53"/>
        <v>410.52166666666659</v>
      </c>
      <c r="G737" s="28">
        <f t="shared" si="53"/>
        <v>410.27458333333334</v>
      </c>
      <c r="H737" s="28">
        <f t="shared" si="53"/>
        <v>410.02333333333331</v>
      </c>
      <c r="I737" s="28">
        <f t="shared" si="53"/>
        <v>409.74791666666664</v>
      </c>
      <c r="J737" s="28">
        <f t="shared" si="53"/>
        <v>409.46666666666664</v>
      </c>
      <c r="K737" s="28">
        <f t="shared" si="53"/>
        <v>409.21791666666672</v>
      </c>
      <c r="L737" s="28">
        <f t="shared" si="53"/>
        <v>408.96500000000009</v>
      </c>
      <c r="M737" s="28">
        <f t="shared" si="53"/>
        <v>408.70708333333329</v>
      </c>
      <c r="N737" s="28">
        <f t="shared" si="53"/>
        <v>408.48416666666662</v>
      </c>
    </row>
    <row r="738" spans="1:14" x14ac:dyDescent="0.4">
      <c r="A738" s="1">
        <v>43647</v>
      </c>
      <c r="B738" s="28">
        <v>411.59708333333333</v>
      </c>
      <c r="C738" s="28">
        <f t="shared" si="53"/>
        <v>411.38583333333332</v>
      </c>
      <c r="D738" s="28">
        <f t="shared" si="53"/>
        <v>411.18624999999997</v>
      </c>
      <c r="E738" s="28">
        <f t="shared" si="53"/>
        <v>410.99416666666656</v>
      </c>
      <c r="F738" s="28">
        <f t="shared" si="53"/>
        <v>410.76916666666665</v>
      </c>
      <c r="G738" s="28">
        <f t="shared" si="53"/>
        <v>410.52166666666659</v>
      </c>
      <c r="H738" s="28">
        <f t="shared" si="53"/>
        <v>410.27458333333334</v>
      </c>
      <c r="I738" s="28">
        <f t="shared" si="53"/>
        <v>410.02333333333331</v>
      </c>
      <c r="J738" s="28">
        <f t="shared" si="53"/>
        <v>409.74791666666664</v>
      </c>
      <c r="K738" s="28">
        <f t="shared" si="53"/>
        <v>409.46666666666664</v>
      </c>
      <c r="L738" s="28">
        <f t="shared" si="53"/>
        <v>409.21791666666672</v>
      </c>
      <c r="M738" s="28">
        <f t="shared" si="53"/>
        <v>408.96500000000009</v>
      </c>
      <c r="N738" s="28">
        <f t="shared" si="53"/>
        <v>408.70708333333329</v>
      </c>
    </row>
    <row r="739" spans="1:14" x14ac:dyDescent="0.4">
      <c r="A739" s="1">
        <v>43678</v>
      </c>
      <c r="B739" s="28">
        <v>411.80041666666671</v>
      </c>
      <c r="C739" s="28">
        <f t="shared" si="53"/>
        <v>411.59708333333333</v>
      </c>
      <c r="D739" s="28">
        <f t="shared" si="53"/>
        <v>411.38583333333332</v>
      </c>
      <c r="E739" s="28">
        <f t="shared" si="53"/>
        <v>411.18624999999997</v>
      </c>
      <c r="F739" s="28">
        <f t="shared" si="53"/>
        <v>410.99416666666656</v>
      </c>
      <c r="G739" s="28">
        <f t="shared" si="53"/>
        <v>410.76916666666665</v>
      </c>
      <c r="H739" s="28">
        <f t="shared" si="53"/>
        <v>410.52166666666659</v>
      </c>
      <c r="I739" s="28">
        <f t="shared" si="53"/>
        <v>410.27458333333334</v>
      </c>
      <c r="J739" s="28">
        <f t="shared" si="53"/>
        <v>410.02333333333331</v>
      </c>
      <c r="K739" s="28">
        <f t="shared" si="53"/>
        <v>409.74791666666664</v>
      </c>
      <c r="L739" s="28">
        <f t="shared" si="53"/>
        <v>409.46666666666664</v>
      </c>
      <c r="M739" s="28">
        <f t="shared" si="53"/>
        <v>409.21791666666672</v>
      </c>
      <c r="N739" s="28">
        <f t="shared" si="53"/>
        <v>408.96500000000009</v>
      </c>
    </row>
    <row r="740" spans="1:14" x14ac:dyDescent="0.4">
      <c r="A740" s="1">
        <v>43709</v>
      </c>
      <c r="B740" s="28">
        <v>412.00624999999997</v>
      </c>
      <c r="C740" s="28">
        <f t="shared" si="53"/>
        <v>411.80041666666671</v>
      </c>
      <c r="D740" s="28">
        <f t="shared" si="53"/>
        <v>411.59708333333333</v>
      </c>
      <c r="E740" s="28">
        <f t="shared" si="53"/>
        <v>411.38583333333332</v>
      </c>
      <c r="F740" s="28">
        <f t="shared" si="53"/>
        <v>411.18624999999997</v>
      </c>
      <c r="G740" s="28">
        <f t="shared" si="53"/>
        <v>410.99416666666656</v>
      </c>
      <c r="H740" s="28">
        <f t="shared" si="53"/>
        <v>410.76916666666665</v>
      </c>
      <c r="I740" s="28">
        <f t="shared" si="53"/>
        <v>410.52166666666659</v>
      </c>
      <c r="J740" s="28">
        <f t="shared" si="53"/>
        <v>410.27458333333334</v>
      </c>
      <c r="K740" s="28">
        <f t="shared" si="53"/>
        <v>410.02333333333331</v>
      </c>
      <c r="L740" s="28">
        <f t="shared" si="53"/>
        <v>409.74791666666664</v>
      </c>
      <c r="M740" s="28">
        <f t="shared" si="53"/>
        <v>409.46666666666664</v>
      </c>
      <c r="N740" s="28">
        <f t="shared" si="53"/>
        <v>409.21791666666672</v>
      </c>
    </row>
    <row r="741" spans="1:14" x14ac:dyDescent="0.4">
      <c r="A741" s="1">
        <v>43739</v>
      </c>
      <c r="B741" s="28">
        <v>412.22166666666664</v>
      </c>
      <c r="C741" s="28">
        <f t="shared" si="53"/>
        <v>412.00624999999997</v>
      </c>
      <c r="D741" s="28">
        <f t="shared" si="53"/>
        <v>411.80041666666671</v>
      </c>
      <c r="E741" s="28">
        <f t="shared" si="53"/>
        <v>411.59708333333333</v>
      </c>
      <c r="F741" s="28">
        <f t="shared" si="53"/>
        <v>411.38583333333332</v>
      </c>
      <c r="G741" s="28">
        <f t="shared" si="53"/>
        <v>411.18624999999997</v>
      </c>
      <c r="H741" s="28">
        <f t="shared" si="53"/>
        <v>410.99416666666656</v>
      </c>
      <c r="I741" s="28">
        <f t="shared" si="53"/>
        <v>410.76916666666665</v>
      </c>
      <c r="J741" s="28">
        <f t="shared" si="53"/>
        <v>410.52166666666659</v>
      </c>
      <c r="K741" s="28">
        <f t="shared" si="53"/>
        <v>410.27458333333334</v>
      </c>
      <c r="L741" s="28">
        <f t="shared" si="53"/>
        <v>410.02333333333331</v>
      </c>
      <c r="M741" s="28">
        <f t="shared" si="53"/>
        <v>409.74791666666664</v>
      </c>
      <c r="N741" s="28">
        <f t="shared" si="53"/>
        <v>409.46666666666664</v>
      </c>
    </row>
    <row r="742" spans="1:14" x14ac:dyDescent="0.4">
      <c r="A742" s="1">
        <v>43770</v>
      </c>
      <c r="C742" s="28">
        <f t="shared" si="53"/>
        <v>412.22166666666664</v>
      </c>
      <c r="D742" s="28">
        <f t="shared" si="53"/>
        <v>412.00624999999997</v>
      </c>
      <c r="E742" s="28">
        <f t="shared" si="53"/>
        <v>411.80041666666671</v>
      </c>
      <c r="F742" s="28">
        <f t="shared" si="53"/>
        <v>411.59708333333333</v>
      </c>
      <c r="G742" s="28">
        <f t="shared" si="53"/>
        <v>411.38583333333332</v>
      </c>
      <c r="H742" s="28">
        <f t="shared" si="53"/>
        <v>411.18624999999997</v>
      </c>
      <c r="I742" s="28">
        <f t="shared" si="53"/>
        <v>410.99416666666656</v>
      </c>
      <c r="J742" s="28">
        <f t="shared" si="53"/>
        <v>410.76916666666665</v>
      </c>
      <c r="K742" s="28">
        <f t="shared" si="53"/>
        <v>410.52166666666659</v>
      </c>
      <c r="L742" s="28">
        <f t="shared" si="53"/>
        <v>410.27458333333334</v>
      </c>
      <c r="M742" s="28">
        <f t="shared" si="53"/>
        <v>410.02333333333331</v>
      </c>
      <c r="N742" s="28">
        <f t="shared" si="53"/>
        <v>409.74791666666664</v>
      </c>
    </row>
    <row r="743" spans="1:14" x14ac:dyDescent="0.4">
      <c r="A743" s="1">
        <v>43800</v>
      </c>
      <c r="C743" s="28" t="str">
        <f t="shared" si="53"/>
        <v/>
      </c>
      <c r="D743" s="28">
        <f t="shared" si="53"/>
        <v>412.22166666666664</v>
      </c>
      <c r="E743" s="28">
        <f t="shared" si="53"/>
        <v>412.00624999999997</v>
      </c>
      <c r="F743" s="28">
        <f t="shared" si="53"/>
        <v>411.80041666666671</v>
      </c>
      <c r="G743" s="28">
        <f t="shared" si="53"/>
        <v>411.59708333333333</v>
      </c>
      <c r="H743" s="28">
        <f t="shared" si="53"/>
        <v>411.38583333333332</v>
      </c>
      <c r="I743" s="28">
        <f t="shared" si="53"/>
        <v>411.18624999999997</v>
      </c>
      <c r="J743" s="28">
        <f t="shared" si="53"/>
        <v>410.99416666666656</v>
      </c>
      <c r="K743" s="28">
        <f t="shared" si="53"/>
        <v>410.76916666666665</v>
      </c>
      <c r="L743" s="28">
        <f t="shared" si="53"/>
        <v>410.52166666666659</v>
      </c>
      <c r="M743" s="28">
        <f t="shared" si="53"/>
        <v>410.27458333333334</v>
      </c>
      <c r="N743" s="28">
        <f t="shared" si="53"/>
        <v>410.02333333333331</v>
      </c>
    </row>
    <row r="744" spans="1:14" x14ac:dyDescent="0.4">
      <c r="A744" s="1">
        <v>43831</v>
      </c>
      <c r="C744" s="28" t="str">
        <f t="shared" si="53"/>
        <v/>
      </c>
      <c r="D744" s="28" t="str">
        <f t="shared" si="53"/>
        <v/>
      </c>
      <c r="E744" s="28">
        <f t="shared" si="53"/>
        <v>412.22166666666664</v>
      </c>
      <c r="F744" s="28">
        <f t="shared" si="53"/>
        <v>412.00624999999997</v>
      </c>
      <c r="G744" s="28">
        <f t="shared" si="53"/>
        <v>411.80041666666671</v>
      </c>
      <c r="H744" s="28">
        <f t="shared" si="53"/>
        <v>411.59708333333333</v>
      </c>
      <c r="I744" s="28">
        <f t="shared" si="53"/>
        <v>411.38583333333332</v>
      </c>
      <c r="J744" s="28">
        <f t="shared" si="53"/>
        <v>411.18624999999997</v>
      </c>
      <c r="K744" s="28">
        <f t="shared" si="53"/>
        <v>410.99416666666656</v>
      </c>
      <c r="L744" s="28">
        <f t="shared" si="53"/>
        <v>410.76916666666665</v>
      </c>
      <c r="M744" s="28">
        <f t="shared" si="53"/>
        <v>410.52166666666659</v>
      </c>
      <c r="N744" s="28">
        <f t="shared" si="53"/>
        <v>410.27458333333334</v>
      </c>
    </row>
    <row r="745" spans="1:14" x14ac:dyDescent="0.4">
      <c r="A745" s="1">
        <v>43862</v>
      </c>
      <c r="C745" s="28" t="str">
        <f t="shared" si="53"/>
        <v/>
      </c>
      <c r="D745" s="28" t="str">
        <f t="shared" si="53"/>
        <v/>
      </c>
      <c r="E745" s="28" t="str">
        <f t="shared" si="53"/>
        <v/>
      </c>
      <c r="F745" s="28">
        <f t="shared" ref="D745:R760" si="54">IF(E744=0,"",E744)</f>
        <v>412.22166666666664</v>
      </c>
      <c r="G745" s="28">
        <f t="shared" si="54"/>
        <v>412.00624999999997</v>
      </c>
      <c r="H745" s="28">
        <f t="shared" si="54"/>
        <v>411.80041666666671</v>
      </c>
      <c r="I745" s="28">
        <f t="shared" si="54"/>
        <v>411.59708333333333</v>
      </c>
      <c r="J745" s="28">
        <f t="shared" si="54"/>
        <v>411.38583333333332</v>
      </c>
      <c r="K745" s="28">
        <f t="shared" si="54"/>
        <v>411.18624999999997</v>
      </c>
      <c r="L745" s="28">
        <f t="shared" si="54"/>
        <v>410.99416666666656</v>
      </c>
      <c r="M745" s="28">
        <f t="shared" si="54"/>
        <v>410.76916666666665</v>
      </c>
      <c r="N745" s="28">
        <f t="shared" si="54"/>
        <v>410.52166666666659</v>
      </c>
    </row>
    <row r="746" spans="1:14" x14ac:dyDescent="0.4">
      <c r="A746" s="1">
        <v>43891</v>
      </c>
      <c r="C746" s="28" t="str">
        <f t="shared" ref="C746:N785" si="55">IF(B745=0,"",B745)</f>
        <v/>
      </c>
      <c r="D746" s="28" t="str">
        <f t="shared" si="54"/>
        <v/>
      </c>
      <c r="E746" s="28" t="str">
        <f t="shared" si="54"/>
        <v/>
      </c>
      <c r="F746" s="28" t="str">
        <f t="shared" si="54"/>
        <v/>
      </c>
      <c r="G746" s="28">
        <f t="shared" si="54"/>
        <v>412.22166666666664</v>
      </c>
      <c r="H746" s="28">
        <f t="shared" si="54"/>
        <v>412.00624999999997</v>
      </c>
      <c r="I746" s="28">
        <f t="shared" si="54"/>
        <v>411.80041666666671</v>
      </c>
      <c r="J746" s="28">
        <f t="shared" si="54"/>
        <v>411.59708333333333</v>
      </c>
      <c r="K746" s="28">
        <f t="shared" si="54"/>
        <v>411.38583333333332</v>
      </c>
      <c r="L746" s="28">
        <f t="shared" si="54"/>
        <v>411.18624999999997</v>
      </c>
      <c r="M746" s="28">
        <f t="shared" si="54"/>
        <v>410.99416666666656</v>
      </c>
      <c r="N746" s="28">
        <f t="shared" si="54"/>
        <v>410.76916666666665</v>
      </c>
    </row>
    <row r="747" spans="1:14" x14ac:dyDescent="0.4">
      <c r="A747" s="1">
        <v>43922</v>
      </c>
      <c r="C747" s="28" t="str">
        <f t="shared" si="55"/>
        <v/>
      </c>
      <c r="D747" s="28" t="str">
        <f t="shared" si="54"/>
        <v/>
      </c>
      <c r="E747" s="28" t="str">
        <f t="shared" si="54"/>
        <v/>
      </c>
      <c r="F747" s="28" t="str">
        <f t="shared" si="54"/>
        <v/>
      </c>
      <c r="G747" s="28" t="str">
        <f t="shared" si="54"/>
        <v/>
      </c>
      <c r="H747" s="28">
        <f t="shared" si="54"/>
        <v>412.22166666666664</v>
      </c>
      <c r="I747" s="28">
        <f t="shared" si="54"/>
        <v>412.00624999999997</v>
      </c>
      <c r="J747" s="28">
        <f t="shared" si="54"/>
        <v>411.80041666666671</v>
      </c>
      <c r="K747" s="28">
        <f t="shared" si="54"/>
        <v>411.59708333333333</v>
      </c>
      <c r="L747" s="28">
        <f t="shared" si="54"/>
        <v>411.38583333333332</v>
      </c>
      <c r="M747" s="28">
        <f t="shared" si="54"/>
        <v>411.18624999999997</v>
      </c>
      <c r="N747" s="28">
        <f t="shared" si="54"/>
        <v>410.99416666666656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1CC8-A5B7-44F0-89D7-7EC3E3A3AB23}">
  <dimension ref="A1:AC747"/>
  <sheetViews>
    <sheetView topLeftCell="D30" zoomScaleNormal="100" workbookViewId="0">
      <selection activeCell="P1" sqref="P1:AC14"/>
    </sheetView>
  </sheetViews>
  <sheetFormatPr defaultRowHeight="18.75" x14ac:dyDescent="0.4"/>
  <cols>
    <col min="1" max="1" width="10.25" bestFit="1" customWidth="1"/>
    <col min="2" max="2" width="7.75" style="28" bestFit="1" customWidth="1"/>
    <col min="3" max="14" width="7.75" style="28" customWidth="1"/>
  </cols>
  <sheetData>
    <row r="1" spans="1:29" s="3" customFormat="1" x14ac:dyDescent="0.4">
      <c r="A1" s="3" t="s">
        <v>0</v>
      </c>
      <c r="B1" s="30" t="s">
        <v>84</v>
      </c>
      <c r="C1" s="34">
        <v>-1</v>
      </c>
      <c r="D1" s="34">
        <v>-2</v>
      </c>
      <c r="E1" s="34">
        <v>-3</v>
      </c>
      <c r="F1" s="34">
        <v>-4</v>
      </c>
      <c r="G1" s="34">
        <v>-5</v>
      </c>
      <c r="H1" s="34">
        <v>-6</v>
      </c>
      <c r="I1" s="34">
        <v>-7</v>
      </c>
      <c r="J1" s="34">
        <v>-8</v>
      </c>
      <c r="K1" s="34">
        <v>-9</v>
      </c>
      <c r="L1" s="34">
        <v>-10</v>
      </c>
      <c r="M1" s="34">
        <v>-11</v>
      </c>
      <c r="N1" s="34">
        <v>-12</v>
      </c>
      <c r="P1" s="37"/>
      <c r="Q1" s="37" t="s">
        <v>68</v>
      </c>
      <c r="R1" s="37" t="s">
        <v>69</v>
      </c>
      <c r="S1" s="37" t="s">
        <v>70</v>
      </c>
      <c r="T1" s="37" t="s">
        <v>71</v>
      </c>
      <c r="U1" s="37" t="s">
        <v>72</v>
      </c>
      <c r="V1" s="37" t="s">
        <v>73</v>
      </c>
      <c r="W1" s="37" t="s">
        <v>74</v>
      </c>
      <c r="X1" s="37" t="s">
        <v>75</v>
      </c>
      <c r="Y1" s="37" t="s">
        <v>76</v>
      </c>
      <c r="Z1" s="37" t="s">
        <v>77</v>
      </c>
      <c r="AA1" s="37" t="s">
        <v>78</v>
      </c>
      <c r="AB1" s="37" t="s">
        <v>79</v>
      </c>
      <c r="AC1" s="37" t="s">
        <v>80</v>
      </c>
    </row>
    <row r="2" spans="1:29" x14ac:dyDescent="0.4">
      <c r="A2" s="1">
        <v>21245</v>
      </c>
      <c r="P2" s="35" t="s">
        <v>68</v>
      </c>
      <c r="Q2" s="35">
        <v>1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4">
      <c r="A3" s="1">
        <v>21276</v>
      </c>
      <c r="C3" s="28" t="str">
        <f>IF(B2=0,"",B2)</f>
        <v/>
      </c>
      <c r="D3" s="28" t="str">
        <f t="shared" ref="D3:N3" si="0">IF(C2=0,"",C2)</f>
        <v/>
      </c>
      <c r="E3" s="28" t="str">
        <f t="shared" si="0"/>
        <v/>
      </c>
      <c r="F3" s="28" t="str">
        <f t="shared" si="0"/>
        <v/>
      </c>
      <c r="G3" s="28" t="str">
        <f t="shared" si="0"/>
        <v/>
      </c>
      <c r="H3" s="28" t="str">
        <f t="shared" si="0"/>
        <v/>
      </c>
      <c r="I3" s="28" t="str">
        <f t="shared" si="0"/>
        <v/>
      </c>
      <c r="J3" s="28" t="str">
        <f t="shared" si="0"/>
        <v/>
      </c>
      <c r="K3" s="28" t="str">
        <f t="shared" si="0"/>
        <v/>
      </c>
      <c r="L3" s="28" t="str">
        <f t="shared" si="0"/>
        <v/>
      </c>
      <c r="M3" s="28" t="str">
        <f t="shared" si="0"/>
        <v/>
      </c>
      <c r="N3" s="28" t="str">
        <f t="shared" si="0"/>
        <v/>
      </c>
      <c r="P3" s="35" t="s">
        <v>69</v>
      </c>
      <c r="Q3" s="35">
        <v>0.39875991710910835</v>
      </c>
      <c r="R3" s="35">
        <v>1</v>
      </c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x14ac:dyDescent="0.4">
      <c r="A4" s="1">
        <v>21306</v>
      </c>
      <c r="C4" s="28" t="str">
        <f t="shared" ref="C4:N67" si="1">IF(B3=0,"",B3)</f>
        <v/>
      </c>
      <c r="D4" s="28" t="str">
        <f t="shared" si="1"/>
        <v/>
      </c>
      <c r="E4" s="28" t="str">
        <f t="shared" si="1"/>
        <v/>
      </c>
      <c r="F4" s="28" t="str">
        <f t="shared" si="1"/>
        <v/>
      </c>
      <c r="G4" s="28" t="str">
        <f t="shared" si="1"/>
        <v/>
      </c>
      <c r="H4" s="28" t="str">
        <f t="shared" si="1"/>
        <v/>
      </c>
      <c r="I4" s="28" t="str">
        <f t="shared" si="1"/>
        <v/>
      </c>
      <c r="J4" s="28" t="str">
        <f t="shared" si="1"/>
        <v/>
      </c>
      <c r="K4" s="28" t="str">
        <f t="shared" si="1"/>
        <v/>
      </c>
      <c r="L4" s="28" t="str">
        <f t="shared" si="1"/>
        <v/>
      </c>
      <c r="M4" s="28" t="str">
        <f t="shared" si="1"/>
        <v/>
      </c>
      <c r="N4" s="28" t="str">
        <f t="shared" si="1"/>
        <v/>
      </c>
      <c r="P4" s="35" t="s">
        <v>70</v>
      </c>
      <c r="Q4" s="35">
        <v>7.8256274415349297E-2</v>
      </c>
      <c r="R4" s="35">
        <v>0.39713065328518116</v>
      </c>
      <c r="S4" s="35">
        <v>1</v>
      </c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1:29" x14ac:dyDescent="0.4">
      <c r="A5" s="1">
        <v>21337</v>
      </c>
      <c r="B5" s="29"/>
      <c r="C5" s="28" t="str">
        <f t="shared" si="1"/>
        <v/>
      </c>
      <c r="D5" s="28" t="str">
        <f t="shared" si="1"/>
        <v/>
      </c>
      <c r="E5" s="28" t="str">
        <f t="shared" si="1"/>
        <v/>
      </c>
      <c r="F5" s="28" t="str">
        <f t="shared" si="1"/>
        <v/>
      </c>
      <c r="G5" s="28" t="str">
        <f t="shared" si="1"/>
        <v/>
      </c>
      <c r="H5" s="28" t="str">
        <f t="shared" si="1"/>
        <v/>
      </c>
      <c r="I5" s="28" t="str">
        <f t="shared" si="1"/>
        <v/>
      </c>
      <c r="J5" s="28" t="str">
        <f t="shared" si="1"/>
        <v/>
      </c>
      <c r="K5" s="28" t="str">
        <f t="shared" si="1"/>
        <v/>
      </c>
      <c r="L5" s="28" t="str">
        <f t="shared" si="1"/>
        <v/>
      </c>
      <c r="M5" s="28" t="str">
        <f t="shared" si="1"/>
        <v/>
      </c>
      <c r="N5" s="28" t="str">
        <f t="shared" si="1"/>
        <v/>
      </c>
      <c r="P5" s="35" t="s">
        <v>71</v>
      </c>
      <c r="Q5" s="35">
        <v>-0.18221876636022055</v>
      </c>
      <c r="R5" s="35">
        <v>7.5777836375273674E-2</v>
      </c>
      <c r="S5" s="35">
        <v>0.39667800605905734</v>
      </c>
      <c r="T5" s="35">
        <v>1</v>
      </c>
      <c r="U5" s="35"/>
      <c r="V5" s="35"/>
      <c r="W5" s="35"/>
      <c r="X5" s="35"/>
      <c r="Y5" s="35"/>
      <c r="Z5" s="35"/>
      <c r="AA5" s="35"/>
      <c r="AB5" s="35"/>
      <c r="AC5" s="35"/>
    </row>
    <row r="6" spans="1:29" x14ac:dyDescent="0.4">
      <c r="A6" s="1">
        <v>21367</v>
      </c>
      <c r="C6" s="28" t="str">
        <f t="shared" si="1"/>
        <v/>
      </c>
      <c r="D6" s="28" t="str">
        <f t="shared" si="1"/>
        <v/>
      </c>
      <c r="E6" s="28" t="str">
        <f t="shared" si="1"/>
        <v/>
      </c>
      <c r="F6" s="28" t="str">
        <f t="shared" si="1"/>
        <v/>
      </c>
      <c r="G6" s="28" t="str">
        <f t="shared" si="1"/>
        <v/>
      </c>
      <c r="H6" s="28" t="str">
        <f t="shared" si="1"/>
        <v/>
      </c>
      <c r="I6" s="28" t="str">
        <f t="shared" si="1"/>
        <v/>
      </c>
      <c r="J6" s="28" t="str">
        <f t="shared" si="1"/>
        <v/>
      </c>
      <c r="K6" s="28" t="str">
        <f t="shared" si="1"/>
        <v/>
      </c>
      <c r="L6" s="28" t="str">
        <f t="shared" si="1"/>
        <v/>
      </c>
      <c r="M6" s="28" t="str">
        <f t="shared" si="1"/>
        <v/>
      </c>
      <c r="N6" s="28" t="str">
        <f t="shared" si="1"/>
        <v/>
      </c>
      <c r="P6" s="35" t="s">
        <v>72</v>
      </c>
      <c r="Q6" s="35">
        <v>-0.31686007477830203</v>
      </c>
      <c r="R6" s="35">
        <v>-0.18717170447727954</v>
      </c>
      <c r="S6" s="35">
        <v>7.5851976858658215E-2</v>
      </c>
      <c r="T6" s="35">
        <v>0.39553243738549887</v>
      </c>
      <c r="U6" s="35">
        <v>1</v>
      </c>
      <c r="V6" s="35"/>
      <c r="W6" s="35"/>
      <c r="X6" s="35"/>
      <c r="Y6" s="35"/>
      <c r="Z6" s="35"/>
      <c r="AA6" s="35"/>
      <c r="AB6" s="35"/>
      <c r="AC6" s="35"/>
    </row>
    <row r="7" spans="1:29" x14ac:dyDescent="0.4">
      <c r="A7" s="1">
        <v>21398</v>
      </c>
      <c r="C7" s="28" t="str">
        <f t="shared" si="1"/>
        <v/>
      </c>
      <c r="D7" s="28" t="str">
        <f t="shared" si="1"/>
        <v/>
      </c>
      <c r="E7" s="28" t="str">
        <f t="shared" si="1"/>
        <v/>
      </c>
      <c r="F7" s="28" t="str">
        <f t="shared" si="1"/>
        <v/>
      </c>
      <c r="G7" s="28" t="str">
        <f t="shared" si="1"/>
        <v/>
      </c>
      <c r="H7" s="28" t="str">
        <f t="shared" si="1"/>
        <v/>
      </c>
      <c r="I7" s="28" t="str">
        <f t="shared" si="1"/>
        <v/>
      </c>
      <c r="J7" s="28" t="str">
        <f t="shared" si="1"/>
        <v/>
      </c>
      <c r="K7" s="28" t="str">
        <f t="shared" si="1"/>
        <v/>
      </c>
      <c r="L7" s="28" t="str">
        <f t="shared" si="1"/>
        <v/>
      </c>
      <c r="M7" s="28" t="str">
        <f t="shared" si="1"/>
        <v/>
      </c>
      <c r="N7" s="28" t="str">
        <f t="shared" si="1"/>
        <v/>
      </c>
      <c r="P7" s="35" t="s">
        <v>73</v>
      </c>
      <c r="Q7" s="35">
        <v>-0.35891328019173768</v>
      </c>
      <c r="R7" s="35">
        <v>-0.31623421583284522</v>
      </c>
      <c r="S7" s="35">
        <v>-0.18365893335670458</v>
      </c>
      <c r="T7" s="35">
        <v>7.8320293140045086E-2</v>
      </c>
      <c r="U7" s="35">
        <v>0.4019953596408361</v>
      </c>
      <c r="V7" s="35">
        <v>1</v>
      </c>
      <c r="W7" s="35"/>
      <c r="X7" s="35"/>
      <c r="Y7" s="35"/>
      <c r="Z7" s="35"/>
      <c r="AA7" s="35"/>
      <c r="AB7" s="35"/>
      <c r="AC7" s="35"/>
    </row>
    <row r="8" spans="1:29" x14ac:dyDescent="0.4">
      <c r="A8" s="1">
        <v>21429</v>
      </c>
      <c r="B8" s="28">
        <v>0.98470097773565612</v>
      </c>
      <c r="C8" s="28" t="str">
        <f t="shared" si="1"/>
        <v/>
      </c>
      <c r="D8" s="28" t="str">
        <f t="shared" si="1"/>
        <v/>
      </c>
      <c r="E8" s="28" t="str">
        <f t="shared" si="1"/>
        <v/>
      </c>
      <c r="F8" s="28" t="str">
        <f t="shared" si="1"/>
        <v/>
      </c>
      <c r="G8" s="28" t="str">
        <f t="shared" si="1"/>
        <v/>
      </c>
      <c r="H8" s="28" t="str">
        <f t="shared" si="1"/>
        <v/>
      </c>
      <c r="I8" s="28" t="str">
        <f t="shared" si="1"/>
        <v/>
      </c>
      <c r="J8" s="28" t="str">
        <f t="shared" si="1"/>
        <v/>
      </c>
      <c r="K8" s="28" t="str">
        <f t="shared" si="1"/>
        <v/>
      </c>
      <c r="L8" s="28" t="str">
        <f t="shared" si="1"/>
        <v/>
      </c>
      <c r="M8" s="28" t="str">
        <f t="shared" si="1"/>
        <v/>
      </c>
      <c r="N8" s="28" t="str">
        <f t="shared" si="1"/>
        <v/>
      </c>
      <c r="P8" s="35" t="s">
        <v>74</v>
      </c>
      <c r="Q8" s="35">
        <v>-0.28992467554258256</v>
      </c>
      <c r="R8" s="35">
        <v>-0.35660261737661852</v>
      </c>
      <c r="S8" s="35">
        <v>-0.3127120620528267</v>
      </c>
      <c r="T8" s="35">
        <v>-0.17995521860927016</v>
      </c>
      <c r="U8" s="35">
        <v>8.7330386539270416E-2</v>
      </c>
      <c r="V8" s="35">
        <v>0.40402886057847037</v>
      </c>
      <c r="W8" s="35">
        <v>1</v>
      </c>
      <c r="X8" s="35"/>
      <c r="Y8" s="35"/>
      <c r="Z8" s="35"/>
      <c r="AA8" s="35"/>
      <c r="AB8" s="35"/>
      <c r="AC8" s="35"/>
    </row>
    <row r="9" spans="1:29" x14ac:dyDescent="0.4">
      <c r="A9" s="1">
        <v>21459</v>
      </c>
      <c r="B9" s="29">
        <v>1.1160602673530775</v>
      </c>
      <c r="C9" s="28">
        <f t="shared" si="1"/>
        <v>0.98470097773565612</v>
      </c>
      <c r="D9" s="28" t="str">
        <f t="shared" si="1"/>
        <v/>
      </c>
      <c r="E9" s="28" t="str">
        <f t="shared" si="1"/>
        <v/>
      </c>
      <c r="F9" s="28" t="str">
        <f t="shared" si="1"/>
        <v/>
      </c>
      <c r="G9" s="28" t="str">
        <f t="shared" si="1"/>
        <v/>
      </c>
      <c r="H9" s="28" t="str">
        <f t="shared" si="1"/>
        <v/>
      </c>
      <c r="I9" s="28" t="str">
        <f t="shared" si="1"/>
        <v/>
      </c>
      <c r="J9" s="28" t="str">
        <f t="shared" si="1"/>
        <v/>
      </c>
      <c r="K9" s="28" t="str">
        <f t="shared" si="1"/>
        <v/>
      </c>
      <c r="L9" s="28" t="str">
        <f t="shared" si="1"/>
        <v/>
      </c>
      <c r="M9" s="28" t="str">
        <f t="shared" si="1"/>
        <v/>
      </c>
      <c r="N9" s="28" t="str">
        <f t="shared" si="1"/>
        <v/>
      </c>
      <c r="P9" s="35" t="s">
        <v>75</v>
      </c>
      <c r="Q9" s="35">
        <v>-0.16499570136982922</v>
      </c>
      <c r="R9" s="35">
        <v>-0.29067468138728469</v>
      </c>
      <c r="S9" s="35">
        <v>-0.35712442136840628</v>
      </c>
      <c r="T9" s="35">
        <v>-0.31335624349410601</v>
      </c>
      <c r="U9" s="35">
        <v>-0.18083918406364918</v>
      </c>
      <c r="V9" s="35">
        <v>8.6578769464523531E-2</v>
      </c>
      <c r="W9" s="35">
        <v>0.40436360451673425</v>
      </c>
      <c r="X9" s="35">
        <v>1</v>
      </c>
      <c r="Y9" s="35"/>
      <c r="Z9" s="35"/>
      <c r="AA9" s="35"/>
      <c r="AB9" s="35"/>
      <c r="AC9" s="35"/>
    </row>
    <row r="10" spans="1:29" x14ac:dyDescent="0.4">
      <c r="A10" s="1">
        <v>21490</v>
      </c>
      <c r="B10" s="28">
        <v>-0.14172661789274343</v>
      </c>
      <c r="C10" s="28">
        <f t="shared" si="1"/>
        <v>1.1160602673530775</v>
      </c>
      <c r="D10" s="28">
        <f t="shared" si="1"/>
        <v>0.98470097773565612</v>
      </c>
      <c r="E10" s="28" t="str">
        <f t="shared" si="1"/>
        <v/>
      </c>
      <c r="F10" s="28" t="str">
        <f t="shared" si="1"/>
        <v/>
      </c>
      <c r="G10" s="28" t="str">
        <f t="shared" si="1"/>
        <v/>
      </c>
      <c r="H10" s="28" t="str">
        <f t="shared" si="1"/>
        <v/>
      </c>
      <c r="I10" s="28" t="str">
        <f t="shared" si="1"/>
        <v/>
      </c>
      <c r="J10" s="28" t="str">
        <f t="shared" si="1"/>
        <v/>
      </c>
      <c r="K10" s="28" t="str">
        <f t="shared" si="1"/>
        <v/>
      </c>
      <c r="L10" s="28" t="str">
        <f t="shared" si="1"/>
        <v/>
      </c>
      <c r="M10" s="28" t="str">
        <f t="shared" si="1"/>
        <v/>
      </c>
      <c r="N10" s="28" t="str">
        <f t="shared" si="1"/>
        <v/>
      </c>
      <c r="P10" s="35" t="s">
        <v>76</v>
      </c>
      <c r="Q10" s="35">
        <v>-0.10687985877492498</v>
      </c>
      <c r="R10" s="35">
        <v>-0.16667143589349154</v>
      </c>
      <c r="S10" s="35">
        <v>-0.29064844258450906</v>
      </c>
      <c r="T10" s="35">
        <v>-0.35753611362661192</v>
      </c>
      <c r="U10" s="35">
        <v>-0.31206403359495405</v>
      </c>
      <c r="V10" s="35">
        <v>-0.17790742532438447</v>
      </c>
      <c r="W10" s="35">
        <v>8.9267786280804062E-2</v>
      </c>
      <c r="X10" s="35">
        <v>0.40398235871099158</v>
      </c>
      <c r="Y10" s="35">
        <v>1</v>
      </c>
      <c r="Z10" s="35"/>
      <c r="AA10" s="35"/>
      <c r="AB10" s="35"/>
      <c r="AC10" s="35"/>
    </row>
    <row r="11" spans="1:29" x14ac:dyDescent="0.4">
      <c r="A11" s="1">
        <v>21520</v>
      </c>
      <c r="B11" s="28">
        <v>-5.9793557783450524E-2</v>
      </c>
      <c r="C11" s="28">
        <f t="shared" si="1"/>
        <v>-0.14172661789274343</v>
      </c>
      <c r="D11" s="28">
        <f t="shared" si="1"/>
        <v>1.1160602673530775</v>
      </c>
      <c r="E11" s="28">
        <f t="shared" si="1"/>
        <v>0.98470097773565612</v>
      </c>
      <c r="F11" s="28" t="str">
        <f t="shared" si="1"/>
        <v/>
      </c>
      <c r="G11" s="28" t="str">
        <f t="shared" si="1"/>
        <v/>
      </c>
      <c r="H11" s="28" t="str">
        <f t="shared" si="1"/>
        <v/>
      </c>
      <c r="I11" s="28" t="str">
        <f t="shared" si="1"/>
        <v/>
      </c>
      <c r="J11" s="28" t="str">
        <f t="shared" si="1"/>
        <v/>
      </c>
      <c r="K11" s="28" t="str">
        <f t="shared" si="1"/>
        <v/>
      </c>
      <c r="L11" s="28" t="str">
        <f t="shared" si="1"/>
        <v/>
      </c>
      <c r="M11" s="28" t="str">
        <f t="shared" si="1"/>
        <v/>
      </c>
      <c r="N11" s="28" t="str">
        <f t="shared" si="1"/>
        <v/>
      </c>
      <c r="P11" s="35" t="s">
        <v>77</v>
      </c>
      <c r="Q11" s="35">
        <v>2.1600117699842325E-3</v>
      </c>
      <c r="R11" s="35">
        <v>-0.10402527444408116</v>
      </c>
      <c r="S11" s="35">
        <v>-0.16497235867226509</v>
      </c>
      <c r="T11" s="35">
        <v>-0.28891349662760363</v>
      </c>
      <c r="U11" s="35">
        <v>-0.3536133190892139</v>
      </c>
      <c r="V11" s="35">
        <v>-0.31257268039929281</v>
      </c>
      <c r="W11" s="35">
        <v>-0.18191002074139656</v>
      </c>
      <c r="X11" s="35">
        <v>8.9771900390499718E-2</v>
      </c>
      <c r="Y11" s="35">
        <v>0.40572728575621175</v>
      </c>
      <c r="Z11" s="35">
        <v>1</v>
      </c>
      <c r="AA11" s="35"/>
      <c r="AB11" s="35"/>
      <c r="AC11" s="35"/>
    </row>
    <row r="12" spans="1:29" x14ac:dyDescent="0.4">
      <c r="A12" s="1">
        <v>21551</v>
      </c>
      <c r="B12" s="28">
        <v>-0.18631678182725864</v>
      </c>
      <c r="C12" s="28">
        <f t="shared" si="1"/>
        <v>-5.9793557783450524E-2</v>
      </c>
      <c r="D12" s="28">
        <f t="shared" si="1"/>
        <v>-0.14172661789274343</v>
      </c>
      <c r="E12" s="28">
        <f t="shared" si="1"/>
        <v>1.1160602673530775</v>
      </c>
      <c r="F12" s="28">
        <f t="shared" si="1"/>
        <v>0.98470097773565612</v>
      </c>
      <c r="G12" s="28" t="str">
        <f t="shared" si="1"/>
        <v/>
      </c>
      <c r="H12" s="28" t="str">
        <f t="shared" si="1"/>
        <v/>
      </c>
      <c r="I12" s="28" t="str">
        <f t="shared" si="1"/>
        <v/>
      </c>
      <c r="J12" s="28" t="str">
        <f t="shared" si="1"/>
        <v/>
      </c>
      <c r="K12" s="28" t="str">
        <f t="shared" si="1"/>
        <v/>
      </c>
      <c r="L12" s="28" t="str">
        <f t="shared" si="1"/>
        <v/>
      </c>
      <c r="M12" s="28" t="str">
        <f t="shared" si="1"/>
        <v/>
      </c>
      <c r="N12" s="28" t="str">
        <f t="shared" si="1"/>
        <v/>
      </c>
      <c r="P12" s="35" t="s">
        <v>78</v>
      </c>
      <c r="Q12" s="35">
        <v>0.11758772070050491</v>
      </c>
      <c r="R12" s="35">
        <v>6.2552415469440516E-3</v>
      </c>
      <c r="S12" s="35">
        <v>-0.10147791799627676</v>
      </c>
      <c r="T12" s="35">
        <v>-0.16222478198089776</v>
      </c>
      <c r="U12" s="35">
        <v>-0.28336389991999655</v>
      </c>
      <c r="V12" s="35">
        <v>-0.35409880856282089</v>
      </c>
      <c r="W12" s="35">
        <v>-0.31791315985620872</v>
      </c>
      <c r="X12" s="35">
        <v>-0.18197246897410577</v>
      </c>
      <c r="Y12" s="35">
        <v>9.1717479771745034E-2</v>
      </c>
      <c r="Z12" s="35">
        <v>0.40334235564570686</v>
      </c>
      <c r="AA12" s="35">
        <v>1</v>
      </c>
      <c r="AB12" s="35"/>
      <c r="AC12" s="35"/>
    </row>
    <row r="13" spans="1:29" x14ac:dyDescent="0.4">
      <c r="A13" s="1">
        <v>21582</v>
      </c>
      <c r="B13" s="28">
        <v>6.5506875762139316E-2</v>
      </c>
      <c r="C13" s="28">
        <f t="shared" si="1"/>
        <v>-0.18631678182725864</v>
      </c>
      <c r="D13" s="28">
        <f t="shared" si="1"/>
        <v>-5.9793557783450524E-2</v>
      </c>
      <c r="E13" s="28">
        <f t="shared" si="1"/>
        <v>-0.14172661789274343</v>
      </c>
      <c r="F13" s="28">
        <f t="shared" si="1"/>
        <v>1.1160602673530775</v>
      </c>
      <c r="G13" s="28">
        <f t="shared" si="1"/>
        <v>0.98470097773565612</v>
      </c>
      <c r="H13" s="28" t="str">
        <f t="shared" si="1"/>
        <v/>
      </c>
      <c r="I13" s="28" t="str">
        <f t="shared" si="1"/>
        <v/>
      </c>
      <c r="J13" s="28" t="str">
        <f t="shared" si="1"/>
        <v/>
      </c>
      <c r="K13" s="28" t="str">
        <f t="shared" si="1"/>
        <v/>
      </c>
      <c r="L13" s="28" t="str">
        <f t="shared" si="1"/>
        <v/>
      </c>
      <c r="M13" s="28" t="str">
        <f t="shared" si="1"/>
        <v/>
      </c>
      <c r="N13" s="28" t="str">
        <f t="shared" si="1"/>
        <v/>
      </c>
      <c r="P13" s="35" t="s">
        <v>79</v>
      </c>
      <c r="Q13" s="35">
        <v>0.27351835812357245</v>
      </c>
      <c r="R13" s="35">
        <v>0.11977119556671588</v>
      </c>
      <c r="S13" s="35">
        <v>2.9394481906417904E-3</v>
      </c>
      <c r="T13" s="35">
        <v>-0.10276901250866383</v>
      </c>
      <c r="U13" s="35">
        <v>-0.17094607164592526</v>
      </c>
      <c r="V13" s="35">
        <v>-0.29154167301321043</v>
      </c>
      <c r="W13" s="35">
        <v>-0.36011374559689185</v>
      </c>
      <c r="X13" s="35">
        <v>-0.31349404300945799</v>
      </c>
      <c r="Y13" s="35">
        <v>-0.18320861521164189</v>
      </c>
      <c r="Z13" s="35">
        <v>8.9252955821133836E-2</v>
      </c>
      <c r="AA13" s="35">
        <v>0.39705763982605885</v>
      </c>
      <c r="AB13" s="35">
        <v>1</v>
      </c>
      <c r="AC13" s="35"/>
    </row>
    <row r="14" spans="1:29" ht="19.5" thickBot="1" x14ac:dyDescent="0.45">
      <c r="A14" s="1">
        <v>21610</v>
      </c>
      <c r="B14" s="28">
        <v>-0.47346379216912737</v>
      </c>
      <c r="C14" s="28">
        <f t="shared" si="1"/>
        <v>6.5506875762139316E-2</v>
      </c>
      <c r="D14" s="28">
        <f t="shared" si="1"/>
        <v>-0.18631678182725864</v>
      </c>
      <c r="E14" s="28">
        <f t="shared" si="1"/>
        <v>-5.9793557783450524E-2</v>
      </c>
      <c r="F14" s="28">
        <f t="shared" si="1"/>
        <v>-0.14172661789274343</v>
      </c>
      <c r="G14" s="28">
        <f t="shared" si="1"/>
        <v>1.1160602673530775</v>
      </c>
      <c r="H14" s="28">
        <f t="shared" si="1"/>
        <v>0.98470097773565612</v>
      </c>
      <c r="I14" s="28" t="str">
        <f t="shared" si="1"/>
        <v/>
      </c>
      <c r="J14" s="28" t="str">
        <f t="shared" si="1"/>
        <v/>
      </c>
      <c r="K14" s="28" t="str">
        <f t="shared" si="1"/>
        <v/>
      </c>
      <c r="L14" s="28" t="str">
        <f t="shared" si="1"/>
        <v/>
      </c>
      <c r="M14" s="28" t="str">
        <f t="shared" si="1"/>
        <v/>
      </c>
      <c r="N14" s="28" t="str">
        <f t="shared" si="1"/>
        <v/>
      </c>
      <c r="P14" s="36" t="s">
        <v>80</v>
      </c>
      <c r="Q14" s="36">
        <v>0.30968352109030711</v>
      </c>
      <c r="R14" s="36">
        <v>0.27751083964417683</v>
      </c>
      <c r="S14" s="36">
        <v>0.11755123349217432</v>
      </c>
      <c r="T14" s="36">
        <v>2.6370043527035049E-3</v>
      </c>
      <c r="U14" s="36">
        <v>-0.10868202643870956</v>
      </c>
      <c r="V14" s="36">
        <v>-0.18087494958593792</v>
      </c>
      <c r="W14" s="36">
        <v>-0.30106316136292316</v>
      </c>
      <c r="X14" s="36">
        <v>-0.35643418642820751</v>
      </c>
      <c r="Y14" s="36">
        <v>-0.31344635111277819</v>
      </c>
      <c r="Z14" s="36">
        <v>-0.18624721998376248</v>
      </c>
      <c r="AA14" s="36">
        <v>8.281433686190269E-2</v>
      </c>
      <c r="AB14" s="36">
        <v>0.40734572335908903</v>
      </c>
      <c r="AC14" s="36">
        <v>1</v>
      </c>
    </row>
    <row r="15" spans="1:29" ht="19.5" thickBot="1" x14ac:dyDescent="0.45">
      <c r="A15" s="1">
        <v>21641</v>
      </c>
      <c r="B15" s="28">
        <v>-0.64800625479830387</v>
      </c>
      <c r="C15" s="28">
        <f t="shared" si="1"/>
        <v>-0.47346379216912737</v>
      </c>
      <c r="D15" s="28">
        <f t="shared" si="1"/>
        <v>6.5506875762139316E-2</v>
      </c>
      <c r="E15" s="28">
        <f t="shared" si="1"/>
        <v>-0.18631678182725864</v>
      </c>
      <c r="F15" s="28">
        <f t="shared" si="1"/>
        <v>-5.9793557783450524E-2</v>
      </c>
      <c r="G15" s="28">
        <f t="shared" si="1"/>
        <v>-0.14172661789274343</v>
      </c>
      <c r="H15" s="28">
        <f t="shared" si="1"/>
        <v>1.1160602673530775</v>
      </c>
      <c r="I15" s="28">
        <f t="shared" si="1"/>
        <v>0.98470097773565612</v>
      </c>
      <c r="J15" s="28" t="str">
        <f t="shared" si="1"/>
        <v/>
      </c>
      <c r="K15" s="28" t="str">
        <f t="shared" si="1"/>
        <v/>
      </c>
      <c r="L15" s="28" t="str">
        <f t="shared" si="1"/>
        <v/>
      </c>
      <c r="M15" s="28" t="str">
        <f t="shared" si="1"/>
        <v/>
      </c>
      <c r="N15" s="28" t="str">
        <f t="shared" si="1"/>
        <v/>
      </c>
    </row>
    <row r="16" spans="1:29" x14ac:dyDescent="0.4">
      <c r="A16" s="1">
        <v>21671</v>
      </c>
      <c r="B16" s="28">
        <v>-0.63514191843927392</v>
      </c>
      <c r="C16" s="28">
        <f t="shared" si="1"/>
        <v>-0.64800625479830387</v>
      </c>
      <c r="D16" s="28">
        <f t="shared" si="1"/>
        <v>-0.47346379216912737</v>
      </c>
      <c r="E16" s="28">
        <f t="shared" si="1"/>
        <v>6.5506875762139316E-2</v>
      </c>
      <c r="F16" s="28">
        <f t="shared" si="1"/>
        <v>-0.18631678182725864</v>
      </c>
      <c r="G16" s="28">
        <f t="shared" si="1"/>
        <v>-5.9793557783450524E-2</v>
      </c>
      <c r="H16" s="28">
        <f t="shared" si="1"/>
        <v>-0.14172661789274343</v>
      </c>
      <c r="I16" s="28">
        <f t="shared" si="1"/>
        <v>1.1160602673530775</v>
      </c>
      <c r="J16" s="28">
        <f t="shared" si="1"/>
        <v>0.98470097773565612</v>
      </c>
      <c r="K16" s="28" t="str">
        <f t="shared" si="1"/>
        <v/>
      </c>
      <c r="L16" s="28" t="str">
        <f t="shared" si="1"/>
        <v/>
      </c>
      <c r="M16" s="28" t="str">
        <f t="shared" si="1"/>
        <v/>
      </c>
      <c r="N16" s="28" t="str">
        <f t="shared" si="1"/>
        <v/>
      </c>
      <c r="P16" s="39" t="s">
        <v>81</v>
      </c>
      <c r="Q16" s="37" t="s">
        <v>1</v>
      </c>
      <c r="R16" s="37">
        <v>-1</v>
      </c>
      <c r="S16" s="37">
        <v>-2</v>
      </c>
      <c r="T16" s="37">
        <v>-3</v>
      </c>
      <c r="U16" s="37">
        <v>-4</v>
      </c>
      <c r="V16" s="37">
        <v>-5</v>
      </c>
      <c r="W16" s="37">
        <v>-6</v>
      </c>
      <c r="X16" s="37">
        <v>-7</v>
      </c>
      <c r="Y16" s="37">
        <v>-8</v>
      </c>
      <c r="Z16" s="37">
        <v>-9</v>
      </c>
      <c r="AA16" s="37">
        <v>-10</v>
      </c>
      <c r="AB16" s="37">
        <v>-11</v>
      </c>
      <c r="AC16" s="37">
        <v>-12</v>
      </c>
    </row>
    <row r="17" spans="1:29" x14ac:dyDescent="0.4">
      <c r="A17" s="1">
        <v>21702</v>
      </c>
      <c r="B17" s="28">
        <v>-0.15212962335738212</v>
      </c>
      <c r="C17" s="28">
        <f t="shared" si="1"/>
        <v>-0.63514191843927392</v>
      </c>
      <c r="D17" s="28">
        <f t="shared" si="1"/>
        <v>-0.64800625479830387</v>
      </c>
      <c r="E17" s="28">
        <f t="shared" si="1"/>
        <v>-0.47346379216912737</v>
      </c>
      <c r="F17" s="28">
        <f t="shared" si="1"/>
        <v>6.5506875762139316E-2</v>
      </c>
      <c r="G17" s="28">
        <f t="shared" si="1"/>
        <v>-0.18631678182725864</v>
      </c>
      <c r="H17" s="28">
        <f t="shared" si="1"/>
        <v>-5.9793557783450524E-2</v>
      </c>
      <c r="I17" s="28">
        <f t="shared" si="1"/>
        <v>-0.14172661789274343</v>
      </c>
      <c r="J17" s="28">
        <f t="shared" si="1"/>
        <v>1.1160602673530775</v>
      </c>
      <c r="K17" s="28">
        <f t="shared" si="1"/>
        <v>0.98470097773565612</v>
      </c>
      <c r="L17" s="28" t="str">
        <f t="shared" si="1"/>
        <v/>
      </c>
      <c r="M17" s="28" t="str">
        <f t="shared" si="1"/>
        <v/>
      </c>
      <c r="N17" s="28" t="str">
        <f t="shared" si="1"/>
        <v/>
      </c>
      <c r="P17" s="40" t="s">
        <v>1</v>
      </c>
      <c r="Q17" s="35">
        <f t="array" ref="Q17:AC29">Q2:AC14+TRANSPOSE(Q2:AC14)-_xlfn.MUNIT(13)</f>
        <v>1</v>
      </c>
      <c r="R17" s="35">
        <v>0.39875991710910835</v>
      </c>
      <c r="S17" s="35">
        <v>7.8256274415349297E-2</v>
      </c>
      <c r="T17" s="35">
        <v>-0.18221876636022055</v>
      </c>
      <c r="U17" s="35">
        <v>-0.31686007477830203</v>
      </c>
      <c r="V17" s="35">
        <v>-0.35891328019173768</v>
      </c>
      <c r="W17" s="35">
        <v>-0.28992467554258256</v>
      </c>
      <c r="X17" s="35">
        <v>-0.16499570136982922</v>
      </c>
      <c r="Y17" s="35">
        <v>-0.10687985877492498</v>
      </c>
      <c r="Z17" s="35">
        <v>2.1600117699842325E-3</v>
      </c>
      <c r="AA17" s="35">
        <v>0.11758772070050491</v>
      </c>
      <c r="AB17" s="35">
        <v>0.27351835812357245</v>
      </c>
      <c r="AC17" s="35">
        <v>0.30968352109030711</v>
      </c>
    </row>
    <row r="18" spans="1:29" x14ac:dyDescent="0.4">
      <c r="A18" s="1">
        <v>21732</v>
      </c>
      <c r="B18" s="28">
        <v>-0.20499847581629638</v>
      </c>
      <c r="C18" s="28">
        <f t="shared" si="1"/>
        <v>-0.15212962335738212</v>
      </c>
      <c r="D18" s="28">
        <f t="shared" si="1"/>
        <v>-0.63514191843927392</v>
      </c>
      <c r="E18" s="28">
        <f t="shared" si="1"/>
        <v>-0.64800625479830387</v>
      </c>
      <c r="F18" s="28">
        <f t="shared" si="1"/>
        <v>-0.47346379216912737</v>
      </c>
      <c r="G18" s="28">
        <f t="shared" si="1"/>
        <v>6.5506875762139316E-2</v>
      </c>
      <c r="H18" s="28">
        <f t="shared" si="1"/>
        <v>-0.18631678182725864</v>
      </c>
      <c r="I18" s="28">
        <f t="shared" si="1"/>
        <v>-5.9793557783450524E-2</v>
      </c>
      <c r="J18" s="28">
        <f t="shared" si="1"/>
        <v>-0.14172661789274343</v>
      </c>
      <c r="K18" s="28">
        <f t="shared" si="1"/>
        <v>1.1160602673530775</v>
      </c>
      <c r="L18" s="28">
        <f t="shared" si="1"/>
        <v>0.98470097773565612</v>
      </c>
      <c r="M18" s="28" t="str">
        <f t="shared" si="1"/>
        <v/>
      </c>
      <c r="N18" s="28" t="str">
        <f t="shared" si="1"/>
        <v/>
      </c>
      <c r="P18" s="40">
        <v>-1</v>
      </c>
      <c r="Q18" s="35">
        <v>0.39875991710910835</v>
      </c>
      <c r="R18" s="35">
        <v>1</v>
      </c>
      <c r="S18" s="35">
        <v>0.39713065328518116</v>
      </c>
      <c r="T18" s="35">
        <v>7.5777836375273674E-2</v>
      </c>
      <c r="U18" s="35">
        <v>-0.18717170447727954</v>
      </c>
      <c r="V18" s="35">
        <v>-0.31623421583284522</v>
      </c>
      <c r="W18" s="35">
        <v>-0.35660261737661852</v>
      </c>
      <c r="X18" s="35">
        <v>-0.29067468138728469</v>
      </c>
      <c r="Y18" s="35">
        <v>-0.16667143589349154</v>
      </c>
      <c r="Z18" s="35">
        <v>-0.10402527444408116</v>
      </c>
      <c r="AA18" s="35">
        <v>6.2552415469440516E-3</v>
      </c>
      <c r="AB18" s="35">
        <v>0.11977119556671588</v>
      </c>
      <c r="AC18" s="35">
        <v>0.27751083964417683</v>
      </c>
    </row>
    <row r="19" spans="1:29" x14ac:dyDescent="0.4">
      <c r="A19" s="1">
        <v>21763</v>
      </c>
      <c r="B19" s="28">
        <v>0.13700972090498453</v>
      </c>
      <c r="C19" s="28">
        <f t="shared" si="1"/>
        <v>-0.20499847581629638</v>
      </c>
      <c r="D19" s="28">
        <f t="shared" si="1"/>
        <v>-0.15212962335738212</v>
      </c>
      <c r="E19" s="28">
        <f t="shared" si="1"/>
        <v>-0.63514191843927392</v>
      </c>
      <c r="F19" s="28">
        <f t="shared" si="1"/>
        <v>-0.64800625479830387</v>
      </c>
      <c r="G19" s="28">
        <f t="shared" si="1"/>
        <v>-0.47346379216912737</v>
      </c>
      <c r="H19" s="28">
        <f t="shared" si="1"/>
        <v>6.5506875762139316E-2</v>
      </c>
      <c r="I19" s="28">
        <f t="shared" si="1"/>
        <v>-0.18631678182725864</v>
      </c>
      <c r="J19" s="28">
        <f t="shared" si="1"/>
        <v>-5.9793557783450524E-2</v>
      </c>
      <c r="K19" s="28">
        <f t="shared" si="1"/>
        <v>-0.14172661789274343</v>
      </c>
      <c r="L19" s="28">
        <f t="shared" si="1"/>
        <v>1.1160602673530775</v>
      </c>
      <c r="M19" s="28">
        <f t="shared" si="1"/>
        <v>0.98470097773565612</v>
      </c>
      <c r="N19" s="28" t="str">
        <f t="shared" si="1"/>
        <v/>
      </c>
      <c r="P19" s="40">
        <v>-2</v>
      </c>
      <c r="Q19" s="35">
        <v>7.8256274415349297E-2</v>
      </c>
      <c r="R19" s="35">
        <v>0.39713065328518116</v>
      </c>
      <c r="S19" s="35">
        <v>1</v>
      </c>
      <c r="T19" s="35">
        <v>0.39667800605905734</v>
      </c>
      <c r="U19" s="35">
        <v>7.5851976858658215E-2</v>
      </c>
      <c r="V19" s="35">
        <v>-0.18365893335670458</v>
      </c>
      <c r="W19" s="35">
        <v>-0.3127120620528267</v>
      </c>
      <c r="X19" s="35">
        <v>-0.35712442136840628</v>
      </c>
      <c r="Y19" s="35">
        <v>-0.29064844258450906</v>
      </c>
      <c r="Z19" s="35">
        <v>-0.16497235867226509</v>
      </c>
      <c r="AA19" s="35">
        <v>-0.10147791799627676</v>
      </c>
      <c r="AB19" s="35">
        <v>2.9394481906417904E-3</v>
      </c>
      <c r="AC19" s="35">
        <v>0.11755123349217432</v>
      </c>
    </row>
    <row r="20" spans="1:29" x14ac:dyDescent="0.4">
      <c r="A20" s="1">
        <v>21794</v>
      </c>
      <c r="B20" s="28">
        <v>0.91224196134209024</v>
      </c>
      <c r="C20" s="28">
        <f t="shared" si="1"/>
        <v>0.13700972090498453</v>
      </c>
      <c r="D20" s="28">
        <f t="shared" si="1"/>
        <v>-0.20499847581629638</v>
      </c>
      <c r="E20" s="28">
        <f t="shared" si="1"/>
        <v>-0.15212962335738212</v>
      </c>
      <c r="F20" s="28">
        <f t="shared" si="1"/>
        <v>-0.63514191843927392</v>
      </c>
      <c r="G20" s="28">
        <f t="shared" si="1"/>
        <v>-0.64800625479830387</v>
      </c>
      <c r="H20" s="28">
        <f t="shared" si="1"/>
        <v>-0.47346379216912737</v>
      </c>
      <c r="I20" s="28">
        <f t="shared" si="1"/>
        <v>6.5506875762139316E-2</v>
      </c>
      <c r="J20" s="28">
        <f t="shared" si="1"/>
        <v>-0.18631678182725864</v>
      </c>
      <c r="K20" s="28">
        <f t="shared" si="1"/>
        <v>-5.9793557783450524E-2</v>
      </c>
      <c r="L20" s="28">
        <f t="shared" si="1"/>
        <v>-0.14172661789274343</v>
      </c>
      <c r="M20" s="28">
        <f t="shared" si="1"/>
        <v>1.1160602673530775</v>
      </c>
      <c r="N20" s="28">
        <f t="shared" si="1"/>
        <v>0.98470097773565612</v>
      </c>
      <c r="P20" s="40">
        <v>-3</v>
      </c>
      <c r="Q20" s="35">
        <v>-0.18221876636022055</v>
      </c>
      <c r="R20" s="35">
        <v>7.5777836375273674E-2</v>
      </c>
      <c r="S20" s="35">
        <v>0.39667800605905734</v>
      </c>
      <c r="T20" s="35">
        <v>1</v>
      </c>
      <c r="U20" s="35">
        <v>0.39553243738549887</v>
      </c>
      <c r="V20" s="35">
        <v>7.8320293140045086E-2</v>
      </c>
      <c r="W20" s="35">
        <v>-0.17995521860927016</v>
      </c>
      <c r="X20" s="35">
        <v>-0.31335624349410601</v>
      </c>
      <c r="Y20" s="35">
        <v>-0.35753611362661192</v>
      </c>
      <c r="Z20" s="35">
        <v>-0.28891349662760363</v>
      </c>
      <c r="AA20" s="35">
        <v>-0.16222478198089776</v>
      </c>
      <c r="AB20" s="35">
        <v>-0.10276901250866383</v>
      </c>
      <c r="AC20" s="35">
        <v>2.6370043527035049E-3</v>
      </c>
    </row>
    <row r="21" spans="1:29" x14ac:dyDescent="0.4">
      <c r="A21" s="1">
        <v>21824</v>
      </c>
      <c r="B21" s="28">
        <v>0.43166819085035968</v>
      </c>
      <c r="C21" s="28">
        <f t="shared" si="1"/>
        <v>0.91224196134209024</v>
      </c>
      <c r="D21" s="28">
        <f t="shared" si="1"/>
        <v>0.13700972090498453</v>
      </c>
      <c r="E21" s="28">
        <f t="shared" si="1"/>
        <v>-0.20499847581629638</v>
      </c>
      <c r="F21" s="28">
        <f t="shared" si="1"/>
        <v>-0.15212962335738212</v>
      </c>
      <c r="G21" s="28">
        <f t="shared" si="1"/>
        <v>-0.63514191843927392</v>
      </c>
      <c r="H21" s="28">
        <f t="shared" si="1"/>
        <v>-0.64800625479830387</v>
      </c>
      <c r="I21" s="28">
        <f t="shared" si="1"/>
        <v>-0.47346379216912737</v>
      </c>
      <c r="J21" s="28">
        <f t="shared" si="1"/>
        <v>6.5506875762139316E-2</v>
      </c>
      <c r="K21" s="28">
        <f t="shared" si="1"/>
        <v>-0.18631678182725864</v>
      </c>
      <c r="L21" s="28">
        <f t="shared" si="1"/>
        <v>-5.9793557783450524E-2</v>
      </c>
      <c r="M21" s="28">
        <f t="shared" si="1"/>
        <v>-0.14172661789274343</v>
      </c>
      <c r="N21" s="28">
        <f t="shared" si="1"/>
        <v>1.1160602673530775</v>
      </c>
      <c r="P21" s="40">
        <v>-4</v>
      </c>
      <c r="Q21" s="35">
        <v>-0.31686007477830203</v>
      </c>
      <c r="R21" s="35">
        <v>-0.18717170447727954</v>
      </c>
      <c r="S21" s="35">
        <v>7.5851976858658215E-2</v>
      </c>
      <c r="T21" s="35">
        <v>0.39553243738549887</v>
      </c>
      <c r="U21" s="35">
        <v>1</v>
      </c>
      <c r="V21" s="35">
        <v>0.4019953596408361</v>
      </c>
      <c r="W21" s="35">
        <v>8.7330386539270416E-2</v>
      </c>
      <c r="X21" s="35">
        <v>-0.18083918406364918</v>
      </c>
      <c r="Y21" s="35">
        <v>-0.31206403359495405</v>
      </c>
      <c r="Z21" s="35">
        <v>-0.3536133190892139</v>
      </c>
      <c r="AA21" s="35">
        <v>-0.28336389991999655</v>
      </c>
      <c r="AB21" s="35">
        <v>-0.17094607164592526</v>
      </c>
      <c r="AC21" s="35">
        <v>-0.10868202643870956</v>
      </c>
    </row>
    <row r="22" spans="1:29" x14ac:dyDescent="0.4">
      <c r="A22" s="1">
        <v>21855</v>
      </c>
      <c r="B22" s="28">
        <v>0.50873103238046724</v>
      </c>
      <c r="C22" s="28">
        <f t="shared" si="1"/>
        <v>0.43166819085035968</v>
      </c>
      <c r="D22" s="28">
        <f t="shared" si="1"/>
        <v>0.91224196134209024</v>
      </c>
      <c r="E22" s="28">
        <f t="shared" si="1"/>
        <v>0.13700972090498453</v>
      </c>
      <c r="F22" s="28">
        <f t="shared" si="1"/>
        <v>-0.20499847581629638</v>
      </c>
      <c r="G22" s="28">
        <f t="shared" si="1"/>
        <v>-0.15212962335738212</v>
      </c>
      <c r="H22" s="28">
        <f t="shared" si="1"/>
        <v>-0.63514191843927392</v>
      </c>
      <c r="I22" s="28">
        <f t="shared" si="1"/>
        <v>-0.64800625479830387</v>
      </c>
      <c r="J22" s="28">
        <f t="shared" si="1"/>
        <v>-0.47346379216912737</v>
      </c>
      <c r="K22" s="28">
        <f t="shared" si="1"/>
        <v>6.5506875762139316E-2</v>
      </c>
      <c r="L22" s="28">
        <f t="shared" si="1"/>
        <v>-0.18631678182725864</v>
      </c>
      <c r="M22" s="28">
        <f t="shared" si="1"/>
        <v>-5.9793557783450524E-2</v>
      </c>
      <c r="N22" s="28">
        <f t="shared" si="1"/>
        <v>-0.14172661789274343</v>
      </c>
      <c r="P22" s="40">
        <v>-5</v>
      </c>
      <c r="Q22" s="35">
        <v>-0.35891328019173768</v>
      </c>
      <c r="R22" s="35">
        <v>-0.31623421583284522</v>
      </c>
      <c r="S22" s="35">
        <v>-0.18365893335670458</v>
      </c>
      <c r="T22" s="35">
        <v>7.8320293140045086E-2</v>
      </c>
      <c r="U22" s="35">
        <v>0.4019953596408361</v>
      </c>
      <c r="V22" s="35">
        <v>1</v>
      </c>
      <c r="W22" s="35">
        <v>0.40402886057847037</v>
      </c>
      <c r="X22" s="35">
        <v>8.6578769464523531E-2</v>
      </c>
      <c r="Y22" s="35">
        <v>-0.17790742532438447</v>
      </c>
      <c r="Z22" s="35">
        <v>-0.31257268039929281</v>
      </c>
      <c r="AA22" s="35">
        <v>-0.35409880856282089</v>
      </c>
      <c r="AB22" s="35">
        <v>-0.29154167301321043</v>
      </c>
      <c r="AC22" s="35">
        <v>-0.18087494958593792</v>
      </c>
    </row>
    <row r="23" spans="1:29" x14ac:dyDescent="0.4">
      <c r="A23" s="1">
        <v>21885</v>
      </c>
      <c r="B23" s="28">
        <v>-1.7730716253424816E-2</v>
      </c>
      <c r="C23" s="28">
        <f t="shared" si="1"/>
        <v>0.50873103238046724</v>
      </c>
      <c r="D23" s="28">
        <f t="shared" si="1"/>
        <v>0.43166819085035968</v>
      </c>
      <c r="E23" s="28">
        <f t="shared" si="1"/>
        <v>0.91224196134209024</v>
      </c>
      <c r="F23" s="28">
        <f t="shared" si="1"/>
        <v>0.13700972090498453</v>
      </c>
      <c r="G23" s="28">
        <f t="shared" si="1"/>
        <v>-0.20499847581629638</v>
      </c>
      <c r="H23" s="28">
        <f t="shared" si="1"/>
        <v>-0.15212962335738212</v>
      </c>
      <c r="I23" s="28">
        <f t="shared" si="1"/>
        <v>-0.63514191843927392</v>
      </c>
      <c r="J23" s="28">
        <f t="shared" si="1"/>
        <v>-0.64800625479830387</v>
      </c>
      <c r="K23" s="28">
        <f t="shared" si="1"/>
        <v>-0.47346379216912737</v>
      </c>
      <c r="L23" s="28">
        <f t="shared" si="1"/>
        <v>6.5506875762139316E-2</v>
      </c>
      <c r="M23" s="28">
        <f t="shared" si="1"/>
        <v>-0.18631678182725864</v>
      </c>
      <c r="N23" s="28">
        <f t="shared" si="1"/>
        <v>-5.9793557783450524E-2</v>
      </c>
      <c r="P23" s="40">
        <v>-6</v>
      </c>
      <c r="Q23" s="35">
        <v>-0.28992467554258256</v>
      </c>
      <c r="R23" s="35">
        <v>-0.35660261737661852</v>
      </c>
      <c r="S23" s="35">
        <v>-0.3127120620528267</v>
      </c>
      <c r="T23" s="35">
        <v>-0.17995521860927016</v>
      </c>
      <c r="U23" s="35">
        <v>8.7330386539270416E-2</v>
      </c>
      <c r="V23" s="35">
        <v>0.40402886057847037</v>
      </c>
      <c r="W23" s="35">
        <v>1</v>
      </c>
      <c r="X23" s="35">
        <v>0.40436360451673425</v>
      </c>
      <c r="Y23" s="35">
        <v>8.9267786280804062E-2</v>
      </c>
      <c r="Z23" s="35">
        <v>-0.18191002074139656</v>
      </c>
      <c r="AA23" s="35">
        <v>-0.31791315985620872</v>
      </c>
      <c r="AB23" s="35">
        <v>-0.36011374559689185</v>
      </c>
      <c r="AC23" s="35">
        <v>-0.30106316136292316</v>
      </c>
    </row>
    <row r="24" spans="1:29" x14ac:dyDescent="0.4">
      <c r="A24" s="1">
        <v>21916</v>
      </c>
      <c r="B24" s="28">
        <v>-0.2422320823736186</v>
      </c>
      <c r="C24" s="28">
        <f t="shared" si="1"/>
        <v>-1.7730716253424816E-2</v>
      </c>
      <c r="D24" s="28">
        <f t="shared" si="1"/>
        <v>0.50873103238046724</v>
      </c>
      <c r="E24" s="28">
        <f t="shared" si="1"/>
        <v>0.43166819085035968</v>
      </c>
      <c r="F24" s="28">
        <f t="shared" si="1"/>
        <v>0.91224196134209024</v>
      </c>
      <c r="G24" s="28">
        <f t="shared" si="1"/>
        <v>0.13700972090498453</v>
      </c>
      <c r="H24" s="28">
        <f t="shared" si="1"/>
        <v>-0.20499847581629638</v>
      </c>
      <c r="I24" s="28">
        <f t="shared" si="1"/>
        <v>-0.15212962335738212</v>
      </c>
      <c r="J24" s="28">
        <f t="shared" si="1"/>
        <v>-0.63514191843927392</v>
      </c>
      <c r="K24" s="28">
        <f t="shared" si="1"/>
        <v>-0.64800625479830387</v>
      </c>
      <c r="L24" s="28">
        <f t="shared" si="1"/>
        <v>-0.47346379216912737</v>
      </c>
      <c r="M24" s="28">
        <f t="shared" si="1"/>
        <v>6.5506875762139316E-2</v>
      </c>
      <c r="N24" s="28">
        <f t="shared" si="1"/>
        <v>-0.18631678182725864</v>
      </c>
      <c r="P24" s="40">
        <v>-7</v>
      </c>
      <c r="Q24" s="35">
        <v>-0.16499570136982922</v>
      </c>
      <c r="R24" s="35">
        <v>-0.29067468138728469</v>
      </c>
      <c r="S24" s="35">
        <v>-0.35712442136840628</v>
      </c>
      <c r="T24" s="35">
        <v>-0.31335624349410601</v>
      </c>
      <c r="U24" s="35">
        <v>-0.18083918406364918</v>
      </c>
      <c r="V24" s="35">
        <v>8.6578769464523531E-2</v>
      </c>
      <c r="W24" s="35">
        <v>0.40436360451673425</v>
      </c>
      <c r="X24" s="35">
        <v>1</v>
      </c>
      <c r="Y24" s="35">
        <v>0.40398235871099158</v>
      </c>
      <c r="Z24" s="35">
        <v>8.9771900390499718E-2</v>
      </c>
      <c r="AA24" s="35">
        <v>-0.18197246897410577</v>
      </c>
      <c r="AB24" s="35">
        <v>-0.31349404300945799</v>
      </c>
      <c r="AC24" s="35">
        <v>-0.35643418642820751</v>
      </c>
    </row>
    <row r="25" spans="1:29" x14ac:dyDescent="0.4">
      <c r="A25" s="1">
        <v>21947</v>
      </c>
      <c r="B25" s="28">
        <v>-0.44165842478435025</v>
      </c>
      <c r="C25" s="28">
        <f t="shared" si="1"/>
        <v>-0.2422320823736186</v>
      </c>
      <c r="D25" s="28">
        <f t="shared" si="1"/>
        <v>-1.7730716253424816E-2</v>
      </c>
      <c r="E25" s="28">
        <f t="shared" si="1"/>
        <v>0.50873103238046724</v>
      </c>
      <c r="F25" s="28">
        <f t="shared" ref="D25:P40" si="2">IF(E24=0,"",E24)</f>
        <v>0.43166819085035968</v>
      </c>
      <c r="G25" s="28">
        <f t="shared" si="2"/>
        <v>0.91224196134209024</v>
      </c>
      <c r="H25" s="28">
        <f t="shared" si="2"/>
        <v>0.13700972090498453</v>
      </c>
      <c r="I25" s="28">
        <f t="shared" si="2"/>
        <v>-0.20499847581629638</v>
      </c>
      <c r="J25" s="28">
        <f t="shared" si="2"/>
        <v>-0.15212962335738212</v>
      </c>
      <c r="K25" s="28">
        <f t="shared" si="2"/>
        <v>-0.63514191843927392</v>
      </c>
      <c r="L25" s="28">
        <f t="shared" si="2"/>
        <v>-0.64800625479830387</v>
      </c>
      <c r="M25" s="28">
        <f t="shared" si="2"/>
        <v>-0.47346379216912737</v>
      </c>
      <c r="N25" s="28">
        <f t="shared" si="2"/>
        <v>6.5506875762139316E-2</v>
      </c>
      <c r="P25" s="40">
        <v>-8</v>
      </c>
      <c r="Q25" s="35">
        <v>-0.10687985877492498</v>
      </c>
      <c r="R25" s="35">
        <v>-0.16667143589349154</v>
      </c>
      <c r="S25" s="35">
        <v>-0.29064844258450906</v>
      </c>
      <c r="T25" s="35">
        <v>-0.35753611362661192</v>
      </c>
      <c r="U25" s="35">
        <v>-0.31206403359495405</v>
      </c>
      <c r="V25" s="35">
        <v>-0.17790742532438447</v>
      </c>
      <c r="W25" s="35">
        <v>8.9267786280804062E-2</v>
      </c>
      <c r="X25" s="35">
        <v>0.40398235871099158</v>
      </c>
      <c r="Y25" s="35">
        <v>1</v>
      </c>
      <c r="Z25" s="35">
        <v>0.40572728575621175</v>
      </c>
      <c r="AA25" s="35">
        <v>9.1717479771745034E-2</v>
      </c>
      <c r="AB25" s="35">
        <v>-0.18320861521164189</v>
      </c>
      <c r="AC25" s="35">
        <v>-0.31344635111277819</v>
      </c>
    </row>
    <row r="26" spans="1:29" x14ac:dyDescent="0.4">
      <c r="A26" s="1">
        <v>21976</v>
      </c>
      <c r="B26" s="28">
        <v>-0.57937909271555554</v>
      </c>
      <c r="C26" s="28">
        <f t="shared" ref="C26:N89" si="3">IF(B25=0,"",B25)</f>
        <v>-0.44165842478435025</v>
      </c>
      <c r="D26" s="28">
        <f t="shared" si="2"/>
        <v>-0.2422320823736186</v>
      </c>
      <c r="E26" s="28">
        <f t="shared" si="2"/>
        <v>-1.7730716253424816E-2</v>
      </c>
      <c r="F26" s="28">
        <f t="shared" si="2"/>
        <v>0.50873103238046724</v>
      </c>
      <c r="G26" s="28">
        <f t="shared" si="2"/>
        <v>0.43166819085035968</v>
      </c>
      <c r="H26" s="28">
        <f t="shared" si="2"/>
        <v>0.91224196134209024</v>
      </c>
      <c r="I26" s="28">
        <f t="shared" si="2"/>
        <v>0.13700972090498453</v>
      </c>
      <c r="J26" s="28">
        <f t="shared" si="2"/>
        <v>-0.20499847581629638</v>
      </c>
      <c r="K26" s="28">
        <f t="shared" si="2"/>
        <v>-0.15212962335738212</v>
      </c>
      <c r="L26" s="28">
        <f t="shared" si="2"/>
        <v>-0.63514191843927392</v>
      </c>
      <c r="M26" s="28">
        <f t="shared" si="2"/>
        <v>-0.64800625479830387</v>
      </c>
      <c r="N26" s="28">
        <f t="shared" si="2"/>
        <v>-0.47346379216912737</v>
      </c>
      <c r="P26" s="40">
        <v>-9</v>
      </c>
      <c r="Q26" s="35">
        <v>2.1600117699842325E-3</v>
      </c>
      <c r="R26" s="35">
        <v>-0.10402527444408116</v>
      </c>
      <c r="S26" s="35">
        <v>-0.16497235867226509</v>
      </c>
      <c r="T26" s="35">
        <v>-0.28891349662760363</v>
      </c>
      <c r="U26" s="35">
        <v>-0.3536133190892139</v>
      </c>
      <c r="V26" s="35">
        <v>-0.31257268039929281</v>
      </c>
      <c r="W26" s="35">
        <v>-0.18191002074139656</v>
      </c>
      <c r="X26" s="35">
        <v>8.9771900390499718E-2</v>
      </c>
      <c r="Y26" s="35">
        <v>0.40572728575621175</v>
      </c>
      <c r="Z26" s="35">
        <v>1</v>
      </c>
      <c r="AA26" s="35">
        <v>0.40334235564570686</v>
      </c>
      <c r="AB26" s="35">
        <v>8.9252955821133836E-2</v>
      </c>
      <c r="AC26" s="35">
        <v>-0.18624721998376248</v>
      </c>
    </row>
    <row r="27" spans="1:29" x14ac:dyDescent="0.4">
      <c r="A27" s="1">
        <v>22007</v>
      </c>
      <c r="B27" s="28">
        <v>-0.37971390507158276</v>
      </c>
      <c r="C27" s="28">
        <f t="shared" si="3"/>
        <v>-0.57937909271555554</v>
      </c>
      <c r="D27" s="28">
        <f t="shared" si="2"/>
        <v>-0.44165842478435025</v>
      </c>
      <c r="E27" s="28">
        <f t="shared" si="2"/>
        <v>-0.2422320823736186</v>
      </c>
      <c r="F27" s="28">
        <f t="shared" si="2"/>
        <v>-1.7730716253424816E-2</v>
      </c>
      <c r="G27" s="28">
        <f t="shared" si="2"/>
        <v>0.50873103238046724</v>
      </c>
      <c r="H27" s="28">
        <f t="shared" si="2"/>
        <v>0.43166819085035968</v>
      </c>
      <c r="I27" s="28">
        <f t="shared" si="2"/>
        <v>0.91224196134209024</v>
      </c>
      <c r="J27" s="28">
        <f t="shared" si="2"/>
        <v>0.13700972090498453</v>
      </c>
      <c r="K27" s="28">
        <f t="shared" si="2"/>
        <v>-0.20499847581629638</v>
      </c>
      <c r="L27" s="28">
        <f t="shared" si="2"/>
        <v>-0.15212962335738212</v>
      </c>
      <c r="M27" s="28">
        <f t="shared" si="2"/>
        <v>-0.63514191843927392</v>
      </c>
      <c r="N27" s="28">
        <f t="shared" si="2"/>
        <v>-0.64800625479830387</v>
      </c>
      <c r="P27" s="40">
        <v>-10</v>
      </c>
      <c r="Q27" s="35">
        <v>0.11758772070050491</v>
      </c>
      <c r="R27" s="35">
        <v>6.2552415469440516E-3</v>
      </c>
      <c r="S27" s="35">
        <v>-0.10147791799627676</v>
      </c>
      <c r="T27" s="35">
        <v>-0.16222478198089776</v>
      </c>
      <c r="U27" s="35">
        <v>-0.28336389991999655</v>
      </c>
      <c r="V27" s="35">
        <v>-0.35409880856282089</v>
      </c>
      <c r="W27" s="35">
        <v>-0.31791315985620872</v>
      </c>
      <c r="X27" s="35">
        <v>-0.18197246897410577</v>
      </c>
      <c r="Y27" s="35">
        <v>9.1717479771745034E-2</v>
      </c>
      <c r="Z27" s="35">
        <v>0.40334235564570686</v>
      </c>
      <c r="AA27" s="35">
        <v>1</v>
      </c>
      <c r="AB27" s="35">
        <v>0.39705763982605885</v>
      </c>
      <c r="AC27" s="35">
        <v>8.281433686190269E-2</v>
      </c>
    </row>
    <row r="28" spans="1:29" x14ac:dyDescent="0.4">
      <c r="A28" s="1">
        <v>22037</v>
      </c>
      <c r="B28" s="28">
        <v>0.10860808156070334</v>
      </c>
      <c r="C28" s="28">
        <f t="shared" si="3"/>
        <v>-0.37971390507158276</v>
      </c>
      <c r="D28" s="28">
        <f t="shared" si="2"/>
        <v>-0.57937909271555554</v>
      </c>
      <c r="E28" s="28">
        <f t="shared" si="2"/>
        <v>-0.44165842478435025</v>
      </c>
      <c r="F28" s="28">
        <f t="shared" si="2"/>
        <v>-0.2422320823736186</v>
      </c>
      <c r="G28" s="28">
        <f t="shared" si="2"/>
        <v>-1.7730716253424816E-2</v>
      </c>
      <c r="H28" s="28">
        <f t="shared" si="2"/>
        <v>0.50873103238046724</v>
      </c>
      <c r="I28" s="28">
        <f t="shared" si="2"/>
        <v>0.43166819085035968</v>
      </c>
      <c r="J28" s="28">
        <f t="shared" si="2"/>
        <v>0.91224196134209024</v>
      </c>
      <c r="K28" s="28">
        <f t="shared" si="2"/>
        <v>0.13700972090498453</v>
      </c>
      <c r="L28" s="28">
        <f t="shared" si="2"/>
        <v>-0.20499847581629638</v>
      </c>
      <c r="M28" s="28">
        <f t="shared" si="2"/>
        <v>-0.15212962335738212</v>
      </c>
      <c r="N28" s="28">
        <f t="shared" si="2"/>
        <v>-0.63514191843927392</v>
      </c>
      <c r="P28" s="40">
        <v>-11</v>
      </c>
      <c r="Q28" s="35">
        <v>0.27351835812357245</v>
      </c>
      <c r="R28" s="35">
        <v>0.11977119556671588</v>
      </c>
      <c r="S28" s="35">
        <v>2.9394481906417904E-3</v>
      </c>
      <c r="T28" s="35">
        <v>-0.10276901250866383</v>
      </c>
      <c r="U28" s="35">
        <v>-0.17094607164592526</v>
      </c>
      <c r="V28" s="35">
        <v>-0.29154167301321043</v>
      </c>
      <c r="W28" s="35">
        <v>-0.36011374559689185</v>
      </c>
      <c r="X28" s="35">
        <v>-0.31349404300945799</v>
      </c>
      <c r="Y28" s="35">
        <v>-0.18320861521164189</v>
      </c>
      <c r="Z28" s="35">
        <v>8.9252955821133836E-2</v>
      </c>
      <c r="AA28" s="35">
        <v>0.39705763982605885</v>
      </c>
      <c r="AB28" s="35">
        <v>1</v>
      </c>
      <c r="AC28" s="35">
        <v>0.40734572335908903</v>
      </c>
    </row>
    <row r="29" spans="1:29" ht="19.5" thickBot="1" x14ac:dyDescent="0.45">
      <c r="A29" s="1">
        <v>22068</v>
      </c>
      <c r="B29" s="28">
        <v>0.33787037664274067</v>
      </c>
      <c r="C29" s="28">
        <f t="shared" si="3"/>
        <v>0.10860808156070334</v>
      </c>
      <c r="D29" s="28">
        <f t="shared" si="2"/>
        <v>-0.37971390507158276</v>
      </c>
      <c r="E29" s="28">
        <f t="shared" si="2"/>
        <v>-0.57937909271555554</v>
      </c>
      <c r="F29" s="28">
        <f t="shared" si="2"/>
        <v>-0.44165842478435025</v>
      </c>
      <c r="G29" s="28">
        <f t="shared" si="2"/>
        <v>-0.2422320823736186</v>
      </c>
      <c r="H29" s="28">
        <f t="shared" si="2"/>
        <v>-1.7730716253424816E-2</v>
      </c>
      <c r="I29" s="28">
        <f t="shared" si="2"/>
        <v>0.50873103238046724</v>
      </c>
      <c r="J29" s="28">
        <f t="shared" si="2"/>
        <v>0.43166819085035968</v>
      </c>
      <c r="K29" s="28">
        <f t="shared" si="2"/>
        <v>0.91224196134209024</v>
      </c>
      <c r="L29" s="28">
        <f t="shared" si="2"/>
        <v>0.13700972090498453</v>
      </c>
      <c r="M29" s="28">
        <f t="shared" si="2"/>
        <v>-0.20499847581629638</v>
      </c>
      <c r="N29" s="28">
        <f t="shared" si="2"/>
        <v>-0.15212962335738212</v>
      </c>
      <c r="P29" s="41">
        <v>-12</v>
      </c>
      <c r="Q29" s="36">
        <v>0.30968352109030711</v>
      </c>
      <c r="R29" s="36">
        <v>0.27751083964417683</v>
      </c>
      <c r="S29" s="36">
        <v>0.11755123349217432</v>
      </c>
      <c r="T29" s="36">
        <v>2.6370043527035049E-3</v>
      </c>
      <c r="U29" s="36">
        <v>-0.10868202643870956</v>
      </c>
      <c r="V29" s="36">
        <v>-0.18087494958593792</v>
      </c>
      <c r="W29" s="36">
        <v>-0.30106316136292316</v>
      </c>
      <c r="X29" s="36">
        <v>-0.35643418642820751</v>
      </c>
      <c r="Y29" s="36">
        <v>-0.31344635111277819</v>
      </c>
      <c r="Z29" s="36">
        <v>-0.18624721998376248</v>
      </c>
      <c r="AA29" s="36">
        <v>8.281433686190269E-2</v>
      </c>
      <c r="AB29" s="36">
        <v>0.40734572335908903</v>
      </c>
      <c r="AC29" s="36">
        <v>1</v>
      </c>
    </row>
    <row r="30" spans="1:29" ht="19.5" thickBot="1" x14ac:dyDescent="0.45">
      <c r="A30" s="1">
        <v>22098</v>
      </c>
      <c r="B30" s="28">
        <v>0.52333485751705666</v>
      </c>
      <c r="C30" s="28">
        <f t="shared" si="3"/>
        <v>0.33787037664274067</v>
      </c>
      <c r="D30" s="28">
        <f t="shared" si="2"/>
        <v>0.10860808156070334</v>
      </c>
      <c r="E30" s="28">
        <f t="shared" si="2"/>
        <v>-0.37971390507158276</v>
      </c>
      <c r="F30" s="28">
        <f t="shared" si="2"/>
        <v>-0.57937909271555554</v>
      </c>
      <c r="G30" s="28">
        <f t="shared" si="2"/>
        <v>-0.44165842478435025</v>
      </c>
      <c r="H30" s="28">
        <f t="shared" si="2"/>
        <v>-0.2422320823736186</v>
      </c>
      <c r="I30" s="28">
        <f t="shared" si="2"/>
        <v>-1.7730716253424816E-2</v>
      </c>
      <c r="J30" s="28">
        <f t="shared" si="2"/>
        <v>0.50873103238046724</v>
      </c>
      <c r="K30" s="28">
        <f t="shared" si="2"/>
        <v>0.43166819085035968</v>
      </c>
      <c r="L30" s="28">
        <f t="shared" si="2"/>
        <v>0.91224196134209024</v>
      </c>
      <c r="M30" s="28">
        <f t="shared" si="2"/>
        <v>0.13700972090498453</v>
      </c>
      <c r="N30" s="28">
        <f t="shared" si="2"/>
        <v>-0.20499847581629638</v>
      </c>
    </row>
    <row r="31" spans="1:29" ht="19.5" x14ac:dyDescent="0.4">
      <c r="A31" s="1">
        <v>22129</v>
      </c>
      <c r="B31" s="28">
        <v>0.33159305423839669</v>
      </c>
      <c r="C31" s="28">
        <f t="shared" si="3"/>
        <v>0.52333485751705666</v>
      </c>
      <c r="D31" s="28">
        <f t="shared" si="2"/>
        <v>0.33787037664274067</v>
      </c>
      <c r="E31" s="28">
        <f t="shared" si="2"/>
        <v>0.10860808156070334</v>
      </c>
      <c r="F31" s="28">
        <f t="shared" si="2"/>
        <v>-0.37971390507158276</v>
      </c>
      <c r="G31" s="28">
        <f t="shared" si="2"/>
        <v>-0.57937909271555554</v>
      </c>
      <c r="H31" s="28">
        <f t="shared" si="2"/>
        <v>-0.44165842478435025</v>
      </c>
      <c r="I31" s="28">
        <f t="shared" si="2"/>
        <v>-0.2422320823736186</v>
      </c>
      <c r="J31" s="28">
        <f t="shared" si="2"/>
        <v>-1.7730716253424816E-2</v>
      </c>
      <c r="K31" s="28">
        <f t="shared" si="2"/>
        <v>0.50873103238046724</v>
      </c>
      <c r="L31" s="28">
        <f t="shared" si="2"/>
        <v>0.43166819085035968</v>
      </c>
      <c r="M31" s="28">
        <f t="shared" si="2"/>
        <v>0.91224196134209024</v>
      </c>
      <c r="N31" s="28">
        <f t="shared" si="2"/>
        <v>0.13700972090498453</v>
      </c>
      <c r="P31" s="39" t="s">
        <v>82</v>
      </c>
      <c r="Q31" s="37" t="s">
        <v>1</v>
      </c>
      <c r="R31" s="37">
        <v>-1</v>
      </c>
      <c r="S31" s="37">
        <v>-2</v>
      </c>
      <c r="T31" s="37">
        <v>-3</v>
      </c>
      <c r="U31" s="37">
        <v>-4</v>
      </c>
      <c r="V31" s="37">
        <v>-5</v>
      </c>
      <c r="W31" s="37">
        <v>-6</v>
      </c>
      <c r="X31" s="37">
        <v>-7</v>
      </c>
      <c r="Y31" s="37">
        <v>-8</v>
      </c>
      <c r="Z31" s="37">
        <v>-9</v>
      </c>
      <c r="AA31" s="37">
        <v>-10</v>
      </c>
      <c r="AB31" s="37">
        <v>-11</v>
      </c>
      <c r="AC31" s="37">
        <v>-12</v>
      </c>
    </row>
    <row r="32" spans="1:29" x14ac:dyDescent="0.4">
      <c r="A32" s="1">
        <v>22160</v>
      </c>
      <c r="B32" s="28">
        <v>0.32599196134225394</v>
      </c>
      <c r="C32" s="28">
        <f t="shared" si="3"/>
        <v>0.33159305423839669</v>
      </c>
      <c r="D32" s="28">
        <f t="shared" si="2"/>
        <v>0.52333485751705666</v>
      </c>
      <c r="E32" s="28">
        <f t="shared" si="2"/>
        <v>0.33787037664274067</v>
      </c>
      <c r="F32" s="28">
        <f t="shared" si="2"/>
        <v>0.10860808156070334</v>
      </c>
      <c r="G32" s="28">
        <f t="shared" si="2"/>
        <v>-0.37971390507158276</v>
      </c>
      <c r="H32" s="28">
        <f t="shared" si="2"/>
        <v>-0.57937909271555554</v>
      </c>
      <c r="I32" s="28">
        <f t="shared" si="2"/>
        <v>-0.44165842478435025</v>
      </c>
      <c r="J32" s="28">
        <f t="shared" si="2"/>
        <v>-0.2422320823736186</v>
      </c>
      <c r="K32" s="28">
        <f t="shared" si="2"/>
        <v>-1.7730716253424816E-2</v>
      </c>
      <c r="L32" s="28">
        <f t="shared" si="2"/>
        <v>0.50873103238046724</v>
      </c>
      <c r="M32" s="28">
        <f t="shared" si="2"/>
        <v>0.43166819085035968</v>
      </c>
      <c r="N32" s="28">
        <f t="shared" si="2"/>
        <v>0.91224196134209024</v>
      </c>
      <c r="P32" s="40" t="s">
        <v>1</v>
      </c>
      <c r="Q32" s="35">
        <f t="array" ref="Q32:AC44">MINVERSE(_R)</f>
        <v>1.5308567890388343</v>
      </c>
      <c r="R32" s="35">
        <v>-0.33801617281545882</v>
      </c>
      <c r="S32" s="35">
        <v>0.1520723000830731</v>
      </c>
      <c r="T32" s="35">
        <v>0.3198792188660961</v>
      </c>
      <c r="U32" s="35">
        <v>0.29848479311624387</v>
      </c>
      <c r="V32" s="35">
        <v>0.32822939613366209</v>
      </c>
      <c r="W32" s="35">
        <v>0.22680314483538844</v>
      </c>
      <c r="X32" s="35">
        <v>0.10409828250739782</v>
      </c>
      <c r="Y32" s="35">
        <v>0.23959515347792271</v>
      </c>
      <c r="Z32" s="35">
        <v>0.16177013472610499</v>
      </c>
      <c r="AA32" s="35">
        <v>0.13057880045448028</v>
      </c>
      <c r="AB32" s="35">
        <v>-7.6043739048090794E-2</v>
      </c>
      <c r="AC32" s="35">
        <v>-7.6411352457150195E-2</v>
      </c>
    </row>
    <row r="33" spans="1:29" x14ac:dyDescent="0.4">
      <c r="A33" s="1">
        <v>22190</v>
      </c>
      <c r="B33" s="28">
        <v>5.0001524183755919E-2</v>
      </c>
      <c r="C33" s="28">
        <f t="shared" si="3"/>
        <v>0.32599196134225394</v>
      </c>
      <c r="D33" s="28">
        <f t="shared" si="2"/>
        <v>0.33159305423839669</v>
      </c>
      <c r="E33" s="28">
        <f t="shared" si="2"/>
        <v>0.52333485751705666</v>
      </c>
      <c r="F33" s="28">
        <f t="shared" si="2"/>
        <v>0.33787037664274067</v>
      </c>
      <c r="G33" s="28">
        <f t="shared" si="2"/>
        <v>0.10860808156070334</v>
      </c>
      <c r="H33" s="28">
        <f t="shared" si="2"/>
        <v>-0.37971390507158276</v>
      </c>
      <c r="I33" s="28">
        <f t="shared" si="2"/>
        <v>-0.57937909271555554</v>
      </c>
      <c r="J33" s="28">
        <f t="shared" si="2"/>
        <v>-0.44165842478435025</v>
      </c>
      <c r="K33" s="28">
        <f t="shared" si="2"/>
        <v>-0.2422320823736186</v>
      </c>
      <c r="L33" s="28">
        <f t="shared" si="2"/>
        <v>-1.7730716253424816E-2</v>
      </c>
      <c r="M33" s="28">
        <f t="shared" si="2"/>
        <v>0.50873103238046724</v>
      </c>
      <c r="N33" s="28">
        <f t="shared" si="2"/>
        <v>0.43166819085035968</v>
      </c>
      <c r="P33" s="40">
        <v>-1</v>
      </c>
      <c r="Q33" s="35">
        <v>-0.33801617281545893</v>
      </c>
      <c r="R33" s="35">
        <v>1.5984066454805581</v>
      </c>
      <c r="S33" s="35">
        <v>-0.37829054414889041</v>
      </c>
      <c r="T33" s="35">
        <v>8.8849387275995673E-2</v>
      </c>
      <c r="U33" s="35">
        <v>0.26286728609893112</v>
      </c>
      <c r="V33" s="35">
        <v>0.23289271953642868</v>
      </c>
      <c r="W33" s="35">
        <v>0.27589221452798729</v>
      </c>
      <c r="X33" s="35">
        <v>0.21880646639338575</v>
      </c>
      <c r="Y33" s="35">
        <v>6.7979789851479025E-2</v>
      </c>
      <c r="Z33" s="35">
        <v>0.21310602612062843</v>
      </c>
      <c r="AA33" s="35">
        <v>0.14025071396010333</v>
      </c>
      <c r="AB33" s="35">
        <v>0.16221010885230572</v>
      </c>
      <c r="AC33" s="35">
        <v>-7.9610354449404036E-2</v>
      </c>
    </row>
    <row r="34" spans="1:29" x14ac:dyDescent="0.4">
      <c r="A34" s="1">
        <v>22221</v>
      </c>
      <c r="B34" s="28">
        <v>-9.6685634286245659E-2</v>
      </c>
      <c r="C34" s="28">
        <f t="shared" si="3"/>
        <v>5.0001524183755919E-2</v>
      </c>
      <c r="D34" s="28">
        <f t="shared" si="2"/>
        <v>0.32599196134225394</v>
      </c>
      <c r="E34" s="28">
        <f t="shared" si="2"/>
        <v>0.33159305423839669</v>
      </c>
      <c r="F34" s="28">
        <f t="shared" si="2"/>
        <v>0.52333485751705666</v>
      </c>
      <c r="G34" s="28">
        <f t="shared" si="2"/>
        <v>0.33787037664274067</v>
      </c>
      <c r="H34" s="28">
        <f t="shared" si="2"/>
        <v>0.10860808156070334</v>
      </c>
      <c r="I34" s="28">
        <f t="shared" si="2"/>
        <v>-0.37971390507158276</v>
      </c>
      <c r="J34" s="28">
        <f t="shared" si="2"/>
        <v>-0.57937909271555554</v>
      </c>
      <c r="K34" s="28">
        <f t="shared" si="2"/>
        <v>-0.44165842478435025</v>
      </c>
      <c r="L34" s="28">
        <f t="shared" si="2"/>
        <v>-0.2422320823736186</v>
      </c>
      <c r="M34" s="28">
        <f t="shared" si="2"/>
        <v>-1.7730716253424816E-2</v>
      </c>
      <c r="N34" s="28">
        <f t="shared" si="2"/>
        <v>0.50873103238046724</v>
      </c>
      <c r="P34" s="40">
        <v>-2</v>
      </c>
      <c r="Q34" s="35">
        <v>0.15207230008307301</v>
      </c>
      <c r="R34" s="35">
        <v>-0.37829054414889035</v>
      </c>
      <c r="S34" s="35">
        <v>1.6069176702509544</v>
      </c>
      <c r="T34" s="35">
        <v>-0.33698079216368459</v>
      </c>
      <c r="U34" s="35">
        <v>0.12154331615678027</v>
      </c>
      <c r="V34" s="35">
        <v>0.30628673684504948</v>
      </c>
      <c r="W34" s="35">
        <v>0.26307489383284721</v>
      </c>
      <c r="X34" s="35">
        <v>0.30110590505385287</v>
      </c>
      <c r="Y34" s="35">
        <v>0.25654574438496563</v>
      </c>
      <c r="Z34" s="35">
        <v>0.10056254311495423</v>
      </c>
      <c r="AA34" s="35">
        <v>0.23950388281811502</v>
      </c>
      <c r="AB34" s="35">
        <v>0.14778443612384604</v>
      </c>
      <c r="AC34" s="35">
        <v>0.14412378453346675</v>
      </c>
    </row>
    <row r="35" spans="1:29" x14ac:dyDescent="0.4">
      <c r="A35" s="1">
        <v>22251</v>
      </c>
      <c r="B35" s="28">
        <v>-0.1010640495867392</v>
      </c>
      <c r="C35" s="28">
        <f t="shared" si="3"/>
        <v>-9.6685634286245659E-2</v>
      </c>
      <c r="D35" s="28">
        <f t="shared" si="2"/>
        <v>5.0001524183755919E-2</v>
      </c>
      <c r="E35" s="28">
        <f t="shared" si="2"/>
        <v>0.32599196134225394</v>
      </c>
      <c r="F35" s="28">
        <f t="shared" si="2"/>
        <v>0.33159305423839669</v>
      </c>
      <c r="G35" s="28">
        <f t="shared" si="2"/>
        <v>0.52333485751705666</v>
      </c>
      <c r="H35" s="28">
        <f t="shared" si="2"/>
        <v>0.33787037664274067</v>
      </c>
      <c r="I35" s="28">
        <f t="shared" si="2"/>
        <v>0.10860808156070334</v>
      </c>
      <c r="J35" s="28">
        <f t="shared" si="2"/>
        <v>-0.37971390507158276</v>
      </c>
      <c r="K35" s="28">
        <f t="shared" si="2"/>
        <v>-0.57937909271555554</v>
      </c>
      <c r="L35" s="28">
        <f t="shared" si="2"/>
        <v>-0.44165842478435025</v>
      </c>
      <c r="M35" s="28">
        <f t="shared" si="2"/>
        <v>-0.2422320823736186</v>
      </c>
      <c r="N35" s="28">
        <f t="shared" si="2"/>
        <v>-1.7730716253424816E-2</v>
      </c>
      <c r="P35" s="40">
        <v>-3</v>
      </c>
      <c r="Q35" s="35">
        <v>0.31987921886609616</v>
      </c>
      <c r="R35" s="35">
        <v>8.8849387275995645E-2</v>
      </c>
      <c r="S35" s="35">
        <v>-0.33698079216368459</v>
      </c>
      <c r="T35" s="35">
        <v>1.6576309989253235</v>
      </c>
      <c r="U35" s="35">
        <v>-0.28854276593402389</v>
      </c>
      <c r="V35" s="35">
        <v>0.17125676433577947</v>
      </c>
      <c r="W35" s="35">
        <v>0.34354605827246071</v>
      </c>
      <c r="X35" s="35">
        <v>0.25996491866029636</v>
      </c>
      <c r="Y35" s="35">
        <v>0.3218874419049863</v>
      </c>
      <c r="Z35" s="35">
        <v>0.26366193450896158</v>
      </c>
      <c r="AA35" s="35">
        <v>9.9938643718417722E-2</v>
      </c>
      <c r="AB35" s="35">
        <v>0.2078649572981357</v>
      </c>
      <c r="AC35" s="35">
        <v>0.16428092204909311</v>
      </c>
    </row>
    <row r="36" spans="1:29" x14ac:dyDescent="0.4">
      <c r="A36" s="1">
        <v>22282</v>
      </c>
      <c r="B36" s="28">
        <v>-0.36181541570698528</v>
      </c>
      <c r="C36" s="28">
        <f t="shared" si="3"/>
        <v>-0.1010640495867392</v>
      </c>
      <c r="D36" s="28">
        <f t="shared" si="2"/>
        <v>-9.6685634286245659E-2</v>
      </c>
      <c r="E36" s="28">
        <f t="shared" si="2"/>
        <v>5.0001524183755919E-2</v>
      </c>
      <c r="F36" s="28">
        <f t="shared" si="2"/>
        <v>0.32599196134225394</v>
      </c>
      <c r="G36" s="28">
        <f t="shared" si="2"/>
        <v>0.33159305423839669</v>
      </c>
      <c r="H36" s="28">
        <f t="shared" si="2"/>
        <v>0.52333485751705666</v>
      </c>
      <c r="I36" s="28">
        <f t="shared" si="2"/>
        <v>0.33787037664274067</v>
      </c>
      <c r="J36" s="28">
        <f t="shared" si="2"/>
        <v>0.10860808156070334</v>
      </c>
      <c r="K36" s="28">
        <f t="shared" si="2"/>
        <v>-0.37971390507158276</v>
      </c>
      <c r="L36" s="28">
        <f t="shared" si="2"/>
        <v>-0.57937909271555554</v>
      </c>
      <c r="M36" s="28">
        <f t="shared" si="2"/>
        <v>-0.44165842478435025</v>
      </c>
      <c r="N36" s="28">
        <f t="shared" si="2"/>
        <v>-0.2422320823736186</v>
      </c>
      <c r="P36" s="40">
        <v>-4</v>
      </c>
      <c r="Q36" s="35">
        <v>0.29848479311624398</v>
      </c>
      <c r="R36" s="35">
        <v>0.26286728609893112</v>
      </c>
      <c r="S36" s="35">
        <v>0.12154331615678035</v>
      </c>
      <c r="T36" s="35">
        <v>-0.288542765934024</v>
      </c>
      <c r="U36" s="35">
        <v>1.7023420583310556</v>
      </c>
      <c r="V36" s="35">
        <v>-0.25804166029332104</v>
      </c>
      <c r="W36" s="35">
        <v>0.1910975721520575</v>
      </c>
      <c r="X36" s="35">
        <v>0.3438989030057612</v>
      </c>
      <c r="Y36" s="35">
        <v>0.27439491122628551</v>
      </c>
      <c r="Z36" s="35">
        <v>0.31687042164785512</v>
      </c>
      <c r="AA36" s="35">
        <v>0.23825878420850666</v>
      </c>
      <c r="AB36" s="35">
        <v>8.2462442841545594E-2</v>
      </c>
      <c r="AC36" s="35">
        <v>0.23124180816001766</v>
      </c>
    </row>
    <row r="37" spans="1:29" x14ac:dyDescent="0.4">
      <c r="A37" s="1">
        <v>22313</v>
      </c>
      <c r="B37" s="28">
        <v>-0.25040842478432523</v>
      </c>
      <c r="C37" s="28">
        <f t="shared" si="3"/>
        <v>-0.36181541570698528</v>
      </c>
      <c r="D37" s="28">
        <f t="shared" si="2"/>
        <v>-0.1010640495867392</v>
      </c>
      <c r="E37" s="28">
        <f t="shared" si="2"/>
        <v>-9.6685634286245659E-2</v>
      </c>
      <c r="F37" s="28">
        <f t="shared" si="2"/>
        <v>5.0001524183755919E-2</v>
      </c>
      <c r="G37" s="28">
        <f t="shared" si="2"/>
        <v>0.32599196134225394</v>
      </c>
      <c r="H37" s="28">
        <f t="shared" si="2"/>
        <v>0.33159305423839669</v>
      </c>
      <c r="I37" s="28">
        <f t="shared" si="2"/>
        <v>0.52333485751705666</v>
      </c>
      <c r="J37" s="28">
        <f t="shared" si="2"/>
        <v>0.33787037664274067</v>
      </c>
      <c r="K37" s="28">
        <f t="shared" si="2"/>
        <v>0.10860808156070334</v>
      </c>
      <c r="L37" s="28">
        <f t="shared" si="2"/>
        <v>-0.37971390507158276</v>
      </c>
      <c r="M37" s="28">
        <f t="shared" si="2"/>
        <v>-0.57937909271555554</v>
      </c>
      <c r="N37" s="28">
        <f t="shared" si="2"/>
        <v>-0.44165842478435025</v>
      </c>
      <c r="P37" s="40">
        <v>-5</v>
      </c>
      <c r="Q37" s="35">
        <v>0.32822939613366198</v>
      </c>
      <c r="R37" s="35">
        <v>0.23289271953642854</v>
      </c>
      <c r="S37" s="35">
        <v>0.30628673684504942</v>
      </c>
      <c r="T37" s="35">
        <v>0.17125676433577947</v>
      </c>
      <c r="U37" s="35">
        <v>-0.25804166029332115</v>
      </c>
      <c r="V37" s="35">
        <v>1.7470054959304786</v>
      </c>
      <c r="W37" s="35">
        <v>-0.22577861368034652</v>
      </c>
      <c r="X37" s="35">
        <v>0.17972666509797194</v>
      </c>
      <c r="Y37" s="35">
        <v>0.34532849160599133</v>
      </c>
      <c r="Z37" s="35">
        <v>0.26920502679053276</v>
      </c>
      <c r="AA37" s="35">
        <v>0.29078807672059653</v>
      </c>
      <c r="AB37" s="35">
        <v>0.21009908183532622</v>
      </c>
      <c r="AC37" s="35">
        <v>0.13001492635671508</v>
      </c>
    </row>
    <row r="38" spans="1:29" x14ac:dyDescent="0.4">
      <c r="A38" s="1">
        <v>22341</v>
      </c>
      <c r="B38" s="28">
        <v>-0.15979575938212065</v>
      </c>
      <c r="C38" s="28">
        <f t="shared" si="3"/>
        <v>-0.25040842478432523</v>
      </c>
      <c r="D38" s="28">
        <f t="shared" si="2"/>
        <v>-0.36181541570698528</v>
      </c>
      <c r="E38" s="28">
        <f t="shared" si="2"/>
        <v>-0.1010640495867392</v>
      </c>
      <c r="F38" s="28">
        <f t="shared" si="2"/>
        <v>-9.6685634286245659E-2</v>
      </c>
      <c r="G38" s="28">
        <f t="shared" si="2"/>
        <v>5.0001524183755919E-2</v>
      </c>
      <c r="H38" s="28">
        <f t="shared" si="2"/>
        <v>0.32599196134225394</v>
      </c>
      <c r="I38" s="28">
        <f t="shared" si="2"/>
        <v>0.33159305423839669</v>
      </c>
      <c r="J38" s="28">
        <f t="shared" si="2"/>
        <v>0.52333485751705666</v>
      </c>
      <c r="K38" s="28">
        <f t="shared" si="2"/>
        <v>0.33787037664274067</v>
      </c>
      <c r="L38" s="28">
        <f t="shared" si="2"/>
        <v>0.10860808156070334</v>
      </c>
      <c r="M38" s="28">
        <f t="shared" si="2"/>
        <v>-0.37971390507158276</v>
      </c>
      <c r="N38" s="28">
        <f t="shared" si="2"/>
        <v>-0.57937909271555554</v>
      </c>
      <c r="P38" s="40">
        <v>-6</v>
      </c>
      <c r="Q38" s="35">
        <v>0.22680314483538844</v>
      </c>
      <c r="R38" s="35">
        <v>0.27589221452798735</v>
      </c>
      <c r="S38" s="35">
        <v>0.26307489383284721</v>
      </c>
      <c r="T38" s="35">
        <v>0.34354605827246065</v>
      </c>
      <c r="U38" s="35">
        <v>0.19109757215205753</v>
      </c>
      <c r="V38" s="35">
        <v>-0.22577861368034635</v>
      </c>
      <c r="W38" s="35">
        <v>1.7799669479139713</v>
      </c>
      <c r="X38" s="35">
        <v>-0.23113044164322508</v>
      </c>
      <c r="Y38" s="35">
        <v>0.18262223449982484</v>
      </c>
      <c r="Z38" s="35">
        <v>0.35293707004429442</v>
      </c>
      <c r="AA38" s="35">
        <v>0.26471469895660915</v>
      </c>
      <c r="AB38" s="35">
        <v>0.27182959993007183</v>
      </c>
      <c r="AC38" s="35">
        <v>0.24512489813814214</v>
      </c>
    </row>
    <row r="39" spans="1:29" x14ac:dyDescent="0.4">
      <c r="A39" s="1">
        <v>22372</v>
      </c>
      <c r="B39" s="28">
        <v>-0.53138057173822517</v>
      </c>
      <c r="C39" s="28">
        <f t="shared" si="3"/>
        <v>-0.15979575938212065</v>
      </c>
      <c r="D39" s="28">
        <f t="shared" si="2"/>
        <v>-0.25040842478432523</v>
      </c>
      <c r="E39" s="28">
        <f t="shared" si="2"/>
        <v>-0.36181541570698528</v>
      </c>
      <c r="F39" s="28">
        <f t="shared" si="2"/>
        <v>-0.1010640495867392</v>
      </c>
      <c r="G39" s="28">
        <f t="shared" si="2"/>
        <v>-9.6685634286245659E-2</v>
      </c>
      <c r="H39" s="28">
        <f t="shared" si="2"/>
        <v>5.0001524183755919E-2</v>
      </c>
      <c r="I39" s="28">
        <f t="shared" si="2"/>
        <v>0.32599196134225394</v>
      </c>
      <c r="J39" s="28">
        <f t="shared" si="2"/>
        <v>0.33159305423839669</v>
      </c>
      <c r="K39" s="28">
        <f t="shared" si="2"/>
        <v>0.52333485751705666</v>
      </c>
      <c r="L39" s="28">
        <f t="shared" si="2"/>
        <v>0.33787037664274067</v>
      </c>
      <c r="M39" s="28">
        <f t="shared" si="2"/>
        <v>0.10860808156070334</v>
      </c>
      <c r="N39" s="28">
        <f t="shared" si="2"/>
        <v>-0.37971390507158276</v>
      </c>
      <c r="P39" s="40">
        <v>-7</v>
      </c>
      <c r="Q39" s="35">
        <v>0.10409828250739775</v>
      </c>
      <c r="R39" s="35">
        <v>0.21880646639338563</v>
      </c>
      <c r="S39" s="35">
        <v>0.30110590505385298</v>
      </c>
      <c r="T39" s="35">
        <v>0.25996491866029636</v>
      </c>
      <c r="U39" s="35">
        <v>0.3438989030057612</v>
      </c>
      <c r="V39" s="35">
        <v>0.17972666509797205</v>
      </c>
      <c r="W39" s="35">
        <v>-0.2311304416432251</v>
      </c>
      <c r="X39" s="35">
        <v>1.7456373067717956</v>
      </c>
      <c r="Y39" s="35">
        <v>-0.26279898142242009</v>
      </c>
      <c r="Z39" s="35">
        <v>0.1459929020318331</v>
      </c>
      <c r="AA39" s="35">
        <v>0.31110564726497475</v>
      </c>
      <c r="AB39" s="35">
        <v>0.23212689817164928</v>
      </c>
      <c r="AC39" s="35">
        <v>0.31796152811821471</v>
      </c>
    </row>
    <row r="40" spans="1:29" x14ac:dyDescent="0.4">
      <c r="A40" s="1">
        <v>22402</v>
      </c>
      <c r="B40" s="28">
        <v>-3.1808585105920884E-2</v>
      </c>
      <c r="C40" s="28">
        <f t="shared" si="3"/>
        <v>-0.53138057173822517</v>
      </c>
      <c r="D40" s="28">
        <f t="shared" si="2"/>
        <v>-0.15979575938212065</v>
      </c>
      <c r="E40" s="28">
        <f t="shared" si="2"/>
        <v>-0.25040842478432523</v>
      </c>
      <c r="F40" s="28">
        <f t="shared" si="2"/>
        <v>-0.36181541570698528</v>
      </c>
      <c r="G40" s="28">
        <f t="shared" si="2"/>
        <v>-0.1010640495867392</v>
      </c>
      <c r="H40" s="28">
        <f t="shared" si="2"/>
        <v>-9.6685634286245659E-2</v>
      </c>
      <c r="I40" s="28">
        <f t="shared" si="2"/>
        <v>5.0001524183755919E-2</v>
      </c>
      <c r="J40" s="28">
        <f t="shared" si="2"/>
        <v>0.32599196134225394</v>
      </c>
      <c r="K40" s="28">
        <f t="shared" si="2"/>
        <v>0.33159305423839669</v>
      </c>
      <c r="L40" s="28">
        <f t="shared" si="2"/>
        <v>0.52333485751705666</v>
      </c>
      <c r="M40" s="28">
        <f t="shared" si="2"/>
        <v>0.33787037664274067</v>
      </c>
      <c r="N40" s="28">
        <f t="shared" si="2"/>
        <v>0.10860808156070334</v>
      </c>
      <c r="P40" s="40">
        <v>-8</v>
      </c>
      <c r="Q40" s="35">
        <v>0.23959515347792254</v>
      </c>
      <c r="R40" s="35">
        <v>6.7979789851478956E-2</v>
      </c>
      <c r="S40" s="35">
        <v>0.25654574438496563</v>
      </c>
      <c r="T40" s="35">
        <v>0.32188744190498625</v>
      </c>
      <c r="U40" s="35">
        <v>0.27439491122628534</v>
      </c>
      <c r="V40" s="35">
        <v>0.34532849160599127</v>
      </c>
      <c r="W40" s="35">
        <v>0.18262223449982481</v>
      </c>
      <c r="X40" s="35">
        <v>-0.26279898142242025</v>
      </c>
      <c r="Y40" s="35">
        <v>1.7195398765458705</v>
      </c>
      <c r="Z40" s="35">
        <v>-0.3002128808395142</v>
      </c>
      <c r="AA40" s="35">
        <v>8.9119853914370245E-2</v>
      </c>
      <c r="AB40" s="35">
        <v>0.2769499601492359</v>
      </c>
      <c r="AC40" s="35">
        <v>0.29239836999397595</v>
      </c>
    </row>
    <row r="41" spans="1:29" x14ac:dyDescent="0.4">
      <c r="A41" s="1">
        <v>22433</v>
      </c>
      <c r="B41" s="28">
        <v>-0.19921295669064421</v>
      </c>
      <c r="C41" s="28">
        <f t="shared" si="3"/>
        <v>-3.1808585105920884E-2</v>
      </c>
      <c r="D41" s="28">
        <f t="shared" si="3"/>
        <v>-0.53138057173822517</v>
      </c>
      <c r="E41" s="28">
        <f t="shared" si="3"/>
        <v>-0.15979575938212065</v>
      </c>
      <c r="F41" s="28">
        <f t="shared" si="3"/>
        <v>-0.25040842478432523</v>
      </c>
      <c r="G41" s="28">
        <f t="shared" si="3"/>
        <v>-0.36181541570698528</v>
      </c>
      <c r="H41" s="28">
        <f t="shared" si="3"/>
        <v>-0.1010640495867392</v>
      </c>
      <c r="I41" s="28">
        <f t="shared" si="3"/>
        <v>-9.6685634286245659E-2</v>
      </c>
      <c r="J41" s="28">
        <f t="shared" si="3"/>
        <v>5.0001524183755919E-2</v>
      </c>
      <c r="K41" s="28">
        <f t="shared" si="3"/>
        <v>0.32599196134225394</v>
      </c>
      <c r="L41" s="28">
        <f t="shared" si="3"/>
        <v>0.33159305423839669</v>
      </c>
      <c r="M41" s="28">
        <f t="shared" si="3"/>
        <v>0.52333485751705666</v>
      </c>
      <c r="N41" s="28">
        <f t="shared" si="3"/>
        <v>0.33787037664274067</v>
      </c>
      <c r="P41" s="40">
        <v>-9</v>
      </c>
      <c r="Q41" s="35">
        <v>0.16177013472610507</v>
      </c>
      <c r="R41" s="35">
        <v>0.21310602612062843</v>
      </c>
      <c r="S41" s="35">
        <v>0.10056254311495431</v>
      </c>
      <c r="T41" s="35">
        <v>0.26366193450896164</v>
      </c>
      <c r="U41" s="35">
        <v>0.31687042164785506</v>
      </c>
      <c r="V41" s="35">
        <v>0.26920502679053304</v>
      </c>
      <c r="W41" s="35">
        <v>0.35293707004429442</v>
      </c>
      <c r="X41" s="35">
        <v>0.14599290203183315</v>
      </c>
      <c r="Y41" s="35">
        <v>-0.3002128808395142</v>
      </c>
      <c r="Z41" s="35">
        <v>1.6821441443133762</v>
      </c>
      <c r="AA41" s="35">
        <v>-0.34421871767891066</v>
      </c>
      <c r="AB41" s="35">
        <v>5.3277444062297293E-2</v>
      </c>
      <c r="AC41" s="35">
        <v>0.34566841497937367</v>
      </c>
    </row>
    <row r="42" spans="1:29" x14ac:dyDescent="0.4">
      <c r="A42" s="1">
        <v>22463</v>
      </c>
      <c r="B42" s="28">
        <v>0.15375152418368998</v>
      </c>
      <c r="C42" s="28">
        <f t="shared" si="3"/>
        <v>-0.19921295669064421</v>
      </c>
      <c r="D42" s="28">
        <f t="shared" si="3"/>
        <v>-3.1808585105920884E-2</v>
      </c>
      <c r="E42" s="28">
        <f t="shared" si="3"/>
        <v>-0.53138057173822517</v>
      </c>
      <c r="F42" s="28">
        <f t="shared" si="3"/>
        <v>-0.15979575938212065</v>
      </c>
      <c r="G42" s="28">
        <f t="shared" si="3"/>
        <v>-0.25040842478432523</v>
      </c>
      <c r="H42" s="28">
        <f t="shared" si="3"/>
        <v>-0.36181541570698528</v>
      </c>
      <c r="I42" s="28">
        <f t="shared" si="3"/>
        <v>-0.1010640495867392</v>
      </c>
      <c r="J42" s="28">
        <f t="shared" si="3"/>
        <v>-9.6685634286245659E-2</v>
      </c>
      <c r="K42" s="28">
        <f t="shared" si="3"/>
        <v>5.0001524183755919E-2</v>
      </c>
      <c r="L42" s="28">
        <f t="shared" si="3"/>
        <v>0.32599196134225394</v>
      </c>
      <c r="M42" s="28">
        <f t="shared" si="3"/>
        <v>0.33159305423839669</v>
      </c>
      <c r="N42" s="28">
        <f t="shared" si="3"/>
        <v>0.52333485751705666</v>
      </c>
      <c r="P42" s="40">
        <v>-10</v>
      </c>
      <c r="Q42" s="35">
        <v>0.13057880045448031</v>
      </c>
      <c r="R42" s="35">
        <v>0.14025071396010333</v>
      </c>
      <c r="S42" s="35">
        <v>0.23950388281811502</v>
      </c>
      <c r="T42" s="35">
        <v>9.9938643718417708E-2</v>
      </c>
      <c r="U42" s="35">
        <v>0.23825878420850663</v>
      </c>
      <c r="V42" s="35">
        <v>0.29078807672059659</v>
      </c>
      <c r="W42" s="35">
        <v>0.26471469895660898</v>
      </c>
      <c r="X42" s="35">
        <v>0.31110564726497481</v>
      </c>
      <c r="Y42" s="35">
        <v>8.9119853914370259E-2</v>
      </c>
      <c r="Z42" s="35">
        <v>-0.34421871767891088</v>
      </c>
      <c r="AA42" s="35">
        <v>1.6021195398984793</v>
      </c>
      <c r="AB42" s="35">
        <v>-0.37237878354361509</v>
      </c>
      <c r="AC42" s="35">
        <v>0.14413149848173074</v>
      </c>
    </row>
    <row r="43" spans="1:29" x14ac:dyDescent="0.4">
      <c r="A43" s="1">
        <v>22494</v>
      </c>
      <c r="B43" s="28">
        <v>0.43284305423838987</v>
      </c>
      <c r="C43" s="28">
        <f t="shared" si="3"/>
        <v>0.15375152418368998</v>
      </c>
      <c r="D43" s="28">
        <f t="shared" si="3"/>
        <v>-0.19921295669064421</v>
      </c>
      <c r="E43" s="28">
        <f t="shared" si="3"/>
        <v>-3.1808585105920884E-2</v>
      </c>
      <c r="F43" s="28">
        <f t="shared" si="3"/>
        <v>-0.53138057173822517</v>
      </c>
      <c r="G43" s="28">
        <f t="shared" si="3"/>
        <v>-0.15979575938212065</v>
      </c>
      <c r="H43" s="28">
        <f t="shared" si="3"/>
        <v>-0.25040842478432523</v>
      </c>
      <c r="I43" s="28">
        <f t="shared" si="3"/>
        <v>-0.36181541570698528</v>
      </c>
      <c r="J43" s="28">
        <f t="shared" si="3"/>
        <v>-0.1010640495867392</v>
      </c>
      <c r="K43" s="28">
        <f t="shared" si="3"/>
        <v>-9.6685634286245659E-2</v>
      </c>
      <c r="L43" s="28">
        <f t="shared" si="3"/>
        <v>5.0001524183755919E-2</v>
      </c>
      <c r="M43" s="28">
        <f t="shared" si="3"/>
        <v>0.32599196134225394</v>
      </c>
      <c r="N43" s="28">
        <f t="shared" si="3"/>
        <v>0.33159305423839669</v>
      </c>
      <c r="P43" s="40">
        <v>-11</v>
      </c>
      <c r="Q43" s="35">
        <v>-7.604373904809085E-2</v>
      </c>
      <c r="R43" s="35">
        <v>0.16221010885230566</v>
      </c>
      <c r="S43" s="35">
        <v>0.14778443612384598</v>
      </c>
      <c r="T43" s="35">
        <v>0.20786495729813567</v>
      </c>
      <c r="U43" s="35">
        <v>8.2462442841545511E-2</v>
      </c>
      <c r="V43" s="35">
        <v>0.21009908183532622</v>
      </c>
      <c r="W43" s="35">
        <v>0.27182959993007183</v>
      </c>
      <c r="X43" s="35">
        <v>0.23212689817164908</v>
      </c>
      <c r="Y43" s="35">
        <v>0.2769499601492359</v>
      </c>
      <c r="Z43" s="35">
        <v>5.3277444062297265E-2</v>
      </c>
      <c r="AA43" s="35">
        <v>-0.37237878354361509</v>
      </c>
      <c r="AB43" s="35">
        <v>1.6066494857625846</v>
      </c>
      <c r="AC43" s="35">
        <v>-0.35473803181037289</v>
      </c>
    </row>
    <row r="44" spans="1:29" ht="19.5" thickBot="1" x14ac:dyDescent="0.45">
      <c r="A44" s="1">
        <v>22525</v>
      </c>
      <c r="B44" s="28">
        <v>0.3443252946755706</v>
      </c>
      <c r="C44" s="28">
        <f t="shared" si="3"/>
        <v>0.43284305423838987</v>
      </c>
      <c r="D44" s="28">
        <f t="shared" si="3"/>
        <v>0.15375152418368998</v>
      </c>
      <c r="E44" s="28">
        <f t="shared" si="3"/>
        <v>-0.19921295669064421</v>
      </c>
      <c r="F44" s="28">
        <f t="shared" si="3"/>
        <v>-3.1808585105920884E-2</v>
      </c>
      <c r="G44" s="28">
        <f t="shared" si="3"/>
        <v>-0.53138057173822517</v>
      </c>
      <c r="H44" s="28">
        <f t="shared" si="3"/>
        <v>-0.15979575938212065</v>
      </c>
      <c r="I44" s="28">
        <f t="shared" si="3"/>
        <v>-0.25040842478432523</v>
      </c>
      <c r="J44" s="28">
        <f t="shared" si="3"/>
        <v>-0.36181541570698528</v>
      </c>
      <c r="K44" s="28">
        <f t="shared" si="3"/>
        <v>-0.1010640495867392</v>
      </c>
      <c r="L44" s="28">
        <f t="shared" si="3"/>
        <v>-9.6685634286245659E-2</v>
      </c>
      <c r="M44" s="28">
        <f t="shared" si="3"/>
        <v>5.0001524183755919E-2</v>
      </c>
      <c r="N44" s="28">
        <f t="shared" si="3"/>
        <v>0.32599196134225394</v>
      </c>
      <c r="P44" s="41">
        <v>-12</v>
      </c>
      <c r="Q44" s="36">
        <v>-7.6411352457150195E-2</v>
      </c>
      <c r="R44" s="36">
        <v>-7.9610354449404092E-2</v>
      </c>
      <c r="S44" s="36">
        <v>0.14412378453346678</v>
      </c>
      <c r="T44" s="36">
        <v>0.16428092204909311</v>
      </c>
      <c r="U44" s="36">
        <v>0.2312418081600176</v>
      </c>
      <c r="V44" s="36">
        <v>0.13001492635671513</v>
      </c>
      <c r="W44" s="36">
        <v>0.24512489813814209</v>
      </c>
      <c r="X44" s="36">
        <v>0.31796152811821471</v>
      </c>
      <c r="Y44" s="36">
        <v>0.29239836999397595</v>
      </c>
      <c r="Z44" s="36">
        <v>0.34566841497937367</v>
      </c>
      <c r="AA44" s="36">
        <v>0.14413149848173074</v>
      </c>
      <c r="AB44" s="36">
        <v>-0.35473803181037289</v>
      </c>
      <c r="AC44" s="36">
        <v>1.5527554909198762</v>
      </c>
    </row>
    <row r="45" spans="1:29" ht="19.5" thickBot="1" x14ac:dyDescent="0.45">
      <c r="A45" s="1">
        <v>22555</v>
      </c>
      <c r="B45" s="28">
        <v>0.694168190850462</v>
      </c>
      <c r="C45" s="28">
        <f t="shared" si="3"/>
        <v>0.3443252946755706</v>
      </c>
      <c r="D45" s="28">
        <f t="shared" si="3"/>
        <v>0.43284305423838987</v>
      </c>
      <c r="E45" s="28">
        <f t="shared" si="3"/>
        <v>0.15375152418368998</v>
      </c>
      <c r="F45" s="28">
        <f t="shared" si="3"/>
        <v>-0.19921295669064421</v>
      </c>
      <c r="G45" s="28">
        <f t="shared" si="3"/>
        <v>-3.1808585105920884E-2</v>
      </c>
      <c r="H45" s="28">
        <f t="shared" si="3"/>
        <v>-0.53138057173822517</v>
      </c>
      <c r="I45" s="28">
        <f t="shared" si="3"/>
        <v>-0.15979575938212065</v>
      </c>
      <c r="J45" s="28">
        <f t="shared" si="3"/>
        <v>-0.25040842478432523</v>
      </c>
      <c r="K45" s="28">
        <f t="shared" si="3"/>
        <v>-0.36181541570698528</v>
      </c>
      <c r="L45" s="28">
        <f t="shared" si="3"/>
        <v>-0.1010640495867392</v>
      </c>
      <c r="M45" s="28">
        <f t="shared" si="3"/>
        <v>-9.6685634286245659E-2</v>
      </c>
      <c r="N45" s="28">
        <f t="shared" si="3"/>
        <v>5.0001524183755919E-2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x14ac:dyDescent="0.4">
      <c r="A46" s="1">
        <v>22586</v>
      </c>
      <c r="B46" s="28">
        <v>0.14498103238048543</v>
      </c>
      <c r="C46" s="28">
        <f t="shared" si="3"/>
        <v>0.694168190850462</v>
      </c>
      <c r="D46" s="28">
        <f t="shared" si="3"/>
        <v>0.3443252946755706</v>
      </c>
      <c r="E46" s="28">
        <f t="shared" si="3"/>
        <v>0.43284305423838987</v>
      </c>
      <c r="F46" s="28">
        <f t="shared" si="3"/>
        <v>0.15375152418368998</v>
      </c>
      <c r="G46" s="28">
        <f t="shared" si="3"/>
        <v>-0.19921295669064421</v>
      </c>
      <c r="H46" s="28">
        <f t="shared" si="3"/>
        <v>-3.1808585105920884E-2</v>
      </c>
      <c r="I46" s="28">
        <f t="shared" si="3"/>
        <v>-0.53138057173822517</v>
      </c>
      <c r="J46" s="28">
        <f t="shared" si="3"/>
        <v>-0.15979575938212065</v>
      </c>
      <c r="K46" s="28">
        <f t="shared" si="3"/>
        <v>-0.25040842478432523</v>
      </c>
      <c r="L46" s="28">
        <f t="shared" si="3"/>
        <v>-0.36181541570698528</v>
      </c>
      <c r="M46" s="28">
        <f t="shared" si="3"/>
        <v>-0.1010640495867392</v>
      </c>
      <c r="N46" s="28">
        <f t="shared" si="3"/>
        <v>-9.6685634286245659E-2</v>
      </c>
      <c r="P46" s="39" t="s">
        <v>83</v>
      </c>
      <c r="Q46" s="37" t="s">
        <v>1</v>
      </c>
      <c r="R46" s="37">
        <v>-1</v>
      </c>
      <c r="S46" s="37">
        <v>-2</v>
      </c>
      <c r="T46" s="37">
        <v>-3</v>
      </c>
      <c r="U46" s="37">
        <v>-4</v>
      </c>
      <c r="V46" s="37">
        <v>-5</v>
      </c>
      <c r="W46" s="37">
        <v>-6</v>
      </c>
      <c r="X46" s="37">
        <v>-7</v>
      </c>
      <c r="Y46" s="37">
        <v>-8</v>
      </c>
      <c r="Z46" s="37">
        <v>-9</v>
      </c>
      <c r="AA46" s="37">
        <v>-10</v>
      </c>
      <c r="AB46" s="37">
        <v>-11</v>
      </c>
      <c r="AC46" s="37">
        <v>-12</v>
      </c>
    </row>
    <row r="47" spans="1:29" x14ac:dyDescent="0.4">
      <c r="A47" s="1">
        <v>22616</v>
      </c>
      <c r="B47" s="28">
        <v>-0.16273071625340663</v>
      </c>
      <c r="C47" s="28">
        <f t="shared" si="3"/>
        <v>0.14498103238048543</v>
      </c>
      <c r="D47" s="28">
        <f t="shared" si="3"/>
        <v>0.694168190850462</v>
      </c>
      <c r="E47" s="28">
        <f t="shared" si="3"/>
        <v>0.3443252946755706</v>
      </c>
      <c r="F47" s="28">
        <f t="shared" si="3"/>
        <v>0.43284305423838987</v>
      </c>
      <c r="G47" s="28">
        <f t="shared" si="3"/>
        <v>0.15375152418368998</v>
      </c>
      <c r="H47" s="28">
        <f t="shared" si="3"/>
        <v>-0.19921295669064421</v>
      </c>
      <c r="I47" s="28">
        <f t="shared" si="3"/>
        <v>-3.1808585105920884E-2</v>
      </c>
      <c r="J47" s="28">
        <f t="shared" si="3"/>
        <v>-0.53138057173822517</v>
      </c>
      <c r="K47" s="28">
        <f t="shared" si="3"/>
        <v>-0.15979575938212065</v>
      </c>
      <c r="L47" s="28">
        <f t="shared" si="3"/>
        <v>-0.25040842478432523</v>
      </c>
      <c r="M47" s="28">
        <f t="shared" si="3"/>
        <v>-0.36181541570698528</v>
      </c>
      <c r="N47" s="28">
        <f t="shared" si="3"/>
        <v>-0.1010640495867392</v>
      </c>
      <c r="P47" s="40">
        <v>0</v>
      </c>
      <c r="Q47" s="35">
        <v>1</v>
      </c>
      <c r="R47" s="35" cm="1">
        <f t="array" ref="R47">-R32/SQRT(INDEX(_R_1,ROW(B1),ROW(B1))*INDEX(_R_1,COLUMN(B1),COLUMN(B1)))</f>
        <v>0.21608596484665984</v>
      </c>
      <c r="S47" s="35" cm="1">
        <f t="array" ref="S47">-S32/SQRT(INDEX(_R_1,ROW(C1),ROW(C1))*INDEX(_R_1,COLUMN(C1),COLUMN(C1)))</f>
        <v>-9.6958529261833445E-2</v>
      </c>
      <c r="T47" s="35" cm="1">
        <f t="array" ref="T47">-T32/SQRT(INDEX(_R_1,ROW(D1),ROW(D1))*INDEX(_R_1,COLUMN(D1),COLUMN(D1)))</f>
        <v>-0.20080513511079767</v>
      </c>
      <c r="U47" s="35" cm="1">
        <f t="array" ref="U47">-U32/SQRT(INDEX(_R_1,ROW(E1),ROW(E1))*INDEX(_R_1,COLUMN(E1),COLUMN(E1)))</f>
        <v>-0.18489770187475837</v>
      </c>
      <c r="V47" s="35" cm="1">
        <f t="array" ref="V47">-V32/SQRT(INDEX(_R_1,ROW(F1),ROW(F1))*INDEX(_R_1,COLUMN(F1),COLUMN(F1)))</f>
        <v>-0.20070724786943722</v>
      </c>
      <c r="W47" s="35" cm="1">
        <f t="array" ref="W47">-W32/SQRT(INDEX(_R_1,ROW(G1),ROW(G1))*INDEX(_R_1,COLUMN(G1),COLUMN(G1)))</f>
        <v>-0.13739654780834237</v>
      </c>
      <c r="X47" s="35" cm="1">
        <f t="array" ref="X47">-X32/SQRT(INDEX(_R_1,ROW(H1),ROW(H1))*INDEX(_R_1,COLUMN(H1),COLUMN(H1)))</f>
        <v>-6.3679445720866992E-2</v>
      </c>
      <c r="Y47" s="35" cm="1">
        <f t="array" ref="Y47">-Y32/SQRT(INDEX(_R_1,ROW(I1),ROW(I1))*INDEX(_R_1,COLUMN(I1),COLUMN(I1)))</f>
        <v>-0.14767419795517317</v>
      </c>
      <c r="Z47" s="35" cm="1">
        <f t="array" ref="Z47">-Z32/SQRT(INDEX(_R_1,ROW(J1),ROW(J1))*INDEX(_R_1,COLUMN(J1),COLUMN(J1)))</f>
        <v>-0.100809035789945</v>
      </c>
      <c r="AA47" s="35" cm="1">
        <f t="array" ref="AA47">-AA32/SQRT(INDEX(_R_1,ROW(K1),ROW(K1))*INDEX(_R_1,COLUMN(K1),COLUMN(K1)))</f>
        <v>-8.3379240304233465E-2</v>
      </c>
      <c r="AB47" s="35" cm="1">
        <f t="array" ref="AB47">-AB32/SQRT(INDEX(_R_1,ROW(L1),ROW(L1))*INDEX(_R_1,COLUMN(L1),COLUMN(L1)))</f>
        <v>4.8488149596275495E-2</v>
      </c>
      <c r="AC47" s="35" cm="1">
        <f t="array" ref="AC47">-AC32/SQRT(INDEX(_R_1,ROW(M1),ROW(M1))*INDEX(_R_1,COLUMN(M1),COLUMN(M1)))</f>
        <v>4.9560886668025876E-2</v>
      </c>
    </row>
    <row r="48" spans="1:29" x14ac:dyDescent="0.4">
      <c r="A48" s="1">
        <v>22647</v>
      </c>
      <c r="B48" s="28">
        <v>-0.25806541570699437</v>
      </c>
      <c r="C48" s="28">
        <f t="shared" si="3"/>
        <v>-0.16273071625340663</v>
      </c>
      <c r="D48" s="28">
        <f t="shared" si="3"/>
        <v>0.14498103238048543</v>
      </c>
      <c r="E48" s="28">
        <f t="shared" si="3"/>
        <v>0.694168190850462</v>
      </c>
      <c r="F48" s="28">
        <f t="shared" si="3"/>
        <v>0.3443252946755706</v>
      </c>
      <c r="G48" s="28">
        <f t="shared" si="3"/>
        <v>0.43284305423838987</v>
      </c>
      <c r="H48" s="28">
        <f t="shared" si="3"/>
        <v>0.15375152418368998</v>
      </c>
      <c r="I48" s="28">
        <f t="shared" si="3"/>
        <v>-0.19921295669064421</v>
      </c>
      <c r="J48" s="28">
        <f t="shared" si="3"/>
        <v>-3.1808585105920884E-2</v>
      </c>
      <c r="K48" s="28">
        <f t="shared" si="3"/>
        <v>-0.53138057173822517</v>
      </c>
      <c r="L48" s="28">
        <f t="shared" si="3"/>
        <v>-0.15979575938212065</v>
      </c>
      <c r="M48" s="28">
        <f t="shared" si="3"/>
        <v>-0.25040842478432523</v>
      </c>
      <c r="N48" s="28">
        <f t="shared" si="3"/>
        <v>-0.36181541570698528</v>
      </c>
      <c r="P48" s="40">
        <v>-1</v>
      </c>
      <c r="Q48" s="35" cm="1">
        <f t="array" ref="Q48">-Q33/SQRT(INDEX(_R_1,ROW(A2),ROW(A2))*INDEX(_R_1,COLUMN(A2),COLUMN(A2)))</f>
        <v>0.21608596484665993</v>
      </c>
      <c r="R48" s="35">
        <v>1</v>
      </c>
      <c r="S48" s="35" cm="1">
        <f t="array" ref="S48">-S33/SQRT(INDEX(_R_1,ROW(C2),ROW(C2))*INDEX(_R_1,COLUMN(C2),COLUMN(C2)))</f>
        <v>0.23603968925549781</v>
      </c>
      <c r="T48" s="35" cm="1">
        <f t="array" ref="T48">-T33/SQRT(INDEX(_R_1,ROW(D2),ROW(D2))*INDEX(_R_1,COLUMN(D2),COLUMN(D2)))</f>
        <v>-5.4584189879495579E-2</v>
      </c>
      <c r="U48" s="35" cm="1">
        <f t="array" ref="U48">-U33/SQRT(INDEX(_R_1,ROW(E2),ROW(E2))*INDEX(_R_1,COLUMN(E2),COLUMN(E2)))</f>
        <v>-0.15935639212932326</v>
      </c>
      <c r="V48" s="35" cm="1">
        <f t="array" ref="V48">-V33/SQRT(INDEX(_R_1,ROW(F2),ROW(F2))*INDEX(_R_1,COLUMN(F2),COLUMN(F2)))</f>
        <v>-0.13936866448642088</v>
      </c>
      <c r="W48" s="35" cm="1">
        <f t="array" ref="W48">-W33/SQRT(INDEX(_R_1,ROW(G2),ROW(G2))*INDEX(_R_1,COLUMN(G2),COLUMN(G2)))</f>
        <v>-0.16356479660757689</v>
      </c>
      <c r="X48" s="35" cm="1">
        <f t="array" ref="X48">-X33/SQRT(INDEX(_R_1,ROW(H2),ROW(H2))*INDEX(_R_1,COLUMN(H2),COLUMN(H2)))</f>
        <v>-0.1309904116340127</v>
      </c>
      <c r="Y48" s="35" cm="1">
        <f t="array" ref="Y48">-Y33/SQRT(INDEX(_R_1,ROW(I2),ROW(I2))*INDEX(_R_1,COLUMN(I2),COLUMN(I2)))</f>
        <v>-4.1004361495712738E-2</v>
      </c>
      <c r="Z48" s="35" cm="1">
        <f t="array" ref="Z48">-Z33/SQRT(INDEX(_R_1,ROW(J2),ROW(J2))*INDEX(_R_1,COLUMN(J2),COLUMN(J2)))</f>
        <v>-0.12996322759780207</v>
      </c>
      <c r="AA48" s="35" cm="1">
        <f t="array" ref="AA48">-AA33/SQRT(INDEX(_R_1,ROW(K2),ROW(K2))*INDEX(_R_1,COLUMN(K2),COLUMN(K2)))</f>
        <v>-8.7642343922087446E-2</v>
      </c>
      <c r="AB48" s="35" cm="1">
        <f t="array" ref="AB48">-AB33/SQRT(INDEX(_R_1,ROW(L2),ROW(L2))*INDEX(_R_1,COLUMN(L2),COLUMN(L2)))</f>
        <v>-0.10122171884926308</v>
      </c>
      <c r="AC48" s="35" cm="1">
        <f t="array" ref="AC48">-AC33/SQRT(INDEX(_R_1,ROW(M2),ROW(M2))*INDEX(_R_1,COLUMN(M2),COLUMN(M2)))</f>
        <v>5.0532918621957482E-2</v>
      </c>
    </row>
    <row r="49" spans="1:29" x14ac:dyDescent="0.4">
      <c r="A49" s="1">
        <v>22678</v>
      </c>
      <c r="B49" s="28">
        <v>-0.35207509145101312</v>
      </c>
      <c r="C49" s="28">
        <f t="shared" si="3"/>
        <v>-0.25806541570699437</v>
      </c>
      <c r="D49" s="28">
        <f t="shared" si="3"/>
        <v>-0.16273071625340663</v>
      </c>
      <c r="E49" s="28">
        <f t="shared" si="3"/>
        <v>0.14498103238048543</v>
      </c>
      <c r="F49" s="28">
        <f t="shared" si="3"/>
        <v>0.694168190850462</v>
      </c>
      <c r="G49" s="28">
        <f t="shared" si="3"/>
        <v>0.3443252946755706</v>
      </c>
      <c r="H49" s="28">
        <f t="shared" si="3"/>
        <v>0.43284305423838987</v>
      </c>
      <c r="I49" s="28">
        <f t="shared" si="3"/>
        <v>0.15375152418368998</v>
      </c>
      <c r="J49" s="28">
        <f t="shared" si="3"/>
        <v>-0.19921295669064421</v>
      </c>
      <c r="K49" s="28">
        <f t="shared" si="3"/>
        <v>-3.1808585105920884E-2</v>
      </c>
      <c r="L49" s="28">
        <f t="shared" si="3"/>
        <v>-0.53138057173822517</v>
      </c>
      <c r="M49" s="28">
        <f t="shared" si="3"/>
        <v>-0.15979575938212065</v>
      </c>
      <c r="N49" s="28">
        <f t="shared" si="3"/>
        <v>-0.25040842478432523</v>
      </c>
      <c r="P49" s="40">
        <v>-2</v>
      </c>
      <c r="Q49" s="35" cm="1">
        <f t="array" ref="Q49">-Q34/SQRT(INDEX(_R_1,ROW(A3),ROW(A3))*INDEX(_R_1,COLUMN(A3),COLUMN(A3)))</f>
        <v>-9.695852926183339E-2</v>
      </c>
      <c r="R49" s="35" cm="1">
        <f t="array" ref="R49">-R34/SQRT(INDEX(_R_1,ROW(B3),ROW(B3))*INDEX(_R_1,COLUMN(B3),COLUMN(B3)))</f>
        <v>0.23603968925549779</v>
      </c>
      <c r="S49" s="35">
        <v>1</v>
      </c>
      <c r="T49" s="35" cm="1">
        <f t="array" ref="T49">-T34/SQRT(INDEX(_R_1,ROW(D3),ROW(D3))*INDEX(_R_1,COLUMN(D3),COLUMN(D3)))</f>
        <v>0.20647353996692636</v>
      </c>
      <c r="U49" s="35" cm="1">
        <f t="array" ref="U49">-U34/SQRT(INDEX(_R_1,ROW(E3),ROW(E3))*INDEX(_R_1,COLUMN(E3),COLUMN(E3)))</f>
        <v>-7.3487056739445333E-2</v>
      </c>
      <c r="V49" s="35" cm="1">
        <f t="array" ref="V49">-V34/SQRT(INDEX(_R_1,ROW(F3),ROW(F3))*INDEX(_R_1,COLUMN(F3),COLUMN(F3)))</f>
        <v>-0.18280338866977802</v>
      </c>
      <c r="W49" s="35" cm="1">
        <f t="array" ref="W49">-W34/SQRT(INDEX(_R_1,ROW(G3),ROW(G3))*INDEX(_R_1,COLUMN(G3),COLUMN(G3)))</f>
        <v>-0.15555236612078849</v>
      </c>
      <c r="X49" s="35" cm="1">
        <f t="array" ref="X49">-X34/SQRT(INDEX(_R_1,ROW(H3),ROW(H3))*INDEX(_R_1,COLUMN(H3),COLUMN(H3)))</f>
        <v>-0.1797816872665223</v>
      </c>
      <c r="Y49" s="35" cm="1">
        <f t="array" ref="Y49">-Y34/SQRT(INDEX(_R_1,ROW(I3),ROW(I3))*INDEX(_R_1,COLUMN(I3),COLUMN(I3)))</f>
        <v>-0.15433409366279727</v>
      </c>
      <c r="Z49" s="35" cm="1">
        <f t="array" ref="Z49">-Z34/SQRT(INDEX(_R_1,ROW(J3),ROW(J3))*INDEX(_R_1,COLUMN(J3),COLUMN(J3)))</f>
        <v>-6.1165683108285684E-2</v>
      </c>
      <c r="AA49" s="35" cm="1">
        <f t="array" ref="AA49">-AA34/SQRT(INDEX(_R_1,ROW(K3),ROW(K3))*INDEX(_R_1,COLUMN(K3),COLUMN(K3)))</f>
        <v>-0.14926854059454542</v>
      </c>
      <c r="AB49" s="35" cm="1">
        <f t="array" ref="AB49">-AB34/SQRT(INDEX(_R_1,ROW(L3),ROW(L3))*INDEX(_R_1,COLUMN(L3),COLUMN(L3)))</f>
        <v>-9.197532179274541E-2</v>
      </c>
      <c r="AC49" s="35" cm="1">
        <f t="array" ref="AC49">-AC34/SQRT(INDEX(_R_1,ROW(M3),ROW(M3))*INDEX(_R_1,COLUMN(M3),COLUMN(M3)))</f>
        <v>-9.12404266958559E-2</v>
      </c>
    </row>
    <row r="50" spans="1:29" x14ac:dyDescent="0.4">
      <c r="A50" s="1">
        <v>22706</v>
      </c>
      <c r="B50" s="28">
        <v>2.1870907284494479E-2</v>
      </c>
      <c r="C50" s="28">
        <f t="shared" si="3"/>
        <v>-0.35207509145101312</v>
      </c>
      <c r="D50" s="28">
        <f t="shared" si="3"/>
        <v>-0.25806541570699437</v>
      </c>
      <c r="E50" s="28">
        <f t="shared" si="3"/>
        <v>-0.16273071625340663</v>
      </c>
      <c r="F50" s="28">
        <f t="shared" si="3"/>
        <v>0.14498103238048543</v>
      </c>
      <c r="G50" s="28">
        <f t="shared" si="3"/>
        <v>0.694168190850462</v>
      </c>
      <c r="H50" s="28">
        <f t="shared" si="3"/>
        <v>0.3443252946755706</v>
      </c>
      <c r="I50" s="28">
        <f t="shared" si="3"/>
        <v>0.43284305423838987</v>
      </c>
      <c r="J50" s="28">
        <f t="shared" si="3"/>
        <v>0.15375152418368998</v>
      </c>
      <c r="K50" s="28">
        <f t="shared" si="3"/>
        <v>-0.19921295669064421</v>
      </c>
      <c r="L50" s="28">
        <f t="shared" si="3"/>
        <v>-3.1808585105920884E-2</v>
      </c>
      <c r="M50" s="28">
        <f t="shared" si="3"/>
        <v>-0.53138057173822517</v>
      </c>
      <c r="N50" s="28">
        <f t="shared" si="3"/>
        <v>-0.15979575938212065</v>
      </c>
      <c r="P50" s="40">
        <v>-3</v>
      </c>
      <c r="Q50" s="35" cm="1">
        <f t="array" ref="Q50">-Q35/SQRT(INDEX(_R_1,ROW(A4),ROW(A4))*INDEX(_R_1,COLUMN(A4),COLUMN(A4)))</f>
        <v>-0.2008051351107977</v>
      </c>
      <c r="R50" s="35" cm="1">
        <f t="array" ref="R50">-R35/SQRT(INDEX(_R_1,ROW(B4),ROW(B4))*INDEX(_R_1,COLUMN(B4),COLUMN(B4)))</f>
        <v>-5.4584189879495558E-2</v>
      </c>
      <c r="S50" s="35" cm="1">
        <f t="array" ref="S50">-S35/SQRT(INDEX(_R_1,ROW(C4),ROW(C4))*INDEX(_R_1,COLUMN(C4),COLUMN(C4)))</f>
        <v>0.20647353996692636</v>
      </c>
      <c r="T50" s="35">
        <v>1</v>
      </c>
      <c r="U50" s="35" cm="1">
        <f t="array" ref="U50">-U35/SQRT(INDEX(_R_1,ROW(E4),ROW(E4))*INDEX(_R_1,COLUMN(E4),COLUMN(E4)))</f>
        <v>0.17176823226175081</v>
      </c>
      <c r="V50" s="35" cm="1">
        <f t="array" ref="V50">-V35/SQRT(INDEX(_R_1,ROW(F4),ROW(F4))*INDEX(_R_1,COLUMN(F4),COLUMN(F4)))</f>
        <v>-0.10063676524554033</v>
      </c>
      <c r="W50" s="35" cm="1">
        <f t="array" ref="W50">-W35/SQRT(INDEX(_R_1,ROW(G4),ROW(G4))*INDEX(_R_1,COLUMN(G4),COLUMN(G4)))</f>
        <v>-0.20000233732833034</v>
      </c>
      <c r="X50" s="35" cm="1">
        <f t="array" ref="X50">-X35/SQRT(INDEX(_R_1,ROW(H4),ROW(H4))*INDEX(_R_1,COLUMN(H4),COLUMN(H4)))</f>
        <v>-0.15282479015453396</v>
      </c>
      <c r="Y50" s="35" cm="1">
        <f t="array" ref="Y50">-Y35/SQRT(INDEX(_R_1,ROW(I4),ROW(I4))*INDEX(_R_1,COLUMN(I4),COLUMN(I4)))</f>
        <v>-0.19065753675895392</v>
      </c>
      <c r="Z50" s="35" cm="1">
        <f t="array" ref="Z50">-Z35/SQRT(INDEX(_R_1,ROW(J4),ROW(J4))*INDEX(_R_1,COLUMN(J4),COLUMN(J4)))</f>
        <v>-0.15789628073386913</v>
      </c>
      <c r="AA50" s="35" cm="1">
        <f t="array" ref="AA50">-AA35/SQRT(INDEX(_R_1,ROW(K4),ROW(K4))*INDEX(_R_1,COLUMN(K4),COLUMN(K4)))</f>
        <v>-6.1325636263049897E-2</v>
      </c>
      <c r="AB50" s="35" cm="1">
        <f t="array" ref="AB50">-AB35/SQRT(INDEX(_R_1,ROW(L4),ROW(L4))*INDEX(_R_1,COLUMN(L4),COLUMN(L4)))</f>
        <v>-0.12737282491678314</v>
      </c>
      <c r="AC50" s="35" cm="1">
        <f t="array" ref="AC50">-AC35/SQRT(INDEX(_R_1,ROW(M4),ROW(M4))*INDEX(_R_1,COLUMN(M4),COLUMN(M4)))</f>
        <v>-0.10239804497569691</v>
      </c>
    </row>
    <row r="51" spans="1:29" x14ac:dyDescent="0.4">
      <c r="A51" s="1">
        <v>22737</v>
      </c>
      <c r="B51" s="28">
        <v>-0.36096390507151455</v>
      </c>
      <c r="C51" s="28">
        <f t="shared" si="3"/>
        <v>2.1870907284494479E-2</v>
      </c>
      <c r="D51" s="28">
        <f t="shared" si="3"/>
        <v>-0.35207509145101312</v>
      </c>
      <c r="E51" s="28">
        <f t="shared" si="3"/>
        <v>-0.25806541570699437</v>
      </c>
      <c r="F51" s="28">
        <f t="shared" si="3"/>
        <v>-0.16273071625340663</v>
      </c>
      <c r="G51" s="28">
        <f t="shared" si="3"/>
        <v>0.14498103238048543</v>
      </c>
      <c r="H51" s="28">
        <f t="shared" si="3"/>
        <v>0.694168190850462</v>
      </c>
      <c r="I51" s="28">
        <f t="shared" si="3"/>
        <v>0.3443252946755706</v>
      </c>
      <c r="J51" s="28">
        <f t="shared" si="3"/>
        <v>0.43284305423838987</v>
      </c>
      <c r="K51" s="28">
        <f t="shared" si="3"/>
        <v>0.15375152418368998</v>
      </c>
      <c r="L51" s="28">
        <f t="shared" si="3"/>
        <v>-0.19921295669064421</v>
      </c>
      <c r="M51" s="28">
        <f t="shared" si="3"/>
        <v>-3.1808585105920884E-2</v>
      </c>
      <c r="N51" s="28">
        <f t="shared" si="3"/>
        <v>-0.53138057173822517</v>
      </c>
      <c r="P51" s="40">
        <v>-4</v>
      </c>
      <c r="Q51" s="35" cm="1">
        <f t="array" ref="Q51">-Q36/SQRT(INDEX(_R_1,ROW(A5),ROW(A5))*INDEX(_R_1,COLUMN(A5),COLUMN(A5)))</f>
        <v>-0.18489770187475846</v>
      </c>
      <c r="R51" s="35" cm="1">
        <f t="array" ref="R51">-R36/SQRT(INDEX(_R_1,ROW(B5),ROW(B5))*INDEX(_R_1,COLUMN(B5),COLUMN(B5)))</f>
        <v>-0.15935639212932326</v>
      </c>
      <c r="S51" s="35" cm="1">
        <f t="array" ref="S51">-S36/SQRT(INDEX(_R_1,ROW(C5),ROW(C5))*INDEX(_R_1,COLUMN(C5),COLUMN(C5)))</f>
        <v>-7.3487056739445375E-2</v>
      </c>
      <c r="T51" s="35" cm="1">
        <f t="array" ref="T51">-T36/SQRT(INDEX(_R_1,ROW(D5),ROW(D5))*INDEX(_R_1,COLUMN(D5),COLUMN(D5)))</f>
        <v>0.17176823226175089</v>
      </c>
      <c r="U51" s="35">
        <v>1</v>
      </c>
      <c r="V51" s="35" cm="1">
        <f t="array" ref="V51">-V36/SQRT(INDEX(_R_1,ROW(F5),ROW(F5))*INDEX(_R_1,COLUMN(F5),COLUMN(F5)))</f>
        <v>0.14963020723911269</v>
      </c>
      <c r="W51" s="35" cm="1">
        <f t="array" ref="W51">-W36/SQRT(INDEX(_R_1,ROW(G5),ROW(G5))*INDEX(_R_1,COLUMN(G5),COLUMN(G5)))</f>
        <v>-0.10978064699331165</v>
      </c>
      <c r="X51" s="35" cm="1">
        <f t="array" ref="X51">-X36/SQRT(INDEX(_R_1,ROW(H5),ROW(H5))*INDEX(_R_1,COLUMN(H5),COLUMN(H5)))</f>
        <v>-0.19949424355230791</v>
      </c>
      <c r="Y51" s="35" cm="1">
        <f t="array" ref="Y51">-Y36/SQRT(INDEX(_R_1,ROW(I5),ROW(I5))*INDEX(_R_1,COLUMN(I5),COLUMN(I5)))</f>
        <v>-0.16037863490835666</v>
      </c>
      <c r="Z51" s="35" cm="1">
        <f t="array" ref="Z51">-Z36/SQRT(INDEX(_R_1,ROW(J5),ROW(J5))*INDEX(_R_1,COLUMN(J5),COLUMN(J5)))</f>
        <v>-0.18725209407016058</v>
      </c>
      <c r="AA51" s="35" cm="1">
        <f t="array" ref="AA51">-AA36/SQRT(INDEX(_R_1,ROW(K5),ROW(K5))*INDEX(_R_1,COLUMN(K5),COLUMN(K5)))</f>
        <v>-0.14427066983913953</v>
      </c>
      <c r="AB51" s="35" cm="1">
        <f t="array" ref="AB51">-AB36/SQRT(INDEX(_R_1,ROW(L5),ROW(L5))*INDEX(_R_1,COLUMN(L5),COLUMN(L5)))</f>
        <v>-4.9862289037575024E-2</v>
      </c>
      <c r="AC51" s="35" cm="1">
        <f t="array" ref="AC51">-AC36/SQRT(INDEX(_R_1,ROW(M5),ROW(M5))*INDEX(_R_1,COLUMN(M5),COLUMN(M5)))</f>
        <v>-0.14223006393332466</v>
      </c>
    </row>
    <row r="52" spans="1:29" x14ac:dyDescent="0.4">
      <c r="A52" s="1">
        <v>22767</v>
      </c>
      <c r="B52" s="28">
        <v>-0.43305858510598227</v>
      </c>
      <c r="C52" s="28">
        <f t="shared" si="3"/>
        <v>-0.36096390507151455</v>
      </c>
      <c r="D52" s="28">
        <f t="shared" si="3"/>
        <v>2.1870907284494479E-2</v>
      </c>
      <c r="E52" s="28">
        <f t="shared" si="3"/>
        <v>-0.35207509145101312</v>
      </c>
      <c r="F52" s="28">
        <f t="shared" si="3"/>
        <v>-0.25806541570699437</v>
      </c>
      <c r="G52" s="28">
        <f t="shared" si="3"/>
        <v>-0.16273071625340663</v>
      </c>
      <c r="H52" s="28">
        <f t="shared" si="3"/>
        <v>0.14498103238048543</v>
      </c>
      <c r="I52" s="28">
        <f t="shared" si="3"/>
        <v>0.694168190850462</v>
      </c>
      <c r="J52" s="28">
        <f t="shared" si="3"/>
        <v>0.3443252946755706</v>
      </c>
      <c r="K52" s="28">
        <f t="shared" si="3"/>
        <v>0.43284305423838987</v>
      </c>
      <c r="L52" s="28">
        <f t="shared" si="3"/>
        <v>0.15375152418368998</v>
      </c>
      <c r="M52" s="28">
        <f t="shared" si="3"/>
        <v>-0.19921295669064421</v>
      </c>
      <c r="N52" s="28">
        <f t="shared" si="3"/>
        <v>-3.1808585105920884E-2</v>
      </c>
      <c r="P52" s="40">
        <v>-5</v>
      </c>
      <c r="Q52" s="35" cm="1">
        <f t="array" ref="Q52">-Q37/SQRT(INDEX(_R_1,ROW(A6),ROW(A6))*INDEX(_R_1,COLUMN(A6),COLUMN(A6)))</f>
        <v>-0.20070724786943717</v>
      </c>
      <c r="R52" s="35" cm="1">
        <f t="array" ref="R52">-R37/SQRT(INDEX(_R_1,ROW(B6),ROW(B6))*INDEX(_R_1,COLUMN(B6),COLUMN(B6)))</f>
        <v>-0.1393686644864208</v>
      </c>
      <c r="S52" s="35" cm="1">
        <f t="array" ref="S52">-S37/SQRT(INDEX(_R_1,ROW(C6),ROW(C6))*INDEX(_R_1,COLUMN(C6),COLUMN(C6)))</f>
        <v>-0.18280338866977799</v>
      </c>
      <c r="T52" s="35" cm="1">
        <f t="array" ref="T52">-T37/SQRT(INDEX(_R_1,ROW(D6),ROW(D6))*INDEX(_R_1,COLUMN(D6),COLUMN(D6)))</f>
        <v>-0.10063676524554033</v>
      </c>
      <c r="U52" s="35" cm="1">
        <f t="array" ref="U52">-U37/SQRT(INDEX(_R_1,ROW(E6),ROW(E6))*INDEX(_R_1,COLUMN(E6),COLUMN(E6)))</f>
        <v>0.14963020723911277</v>
      </c>
      <c r="V52" s="35">
        <v>1</v>
      </c>
      <c r="W52" s="35" cm="1">
        <f t="array" ref="W52">-W37/SQRT(INDEX(_R_1,ROW(G6),ROW(G6))*INDEX(_R_1,COLUMN(G6),COLUMN(G6)))</f>
        <v>0.128035292346421</v>
      </c>
      <c r="X52" s="35" cm="1">
        <f t="array" ref="X52">-X37/SQRT(INDEX(_R_1,ROW(H6),ROW(H6))*INDEX(_R_1,COLUMN(H6),COLUMN(H6)))</f>
        <v>-0.10291729732510178</v>
      </c>
      <c r="Y52" s="35" cm="1">
        <f t="array" ref="Y52">-Y37/SQRT(INDEX(_R_1,ROW(I6),ROW(I6))*INDEX(_R_1,COLUMN(I6),COLUMN(I6)))</f>
        <v>-0.19924120065685022</v>
      </c>
      <c r="Z52" s="35" cm="1">
        <f t="array" ref="Z52">-Z37/SQRT(INDEX(_R_1,ROW(J6),ROW(J6))*INDEX(_R_1,COLUMN(J6),COLUMN(J6)))</f>
        <v>-0.15703788062454443</v>
      </c>
      <c r="AA52" s="35" cm="1">
        <f t="array" ref="AA52">-AA37/SQRT(INDEX(_R_1,ROW(K6),ROW(K6))*INDEX(_R_1,COLUMN(K6),COLUMN(K6)))</f>
        <v>-0.17381289805328232</v>
      </c>
      <c r="AB52" s="35" cm="1">
        <f t="array" ref="AB52">-AB37/SQRT(INDEX(_R_1,ROW(L6),ROW(L6))*INDEX(_R_1,COLUMN(L6),COLUMN(L6)))</f>
        <v>-0.12540546104573186</v>
      </c>
      <c r="AC52" s="35" cm="1">
        <f t="array" ref="AC52">-AC37/SQRT(INDEX(_R_1,ROW(M6),ROW(M6))*INDEX(_R_1,COLUMN(M6),COLUMN(M6)))</f>
        <v>-7.8939531008553984E-2</v>
      </c>
    </row>
    <row r="53" spans="1:29" x14ac:dyDescent="0.4">
      <c r="A53" s="1">
        <v>22798</v>
      </c>
      <c r="B53" s="28">
        <v>-0.16379629002392448</v>
      </c>
      <c r="C53" s="28">
        <f t="shared" si="3"/>
        <v>-0.43305858510598227</v>
      </c>
      <c r="D53" s="28">
        <f t="shared" si="3"/>
        <v>-0.36096390507151455</v>
      </c>
      <c r="E53" s="28">
        <f t="shared" si="3"/>
        <v>2.1870907284494479E-2</v>
      </c>
      <c r="F53" s="28">
        <f t="shared" si="3"/>
        <v>-0.35207509145101312</v>
      </c>
      <c r="G53" s="28">
        <f t="shared" si="3"/>
        <v>-0.25806541570699437</v>
      </c>
      <c r="H53" s="28">
        <f t="shared" si="3"/>
        <v>-0.16273071625340663</v>
      </c>
      <c r="I53" s="28">
        <f t="shared" si="3"/>
        <v>0.14498103238048543</v>
      </c>
      <c r="J53" s="28">
        <f t="shared" si="3"/>
        <v>0.694168190850462</v>
      </c>
      <c r="K53" s="28">
        <f t="shared" si="3"/>
        <v>0.3443252946755706</v>
      </c>
      <c r="L53" s="28">
        <f t="shared" si="3"/>
        <v>0.43284305423838987</v>
      </c>
      <c r="M53" s="28">
        <f t="shared" si="3"/>
        <v>0.15375152418368998</v>
      </c>
      <c r="N53" s="28">
        <f t="shared" si="3"/>
        <v>-0.19921295669064421</v>
      </c>
      <c r="P53" s="40">
        <v>-6</v>
      </c>
      <c r="Q53" s="35" cm="1">
        <f t="array" ref="Q53">-Q38/SQRT(INDEX(_R_1,ROW(A7),ROW(A7))*INDEX(_R_1,COLUMN(A7),COLUMN(A7)))</f>
        <v>-0.13739654780834237</v>
      </c>
      <c r="R53" s="35" cm="1">
        <f t="array" ref="R53">-R38/SQRT(INDEX(_R_1,ROW(B7),ROW(B7))*INDEX(_R_1,COLUMN(B7),COLUMN(B7)))</f>
        <v>-0.16356479660757692</v>
      </c>
      <c r="S53" s="35" cm="1">
        <f t="array" ref="S53">-S38/SQRT(INDEX(_R_1,ROW(C7),ROW(C7))*INDEX(_R_1,COLUMN(C7),COLUMN(C7)))</f>
        <v>-0.15555236612078849</v>
      </c>
      <c r="T53" s="35" cm="1">
        <f t="array" ref="T53">-T38/SQRT(INDEX(_R_1,ROW(D7),ROW(D7))*INDEX(_R_1,COLUMN(D7),COLUMN(D7)))</f>
        <v>-0.20000233732833031</v>
      </c>
      <c r="U53" s="35" cm="1">
        <f t="array" ref="U53">-U38/SQRT(INDEX(_R_1,ROW(E7),ROW(E7))*INDEX(_R_1,COLUMN(E7),COLUMN(E7)))</f>
        <v>-0.10978064699331166</v>
      </c>
      <c r="V53" s="35" cm="1">
        <f t="array" ref="V53">-V38/SQRT(INDEX(_R_1,ROW(F7),ROW(F7))*INDEX(_R_1,COLUMN(F7),COLUMN(F7)))</f>
        <v>0.12803529234642091</v>
      </c>
      <c r="W53" s="35">
        <v>1</v>
      </c>
      <c r="X53" s="35" cm="1">
        <f t="array" ref="X53">-X38/SQRT(INDEX(_R_1,ROW(H7),ROW(H7))*INDEX(_R_1,COLUMN(H7),COLUMN(H7)))</f>
        <v>0.13112157967771523</v>
      </c>
      <c r="Y53" s="35" cm="1">
        <f t="array" ref="Y53">-Y38/SQRT(INDEX(_R_1,ROW(I7),ROW(I7))*INDEX(_R_1,COLUMN(I7),COLUMN(I7)))</f>
        <v>-0.10438583210470194</v>
      </c>
      <c r="Z53" s="35" cm="1">
        <f t="array" ref="Z53">-Z38/SQRT(INDEX(_R_1,ROW(J7),ROW(J7))*INDEX(_R_1,COLUMN(J7),COLUMN(J7)))</f>
        <v>-0.20396690359806249</v>
      </c>
      <c r="AA53" s="35" cm="1">
        <f t="array" ref="AA53">-AA38/SQRT(INDEX(_R_1,ROW(K7),ROW(K7))*INDEX(_R_1,COLUMN(K7),COLUMN(K7)))</f>
        <v>-0.15675616486665683</v>
      </c>
      <c r="AB53" s="35" cm="1">
        <f t="array" ref="AB53">-AB38/SQRT(INDEX(_R_1,ROW(L7),ROW(L7))*INDEX(_R_1,COLUMN(L7),COLUMN(L7)))</f>
        <v>-0.16074231076100906</v>
      </c>
      <c r="AC53" s="35" cm="1">
        <f t="array" ref="AC53">-AC38/SQRT(INDEX(_R_1,ROW(M7),ROW(M7))*INDEX(_R_1,COLUMN(M7),COLUMN(M7)))</f>
        <v>-0.14744495605467234</v>
      </c>
    </row>
    <row r="54" spans="1:29" x14ac:dyDescent="0.4">
      <c r="A54" s="1">
        <v>22828</v>
      </c>
      <c r="B54" s="28">
        <v>0.39458485751703165</v>
      </c>
      <c r="C54" s="28">
        <f t="shared" si="3"/>
        <v>-0.16379629002392448</v>
      </c>
      <c r="D54" s="28">
        <f t="shared" si="3"/>
        <v>-0.43305858510598227</v>
      </c>
      <c r="E54" s="28">
        <f t="shared" si="3"/>
        <v>-0.36096390507151455</v>
      </c>
      <c r="F54" s="28">
        <f t="shared" si="3"/>
        <v>2.1870907284494479E-2</v>
      </c>
      <c r="G54" s="28">
        <f t="shared" si="3"/>
        <v>-0.35207509145101312</v>
      </c>
      <c r="H54" s="28">
        <f t="shared" si="3"/>
        <v>-0.25806541570699437</v>
      </c>
      <c r="I54" s="28">
        <f t="shared" si="3"/>
        <v>-0.16273071625340663</v>
      </c>
      <c r="J54" s="28">
        <f t="shared" si="3"/>
        <v>0.14498103238048543</v>
      </c>
      <c r="K54" s="28">
        <f t="shared" si="3"/>
        <v>0.694168190850462</v>
      </c>
      <c r="L54" s="28">
        <f t="shared" si="3"/>
        <v>0.3443252946755706</v>
      </c>
      <c r="M54" s="28">
        <f t="shared" si="3"/>
        <v>0.43284305423838987</v>
      </c>
      <c r="N54" s="28">
        <f t="shared" si="3"/>
        <v>0.15375152418368998</v>
      </c>
      <c r="P54" s="40">
        <v>-7</v>
      </c>
      <c r="Q54" s="35" cm="1">
        <f t="array" ref="Q54">-Q39/SQRT(INDEX(_R_1,ROW(A8),ROW(A8))*INDEX(_R_1,COLUMN(A8),COLUMN(A8)))</f>
        <v>-6.3679445720866951E-2</v>
      </c>
      <c r="R54" s="35" cm="1">
        <f t="array" ref="R54">-R39/SQRT(INDEX(_R_1,ROW(B8),ROW(B8))*INDEX(_R_1,COLUMN(B8),COLUMN(B8)))</f>
        <v>-0.13099041163401265</v>
      </c>
      <c r="S54" s="35" cm="1">
        <f t="array" ref="S54">-S39/SQRT(INDEX(_R_1,ROW(C8),ROW(C8))*INDEX(_R_1,COLUMN(C8),COLUMN(C8)))</f>
        <v>-0.17978168726652238</v>
      </c>
      <c r="T54" s="35" cm="1">
        <f t="array" ref="T54">-T39/SQRT(INDEX(_R_1,ROW(D8),ROW(D8))*INDEX(_R_1,COLUMN(D8),COLUMN(D8)))</f>
        <v>-0.15282479015453396</v>
      </c>
      <c r="U54" s="35" cm="1">
        <f t="array" ref="U54">-U39/SQRT(INDEX(_R_1,ROW(E8),ROW(E8))*INDEX(_R_1,COLUMN(E8),COLUMN(E8)))</f>
        <v>-0.19949424355230791</v>
      </c>
      <c r="V54" s="35" cm="1">
        <f t="array" ref="V54">-V39/SQRT(INDEX(_R_1,ROW(F8),ROW(F8))*INDEX(_R_1,COLUMN(F8),COLUMN(F8)))</f>
        <v>-0.10291729732510184</v>
      </c>
      <c r="W54" s="35" cm="1">
        <f t="array" ref="W54">-W39/SQRT(INDEX(_R_1,ROW(G8),ROW(G8))*INDEX(_R_1,COLUMN(G8),COLUMN(G8)))</f>
        <v>0.13112157967771526</v>
      </c>
      <c r="X54" s="35">
        <v>1</v>
      </c>
      <c r="Y54" s="35" cm="1">
        <f t="array" ref="Y54">-Y39/SQRT(INDEX(_R_1,ROW(I8),ROW(I8))*INDEX(_R_1,COLUMN(I8),COLUMN(I8)))</f>
        <v>0.15168426949569855</v>
      </c>
      <c r="Z54" s="35" cm="1">
        <f t="array" ref="Z54">-Z39/SQRT(INDEX(_R_1,ROW(J8),ROW(J8))*INDEX(_R_1,COLUMN(J8),COLUMN(J8)))</f>
        <v>-8.5196770007367598E-2</v>
      </c>
      <c r="AA54" s="35" cm="1">
        <f t="array" ref="AA54">-AA39/SQRT(INDEX(_R_1,ROW(K8),ROW(K8))*INDEX(_R_1,COLUMN(K8),COLUMN(K8)))</f>
        <v>-0.18603018954394468</v>
      </c>
      <c r="AB54" s="35" cm="1">
        <f t="array" ref="AB54">-AB39/SQRT(INDEX(_R_1,ROW(L8),ROW(L8))*INDEX(_R_1,COLUMN(L8),COLUMN(L8)))</f>
        <v>-0.13860787041080358</v>
      </c>
      <c r="AC54" s="35" cm="1">
        <f t="array" ref="AC54">-AC39/SQRT(INDEX(_R_1,ROW(M8),ROW(M8))*INDEX(_R_1,COLUMN(M8),COLUMN(M8)))</f>
        <v>-0.19312835051930127</v>
      </c>
    </row>
    <row r="55" spans="1:29" x14ac:dyDescent="0.4">
      <c r="A55" s="1">
        <v>22859</v>
      </c>
      <c r="B55" s="28">
        <v>0.26742638757173154</v>
      </c>
      <c r="C55" s="28">
        <f t="shared" si="3"/>
        <v>0.39458485751703165</v>
      </c>
      <c r="D55" s="28">
        <f t="shared" si="3"/>
        <v>-0.16379629002392448</v>
      </c>
      <c r="E55" s="28">
        <f t="shared" si="3"/>
        <v>-0.43305858510598227</v>
      </c>
      <c r="F55" s="28">
        <f t="shared" si="3"/>
        <v>-0.36096390507151455</v>
      </c>
      <c r="G55" s="28">
        <f t="shared" si="3"/>
        <v>2.1870907284494479E-2</v>
      </c>
      <c r="H55" s="28">
        <f t="shared" si="3"/>
        <v>-0.35207509145101312</v>
      </c>
      <c r="I55" s="28">
        <f t="shared" si="3"/>
        <v>-0.25806541570699437</v>
      </c>
      <c r="J55" s="28">
        <f t="shared" si="3"/>
        <v>-0.16273071625340663</v>
      </c>
      <c r="K55" s="28">
        <f t="shared" si="3"/>
        <v>0.14498103238048543</v>
      </c>
      <c r="L55" s="28">
        <f t="shared" si="3"/>
        <v>0.694168190850462</v>
      </c>
      <c r="M55" s="28">
        <f t="shared" si="3"/>
        <v>0.3443252946755706</v>
      </c>
      <c r="N55" s="28">
        <f t="shared" si="3"/>
        <v>0.43284305423838987</v>
      </c>
      <c r="P55" s="40">
        <v>-8</v>
      </c>
      <c r="Q55" s="35" cm="1">
        <f t="array" ref="Q55">-Q40/SQRT(INDEX(_R_1,ROW(A9),ROW(A9))*INDEX(_R_1,COLUMN(A9),COLUMN(A9)))</f>
        <v>-0.14767419795517306</v>
      </c>
      <c r="R55" s="35" cm="1">
        <f t="array" ref="R55">-R40/SQRT(INDEX(_R_1,ROW(B9),ROW(B9))*INDEX(_R_1,COLUMN(B9),COLUMN(B9)))</f>
        <v>-4.1004361495712696E-2</v>
      </c>
      <c r="S55" s="35" cm="1">
        <f t="array" ref="S55">-S40/SQRT(INDEX(_R_1,ROW(C9),ROW(C9))*INDEX(_R_1,COLUMN(C9),COLUMN(C9)))</f>
        <v>-0.15433409366279727</v>
      </c>
      <c r="T55" s="35" cm="1">
        <f t="array" ref="T55">-T40/SQRT(INDEX(_R_1,ROW(D9),ROW(D9))*INDEX(_R_1,COLUMN(D9),COLUMN(D9)))</f>
        <v>-0.19065753675895389</v>
      </c>
      <c r="U55" s="35" cm="1">
        <f t="array" ref="U55">-U40/SQRT(INDEX(_R_1,ROW(E9),ROW(E9))*INDEX(_R_1,COLUMN(E9),COLUMN(E9)))</f>
        <v>-0.16037863490835658</v>
      </c>
      <c r="V55" s="35" cm="1">
        <f t="array" ref="V55">-V40/SQRT(INDEX(_R_1,ROW(F9),ROW(F9))*INDEX(_R_1,COLUMN(F9),COLUMN(F9)))</f>
        <v>-0.19924120065685019</v>
      </c>
      <c r="W55" s="35" cm="1">
        <f t="array" ref="W55">-W40/SQRT(INDEX(_R_1,ROW(G9),ROW(G9))*INDEX(_R_1,COLUMN(G9),COLUMN(G9)))</f>
        <v>-0.10438583210470193</v>
      </c>
      <c r="X55" s="35" cm="1">
        <f t="array" ref="X55">-X40/SQRT(INDEX(_R_1,ROW(H9),ROW(H9))*INDEX(_R_1,COLUMN(H9),COLUMN(H9)))</f>
        <v>0.15168426949569863</v>
      </c>
      <c r="Y55" s="35">
        <v>1</v>
      </c>
      <c r="Z55" s="35" cm="1">
        <f t="array" ref="Z55">-Z40/SQRT(INDEX(_R_1,ROW(J9),ROW(J9))*INDEX(_R_1,COLUMN(J9),COLUMN(J9)))</f>
        <v>0.17651905432871989</v>
      </c>
      <c r="AA55" s="35" cm="1">
        <f t="array" ref="AA55">-AA40/SQRT(INDEX(_R_1,ROW(K9),ROW(K9))*INDEX(_R_1,COLUMN(K9),COLUMN(K9)))</f>
        <v>-5.3693397037723745E-2</v>
      </c>
      <c r="AB55" s="35" cm="1">
        <f t="array" ref="AB55">-AB40/SQRT(INDEX(_R_1,ROW(L9),ROW(L9))*INDEX(_R_1,COLUMN(L9),COLUMN(L9)))</f>
        <v>-0.16662287029182588</v>
      </c>
      <c r="AC55" s="35" cm="1">
        <f t="array" ref="AC55">-AC40/SQRT(INDEX(_R_1,ROW(M9),ROW(M9))*INDEX(_R_1,COLUMN(M9),COLUMN(M9)))</f>
        <v>-0.17894405914087913</v>
      </c>
    </row>
    <row r="56" spans="1:29" x14ac:dyDescent="0.4">
      <c r="A56" s="1">
        <v>22890</v>
      </c>
      <c r="B56" s="28">
        <v>0.88265862800886907</v>
      </c>
      <c r="C56" s="28">
        <f t="shared" si="3"/>
        <v>0.26742638757173154</v>
      </c>
      <c r="D56" s="28">
        <f t="shared" si="3"/>
        <v>0.39458485751703165</v>
      </c>
      <c r="E56" s="28">
        <f t="shared" si="3"/>
        <v>-0.16379629002392448</v>
      </c>
      <c r="F56" s="28">
        <f t="shared" si="3"/>
        <v>-0.43305858510598227</v>
      </c>
      <c r="G56" s="28">
        <f t="shared" si="3"/>
        <v>-0.36096390507151455</v>
      </c>
      <c r="H56" s="28">
        <f t="shared" si="3"/>
        <v>2.1870907284494479E-2</v>
      </c>
      <c r="I56" s="28">
        <f t="shared" si="3"/>
        <v>-0.35207509145101312</v>
      </c>
      <c r="J56" s="28">
        <f t="shared" si="3"/>
        <v>-0.25806541570699437</v>
      </c>
      <c r="K56" s="28">
        <f t="shared" si="3"/>
        <v>-0.16273071625340663</v>
      </c>
      <c r="L56" s="28">
        <f t="shared" si="3"/>
        <v>0.14498103238048543</v>
      </c>
      <c r="M56" s="28">
        <f t="shared" si="3"/>
        <v>0.694168190850462</v>
      </c>
      <c r="N56" s="28">
        <f t="shared" si="3"/>
        <v>0.3443252946755706</v>
      </c>
      <c r="P56" s="40">
        <v>-9</v>
      </c>
      <c r="Q56" s="35" cm="1">
        <f t="array" ref="Q56">-Q41/SQRT(INDEX(_R_1,ROW(A10),ROW(A10))*INDEX(_R_1,COLUMN(A10),COLUMN(A10)))</f>
        <v>-0.10080903578994506</v>
      </c>
      <c r="R56" s="35" cm="1">
        <f t="array" ref="R56">-R41/SQRT(INDEX(_R_1,ROW(B10),ROW(B10))*INDEX(_R_1,COLUMN(B10),COLUMN(B10)))</f>
        <v>-0.12996322759780207</v>
      </c>
      <c r="S56" s="35" cm="1">
        <f t="array" ref="S56">-S41/SQRT(INDEX(_R_1,ROW(C10),ROW(C10))*INDEX(_R_1,COLUMN(C10),COLUMN(C10)))</f>
        <v>-6.1165683108285733E-2</v>
      </c>
      <c r="T56" s="35" cm="1">
        <f t="array" ref="T56">-T41/SQRT(INDEX(_R_1,ROW(D10),ROW(D10))*INDEX(_R_1,COLUMN(D10),COLUMN(D10)))</f>
        <v>-0.15789628073386916</v>
      </c>
      <c r="U56" s="35" cm="1">
        <f t="array" ref="U56">-U41/SQRT(INDEX(_R_1,ROW(E10),ROW(E10))*INDEX(_R_1,COLUMN(E10),COLUMN(E10)))</f>
        <v>-0.18725209407016055</v>
      </c>
      <c r="V56" s="35" cm="1">
        <f t="array" ref="V56">-V41/SQRT(INDEX(_R_1,ROW(F10),ROW(F10))*INDEX(_R_1,COLUMN(F10),COLUMN(F10)))</f>
        <v>-0.1570378806245446</v>
      </c>
      <c r="W56" s="35" cm="1">
        <f t="array" ref="W56">-W41/SQRT(INDEX(_R_1,ROW(G10),ROW(G10))*INDEX(_R_1,COLUMN(G10),COLUMN(G10)))</f>
        <v>-0.20396690359806249</v>
      </c>
      <c r="X56" s="35" cm="1">
        <f t="array" ref="X56">-X41/SQRT(INDEX(_R_1,ROW(H10),ROW(H10))*INDEX(_R_1,COLUMN(H10),COLUMN(H10)))</f>
        <v>-8.5196770007367625E-2</v>
      </c>
      <c r="Y56" s="35" cm="1">
        <f t="array" ref="Y56">-Y41/SQRT(INDEX(_R_1,ROW(I10),ROW(I10))*INDEX(_R_1,COLUMN(I10),COLUMN(I10)))</f>
        <v>0.17651905432871989</v>
      </c>
      <c r="Z56" s="35">
        <v>1</v>
      </c>
      <c r="AA56" s="35" cm="1">
        <f t="array" ref="AA56">-AA41/SQRT(INDEX(_R_1,ROW(K10),ROW(K10))*INDEX(_R_1,COLUMN(K10),COLUMN(K10)))</f>
        <v>0.20967923319960316</v>
      </c>
      <c r="AB56" s="35" cm="1">
        <f t="array" ref="AB56">-AB41/SQRT(INDEX(_R_1,ROW(L10),ROW(L10))*INDEX(_R_1,COLUMN(L10),COLUMN(L10)))</f>
        <v>-3.2407923725956432E-2</v>
      </c>
      <c r="AC56" s="35" cm="1">
        <f t="array" ref="AC56">-AC41/SQRT(INDEX(_R_1,ROW(M10),ROW(M10))*INDEX(_R_1,COLUMN(M10),COLUMN(M10)))</f>
        <v>-0.21388314296675487</v>
      </c>
    </row>
    <row r="57" spans="1:29" x14ac:dyDescent="0.4">
      <c r="A57" s="1">
        <v>22920</v>
      </c>
      <c r="B57" s="28">
        <v>0.13416819085034604</v>
      </c>
      <c r="C57" s="28">
        <f t="shared" si="3"/>
        <v>0.88265862800886907</v>
      </c>
      <c r="D57" s="28">
        <f t="shared" si="3"/>
        <v>0.26742638757173154</v>
      </c>
      <c r="E57" s="28">
        <f t="shared" si="3"/>
        <v>0.39458485751703165</v>
      </c>
      <c r="F57" s="28">
        <f t="shared" si="3"/>
        <v>-0.16379629002392448</v>
      </c>
      <c r="G57" s="28">
        <f t="shared" si="3"/>
        <v>-0.43305858510598227</v>
      </c>
      <c r="H57" s="28">
        <f t="shared" si="3"/>
        <v>-0.36096390507151455</v>
      </c>
      <c r="I57" s="28">
        <f t="shared" si="3"/>
        <v>2.1870907284494479E-2</v>
      </c>
      <c r="J57" s="28">
        <f t="shared" si="3"/>
        <v>-0.35207509145101312</v>
      </c>
      <c r="K57" s="28">
        <f t="shared" si="3"/>
        <v>-0.25806541570699437</v>
      </c>
      <c r="L57" s="28">
        <f t="shared" si="3"/>
        <v>-0.16273071625340663</v>
      </c>
      <c r="M57" s="28">
        <f t="shared" si="3"/>
        <v>0.14498103238048543</v>
      </c>
      <c r="N57" s="28">
        <f t="shared" si="3"/>
        <v>0.694168190850462</v>
      </c>
      <c r="P57" s="40">
        <v>-10</v>
      </c>
      <c r="Q57" s="35" cm="1">
        <f t="array" ref="Q57">-Q42/SQRT(INDEX(_R_1,ROW(A11),ROW(A11))*INDEX(_R_1,COLUMN(A11),COLUMN(A11)))</f>
        <v>-8.3379240304233493E-2</v>
      </c>
      <c r="R57" s="35" cm="1">
        <f t="array" ref="R57">-R42/SQRT(INDEX(_R_1,ROW(B11),ROW(B11))*INDEX(_R_1,COLUMN(B11),COLUMN(B11)))</f>
        <v>-8.7642343922087446E-2</v>
      </c>
      <c r="S57" s="35" cm="1">
        <f t="array" ref="S57">-S42/SQRT(INDEX(_R_1,ROW(C11),ROW(C11))*INDEX(_R_1,COLUMN(C11),COLUMN(C11)))</f>
        <v>-0.14926854059454542</v>
      </c>
      <c r="T57" s="35" cm="1">
        <f t="array" ref="T57">-T42/SQRT(INDEX(_R_1,ROW(D11),ROW(D11))*INDEX(_R_1,COLUMN(D11),COLUMN(D11)))</f>
        <v>-6.1325636263049883E-2</v>
      </c>
      <c r="U57" s="35" cm="1">
        <f t="array" ref="U57">-U42/SQRT(INDEX(_R_1,ROW(E11),ROW(E11))*INDEX(_R_1,COLUMN(E11),COLUMN(E11)))</f>
        <v>-0.1442706698391395</v>
      </c>
      <c r="V57" s="35" cm="1">
        <f t="array" ref="V57">-V42/SQRT(INDEX(_R_1,ROW(F11),ROW(F11))*INDEX(_R_1,COLUMN(F11),COLUMN(F11)))</f>
        <v>-0.17381289805328237</v>
      </c>
      <c r="W57" s="35" cm="1">
        <f t="array" ref="W57">-W42/SQRT(INDEX(_R_1,ROW(G11),ROW(G11))*INDEX(_R_1,COLUMN(G11),COLUMN(G11)))</f>
        <v>-0.15675616486665675</v>
      </c>
      <c r="X57" s="35" cm="1">
        <f t="array" ref="X57">-X42/SQRT(INDEX(_R_1,ROW(H11),ROW(H11))*INDEX(_R_1,COLUMN(H11),COLUMN(H11)))</f>
        <v>-0.18603018954394471</v>
      </c>
      <c r="Y57" s="35" cm="1">
        <f t="array" ref="Y57">-Y42/SQRT(INDEX(_R_1,ROW(I11),ROW(I11))*INDEX(_R_1,COLUMN(I11),COLUMN(I11)))</f>
        <v>-5.3693397037723752E-2</v>
      </c>
      <c r="Z57" s="35" cm="1">
        <f t="array" ref="Z57">-Z42/SQRT(INDEX(_R_1,ROW(J11),ROW(J11))*INDEX(_R_1,COLUMN(J11),COLUMN(J11)))</f>
        <v>0.20967923319960327</v>
      </c>
      <c r="AA57" s="35">
        <v>1</v>
      </c>
      <c r="AB57" s="35" cm="1">
        <f t="array" ref="AB57">-AB42/SQRT(INDEX(_R_1,ROW(L11),ROW(L11))*INDEX(_R_1,COLUMN(L11),COLUMN(L11)))</f>
        <v>0.23210094066802381</v>
      </c>
      <c r="AC57" s="35" cm="1">
        <f t="array" ref="AC57">-AC42/SQRT(INDEX(_R_1,ROW(M11),ROW(M11))*INDEX(_R_1,COLUMN(M11),COLUMN(M11)))</f>
        <v>-9.1381841670754749E-2</v>
      </c>
    </row>
    <row r="58" spans="1:29" x14ac:dyDescent="0.4">
      <c r="A58" s="1">
        <v>22951</v>
      </c>
      <c r="B58" s="28">
        <v>4.3731032380492252E-2</v>
      </c>
      <c r="C58" s="28">
        <f t="shared" si="3"/>
        <v>0.13416819085034604</v>
      </c>
      <c r="D58" s="28">
        <f t="shared" si="3"/>
        <v>0.88265862800886907</v>
      </c>
      <c r="E58" s="28">
        <f t="shared" si="3"/>
        <v>0.26742638757173154</v>
      </c>
      <c r="F58" s="28">
        <f t="shared" si="3"/>
        <v>0.39458485751703165</v>
      </c>
      <c r="G58" s="28">
        <f t="shared" si="3"/>
        <v>-0.16379629002392448</v>
      </c>
      <c r="H58" s="28">
        <f t="shared" si="3"/>
        <v>-0.43305858510598227</v>
      </c>
      <c r="I58" s="28">
        <f t="shared" si="3"/>
        <v>-0.36096390507151455</v>
      </c>
      <c r="J58" s="28">
        <f t="shared" si="3"/>
        <v>2.1870907284494479E-2</v>
      </c>
      <c r="K58" s="28">
        <f t="shared" si="3"/>
        <v>-0.35207509145101312</v>
      </c>
      <c r="L58" s="28">
        <f t="shared" si="3"/>
        <v>-0.25806541570699437</v>
      </c>
      <c r="M58" s="28">
        <f t="shared" si="3"/>
        <v>-0.16273071625340663</v>
      </c>
      <c r="N58" s="28">
        <f t="shared" si="3"/>
        <v>0.14498103238048543</v>
      </c>
      <c r="P58" s="40">
        <v>-11</v>
      </c>
      <c r="Q58" s="35" cm="1">
        <f t="array" ref="Q58">-Q43/SQRT(INDEX(_R_1,ROW(A12),ROW(A12))*INDEX(_R_1,COLUMN(A12),COLUMN(A12)))</f>
        <v>4.848814959627553E-2</v>
      </c>
      <c r="R58" s="35" cm="1">
        <f t="array" ref="R58">-R43/SQRT(INDEX(_R_1,ROW(B12),ROW(B12))*INDEX(_R_1,COLUMN(B12),COLUMN(B12)))</f>
        <v>-0.10122171884926305</v>
      </c>
      <c r="S58" s="35" cm="1">
        <f t="array" ref="S58">-S43/SQRT(INDEX(_R_1,ROW(C12),ROW(C12))*INDEX(_R_1,COLUMN(C12),COLUMN(C12)))</f>
        <v>-9.1975321792745382E-2</v>
      </c>
      <c r="T58" s="35" cm="1">
        <f t="array" ref="T58">-T43/SQRT(INDEX(_R_1,ROW(D12),ROW(D12))*INDEX(_R_1,COLUMN(D12),COLUMN(D12)))</f>
        <v>-0.12737282491678314</v>
      </c>
      <c r="U58" s="35" cm="1">
        <f t="array" ref="U58">-U43/SQRT(INDEX(_R_1,ROW(E12),ROW(E12))*INDEX(_R_1,COLUMN(E12),COLUMN(E12)))</f>
        <v>-4.9862289037574968E-2</v>
      </c>
      <c r="V58" s="35" cm="1">
        <f t="array" ref="V58">-V43/SQRT(INDEX(_R_1,ROW(F12),ROW(F12))*INDEX(_R_1,COLUMN(F12),COLUMN(F12)))</f>
        <v>-0.12540546104573186</v>
      </c>
      <c r="W58" s="35" cm="1">
        <f t="array" ref="W58">-W43/SQRT(INDEX(_R_1,ROW(G12),ROW(G12))*INDEX(_R_1,COLUMN(G12),COLUMN(G12)))</f>
        <v>-0.16074231076100906</v>
      </c>
      <c r="X58" s="35" cm="1">
        <f t="array" ref="X58">-X43/SQRT(INDEX(_R_1,ROW(H12),ROW(H12))*INDEX(_R_1,COLUMN(H12),COLUMN(H12)))</f>
        <v>-0.13860787041080347</v>
      </c>
      <c r="Y58" s="35" cm="1">
        <f t="array" ref="Y58">-Y43/SQRT(INDEX(_R_1,ROW(I12),ROW(I12))*INDEX(_R_1,COLUMN(I12),COLUMN(I12)))</f>
        <v>-0.16662287029182588</v>
      </c>
      <c r="Z58" s="35" cm="1">
        <f t="array" ref="Z58">-Z43/SQRT(INDEX(_R_1,ROW(J12),ROW(J12))*INDEX(_R_1,COLUMN(J12),COLUMN(J12)))</f>
        <v>-3.2407923725956418E-2</v>
      </c>
      <c r="AA58" s="35" cm="1">
        <f t="array" ref="AA58">-AA43/SQRT(INDEX(_R_1,ROW(K12),ROW(K12))*INDEX(_R_1,COLUMN(K12),COLUMN(K12)))</f>
        <v>0.23210094066802381</v>
      </c>
      <c r="AB58" s="35">
        <v>1</v>
      </c>
      <c r="AC58" s="35" cm="1">
        <f t="array" ref="AC58">-AC43/SQRT(INDEX(_R_1,ROW(M12),ROW(M12))*INDEX(_R_1,COLUMN(M12),COLUMN(M12)))</f>
        <v>0.22459270487034472</v>
      </c>
    </row>
    <row r="59" spans="1:29" ht="19.5" thickBot="1" x14ac:dyDescent="0.45">
      <c r="A59" s="1">
        <v>22981</v>
      </c>
      <c r="B59" s="28">
        <v>-0.19731404958673693</v>
      </c>
      <c r="C59" s="28">
        <f t="shared" si="3"/>
        <v>4.3731032380492252E-2</v>
      </c>
      <c r="D59" s="28">
        <f t="shared" si="3"/>
        <v>0.13416819085034604</v>
      </c>
      <c r="E59" s="28">
        <f t="shared" si="3"/>
        <v>0.88265862800886907</v>
      </c>
      <c r="F59" s="28">
        <f t="shared" si="3"/>
        <v>0.26742638757173154</v>
      </c>
      <c r="G59" s="28">
        <f t="shared" si="3"/>
        <v>0.39458485751703165</v>
      </c>
      <c r="H59" s="28">
        <f t="shared" si="3"/>
        <v>-0.16379629002392448</v>
      </c>
      <c r="I59" s="28">
        <f t="shared" si="3"/>
        <v>-0.43305858510598227</v>
      </c>
      <c r="J59" s="28">
        <f t="shared" si="3"/>
        <v>-0.36096390507151455</v>
      </c>
      <c r="K59" s="28">
        <f t="shared" si="3"/>
        <v>2.1870907284494479E-2</v>
      </c>
      <c r="L59" s="28">
        <f t="shared" si="3"/>
        <v>-0.35207509145101312</v>
      </c>
      <c r="M59" s="28">
        <f t="shared" si="3"/>
        <v>-0.25806541570699437</v>
      </c>
      <c r="N59" s="28">
        <f t="shared" si="3"/>
        <v>-0.16273071625340663</v>
      </c>
      <c r="P59" s="41">
        <v>-12</v>
      </c>
      <c r="Q59" s="36" cm="1">
        <f t="array" ref="Q59">-Q44/SQRT(INDEX(_R_1,ROW(A13),ROW(A13))*INDEX(_R_1,COLUMN(A13),COLUMN(A13)))</f>
        <v>4.9560886668025876E-2</v>
      </c>
      <c r="R59" s="36" cm="1">
        <f t="array" ref="R59">-R44/SQRT(INDEX(_R_1,ROW(B13),ROW(B13))*INDEX(_R_1,COLUMN(B13),COLUMN(B13)))</f>
        <v>5.0532918621957516E-2</v>
      </c>
      <c r="S59" s="36" cm="1">
        <f t="array" ref="S59">-S44/SQRT(INDEX(_R_1,ROW(C13),ROW(C13))*INDEX(_R_1,COLUMN(C13),COLUMN(C13)))</f>
        <v>-9.1240426695855914E-2</v>
      </c>
      <c r="T59" s="36" cm="1">
        <f t="array" ref="T59">-T44/SQRT(INDEX(_R_1,ROW(D13),ROW(D13))*INDEX(_R_1,COLUMN(D13),COLUMN(D13)))</f>
        <v>-0.10239804497569691</v>
      </c>
      <c r="U59" s="36" cm="1">
        <f t="array" ref="U59">-U44/SQRT(INDEX(_R_1,ROW(E13),ROW(E13))*INDEX(_R_1,COLUMN(E13),COLUMN(E13)))</f>
        <v>-0.14223006393332463</v>
      </c>
      <c r="V59" s="36" cm="1">
        <f t="array" ref="V59">-V44/SQRT(INDEX(_R_1,ROW(F13),ROW(F13))*INDEX(_R_1,COLUMN(F13),COLUMN(F13)))</f>
        <v>-7.8939531008554012E-2</v>
      </c>
      <c r="W59" s="36" cm="1">
        <f t="array" ref="W59">-W44/SQRT(INDEX(_R_1,ROW(G13),ROW(G13))*INDEX(_R_1,COLUMN(G13),COLUMN(G13)))</f>
        <v>-0.14744495605467228</v>
      </c>
      <c r="X59" s="36" cm="1">
        <f t="array" ref="X59">-X44/SQRT(INDEX(_R_1,ROW(H13),ROW(H13))*INDEX(_R_1,COLUMN(H13),COLUMN(H13)))</f>
        <v>-0.19312835051930127</v>
      </c>
      <c r="Y59" s="36" cm="1">
        <f t="array" ref="Y59">-Y44/SQRT(INDEX(_R_1,ROW(I13),ROW(I13))*INDEX(_R_1,COLUMN(I13),COLUMN(I13)))</f>
        <v>-0.17894405914087913</v>
      </c>
      <c r="Z59" s="36" cm="1">
        <f t="array" ref="Z59">-Z44/SQRT(INDEX(_R_1,ROW(J13),ROW(J13))*INDEX(_R_1,COLUMN(J13),COLUMN(J13)))</f>
        <v>-0.21388314296675487</v>
      </c>
      <c r="AA59" s="36" cm="1">
        <f t="array" ref="AA59">-AA44/SQRT(INDEX(_R_1,ROW(K13),ROW(K13))*INDEX(_R_1,COLUMN(K13),COLUMN(K13)))</f>
        <v>-9.1381841670754749E-2</v>
      </c>
      <c r="AB59" s="36" cm="1">
        <f t="array" ref="AB59">-AB44/SQRT(INDEX(_R_1,ROW(L13),ROW(L13))*INDEX(_R_1,COLUMN(L13),COLUMN(L13)))</f>
        <v>0.22459270487034472</v>
      </c>
      <c r="AC59" s="36">
        <v>1</v>
      </c>
    </row>
    <row r="60" spans="1:29" x14ac:dyDescent="0.4">
      <c r="A60" s="1">
        <v>23012</v>
      </c>
      <c r="B60" s="28">
        <v>-0.14514874904034514</v>
      </c>
      <c r="C60" s="28">
        <f t="shared" si="3"/>
        <v>-0.19731404958673693</v>
      </c>
      <c r="D60" s="28">
        <f t="shared" si="3"/>
        <v>4.3731032380492252E-2</v>
      </c>
      <c r="E60" s="28">
        <f t="shared" si="3"/>
        <v>0.13416819085034604</v>
      </c>
      <c r="F60" s="28">
        <f t="shared" si="3"/>
        <v>0.88265862800886907</v>
      </c>
      <c r="G60" s="28">
        <f t="shared" si="3"/>
        <v>0.26742638757173154</v>
      </c>
      <c r="H60" s="28">
        <f t="shared" si="3"/>
        <v>0.39458485751703165</v>
      </c>
      <c r="I60" s="28">
        <f t="shared" si="3"/>
        <v>-0.16379629002392448</v>
      </c>
      <c r="J60" s="28">
        <f t="shared" si="3"/>
        <v>-0.43305858510598227</v>
      </c>
      <c r="K60" s="28">
        <f t="shared" si="3"/>
        <v>-0.36096390507151455</v>
      </c>
      <c r="L60" s="28">
        <f t="shared" si="3"/>
        <v>2.1870907284494479E-2</v>
      </c>
      <c r="M60" s="28">
        <f t="shared" si="3"/>
        <v>-0.35207509145101312</v>
      </c>
      <c r="N60" s="28">
        <f t="shared" si="3"/>
        <v>-0.25806541570699437</v>
      </c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x14ac:dyDescent="0.4">
      <c r="A61" s="1">
        <v>23043</v>
      </c>
      <c r="B61" s="28">
        <v>-0.47124175811768509</v>
      </c>
      <c r="C61" s="28">
        <f t="shared" ref="C61:N124" si="4">IF(B60=0,"",B60)</f>
        <v>-0.14514874904034514</v>
      </c>
      <c r="D61" s="28">
        <f t="shared" si="4"/>
        <v>-0.19731404958673693</v>
      </c>
      <c r="E61" s="28">
        <f t="shared" si="4"/>
        <v>4.3731032380492252E-2</v>
      </c>
      <c r="F61" s="28">
        <f t="shared" si="4"/>
        <v>0.13416819085034604</v>
      </c>
      <c r="G61" s="28">
        <f t="shared" si="4"/>
        <v>0.88265862800886907</v>
      </c>
      <c r="H61" s="28">
        <f t="shared" si="4"/>
        <v>0.26742638757173154</v>
      </c>
      <c r="I61" s="28">
        <f t="shared" si="4"/>
        <v>0.39458485751703165</v>
      </c>
      <c r="J61" s="28">
        <f t="shared" si="4"/>
        <v>-0.16379629002392448</v>
      </c>
      <c r="K61" s="28">
        <f t="shared" si="4"/>
        <v>-0.43305858510598227</v>
      </c>
      <c r="L61" s="28">
        <f t="shared" si="4"/>
        <v>-0.36096390507151455</v>
      </c>
      <c r="M61" s="28">
        <f t="shared" si="4"/>
        <v>2.1870907284494479E-2</v>
      </c>
      <c r="N61" s="28">
        <f t="shared" si="4"/>
        <v>-0.35207509145101312</v>
      </c>
    </row>
    <row r="62" spans="1:29" x14ac:dyDescent="0.4">
      <c r="A62" s="1">
        <v>23071</v>
      </c>
      <c r="B62" s="28">
        <v>-0.37312909271554418</v>
      </c>
      <c r="C62" s="28">
        <f t="shared" si="4"/>
        <v>-0.47124175811768509</v>
      </c>
      <c r="D62" s="28">
        <f t="shared" si="4"/>
        <v>-0.14514874904034514</v>
      </c>
      <c r="E62" s="28">
        <f t="shared" si="4"/>
        <v>-0.19731404958673693</v>
      </c>
      <c r="F62" s="28">
        <f t="shared" si="4"/>
        <v>4.3731032380492252E-2</v>
      </c>
      <c r="G62" s="28">
        <f t="shared" si="4"/>
        <v>0.13416819085034604</v>
      </c>
      <c r="H62" s="28">
        <f t="shared" si="4"/>
        <v>0.88265862800886907</v>
      </c>
      <c r="I62" s="28">
        <f t="shared" si="4"/>
        <v>0.26742638757173154</v>
      </c>
      <c r="J62" s="28">
        <f t="shared" si="4"/>
        <v>0.39458485751703165</v>
      </c>
      <c r="K62" s="28">
        <f t="shared" si="4"/>
        <v>-0.16379629002392448</v>
      </c>
      <c r="L62" s="28">
        <f t="shared" si="4"/>
        <v>-0.43305858510598227</v>
      </c>
      <c r="M62" s="28">
        <f t="shared" si="4"/>
        <v>-0.36096390507151455</v>
      </c>
      <c r="N62" s="28">
        <f t="shared" si="4"/>
        <v>2.1870907284494479E-2</v>
      </c>
    </row>
    <row r="63" spans="1:29" x14ac:dyDescent="0.4">
      <c r="A63" s="1">
        <v>23102</v>
      </c>
      <c r="B63" s="28">
        <v>-9.0963905071589579E-2</v>
      </c>
      <c r="C63" s="28">
        <f t="shared" si="4"/>
        <v>-0.37312909271554418</v>
      </c>
      <c r="D63" s="28">
        <f t="shared" si="4"/>
        <v>-0.47124175811768509</v>
      </c>
      <c r="E63" s="28">
        <f t="shared" si="4"/>
        <v>-0.14514874904034514</v>
      </c>
      <c r="F63" s="28">
        <f t="shared" si="4"/>
        <v>-0.19731404958673693</v>
      </c>
      <c r="G63" s="28">
        <f t="shared" si="4"/>
        <v>4.3731032380492252E-2</v>
      </c>
      <c r="H63" s="28">
        <f t="shared" si="4"/>
        <v>0.13416819085034604</v>
      </c>
      <c r="I63" s="28">
        <f t="shared" si="4"/>
        <v>0.88265862800886907</v>
      </c>
      <c r="J63" s="28">
        <f t="shared" si="4"/>
        <v>0.26742638757173154</v>
      </c>
      <c r="K63" s="28">
        <f t="shared" si="4"/>
        <v>0.39458485751703165</v>
      </c>
      <c r="L63" s="28">
        <f t="shared" si="4"/>
        <v>-0.16379629002392448</v>
      </c>
      <c r="M63" s="28">
        <f t="shared" si="4"/>
        <v>-0.43305858510598227</v>
      </c>
      <c r="N63" s="28">
        <f t="shared" si="4"/>
        <v>-0.36096390507151455</v>
      </c>
    </row>
    <row r="64" spans="1:29" x14ac:dyDescent="0.4">
      <c r="A64" s="1">
        <v>23132</v>
      </c>
      <c r="B64" s="28">
        <v>0.24652474822744352</v>
      </c>
      <c r="C64" s="28">
        <f t="shared" si="4"/>
        <v>-9.0963905071589579E-2</v>
      </c>
      <c r="D64" s="28">
        <f t="shared" si="4"/>
        <v>-0.37312909271554418</v>
      </c>
      <c r="E64" s="28">
        <f t="shared" si="4"/>
        <v>-0.47124175811768509</v>
      </c>
      <c r="F64" s="28">
        <f t="shared" si="4"/>
        <v>-0.14514874904034514</v>
      </c>
      <c r="G64" s="28">
        <f t="shared" si="4"/>
        <v>-0.19731404958673693</v>
      </c>
      <c r="H64" s="28">
        <f t="shared" si="4"/>
        <v>4.3731032380492252E-2</v>
      </c>
      <c r="I64" s="28">
        <f t="shared" si="4"/>
        <v>0.13416819085034604</v>
      </c>
      <c r="J64" s="28">
        <f t="shared" si="4"/>
        <v>0.88265862800886907</v>
      </c>
      <c r="K64" s="28">
        <f t="shared" si="4"/>
        <v>0.26742638757173154</v>
      </c>
      <c r="L64" s="28">
        <f t="shared" si="4"/>
        <v>0.39458485751703165</v>
      </c>
      <c r="M64" s="28">
        <f t="shared" si="4"/>
        <v>-0.16379629002392448</v>
      </c>
      <c r="N64" s="28">
        <f t="shared" si="4"/>
        <v>-0.43305858510598227</v>
      </c>
    </row>
    <row r="65" spans="1:14" x14ac:dyDescent="0.4">
      <c r="A65" s="1">
        <v>23163</v>
      </c>
      <c r="B65" s="28">
        <v>0.15620370997601185</v>
      </c>
      <c r="C65" s="28">
        <f t="shared" si="4"/>
        <v>0.24652474822744352</v>
      </c>
      <c r="D65" s="28">
        <f t="shared" si="4"/>
        <v>-9.0963905071589579E-2</v>
      </c>
      <c r="E65" s="28">
        <f t="shared" si="4"/>
        <v>-0.37312909271554418</v>
      </c>
      <c r="F65" s="28">
        <f t="shared" si="4"/>
        <v>-0.47124175811768509</v>
      </c>
      <c r="G65" s="28">
        <f t="shared" si="4"/>
        <v>-0.14514874904034514</v>
      </c>
      <c r="H65" s="28">
        <f t="shared" si="4"/>
        <v>-0.19731404958673693</v>
      </c>
      <c r="I65" s="28">
        <f t="shared" si="4"/>
        <v>4.3731032380492252E-2</v>
      </c>
      <c r="J65" s="28">
        <f t="shared" si="4"/>
        <v>0.13416819085034604</v>
      </c>
      <c r="K65" s="28">
        <f t="shared" si="4"/>
        <v>0.88265862800886907</v>
      </c>
      <c r="L65" s="28">
        <f t="shared" si="4"/>
        <v>0.26742638757173154</v>
      </c>
      <c r="M65" s="28">
        <f t="shared" si="4"/>
        <v>0.39458485751703165</v>
      </c>
      <c r="N65" s="28">
        <f t="shared" si="4"/>
        <v>-0.16379629002392448</v>
      </c>
    </row>
    <row r="66" spans="1:14" x14ac:dyDescent="0.4">
      <c r="A66" s="1">
        <v>23193</v>
      </c>
      <c r="B66" s="28">
        <v>-1.4998475816298651E-2</v>
      </c>
      <c r="C66" s="28">
        <f t="shared" si="4"/>
        <v>0.15620370997601185</v>
      </c>
      <c r="D66" s="28">
        <f t="shared" si="4"/>
        <v>0.24652474822744352</v>
      </c>
      <c r="E66" s="28">
        <f t="shared" si="4"/>
        <v>-9.0963905071589579E-2</v>
      </c>
      <c r="F66" s="28">
        <f t="shared" si="4"/>
        <v>-0.37312909271554418</v>
      </c>
      <c r="G66" s="28">
        <f t="shared" si="4"/>
        <v>-0.47124175811768509</v>
      </c>
      <c r="H66" s="28">
        <f t="shared" si="4"/>
        <v>-0.14514874904034514</v>
      </c>
      <c r="I66" s="28">
        <f t="shared" si="4"/>
        <v>-0.19731404958673693</v>
      </c>
      <c r="J66" s="28">
        <f t="shared" si="4"/>
        <v>4.3731032380492252E-2</v>
      </c>
      <c r="K66" s="28">
        <f t="shared" si="4"/>
        <v>0.13416819085034604</v>
      </c>
      <c r="L66" s="28">
        <f t="shared" si="4"/>
        <v>0.88265862800886907</v>
      </c>
      <c r="M66" s="28">
        <f t="shared" si="4"/>
        <v>0.26742638757173154</v>
      </c>
      <c r="N66" s="28">
        <f t="shared" si="4"/>
        <v>0.39458485751703165</v>
      </c>
    </row>
    <row r="67" spans="1:14" x14ac:dyDescent="0.4">
      <c r="A67" s="1">
        <v>23224</v>
      </c>
      <c r="B67" s="28">
        <v>6.8710822833395468E-2</v>
      </c>
      <c r="C67" s="28">
        <f t="shared" si="4"/>
        <v>-1.4998475816298651E-2</v>
      </c>
      <c r="D67" s="28">
        <f t="shared" si="4"/>
        <v>0.15620370997601185</v>
      </c>
      <c r="E67" s="28">
        <f t="shared" si="4"/>
        <v>0.24652474822744352</v>
      </c>
      <c r="F67" s="28">
        <f t="shared" si="4"/>
        <v>-9.0963905071589579E-2</v>
      </c>
      <c r="G67" s="28">
        <f t="shared" si="4"/>
        <v>-0.37312909271554418</v>
      </c>
      <c r="H67" s="28">
        <f t="shared" si="4"/>
        <v>-0.47124175811768509</v>
      </c>
      <c r="I67" s="28">
        <f t="shared" si="4"/>
        <v>-0.14514874904034514</v>
      </c>
      <c r="J67" s="28">
        <f t="shared" si="4"/>
        <v>-0.19731404958673693</v>
      </c>
      <c r="K67" s="28">
        <f t="shared" si="4"/>
        <v>4.3731032380492252E-2</v>
      </c>
      <c r="L67" s="28">
        <f t="shared" si="4"/>
        <v>0.13416819085034604</v>
      </c>
      <c r="M67" s="28">
        <f t="shared" si="4"/>
        <v>0.88265862800886907</v>
      </c>
      <c r="N67" s="28">
        <f t="shared" si="4"/>
        <v>0.26742638757173154</v>
      </c>
    </row>
    <row r="68" spans="1:14" x14ac:dyDescent="0.4">
      <c r="A68" s="1">
        <v>23255</v>
      </c>
      <c r="B68" s="28">
        <v>0.21006565280225686</v>
      </c>
      <c r="C68" s="28">
        <f t="shared" si="4"/>
        <v>6.8710822833395468E-2</v>
      </c>
      <c r="D68" s="28">
        <f t="shared" si="4"/>
        <v>-1.4998475816298651E-2</v>
      </c>
      <c r="E68" s="28">
        <f t="shared" si="4"/>
        <v>0.15620370997601185</v>
      </c>
      <c r="F68" s="28">
        <f t="shared" si="4"/>
        <v>0.24652474822744352</v>
      </c>
      <c r="G68" s="28">
        <f t="shared" si="4"/>
        <v>-9.0963905071589579E-2</v>
      </c>
      <c r="H68" s="28">
        <f t="shared" si="4"/>
        <v>-0.37312909271554418</v>
      </c>
      <c r="I68" s="28">
        <f t="shared" si="4"/>
        <v>-0.47124175811768509</v>
      </c>
      <c r="J68" s="28">
        <f t="shared" si="4"/>
        <v>-0.14514874904034514</v>
      </c>
      <c r="K68" s="28">
        <f t="shared" si="4"/>
        <v>-0.19731404958673693</v>
      </c>
      <c r="L68" s="28">
        <f t="shared" si="4"/>
        <v>4.3731032380492252E-2</v>
      </c>
      <c r="M68" s="28">
        <f t="shared" si="4"/>
        <v>0.13416819085034604</v>
      </c>
      <c r="N68" s="28">
        <f t="shared" si="4"/>
        <v>0.88265862800886907</v>
      </c>
    </row>
    <row r="69" spans="1:14" x14ac:dyDescent="0.4">
      <c r="A69" s="1">
        <v>23285</v>
      </c>
      <c r="B69" s="28">
        <v>6.045262611206681E-2</v>
      </c>
      <c r="C69" s="28">
        <f t="shared" si="4"/>
        <v>0.21006565280225686</v>
      </c>
      <c r="D69" s="28">
        <f t="shared" si="4"/>
        <v>6.8710822833395468E-2</v>
      </c>
      <c r="E69" s="28">
        <f t="shared" si="4"/>
        <v>-1.4998475816298651E-2</v>
      </c>
      <c r="F69" s="28">
        <f t="shared" si="4"/>
        <v>0.15620370997601185</v>
      </c>
      <c r="G69" s="28">
        <f t="shared" si="4"/>
        <v>0.24652474822744352</v>
      </c>
      <c r="H69" s="28">
        <f t="shared" si="4"/>
        <v>-9.0963905071589579E-2</v>
      </c>
      <c r="I69" s="28">
        <f t="shared" si="4"/>
        <v>-0.37312909271554418</v>
      </c>
      <c r="J69" s="28">
        <f t="shared" si="4"/>
        <v>-0.47124175811768509</v>
      </c>
      <c r="K69" s="28">
        <f t="shared" si="4"/>
        <v>-0.14514874904034514</v>
      </c>
      <c r="L69" s="28">
        <f t="shared" si="4"/>
        <v>-0.19731404958673693</v>
      </c>
      <c r="M69" s="28">
        <f t="shared" si="4"/>
        <v>4.3731032380492252E-2</v>
      </c>
      <c r="N69" s="28">
        <f t="shared" si="4"/>
        <v>0.13416819085034604</v>
      </c>
    </row>
    <row r="70" spans="1:14" x14ac:dyDescent="0.4">
      <c r="A70" s="1">
        <v>23316</v>
      </c>
      <c r="B70" s="28">
        <v>-0.14427860949280102</v>
      </c>
      <c r="C70" s="28">
        <f t="shared" si="4"/>
        <v>6.045262611206681E-2</v>
      </c>
      <c r="D70" s="28">
        <f t="shared" si="4"/>
        <v>0.21006565280225686</v>
      </c>
      <c r="E70" s="28">
        <f t="shared" si="4"/>
        <v>6.8710822833395468E-2</v>
      </c>
      <c r="F70" s="28">
        <f t="shared" si="4"/>
        <v>-1.4998475816298651E-2</v>
      </c>
      <c r="G70" s="28">
        <f t="shared" si="4"/>
        <v>0.15620370997601185</v>
      </c>
      <c r="H70" s="28">
        <f t="shared" si="4"/>
        <v>0.24652474822744352</v>
      </c>
      <c r="I70" s="28">
        <f t="shared" si="4"/>
        <v>-9.0963905071589579E-2</v>
      </c>
      <c r="J70" s="28">
        <f t="shared" si="4"/>
        <v>-0.37312909271554418</v>
      </c>
      <c r="K70" s="28">
        <f t="shared" si="4"/>
        <v>-0.47124175811768509</v>
      </c>
      <c r="L70" s="28">
        <f t="shared" si="4"/>
        <v>-0.14514874904034514</v>
      </c>
      <c r="M70" s="28">
        <f t="shared" si="4"/>
        <v>-0.19731404958673693</v>
      </c>
      <c r="N70" s="28">
        <f t="shared" si="4"/>
        <v>4.3731032380492252E-2</v>
      </c>
    </row>
    <row r="71" spans="1:14" x14ac:dyDescent="0.4">
      <c r="A71" s="1">
        <v>23346</v>
      </c>
      <c r="B71" s="28">
        <v>-4.5740358126636238E-2</v>
      </c>
      <c r="C71" s="28">
        <f t="shared" si="4"/>
        <v>-0.14427860949280102</v>
      </c>
      <c r="D71" s="28">
        <f t="shared" si="4"/>
        <v>6.045262611206681E-2</v>
      </c>
      <c r="E71" s="28">
        <f t="shared" si="4"/>
        <v>0.21006565280225686</v>
      </c>
      <c r="F71" s="28">
        <f t="shared" si="4"/>
        <v>6.8710822833395468E-2</v>
      </c>
      <c r="G71" s="28">
        <f t="shared" si="4"/>
        <v>-1.4998475816298651E-2</v>
      </c>
      <c r="H71" s="28">
        <f t="shared" si="4"/>
        <v>0.15620370997601185</v>
      </c>
      <c r="I71" s="28">
        <f t="shared" si="4"/>
        <v>0.24652474822744352</v>
      </c>
      <c r="J71" s="28">
        <f t="shared" si="4"/>
        <v>-9.0963905071589579E-2</v>
      </c>
      <c r="K71" s="28">
        <f t="shared" si="4"/>
        <v>-0.37312909271554418</v>
      </c>
      <c r="L71" s="28">
        <f t="shared" si="4"/>
        <v>-0.47124175811768509</v>
      </c>
      <c r="M71" s="28">
        <f t="shared" si="4"/>
        <v>-0.14514874904034514</v>
      </c>
      <c r="N71" s="28">
        <f t="shared" si="4"/>
        <v>-0.19731404958673693</v>
      </c>
    </row>
    <row r="72" spans="1:14" x14ac:dyDescent="0.4">
      <c r="A72" s="1">
        <v>23377</v>
      </c>
      <c r="B72" s="28">
        <v>0.18142494241971008</v>
      </c>
      <c r="C72" s="28">
        <f t="shared" si="4"/>
        <v>-4.5740358126636238E-2</v>
      </c>
      <c r="D72" s="28">
        <f t="shared" si="4"/>
        <v>-0.14427860949280102</v>
      </c>
      <c r="E72" s="28">
        <f t="shared" si="4"/>
        <v>6.045262611206681E-2</v>
      </c>
      <c r="F72" s="28">
        <f t="shared" si="4"/>
        <v>0.21006565280225686</v>
      </c>
      <c r="G72" s="28">
        <f t="shared" si="4"/>
        <v>6.8710822833395468E-2</v>
      </c>
      <c r="H72" s="28">
        <f t="shared" si="4"/>
        <v>-1.4998475816298651E-2</v>
      </c>
      <c r="I72" s="28">
        <f t="shared" si="4"/>
        <v>0.15620370997601185</v>
      </c>
      <c r="J72" s="28">
        <f t="shared" si="4"/>
        <v>0.24652474822744352</v>
      </c>
      <c r="K72" s="28">
        <f t="shared" si="4"/>
        <v>-9.0963905071589579E-2</v>
      </c>
      <c r="L72" s="28">
        <f t="shared" si="4"/>
        <v>-0.37312909271554418</v>
      </c>
      <c r="M72" s="28">
        <f t="shared" si="4"/>
        <v>-0.47124175811768509</v>
      </c>
      <c r="N72" s="28">
        <f t="shared" si="4"/>
        <v>-0.14514874904034514</v>
      </c>
    </row>
    <row r="73" spans="1:14" x14ac:dyDescent="0.4">
      <c r="A73" s="1">
        <v>23408</v>
      </c>
      <c r="B73" s="29">
        <v>0.16783882039476339</v>
      </c>
      <c r="C73" s="28">
        <f t="shared" si="4"/>
        <v>0.18142494241971008</v>
      </c>
      <c r="D73" s="28">
        <f t="shared" si="4"/>
        <v>-4.5740358126636238E-2</v>
      </c>
      <c r="E73" s="28">
        <f t="shared" si="4"/>
        <v>-0.14427860949280102</v>
      </c>
      <c r="F73" s="28">
        <f t="shared" si="4"/>
        <v>6.045262611206681E-2</v>
      </c>
      <c r="G73" s="28">
        <f t="shared" si="4"/>
        <v>0.21006565280225686</v>
      </c>
      <c r="H73" s="28">
        <f t="shared" si="4"/>
        <v>6.8710822833395468E-2</v>
      </c>
      <c r="I73" s="28">
        <f t="shared" si="4"/>
        <v>-1.4998475816298651E-2</v>
      </c>
      <c r="J73" s="28">
        <f t="shared" si="4"/>
        <v>0.15620370997601185</v>
      </c>
      <c r="K73" s="28">
        <f t="shared" si="4"/>
        <v>0.24652474822744352</v>
      </c>
      <c r="L73" s="28">
        <f t="shared" si="4"/>
        <v>-9.0963905071589579E-2</v>
      </c>
      <c r="M73" s="28">
        <f t="shared" si="4"/>
        <v>-0.37312909271554418</v>
      </c>
      <c r="N73" s="28">
        <f t="shared" si="4"/>
        <v>-0.47124175811768509</v>
      </c>
    </row>
    <row r="74" spans="1:14" x14ac:dyDescent="0.4">
      <c r="A74" s="1">
        <v>23437</v>
      </c>
      <c r="B74" s="29">
        <v>7.5662229598492559E-2</v>
      </c>
      <c r="C74" s="28">
        <f t="shared" si="4"/>
        <v>0.16783882039476339</v>
      </c>
      <c r="D74" s="28">
        <f t="shared" si="4"/>
        <v>0.18142494241971008</v>
      </c>
      <c r="E74" s="28">
        <f t="shared" si="4"/>
        <v>-4.5740358126636238E-2</v>
      </c>
      <c r="F74" s="28">
        <f t="shared" si="4"/>
        <v>-0.14427860949280102</v>
      </c>
      <c r="G74" s="28">
        <f t="shared" si="4"/>
        <v>6.045262611206681E-2</v>
      </c>
      <c r="H74" s="28">
        <f t="shared" si="4"/>
        <v>0.21006565280225686</v>
      </c>
      <c r="I74" s="28">
        <f t="shared" si="4"/>
        <v>6.8710822833395468E-2</v>
      </c>
      <c r="J74" s="28">
        <f t="shared" si="4"/>
        <v>-1.4998475816298651E-2</v>
      </c>
      <c r="K74" s="28">
        <f t="shared" si="4"/>
        <v>0.15620370997601185</v>
      </c>
      <c r="L74" s="28">
        <f t="shared" si="4"/>
        <v>0.24652474822744352</v>
      </c>
      <c r="M74" s="28">
        <f t="shared" si="4"/>
        <v>-9.0963905071589579E-2</v>
      </c>
      <c r="N74" s="28">
        <f t="shared" si="4"/>
        <v>-0.37312909271554418</v>
      </c>
    </row>
    <row r="75" spans="1:14" x14ac:dyDescent="0.4">
      <c r="A75" s="1">
        <v>23468</v>
      </c>
      <c r="B75" s="29">
        <v>-0.50799902903844441</v>
      </c>
      <c r="C75" s="28">
        <f t="shared" si="4"/>
        <v>7.5662229598492559E-2</v>
      </c>
      <c r="D75" s="28">
        <f t="shared" si="4"/>
        <v>0.16783882039476339</v>
      </c>
      <c r="E75" s="28">
        <f t="shared" si="4"/>
        <v>0.18142494241971008</v>
      </c>
      <c r="F75" s="28">
        <f t="shared" si="4"/>
        <v>-4.5740358126636238E-2</v>
      </c>
      <c r="G75" s="28">
        <f t="shared" si="4"/>
        <v>-0.14427860949280102</v>
      </c>
      <c r="H75" s="28">
        <f t="shared" si="4"/>
        <v>6.045262611206681E-2</v>
      </c>
      <c r="I75" s="28">
        <f t="shared" si="4"/>
        <v>0.21006565280225686</v>
      </c>
      <c r="J75" s="28">
        <f t="shared" si="4"/>
        <v>6.8710822833395468E-2</v>
      </c>
      <c r="K75" s="28">
        <f t="shared" si="4"/>
        <v>-1.4998475816298651E-2</v>
      </c>
      <c r="L75" s="28">
        <f t="shared" si="4"/>
        <v>0.15620370997601185</v>
      </c>
      <c r="M75" s="28">
        <f t="shared" si="4"/>
        <v>0.24652474822744352</v>
      </c>
      <c r="N75" s="28">
        <f t="shared" si="4"/>
        <v>-9.0963905071589579E-2</v>
      </c>
    </row>
    <row r="76" spans="1:14" x14ac:dyDescent="0.4">
      <c r="A76" s="1">
        <v>23498</v>
      </c>
      <c r="B76" s="28">
        <v>-0.39606822697919597</v>
      </c>
      <c r="C76" s="28">
        <f t="shared" si="4"/>
        <v>-0.50799902903844441</v>
      </c>
      <c r="D76" s="28">
        <f t="shared" si="4"/>
        <v>7.5662229598492559E-2</v>
      </c>
      <c r="E76" s="28">
        <f t="shared" si="4"/>
        <v>0.16783882039476339</v>
      </c>
      <c r="F76" s="28">
        <f t="shared" si="4"/>
        <v>0.18142494241971008</v>
      </c>
      <c r="G76" s="28">
        <f t="shared" si="4"/>
        <v>-4.5740358126636238E-2</v>
      </c>
      <c r="H76" s="28">
        <f t="shared" si="4"/>
        <v>-0.14427860949280102</v>
      </c>
      <c r="I76" s="28">
        <f t="shared" si="4"/>
        <v>6.045262611206681E-2</v>
      </c>
      <c r="J76" s="28">
        <f t="shared" si="4"/>
        <v>0.21006565280225686</v>
      </c>
      <c r="K76" s="28">
        <f t="shared" si="4"/>
        <v>6.8710822833395468E-2</v>
      </c>
      <c r="L76" s="28">
        <f t="shared" si="4"/>
        <v>-1.4998475816298651E-2</v>
      </c>
      <c r="M76" s="28">
        <f t="shared" si="4"/>
        <v>0.15620370997601185</v>
      </c>
      <c r="N76" s="28">
        <f t="shared" si="4"/>
        <v>0.24652474822744352</v>
      </c>
    </row>
    <row r="77" spans="1:14" x14ac:dyDescent="0.4">
      <c r="A77" s="1">
        <v>23529</v>
      </c>
      <c r="B77" s="28">
        <v>-8.3889265230595811E-2</v>
      </c>
      <c r="C77" s="28">
        <f t="shared" si="4"/>
        <v>-0.39606822697919597</v>
      </c>
      <c r="D77" s="28">
        <f t="shared" si="4"/>
        <v>-0.50799902903844441</v>
      </c>
      <c r="E77" s="28">
        <f t="shared" si="4"/>
        <v>7.5662229598492559E-2</v>
      </c>
      <c r="F77" s="28">
        <f t="shared" si="4"/>
        <v>0.16783882039476339</v>
      </c>
      <c r="G77" s="28">
        <f t="shared" si="4"/>
        <v>0.18142494241971008</v>
      </c>
      <c r="H77" s="28">
        <f t="shared" si="4"/>
        <v>-4.5740358126636238E-2</v>
      </c>
      <c r="I77" s="28">
        <f t="shared" si="4"/>
        <v>-0.14427860949280102</v>
      </c>
      <c r="J77" s="28">
        <f t="shared" si="4"/>
        <v>6.045262611206681E-2</v>
      </c>
      <c r="K77" s="28">
        <f t="shared" si="4"/>
        <v>0.21006565280225686</v>
      </c>
      <c r="L77" s="28">
        <f t="shared" si="4"/>
        <v>6.8710822833395468E-2</v>
      </c>
      <c r="M77" s="28">
        <f t="shared" si="4"/>
        <v>-1.4998475816298651E-2</v>
      </c>
      <c r="N77" s="28">
        <f t="shared" si="4"/>
        <v>0.15620370997601185</v>
      </c>
    </row>
    <row r="78" spans="1:14" x14ac:dyDescent="0.4">
      <c r="A78" s="1">
        <v>23559</v>
      </c>
      <c r="B78" s="28">
        <v>8.6991882310428537E-2</v>
      </c>
      <c r="C78" s="28">
        <f t="shared" si="4"/>
        <v>-8.3889265230595811E-2</v>
      </c>
      <c r="D78" s="28">
        <f t="shared" si="4"/>
        <v>-0.39606822697919597</v>
      </c>
      <c r="E78" s="28">
        <f t="shared" si="4"/>
        <v>-0.50799902903844441</v>
      </c>
      <c r="F78" s="28">
        <f t="shared" si="4"/>
        <v>7.5662229598492559E-2</v>
      </c>
      <c r="G78" s="28">
        <f t="shared" si="4"/>
        <v>0.16783882039476339</v>
      </c>
      <c r="H78" s="28">
        <f t="shared" si="4"/>
        <v>0.18142494241971008</v>
      </c>
      <c r="I78" s="28">
        <f t="shared" si="4"/>
        <v>-4.5740358126636238E-2</v>
      </c>
      <c r="J78" s="28">
        <f t="shared" si="4"/>
        <v>-0.14427860949280102</v>
      </c>
      <c r="K78" s="28">
        <f t="shared" si="4"/>
        <v>6.045262611206681E-2</v>
      </c>
      <c r="L78" s="28">
        <f t="shared" si="4"/>
        <v>0.21006565280225686</v>
      </c>
      <c r="M78" s="28">
        <f t="shared" si="4"/>
        <v>6.8710822833395468E-2</v>
      </c>
      <c r="N78" s="28">
        <f t="shared" si="4"/>
        <v>-1.4998475816298651E-2</v>
      </c>
    </row>
    <row r="79" spans="1:14" x14ac:dyDescent="0.4">
      <c r="A79" s="1">
        <v>23590</v>
      </c>
      <c r="B79" s="28">
        <v>0.4727156437700728</v>
      </c>
      <c r="C79" s="28">
        <f t="shared" si="4"/>
        <v>8.6991882310428537E-2</v>
      </c>
      <c r="D79" s="28">
        <f t="shared" si="4"/>
        <v>-8.3889265230595811E-2</v>
      </c>
      <c r="E79" s="28">
        <f t="shared" si="4"/>
        <v>-0.39606822697919597</v>
      </c>
      <c r="F79" s="28">
        <f t="shared" si="4"/>
        <v>-0.50799902903844441</v>
      </c>
      <c r="G79" s="28">
        <f t="shared" si="4"/>
        <v>7.5662229598492559E-2</v>
      </c>
      <c r="H79" s="28">
        <f t="shared" si="4"/>
        <v>0.16783882039476339</v>
      </c>
      <c r="I79" s="28">
        <f t="shared" si="4"/>
        <v>0.18142494241971008</v>
      </c>
      <c r="J79" s="28">
        <f t="shared" si="4"/>
        <v>-4.5740358126636238E-2</v>
      </c>
      <c r="K79" s="28">
        <f t="shared" si="4"/>
        <v>-0.14427860949280102</v>
      </c>
      <c r="L79" s="28">
        <f t="shared" si="4"/>
        <v>6.045262611206681E-2</v>
      </c>
      <c r="M79" s="28">
        <f t="shared" si="4"/>
        <v>0.21006565280225686</v>
      </c>
      <c r="N79" s="28">
        <f t="shared" si="4"/>
        <v>6.8710822833395468E-2</v>
      </c>
    </row>
    <row r="80" spans="1:14" x14ac:dyDescent="0.4">
      <c r="A80" s="1">
        <v>23621</v>
      </c>
      <c r="B80" s="28">
        <v>0.2701586280088577</v>
      </c>
      <c r="C80" s="28">
        <f t="shared" si="4"/>
        <v>0.4727156437700728</v>
      </c>
      <c r="D80" s="28">
        <f t="shared" si="4"/>
        <v>8.6991882310428537E-2</v>
      </c>
      <c r="E80" s="28">
        <f t="shared" si="4"/>
        <v>-8.3889265230595811E-2</v>
      </c>
      <c r="F80" s="28">
        <f t="shared" si="4"/>
        <v>-0.39606822697919597</v>
      </c>
      <c r="G80" s="28">
        <f t="shared" si="4"/>
        <v>-0.50799902903844441</v>
      </c>
      <c r="H80" s="28">
        <f t="shared" si="4"/>
        <v>7.5662229598492559E-2</v>
      </c>
      <c r="I80" s="28">
        <f t="shared" si="4"/>
        <v>0.16783882039476339</v>
      </c>
      <c r="J80" s="28">
        <f t="shared" si="4"/>
        <v>0.18142494241971008</v>
      </c>
      <c r="K80" s="28">
        <f t="shared" si="4"/>
        <v>-4.5740358126636238E-2</v>
      </c>
      <c r="L80" s="28">
        <f t="shared" si="4"/>
        <v>-0.14427860949280102</v>
      </c>
      <c r="M80" s="28">
        <f t="shared" si="4"/>
        <v>6.045262611206681E-2</v>
      </c>
      <c r="N80" s="28">
        <f t="shared" si="4"/>
        <v>0.21006565280225686</v>
      </c>
    </row>
    <row r="81" spans="1:14" x14ac:dyDescent="0.4">
      <c r="A81" s="1">
        <v>23651</v>
      </c>
      <c r="B81" s="28">
        <v>0.54070744704876006</v>
      </c>
      <c r="C81" s="28">
        <f t="shared" si="4"/>
        <v>0.2701586280088577</v>
      </c>
      <c r="D81" s="28">
        <f t="shared" si="4"/>
        <v>0.4727156437700728</v>
      </c>
      <c r="E81" s="28">
        <f t="shared" si="4"/>
        <v>8.6991882310428537E-2</v>
      </c>
      <c r="F81" s="28">
        <f t="shared" si="4"/>
        <v>-8.3889265230595811E-2</v>
      </c>
      <c r="G81" s="28">
        <f t="shared" si="4"/>
        <v>-0.39606822697919597</v>
      </c>
      <c r="H81" s="28">
        <f t="shared" si="4"/>
        <v>-0.50799902903844441</v>
      </c>
      <c r="I81" s="28">
        <f t="shared" si="4"/>
        <v>7.5662229598492559E-2</v>
      </c>
      <c r="J81" s="28">
        <f t="shared" si="4"/>
        <v>0.16783882039476339</v>
      </c>
      <c r="K81" s="28">
        <f t="shared" si="4"/>
        <v>0.18142494241971008</v>
      </c>
      <c r="L81" s="28">
        <f t="shared" si="4"/>
        <v>-4.5740358126636238E-2</v>
      </c>
      <c r="M81" s="28">
        <f t="shared" si="4"/>
        <v>-0.14427860949280102</v>
      </c>
      <c r="N81" s="28">
        <f t="shared" si="4"/>
        <v>6.045262611206681E-2</v>
      </c>
    </row>
    <row r="82" spans="1:14" x14ac:dyDescent="0.4">
      <c r="A82" s="1">
        <v>23682</v>
      </c>
      <c r="B82" s="28">
        <v>5.6231032380480883E-2</v>
      </c>
      <c r="C82" s="28">
        <f t="shared" si="4"/>
        <v>0.54070744704876006</v>
      </c>
      <c r="D82" s="28">
        <f t="shared" si="4"/>
        <v>0.2701586280088577</v>
      </c>
      <c r="E82" s="28">
        <f t="shared" si="4"/>
        <v>0.4727156437700728</v>
      </c>
      <c r="F82" s="28">
        <f t="shared" ref="C82:Q145" si="5">IF(E81=0,"",E81)</f>
        <v>8.6991882310428537E-2</v>
      </c>
      <c r="G82" s="28">
        <f t="shared" si="5"/>
        <v>-8.3889265230595811E-2</v>
      </c>
      <c r="H82" s="28">
        <f t="shared" si="5"/>
        <v>-0.39606822697919597</v>
      </c>
      <c r="I82" s="28">
        <f t="shared" si="5"/>
        <v>-0.50799902903844441</v>
      </c>
      <c r="J82" s="28">
        <f t="shared" si="5"/>
        <v>7.5662229598492559E-2</v>
      </c>
      <c r="K82" s="28">
        <f t="shared" si="5"/>
        <v>0.16783882039476339</v>
      </c>
      <c r="L82" s="28">
        <f t="shared" si="5"/>
        <v>0.18142494241971008</v>
      </c>
      <c r="M82" s="28">
        <f t="shared" si="5"/>
        <v>-4.5740358126636238E-2</v>
      </c>
      <c r="N82" s="28">
        <f t="shared" si="5"/>
        <v>-0.14427860949280102</v>
      </c>
    </row>
    <row r="83" spans="1:14" x14ac:dyDescent="0.4">
      <c r="A83" s="1">
        <v>23712</v>
      </c>
      <c r="B83" s="28">
        <v>-7.3147382920126347E-2</v>
      </c>
      <c r="C83" s="28">
        <f t="shared" si="5"/>
        <v>5.6231032380480883E-2</v>
      </c>
      <c r="D83" s="28">
        <f t="shared" si="5"/>
        <v>0.54070744704876006</v>
      </c>
      <c r="E83" s="28">
        <f t="shared" si="5"/>
        <v>0.2701586280088577</v>
      </c>
      <c r="F83" s="28">
        <f t="shared" si="5"/>
        <v>0.4727156437700728</v>
      </c>
      <c r="G83" s="28">
        <f t="shared" si="5"/>
        <v>8.6991882310428537E-2</v>
      </c>
      <c r="H83" s="28">
        <f t="shared" si="5"/>
        <v>-8.3889265230595811E-2</v>
      </c>
      <c r="I83" s="28">
        <f t="shared" si="5"/>
        <v>-0.39606822697919597</v>
      </c>
      <c r="J83" s="28">
        <f t="shared" si="5"/>
        <v>-0.50799902903844441</v>
      </c>
      <c r="K83" s="28">
        <f t="shared" si="5"/>
        <v>7.5662229598492559E-2</v>
      </c>
      <c r="L83" s="28">
        <f t="shared" si="5"/>
        <v>0.16783882039476339</v>
      </c>
      <c r="M83" s="28">
        <f t="shared" si="5"/>
        <v>0.18142494241971008</v>
      </c>
      <c r="N83" s="28">
        <f t="shared" si="5"/>
        <v>-4.5740358126636238E-2</v>
      </c>
    </row>
    <row r="84" spans="1:14" x14ac:dyDescent="0.4">
      <c r="A84" s="1">
        <v>23743</v>
      </c>
      <c r="B84" s="28">
        <v>-0.32098208237374592</v>
      </c>
      <c r="C84" s="28">
        <f t="shared" si="5"/>
        <v>-7.3147382920126347E-2</v>
      </c>
      <c r="D84" s="28">
        <f t="shared" si="5"/>
        <v>5.6231032380480883E-2</v>
      </c>
      <c r="E84" s="28">
        <f t="shared" si="5"/>
        <v>0.54070744704876006</v>
      </c>
      <c r="F84" s="28">
        <f t="shared" si="5"/>
        <v>0.2701586280088577</v>
      </c>
      <c r="G84" s="28">
        <f t="shared" si="5"/>
        <v>0.4727156437700728</v>
      </c>
      <c r="H84" s="28">
        <f t="shared" si="5"/>
        <v>8.6991882310428537E-2</v>
      </c>
      <c r="I84" s="28">
        <f t="shared" si="5"/>
        <v>-8.3889265230595811E-2</v>
      </c>
      <c r="J84" s="28">
        <f t="shared" si="5"/>
        <v>-0.39606822697919597</v>
      </c>
      <c r="K84" s="28">
        <f t="shared" si="5"/>
        <v>-0.50799902903844441</v>
      </c>
      <c r="L84" s="28">
        <f t="shared" si="5"/>
        <v>7.5662229598492559E-2</v>
      </c>
      <c r="M84" s="28">
        <f t="shared" si="5"/>
        <v>0.16783882039476339</v>
      </c>
      <c r="N84" s="28">
        <f t="shared" si="5"/>
        <v>0.18142494241971008</v>
      </c>
    </row>
    <row r="85" spans="1:14" x14ac:dyDescent="0.4">
      <c r="A85" s="1">
        <v>23774</v>
      </c>
      <c r="B85" s="28">
        <v>4.1749085489755089E-3</v>
      </c>
      <c r="C85" s="28">
        <f t="shared" si="5"/>
        <v>-0.32098208237374592</v>
      </c>
      <c r="D85" s="28">
        <f t="shared" si="5"/>
        <v>-7.3147382920126347E-2</v>
      </c>
      <c r="E85" s="28">
        <f t="shared" si="5"/>
        <v>5.6231032380480883E-2</v>
      </c>
      <c r="F85" s="28">
        <f t="shared" si="5"/>
        <v>0.54070744704876006</v>
      </c>
      <c r="G85" s="28">
        <f t="shared" si="5"/>
        <v>0.2701586280088577</v>
      </c>
      <c r="H85" s="28">
        <f t="shared" si="5"/>
        <v>0.4727156437700728</v>
      </c>
      <c r="I85" s="28">
        <f t="shared" si="5"/>
        <v>8.6991882310428537E-2</v>
      </c>
      <c r="J85" s="28">
        <f t="shared" si="5"/>
        <v>-8.3889265230595811E-2</v>
      </c>
      <c r="K85" s="28">
        <f t="shared" si="5"/>
        <v>-0.39606822697919597</v>
      </c>
      <c r="L85" s="28">
        <f t="shared" si="5"/>
        <v>-0.50799902903844441</v>
      </c>
      <c r="M85" s="28">
        <f t="shared" si="5"/>
        <v>7.5662229598492559E-2</v>
      </c>
      <c r="N85" s="28">
        <f t="shared" si="5"/>
        <v>0.16783882039476339</v>
      </c>
    </row>
    <row r="86" spans="1:14" x14ac:dyDescent="0.4">
      <c r="A86" s="1">
        <v>23802</v>
      </c>
      <c r="B86" s="28">
        <v>-0.27771242604893587</v>
      </c>
      <c r="C86" s="28">
        <f t="shared" si="5"/>
        <v>4.1749085489755089E-3</v>
      </c>
      <c r="D86" s="28">
        <f t="shared" si="5"/>
        <v>-0.32098208237374592</v>
      </c>
      <c r="E86" s="28">
        <f t="shared" si="5"/>
        <v>-7.3147382920126347E-2</v>
      </c>
      <c r="F86" s="28">
        <f t="shared" si="5"/>
        <v>5.6231032380480883E-2</v>
      </c>
      <c r="G86" s="28">
        <f t="shared" si="5"/>
        <v>0.54070744704876006</v>
      </c>
      <c r="H86" s="28">
        <f t="shared" si="5"/>
        <v>0.2701586280088577</v>
      </c>
      <c r="I86" s="28">
        <f t="shared" si="5"/>
        <v>0.4727156437700728</v>
      </c>
      <c r="J86" s="28">
        <f t="shared" si="5"/>
        <v>8.6991882310428537E-2</v>
      </c>
      <c r="K86" s="28">
        <f t="shared" si="5"/>
        <v>-8.3889265230595811E-2</v>
      </c>
      <c r="L86" s="28">
        <f t="shared" si="5"/>
        <v>-0.39606822697919597</v>
      </c>
      <c r="M86" s="28">
        <f t="shared" si="5"/>
        <v>-0.50799902903844441</v>
      </c>
      <c r="N86" s="28">
        <f t="shared" si="5"/>
        <v>7.5662229598492559E-2</v>
      </c>
    </row>
    <row r="87" spans="1:14" x14ac:dyDescent="0.4">
      <c r="A87" s="1">
        <v>23833</v>
      </c>
      <c r="B87" s="28">
        <v>-0.30763057173822972</v>
      </c>
      <c r="C87" s="28">
        <f t="shared" si="5"/>
        <v>-0.27771242604893587</v>
      </c>
      <c r="D87" s="28">
        <f t="shared" si="5"/>
        <v>4.1749085489755089E-3</v>
      </c>
      <c r="E87" s="28">
        <f t="shared" si="5"/>
        <v>-0.32098208237374592</v>
      </c>
      <c r="F87" s="28">
        <f t="shared" si="5"/>
        <v>-7.3147382920126347E-2</v>
      </c>
      <c r="G87" s="28">
        <f t="shared" si="5"/>
        <v>5.6231032380480883E-2</v>
      </c>
      <c r="H87" s="28">
        <f t="shared" si="5"/>
        <v>0.54070744704876006</v>
      </c>
      <c r="I87" s="28">
        <f t="shared" si="5"/>
        <v>0.2701586280088577</v>
      </c>
      <c r="J87" s="28">
        <f t="shared" si="5"/>
        <v>0.4727156437700728</v>
      </c>
      <c r="K87" s="28">
        <f t="shared" si="5"/>
        <v>8.6991882310428537E-2</v>
      </c>
      <c r="L87" s="28">
        <f t="shared" si="5"/>
        <v>-8.3889265230595811E-2</v>
      </c>
      <c r="M87" s="28">
        <f t="shared" si="5"/>
        <v>-0.39606822697919597</v>
      </c>
      <c r="N87" s="28">
        <f t="shared" si="5"/>
        <v>-0.50799902903844441</v>
      </c>
    </row>
    <row r="88" spans="1:14" x14ac:dyDescent="0.4">
      <c r="A88" s="1">
        <v>23863</v>
      </c>
      <c r="B88" s="28">
        <v>-0.83805858510589815</v>
      </c>
      <c r="C88" s="28">
        <f t="shared" si="5"/>
        <v>-0.30763057173822972</v>
      </c>
      <c r="D88" s="28">
        <f t="shared" si="5"/>
        <v>-0.27771242604893587</v>
      </c>
      <c r="E88" s="28">
        <f t="shared" si="5"/>
        <v>4.1749085489755089E-3</v>
      </c>
      <c r="F88" s="28">
        <f t="shared" si="5"/>
        <v>-0.32098208237374592</v>
      </c>
      <c r="G88" s="28">
        <f t="shared" si="5"/>
        <v>-7.3147382920126347E-2</v>
      </c>
      <c r="H88" s="28">
        <f t="shared" si="5"/>
        <v>5.6231032380480883E-2</v>
      </c>
      <c r="I88" s="28">
        <f t="shared" si="5"/>
        <v>0.54070744704876006</v>
      </c>
      <c r="J88" s="28">
        <f t="shared" si="5"/>
        <v>0.2701586280088577</v>
      </c>
      <c r="K88" s="28">
        <f t="shared" si="5"/>
        <v>0.4727156437700728</v>
      </c>
      <c r="L88" s="28">
        <f t="shared" si="5"/>
        <v>8.6991882310428537E-2</v>
      </c>
      <c r="M88" s="28">
        <f t="shared" si="5"/>
        <v>-8.3889265230595811E-2</v>
      </c>
      <c r="N88" s="28">
        <f t="shared" si="5"/>
        <v>-0.39606822697919597</v>
      </c>
    </row>
    <row r="89" spans="1:14" x14ac:dyDescent="0.4">
      <c r="A89" s="1">
        <v>23894</v>
      </c>
      <c r="B89" s="28">
        <v>-0.49462962335729799</v>
      </c>
      <c r="C89" s="28">
        <f t="shared" si="5"/>
        <v>-0.83805858510589815</v>
      </c>
      <c r="D89" s="28">
        <f t="shared" si="5"/>
        <v>-0.30763057173822972</v>
      </c>
      <c r="E89" s="28">
        <f t="shared" si="5"/>
        <v>-0.27771242604893587</v>
      </c>
      <c r="F89" s="28">
        <f t="shared" si="5"/>
        <v>4.1749085489755089E-3</v>
      </c>
      <c r="G89" s="28">
        <f t="shared" si="5"/>
        <v>-0.32098208237374592</v>
      </c>
      <c r="H89" s="28">
        <f t="shared" si="5"/>
        <v>-7.3147382920126347E-2</v>
      </c>
      <c r="I89" s="28">
        <f t="shared" si="5"/>
        <v>5.6231032380480883E-2</v>
      </c>
      <c r="J89" s="28">
        <f t="shared" si="5"/>
        <v>0.54070744704876006</v>
      </c>
      <c r="K89" s="28">
        <f t="shared" si="5"/>
        <v>0.2701586280088577</v>
      </c>
      <c r="L89" s="28">
        <f t="shared" si="5"/>
        <v>0.4727156437700728</v>
      </c>
      <c r="M89" s="28">
        <f t="shared" si="5"/>
        <v>8.6991882310428537E-2</v>
      </c>
      <c r="N89" s="28">
        <f t="shared" si="5"/>
        <v>-8.3889265230595811E-2</v>
      </c>
    </row>
    <row r="90" spans="1:14" x14ac:dyDescent="0.4">
      <c r="A90" s="1">
        <v>23924</v>
      </c>
      <c r="B90" s="28">
        <v>0.39708485751702938</v>
      </c>
      <c r="C90" s="28">
        <f t="shared" si="5"/>
        <v>-0.49462962335729799</v>
      </c>
      <c r="D90" s="28">
        <f t="shared" si="5"/>
        <v>-0.83805858510589815</v>
      </c>
      <c r="E90" s="28">
        <f t="shared" si="5"/>
        <v>-0.30763057173822972</v>
      </c>
      <c r="F90" s="28">
        <f t="shared" si="5"/>
        <v>-0.27771242604893587</v>
      </c>
      <c r="G90" s="28">
        <f t="shared" si="5"/>
        <v>4.1749085489755089E-3</v>
      </c>
      <c r="H90" s="28">
        <f t="shared" si="5"/>
        <v>-0.32098208237374592</v>
      </c>
      <c r="I90" s="28">
        <f t="shared" si="5"/>
        <v>-7.3147382920126347E-2</v>
      </c>
      <c r="J90" s="28">
        <f t="shared" si="5"/>
        <v>5.6231032380480883E-2</v>
      </c>
      <c r="K90" s="28">
        <f t="shared" si="5"/>
        <v>0.54070744704876006</v>
      </c>
      <c r="L90" s="28">
        <f t="shared" si="5"/>
        <v>0.2701586280088577</v>
      </c>
      <c r="M90" s="28">
        <f t="shared" si="5"/>
        <v>0.4727156437700728</v>
      </c>
      <c r="N90" s="28">
        <f t="shared" si="5"/>
        <v>8.6991882310428537E-2</v>
      </c>
    </row>
    <row r="91" spans="1:14" x14ac:dyDescent="0.4">
      <c r="A91" s="1">
        <v>23955</v>
      </c>
      <c r="B91" s="28">
        <v>9.7426387571715622E-2</v>
      </c>
      <c r="C91" s="28">
        <f t="shared" si="5"/>
        <v>0.39708485751702938</v>
      </c>
      <c r="D91" s="28">
        <f t="shared" si="5"/>
        <v>-0.49462962335729799</v>
      </c>
      <c r="E91" s="28">
        <f t="shared" si="5"/>
        <v>-0.83805858510589815</v>
      </c>
      <c r="F91" s="28">
        <f t="shared" si="5"/>
        <v>-0.30763057173822972</v>
      </c>
      <c r="G91" s="28">
        <f t="shared" si="5"/>
        <v>-0.27771242604893587</v>
      </c>
      <c r="H91" s="28">
        <f t="shared" si="5"/>
        <v>4.1749085489755089E-3</v>
      </c>
      <c r="I91" s="28">
        <f t="shared" si="5"/>
        <v>-0.32098208237374592</v>
      </c>
      <c r="J91" s="28">
        <f t="shared" si="5"/>
        <v>-7.3147382920126347E-2</v>
      </c>
      <c r="K91" s="28">
        <f t="shared" si="5"/>
        <v>5.6231032380480883E-2</v>
      </c>
      <c r="L91" s="28">
        <f t="shared" si="5"/>
        <v>0.54070744704876006</v>
      </c>
      <c r="M91" s="28">
        <f t="shared" si="5"/>
        <v>0.2701586280088577</v>
      </c>
      <c r="N91" s="28">
        <f t="shared" si="5"/>
        <v>0.4727156437700728</v>
      </c>
    </row>
    <row r="92" spans="1:14" x14ac:dyDescent="0.4">
      <c r="A92" s="1">
        <v>23986</v>
      </c>
      <c r="B92" s="28">
        <v>0.72099196134217891</v>
      </c>
      <c r="C92" s="28">
        <f t="shared" si="5"/>
        <v>9.7426387571715622E-2</v>
      </c>
      <c r="D92" s="28">
        <f t="shared" si="5"/>
        <v>0.39708485751702938</v>
      </c>
      <c r="E92" s="28">
        <f t="shared" si="5"/>
        <v>-0.49462962335729799</v>
      </c>
      <c r="F92" s="28">
        <f t="shared" si="5"/>
        <v>-0.83805858510589815</v>
      </c>
      <c r="G92" s="28">
        <f t="shared" si="5"/>
        <v>-0.30763057173822972</v>
      </c>
      <c r="H92" s="28">
        <f t="shared" si="5"/>
        <v>-0.27771242604893587</v>
      </c>
      <c r="I92" s="28">
        <f t="shared" si="5"/>
        <v>4.1749085489755089E-3</v>
      </c>
      <c r="J92" s="28">
        <f t="shared" si="5"/>
        <v>-0.32098208237374592</v>
      </c>
      <c r="K92" s="28">
        <f t="shared" si="5"/>
        <v>-7.3147382920126347E-2</v>
      </c>
      <c r="L92" s="28">
        <f t="shared" si="5"/>
        <v>5.6231032380480883E-2</v>
      </c>
      <c r="M92" s="28">
        <f t="shared" si="5"/>
        <v>0.54070744704876006</v>
      </c>
      <c r="N92" s="28">
        <f t="shared" si="5"/>
        <v>0.2701586280088577</v>
      </c>
    </row>
    <row r="93" spans="1:14" x14ac:dyDescent="0.4">
      <c r="A93" s="1">
        <v>24016</v>
      </c>
      <c r="B93" s="28">
        <v>0.20625152418375592</v>
      </c>
      <c r="C93" s="28">
        <f t="shared" si="5"/>
        <v>0.72099196134217891</v>
      </c>
      <c r="D93" s="28">
        <f t="shared" si="5"/>
        <v>9.7426387571715622E-2</v>
      </c>
      <c r="E93" s="28">
        <f t="shared" si="5"/>
        <v>0.39708485751702938</v>
      </c>
      <c r="F93" s="28">
        <f t="shared" si="5"/>
        <v>-0.49462962335729799</v>
      </c>
      <c r="G93" s="28">
        <f t="shared" si="5"/>
        <v>-0.83805858510589815</v>
      </c>
      <c r="H93" s="28">
        <f t="shared" si="5"/>
        <v>-0.30763057173822972</v>
      </c>
      <c r="I93" s="28">
        <f t="shared" si="5"/>
        <v>-0.27771242604893587</v>
      </c>
      <c r="J93" s="28">
        <f t="shared" si="5"/>
        <v>4.1749085489755089E-3</v>
      </c>
      <c r="K93" s="28">
        <f t="shared" si="5"/>
        <v>-0.32098208237374592</v>
      </c>
      <c r="L93" s="28">
        <f t="shared" si="5"/>
        <v>-7.3147382920126347E-2</v>
      </c>
      <c r="M93" s="28">
        <f t="shared" si="5"/>
        <v>5.6231032380480883E-2</v>
      </c>
      <c r="N93" s="28">
        <f t="shared" si="5"/>
        <v>0.54070744704876006</v>
      </c>
    </row>
    <row r="94" spans="1:14" x14ac:dyDescent="0.4">
      <c r="A94" s="1">
        <v>24047</v>
      </c>
      <c r="B94" s="28">
        <v>0.35623103238049225</v>
      </c>
      <c r="C94" s="28">
        <f t="shared" si="5"/>
        <v>0.20625152418375592</v>
      </c>
      <c r="D94" s="28">
        <f t="shared" si="5"/>
        <v>0.72099196134217891</v>
      </c>
      <c r="E94" s="28">
        <f t="shared" si="5"/>
        <v>9.7426387571715622E-2</v>
      </c>
      <c r="F94" s="28">
        <f t="shared" si="5"/>
        <v>0.39708485751702938</v>
      </c>
      <c r="G94" s="28">
        <f t="shared" si="5"/>
        <v>-0.49462962335729799</v>
      </c>
      <c r="H94" s="28">
        <f t="shared" si="5"/>
        <v>-0.83805858510589815</v>
      </c>
      <c r="I94" s="28">
        <f t="shared" si="5"/>
        <v>-0.30763057173822972</v>
      </c>
      <c r="J94" s="28">
        <f t="shared" si="5"/>
        <v>-0.27771242604893587</v>
      </c>
      <c r="K94" s="28">
        <f t="shared" si="5"/>
        <v>4.1749085489755089E-3</v>
      </c>
      <c r="L94" s="28">
        <f t="shared" si="5"/>
        <v>-0.32098208237374592</v>
      </c>
      <c r="M94" s="28">
        <f t="shared" si="5"/>
        <v>-7.3147382920126347E-2</v>
      </c>
      <c r="N94" s="28">
        <f t="shared" si="5"/>
        <v>5.6231032380480883E-2</v>
      </c>
    </row>
    <row r="95" spans="1:14" x14ac:dyDescent="0.4">
      <c r="A95" s="1">
        <v>24077</v>
      </c>
      <c r="B95" s="28">
        <v>-0.41564738292009906</v>
      </c>
      <c r="C95" s="28">
        <f t="shared" si="5"/>
        <v>0.35623103238049225</v>
      </c>
      <c r="D95" s="28">
        <f t="shared" si="5"/>
        <v>0.20625152418375592</v>
      </c>
      <c r="E95" s="28">
        <f t="shared" si="5"/>
        <v>0.72099196134217891</v>
      </c>
      <c r="F95" s="28">
        <f t="shared" si="5"/>
        <v>9.7426387571715622E-2</v>
      </c>
      <c r="G95" s="28">
        <f t="shared" si="5"/>
        <v>0.39708485751702938</v>
      </c>
      <c r="H95" s="28">
        <f t="shared" si="5"/>
        <v>-0.49462962335729799</v>
      </c>
      <c r="I95" s="28">
        <f t="shared" si="5"/>
        <v>-0.83805858510589815</v>
      </c>
      <c r="J95" s="28">
        <f t="shared" si="5"/>
        <v>-0.30763057173822972</v>
      </c>
      <c r="K95" s="28">
        <f t="shared" si="5"/>
        <v>-0.27771242604893587</v>
      </c>
      <c r="L95" s="28">
        <f t="shared" si="5"/>
        <v>4.1749085489755089E-3</v>
      </c>
      <c r="M95" s="28">
        <f t="shared" si="5"/>
        <v>-0.32098208237374592</v>
      </c>
      <c r="N95" s="28">
        <f t="shared" si="5"/>
        <v>-7.3147382920126347E-2</v>
      </c>
    </row>
    <row r="96" spans="1:14" x14ac:dyDescent="0.4">
      <c r="A96" s="1">
        <v>24108</v>
      </c>
      <c r="B96" s="28">
        <v>-0.28931541570693753</v>
      </c>
      <c r="C96" s="28">
        <f t="shared" si="5"/>
        <v>-0.41564738292009906</v>
      </c>
      <c r="D96" s="28">
        <f t="shared" si="5"/>
        <v>0.35623103238049225</v>
      </c>
      <c r="E96" s="28">
        <f t="shared" si="5"/>
        <v>0.20625152418375592</v>
      </c>
      <c r="F96" s="28">
        <f t="shared" si="5"/>
        <v>0.72099196134217891</v>
      </c>
      <c r="G96" s="28">
        <f t="shared" si="5"/>
        <v>9.7426387571715622E-2</v>
      </c>
      <c r="H96" s="28">
        <f t="shared" si="5"/>
        <v>0.39708485751702938</v>
      </c>
      <c r="I96" s="28">
        <f t="shared" si="5"/>
        <v>-0.49462962335729799</v>
      </c>
      <c r="J96" s="28">
        <f t="shared" si="5"/>
        <v>-0.83805858510589815</v>
      </c>
      <c r="K96" s="28">
        <f t="shared" si="5"/>
        <v>-0.30763057173822972</v>
      </c>
      <c r="L96" s="28">
        <f t="shared" si="5"/>
        <v>-0.27771242604893587</v>
      </c>
      <c r="M96" s="28">
        <f t="shared" si="5"/>
        <v>4.1749085489755089E-3</v>
      </c>
      <c r="N96" s="28">
        <f t="shared" si="5"/>
        <v>-0.32098208237374592</v>
      </c>
    </row>
    <row r="97" spans="1:14" x14ac:dyDescent="0.4">
      <c r="A97" s="1">
        <v>24139</v>
      </c>
      <c r="B97" s="28">
        <v>-5.5408424784275212E-2</v>
      </c>
      <c r="C97" s="28">
        <f t="shared" si="5"/>
        <v>-0.28931541570693753</v>
      </c>
      <c r="D97" s="28">
        <f t="shared" si="5"/>
        <v>-0.41564738292009906</v>
      </c>
      <c r="E97" s="28">
        <f t="shared" si="5"/>
        <v>0.35623103238049225</v>
      </c>
      <c r="F97" s="28">
        <f t="shared" si="5"/>
        <v>0.20625152418375592</v>
      </c>
      <c r="G97" s="28">
        <f t="shared" si="5"/>
        <v>0.72099196134217891</v>
      </c>
      <c r="H97" s="28">
        <f t="shared" si="5"/>
        <v>9.7426387571715622E-2</v>
      </c>
      <c r="I97" s="28">
        <f t="shared" si="5"/>
        <v>0.39708485751702938</v>
      </c>
      <c r="J97" s="28">
        <f t="shared" si="5"/>
        <v>-0.49462962335729799</v>
      </c>
      <c r="K97" s="28">
        <f t="shared" si="5"/>
        <v>-0.83805858510589815</v>
      </c>
      <c r="L97" s="28">
        <f t="shared" si="5"/>
        <v>-0.30763057173822972</v>
      </c>
      <c r="M97" s="28">
        <f t="shared" si="5"/>
        <v>-0.27771242604893587</v>
      </c>
      <c r="N97" s="28">
        <f t="shared" si="5"/>
        <v>4.1749085489755089E-3</v>
      </c>
    </row>
    <row r="98" spans="1:14" x14ac:dyDescent="0.4">
      <c r="A98" s="1">
        <v>24167</v>
      </c>
      <c r="B98" s="28">
        <v>-4.0212426048810812E-2</v>
      </c>
      <c r="C98" s="28">
        <f t="shared" si="5"/>
        <v>-5.5408424784275212E-2</v>
      </c>
      <c r="D98" s="28">
        <f t="shared" si="5"/>
        <v>-0.28931541570693753</v>
      </c>
      <c r="E98" s="28">
        <f t="shared" si="5"/>
        <v>-0.41564738292009906</v>
      </c>
      <c r="F98" s="28">
        <f t="shared" si="5"/>
        <v>0.35623103238049225</v>
      </c>
      <c r="G98" s="28">
        <f t="shared" si="5"/>
        <v>0.20625152418375592</v>
      </c>
      <c r="H98" s="28">
        <f t="shared" si="5"/>
        <v>0.72099196134217891</v>
      </c>
      <c r="I98" s="28">
        <f t="shared" si="5"/>
        <v>9.7426387571715622E-2</v>
      </c>
      <c r="J98" s="28">
        <f t="shared" si="5"/>
        <v>0.39708485751702938</v>
      </c>
      <c r="K98" s="28">
        <f t="shared" si="5"/>
        <v>-0.49462962335729799</v>
      </c>
      <c r="L98" s="28">
        <f t="shared" si="5"/>
        <v>-0.83805858510589815</v>
      </c>
      <c r="M98" s="28">
        <f t="shared" si="5"/>
        <v>-0.30763057173822972</v>
      </c>
      <c r="N98" s="28">
        <f t="shared" si="5"/>
        <v>-0.27771242604893587</v>
      </c>
    </row>
    <row r="99" spans="1:14" x14ac:dyDescent="0.4">
      <c r="A99" s="1">
        <v>24198</v>
      </c>
      <c r="B99" s="28">
        <v>-1.3880571738184244E-2</v>
      </c>
      <c r="C99" s="28">
        <f t="shared" si="5"/>
        <v>-4.0212426048810812E-2</v>
      </c>
      <c r="D99" s="28">
        <f t="shared" si="5"/>
        <v>-5.5408424784275212E-2</v>
      </c>
      <c r="E99" s="28">
        <f t="shared" si="5"/>
        <v>-0.28931541570693753</v>
      </c>
      <c r="F99" s="28">
        <f t="shared" si="5"/>
        <v>-0.41564738292009906</v>
      </c>
      <c r="G99" s="28">
        <f t="shared" si="5"/>
        <v>0.35623103238049225</v>
      </c>
      <c r="H99" s="28">
        <f t="shared" si="5"/>
        <v>0.20625152418375592</v>
      </c>
      <c r="I99" s="28">
        <f t="shared" si="5"/>
        <v>0.72099196134217891</v>
      </c>
      <c r="J99" s="28">
        <f t="shared" si="5"/>
        <v>9.7426387571715622E-2</v>
      </c>
      <c r="K99" s="28">
        <f t="shared" si="5"/>
        <v>0.39708485751702938</v>
      </c>
      <c r="L99" s="28">
        <f t="shared" si="5"/>
        <v>-0.49462962335729799</v>
      </c>
      <c r="M99" s="28">
        <f t="shared" si="5"/>
        <v>-0.83805858510589815</v>
      </c>
      <c r="N99" s="28">
        <f t="shared" si="5"/>
        <v>-0.30763057173822972</v>
      </c>
    </row>
    <row r="100" spans="1:14" x14ac:dyDescent="0.4">
      <c r="A100" s="1">
        <v>24228</v>
      </c>
      <c r="B100" s="28">
        <v>-0.19805858510591179</v>
      </c>
      <c r="C100" s="28">
        <f t="shared" si="5"/>
        <v>-1.3880571738184244E-2</v>
      </c>
      <c r="D100" s="28">
        <f t="shared" si="5"/>
        <v>-4.0212426048810812E-2</v>
      </c>
      <c r="E100" s="28">
        <f t="shared" si="5"/>
        <v>-5.5408424784275212E-2</v>
      </c>
      <c r="F100" s="28">
        <f t="shared" si="5"/>
        <v>-0.28931541570693753</v>
      </c>
      <c r="G100" s="28">
        <f t="shared" si="5"/>
        <v>-0.41564738292009906</v>
      </c>
      <c r="H100" s="28">
        <f t="shared" si="5"/>
        <v>0.35623103238049225</v>
      </c>
      <c r="I100" s="28">
        <f t="shared" si="5"/>
        <v>0.20625152418375592</v>
      </c>
      <c r="J100" s="28">
        <f t="shared" si="5"/>
        <v>0.72099196134217891</v>
      </c>
      <c r="K100" s="28">
        <f t="shared" si="5"/>
        <v>9.7426387571715622E-2</v>
      </c>
      <c r="L100" s="28">
        <f t="shared" si="5"/>
        <v>0.39708485751702938</v>
      </c>
      <c r="M100" s="28">
        <f t="shared" si="5"/>
        <v>-0.49462962335729799</v>
      </c>
      <c r="N100" s="28">
        <f t="shared" si="5"/>
        <v>-0.83805858510589815</v>
      </c>
    </row>
    <row r="101" spans="1:14" x14ac:dyDescent="0.4">
      <c r="A101" s="1">
        <v>24259</v>
      </c>
      <c r="B101" s="28">
        <v>8.9537043309405817E-2</v>
      </c>
      <c r="C101" s="28">
        <f t="shared" si="5"/>
        <v>-0.19805858510591179</v>
      </c>
      <c r="D101" s="28">
        <f t="shared" si="5"/>
        <v>-1.3880571738184244E-2</v>
      </c>
      <c r="E101" s="28">
        <f t="shared" si="5"/>
        <v>-4.0212426048810812E-2</v>
      </c>
      <c r="F101" s="28">
        <f t="shared" si="5"/>
        <v>-5.5408424784275212E-2</v>
      </c>
      <c r="G101" s="28">
        <f t="shared" si="5"/>
        <v>-0.28931541570693753</v>
      </c>
      <c r="H101" s="28">
        <f t="shared" si="5"/>
        <v>-0.41564738292009906</v>
      </c>
      <c r="I101" s="28">
        <f t="shared" si="5"/>
        <v>0.35623103238049225</v>
      </c>
      <c r="J101" s="28">
        <f t="shared" si="5"/>
        <v>0.20625152418375592</v>
      </c>
      <c r="K101" s="28">
        <f t="shared" si="5"/>
        <v>0.72099196134217891</v>
      </c>
      <c r="L101" s="28">
        <f t="shared" si="5"/>
        <v>9.7426387571715622E-2</v>
      </c>
      <c r="M101" s="28">
        <f t="shared" si="5"/>
        <v>0.39708485751702938</v>
      </c>
      <c r="N101" s="28">
        <f t="shared" si="5"/>
        <v>-0.49462962335729799</v>
      </c>
    </row>
    <row r="102" spans="1:14" x14ac:dyDescent="0.4">
      <c r="A102" s="1">
        <v>24289</v>
      </c>
      <c r="B102" s="28">
        <v>0.21166819085038924</v>
      </c>
      <c r="C102" s="28">
        <f t="shared" si="5"/>
        <v>8.9537043309405817E-2</v>
      </c>
      <c r="D102" s="28">
        <f t="shared" si="5"/>
        <v>-0.19805858510591179</v>
      </c>
      <c r="E102" s="28">
        <f t="shared" si="5"/>
        <v>-1.3880571738184244E-2</v>
      </c>
      <c r="F102" s="28">
        <f t="shared" si="5"/>
        <v>-4.0212426048810812E-2</v>
      </c>
      <c r="G102" s="28">
        <f t="shared" si="5"/>
        <v>-5.5408424784275212E-2</v>
      </c>
      <c r="H102" s="28">
        <f t="shared" si="5"/>
        <v>-0.28931541570693753</v>
      </c>
      <c r="I102" s="28">
        <f t="shared" si="5"/>
        <v>-0.41564738292009906</v>
      </c>
      <c r="J102" s="28">
        <f t="shared" si="5"/>
        <v>0.35623103238049225</v>
      </c>
      <c r="K102" s="28">
        <f t="shared" si="5"/>
        <v>0.20625152418375592</v>
      </c>
      <c r="L102" s="28">
        <f t="shared" si="5"/>
        <v>0.72099196134217891</v>
      </c>
      <c r="M102" s="28">
        <f t="shared" si="5"/>
        <v>9.7426387571715622E-2</v>
      </c>
      <c r="N102" s="28">
        <f t="shared" si="5"/>
        <v>0.39708485751702938</v>
      </c>
    </row>
    <row r="103" spans="1:14" x14ac:dyDescent="0.4">
      <c r="A103" s="1">
        <v>24320</v>
      </c>
      <c r="B103" s="28">
        <v>0.22075972090505047</v>
      </c>
      <c r="C103" s="28">
        <f t="shared" si="5"/>
        <v>0.21166819085038924</v>
      </c>
      <c r="D103" s="28">
        <f t="shared" si="5"/>
        <v>8.9537043309405817E-2</v>
      </c>
      <c r="E103" s="28">
        <f t="shared" si="5"/>
        <v>-0.19805858510591179</v>
      </c>
      <c r="F103" s="28">
        <f t="shared" si="5"/>
        <v>-1.3880571738184244E-2</v>
      </c>
      <c r="G103" s="28">
        <f t="shared" si="5"/>
        <v>-4.0212426048810812E-2</v>
      </c>
      <c r="H103" s="28">
        <f t="shared" si="5"/>
        <v>-5.5408424784275212E-2</v>
      </c>
      <c r="I103" s="28">
        <f t="shared" ref="D103:S118" si="6">IF(H102=0,"",H102)</f>
        <v>-0.28931541570693753</v>
      </c>
      <c r="J103" s="28">
        <f t="shared" si="6"/>
        <v>-0.41564738292009906</v>
      </c>
      <c r="K103" s="28">
        <f t="shared" si="6"/>
        <v>0.35623103238049225</v>
      </c>
      <c r="L103" s="28">
        <f t="shared" si="6"/>
        <v>0.20625152418375592</v>
      </c>
      <c r="M103" s="28">
        <f t="shared" si="6"/>
        <v>0.72099196134217891</v>
      </c>
      <c r="N103" s="28">
        <f t="shared" si="6"/>
        <v>9.7426387571715622E-2</v>
      </c>
    </row>
    <row r="104" spans="1:14" x14ac:dyDescent="0.4">
      <c r="A104" s="1">
        <v>24351</v>
      </c>
      <c r="B104" s="28">
        <v>0.23057529467547511</v>
      </c>
      <c r="C104" s="28">
        <f t="shared" ref="C104:N167" si="7">IF(B103=0,"",B103)</f>
        <v>0.22075972090505047</v>
      </c>
      <c r="D104" s="28">
        <f t="shared" si="6"/>
        <v>0.21166819085038924</v>
      </c>
      <c r="E104" s="28">
        <f t="shared" si="6"/>
        <v>8.9537043309405817E-2</v>
      </c>
      <c r="F104" s="28">
        <f t="shared" si="6"/>
        <v>-0.19805858510591179</v>
      </c>
      <c r="G104" s="28">
        <f t="shared" si="6"/>
        <v>-1.3880571738184244E-2</v>
      </c>
      <c r="H104" s="28">
        <f t="shared" si="6"/>
        <v>-4.0212426048810812E-2</v>
      </c>
      <c r="I104" s="28">
        <f t="shared" si="6"/>
        <v>-5.5408424784275212E-2</v>
      </c>
      <c r="J104" s="28">
        <f t="shared" si="6"/>
        <v>-0.28931541570693753</v>
      </c>
      <c r="K104" s="28">
        <f t="shared" si="6"/>
        <v>-0.41564738292009906</v>
      </c>
      <c r="L104" s="28">
        <f t="shared" si="6"/>
        <v>0.35623103238049225</v>
      </c>
      <c r="M104" s="28">
        <f t="shared" si="6"/>
        <v>0.20625152418375592</v>
      </c>
      <c r="N104" s="28">
        <f t="shared" si="6"/>
        <v>0.72099196134217891</v>
      </c>
    </row>
    <row r="105" spans="1:14" x14ac:dyDescent="0.4">
      <c r="A105" s="1">
        <v>24381</v>
      </c>
      <c r="B105" s="28">
        <v>-0.24374847581623271</v>
      </c>
      <c r="C105" s="28">
        <f t="shared" si="7"/>
        <v>0.23057529467547511</v>
      </c>
      <c r="D105" s="28">
        <f t="shared" si="6"/>
        <v>0.22075972090505047</v>
      </c>
      <c r="E105" s="28">
        <f t="shared" si="6"/>
        <v>0.21166819085038924</v>
      </c>
      <c r="F105" s="28">
        <f t="shared" si="6"/>
        <v>8.9537043309405817E-2</v>
      </c>
      <c r="G105" s="28">
        <f t="shared" si="6"/>
        <v>-0.19805858510591179</v>
      </c>
      <c r="H105" s="28">
        <f t="shared" si="6"/>
        <v>-1.3880571738184244E-2</v>
      </c>
      <c r="I105" s="28">
        <f t="shared" si="6"/>
        <v>-4.0212426048810812E-2</v>
      </c>
      <c r="J105" s="28">
        <f t="shared" si="6"/>
        <v>-5.5408424784275212E-2</v>
      </c>
      <c r="K105" s="28">
        <f t="shared" si="6"/>
        <v>-0.28931541570693753</v>
      </c>
      <c r="L105" s="28">
        <f t="shared" si="6"/>
        <v>-0.41564738292009906</v>
      </c>
      <c r="M105" s="28">
        <f t="shared" si="6"/>
        <v>0.35623103238049225</v>
      </c>
      <c r="N105" s="28">
        <f t="shared" si="6"/>
        <v>0.20625152418375592</v>
      </c>
    </row>
    <row r="106" spans="1:14" x14ac:dyDescent="0.4">
      <c r="A106" s="1">
        <v>24412</v>
      </c>
      <c r="B106" s="28">
        <v>9.2481032380476336E-2</v>
      </c>
      <c r="C106" s="28">
        <f t="shared" si="7"/>
        <v>-0.24374847581623271</v>
      </c>
      <c r="D106" s="28">
        <f t="shared" si="6"/>
        <v>0.23057529467547511</v>
      </c>
      <c r="E106" s="28">
        <f t="shared" si="6"/>
        <v>0.22075972090505047</v>
      </c>
      <c r="F106" s="28">
        <f t="shared" si="6"/>
        <v>0.21166819085038924</v>
      </c>
      <c r="G106" s="28">
        <f t="shared" si="6"/>
        <v>8.9537043309405817E-2</v>
      </c>
      <c r="H106" s="28">
        <f t="shared" si="6"/>
        <v>-0.19805858510591179</v>
      </c>
      <c r="I106" s="28">
        <f t="shared" si="6"/>
        <v>-1.3880571738184244E-2</v>
      </c>
      <c r="J106" s="28">
        <f t="shared" si="6"/>
        <v>-4.0212426048810812E-2</v>
      </c>
      <c r="K106" s="28">
        <f t="shared" si="6"/>
        <v>-5.5408424784275212E-2</v>
      </c>
      <c r="L106" s="28">
        <f t="shared" si="6"/>
        <v>-0.28931541570693753</v>
      </c>
      <c r="M106" s="28">
        <f t="shared" si="6"/>
        <v>-0.41564738292009906</v>
      </c>
      <c r="N106" s="28">
        <f t="shared" si="6"/>
        <v>0.35623103238049225</v>
      </c>
    </row>
    <row r="107" spans="1:14" x14ac:dyDescent="0.4">
      <c r="A107" s="1">
        <v>24442</v>
      </c>
      <c r="B107" s="28">
        <v>0.12601928374652971</v>
      </c>
      <c r="C107" s="28">
        <f t="shared" si="7"/>
        <v>9.2481032380476336E-2</v>
      </c>
      <c r="D107" s="28">
        <f t="shared" si="6"/>
        <v>-0.24374847581623271</v>
      </c>
      <c r="E107" s="28">
        <f t="shared" si="6"/>
        <v>0.23057529467547511</v>
      </c>
      <c r="F107" s="28">
        <f t="shared" si="6"/>
        <v>0.22075972090505047</v>
      </c>
      <c r="G107" s="28">
        <f t="shared" si="6"/>
        <v>0.21166819085038924</v>
      </c>
      <c r="H107" s="28">
        <f t="shared" si="6"/>
        <v>8.9537043309405817E-2</v>
      </c>
      <c r="I107" s="28">
        <f t="shared" si="6"/>
        <v>-0.19805858510591179</v>
      </c>
      <c r="J107" s="28">
        <f t="shared" si="6"/>
        <v>-1.3880571738184244E-2</v>
      </c>
      <c r="K107" s="28">
        <f t="shared" si="6"/>
        <v>-4.0212426048810812E-2</v>
      </c>
      <c r="L107" s="28">
        <f t="shared" si="6"/>
        <v>-5.5408424784275212E-2</v>
      </c>
      <c r="M107" s="28">
        <f t="shared" si="6"/>
        <v>-0.28931541570693753</v>
      </c>
      <c r="N107" s="28">
        <f t="shared" si="6"/>
        <v>-0.41564738292009906</v>
      </c>
    </row>
    <row r="108" spans="1:14" x14ac:dyDescent="0.4">
      <c r="A108" s="1">
        <v>24473</v>
      </c>
      <c r="B108" s="28">
        <v>0.45860125095964577</v>
      </c>
      <c r="C108" s="28">
        <f t="shared" si="7"/>
        <v>0.12601928374652971</v>
      </c>
      <c r="D108" s="28">
        <f t="shared" si="6"/>
        <v>9.2481032380476336E-2</v>
      </c>
      <c r="E108" s="28">
        <f t="shared" si="6"/>
        <v>-0.24374847581623271</v>
      </c>
      <c r="F108" s="28">
        <f t="shared" si="6"/>
        <v>0.23057529467547511</v>
      </c>
      <c r="G108" s="28">
        <f t="shared" si="6"/>
        <v>0.22075972090505047</v>
      </c>
      <c r="H108" s="28">
        <f t="shared" si="6"/>
        <v>0.21166819085038924</v>
      </c>
      <c r="I108" s="28">
        <f t="shared" si="6"/>
        <v>8.9537043309405817E-2</v>
      </c>
      <c r="J108" s="28">
        <f t="shared" si="6"/>
        <v>-0.19805858510591179</v>
      </c>
      <c r="K108" s="28">
        <f t="shared" si="6"/>
        <v>-1.3880571738184244E-2</v>
      </c>
      <c r="L108" s="28">
        <f t="shared" si="6"/>
        <v>-4.0212426048810812E-2</v>
      </c>
      <c r="M108" s="28">
        <f t="shared" si="6"/>
        <v>-5.5408424784275212E-2</v>
      </c>
      <c r="N108" s="28">
        <f t="shared" si="6"/>
        <v>-0.28931541570693753</v>
      </c>
    </row>
    <row r="109" spans="1:14" x14ac:dyDescent="0.4">
      <c r="A109" s="1">
        <v>24504</v>
      </c>
      <c r="B109" s="28">
        <v>-3.665842478437753E-2</v>
      </c>
      <c r="C109" s="28">
        <f t="shared" si="7"/>
        <v>0.45860125095964577</v>
      </c>
      <c r="D109" s="28">
        <f t="shared" si="6"/>
        <v>0.12601928374652971</v>
      </c>
      <c r="E109" s="28">
        <f t="shared" si="6"/>
        <v>9.2481032380476336E-2</v>
      </c>
      <c r="F109" s="28">
        <f t="shared" si="6"/>
        <v>-0.24374847581623271</v>
      </c>
      <c r="G109" s="28">
        <f t="shared" si="6"/>
        <v>0.23057529467547511</v>
      </c>
      <c r="H109" s="28">
        <f t="shared" si="6"/>
        <v>0.22075972090505047</v>
      </c>
      <c r="I109" s="28">
        <f t="shared" si="6"/>
        <v>0.21166819085038924</v>
      </c>
      <c r="J109" s="28">
        <f t="shared" si="6"/>
        <v>8.9537043309405817E-2</v>
      </c>
      <c r="K109" s="28">
        <f t="shared" si="6"/>
        <v>-0.19805858510591179</v>
      </c>
      <c r="L109" s="28">
        <f t="shared" si="6"/>
        <v>-1.3880571738184244E-2</v>
      </c>
      <c r="M109" s="28">
        <f t="shared" si="6"/>
        <v>-4.0212426048810812E-2</v>
      </c>
      <c r="N109" s="28">
        <f t="shared" si="6"/>
        <v>-5.5408424784275212E-2</v>
      </c>
    </row>
    <row r="110" spans="1:14" x14ac:dyDescent="0.4">
      <c r="A110" s="1">
        <v>24532</v>
      </c>
      <c r="B110" s="28">
        <v>-0.22354575938226162</v>
      </c>
      <c r="C110" s="28">
        <f t="shared" si="7"/>
        <v>-3.665842478437753E-2</v>
      </c>
      <c r="D110" s="28">
        <f t="shared" si="6"/>
        <v>0.45860125095964577</v>
      </c>
      <c r="E110" s="28">
        <f t="shared" si="6"/>
        <v>0.12601928374652971</v>
      </c>
      <c r="F110" s="28">
        <f t="shared" si="6"/>
        <v>9.2481032380476336E-2</v>
      </c>
      <c r="G110" s="28">
        <f t="shared" si="6"/>
        <v>-0.24374847581623271</v>
      </c>
      <c r="H110" s="28">
        <f t="shared" si="6"/>
        <v>0.23057529467547511</v>
      </c>
      <c r="I110" s="28">
        <f t="shared" si="6"/>
        <v>0.22075972090505047</v>
      </c>
      <c r="J110" s="28">
        <f t="shared" si="6"/>
        <v>0.21166819085038924</v>
      </c>
      <c r="K110" s="28">
        <f t="shared" si="6"/>
        <v>8.9537043309405817E-2</v>
      </c>
      <c r="L110" s="28">
        <f t="shared" si="6"/>
        <v>-0.19805858510591179</v>
      </c>
      <c r="M110" s="28">
        <f t="shared" si="6"/>
        <v>-1.3880571738184244E-2</v>
      </c>
      <c r="N110" s="28">
        <f t="shared" si="6"/>
        <v>-4.0212426048810812E-2</v>
      </c>
    </row>
    <row r="111" spans="1:14" x14ac:dyDescent="0.4">
      <c r="A111" s="1">
        <v>24563</v>
      </c>
      <c r="B111" s="28">
        <v>-0.13846390507160322</v>
      </c>
      <c r="C111" s="28">
        <f t="shared" si="7"/>
        <v>-0.22354575938226162</v>
      </c>
      <c r="D111" s="28">
        <f t="shared" si="6"/>
        <v>-3.665842478437753E-2</v>
      </c>
      <c r="E111" s="28">
        <f t="shared" si="6"/>
        <v>0.45860125095964577</v>
      </c>
      <c r="F111" s="28">
        <f t="shared" si="6"/>
        <v>0.12601928374652971</v>
      </c>
      <c r="G111" s="28">
        <f t="shared" si="6"/>
        <v>9.2481032380476336E-2</v>
      </c>
      <c r="H111" s="28">
        <f t="shared" si="6"/>
        <v>-0.24374847581623271</v>
      </c>
      <c r="I111" s="28">
        <f t="shared" si="6"/>
        <v>0.23057529467547511</v>
      </c>
      <c r="J111" s="28">
        <f t="shared" si="6"/>
        <v>0.22075972090505047</v>
      </c>
      <c r="K111" s="28">
        <f t="shared" si="6"/>
        <v>0.21166819085038924</v>
      </c>
      <c r="L111" s="28">
        <f t="shared" si="6"/>
        <v>8.9537043309405817E-2</v>
      </c>
      <c r="M111" s="28">
        <f t="shared" si="6"/>
        <v>-0.19805858510591179</v>
      </c>
      <c r="N111" s="28">
        <f t="shared" si="6"/>
        <v>-1.3880571738184244E-2</v>
      </c>
    </row>
    <row r="112" spans="1:14" x14ac:dyDescent="0.4">
      <c r="A112" s="1">
        <v>24593</v>
      </c>
      <c r="B112" s="28">
        <v>-0.14472525177257012</v>
      </c>
      <c r="C112" s="28">
        <f t="shared" si="7"/>
        <v>-0.13846390507160322</v>
      </c>
      <c r="D112" s="28">
        <f t="shared" si="6"/>
        <v>-0.22354575938226162</v>
      </c>
      <c r="E112" s="28">
        <f t="shared" si="6"/>
        <v>-3.665842478437753E-2</v>
      </c>
      <c r="F112" s="28">
        <f t="shared" si="6"/>
        <v>0.45860125095964577</v>
      </c>
      <c r="G112" s="28">
        <f t="shared" si="6"/>
        <v>0.12601928374652971</v>
      </c>
      <c r="H112" s="28">
        <f t="shared" si="6"/>
        <v>9.2481032380476336E-2</v>
      </c>
      <c r="I112" s="28">
        <f t="shared" si="6"/>
        <v>-0.24374847581623271</v>
      </c>
      <c r="J112" s="28">
        <f t="shared" si="6"/>
        <v>0.23057529467547511</v>
      </c>
      <c r="K112" s="28">
        <f t="shared" si="6"/>
        <v>0.22075972090505047</v>
      </c>
      <c r="L112" s="28">
        <f t="shared" si="6"/>
        <v>0.21166819085038924</v>
      </c>
      <c r="M112" s="28">
        <f t="shared" si="6"/>
        <v>8.9537043309405817E-2</v>
      </c>
      <c r="N112" s="28">
        <f t="shared" si="6"/>
        <v>-0.19805858510591179</v>
      </c>
    </row>
    <row r="113" spans="1:14" x14ac:dyDescent="0.4">
      <c r="A113" s="1">
        <v>24624</v>
      </c>
      <c r="B113" s="28">
        <v>-0.41046295669065103</v>
      </c>
      <c r="C113" s="28">
        <f t="shared" si="7"/>
        <v>-0.14472525177257012</v>
      </c>
      <c r="D113" s="28">
        <f t="shared" si="6"/>
        <v>-0.13846390507160322</v>
      </c>
      <c r="E113" s="28">
        <f t="shared" si="6"/>
        <v>-0.22354575938226162</v>
      </c>
      <c r="F113" s="28">
        <f t="shared" si="6"/>
        <v>-3.665842478437753E-2</v>
      </c>
      <c r="G113" s="28">
        <f t="shared" si="6"/>
        <v>0.45860125095964577</v>
      </c>
      <c r="H113" s="28">
        <f t="shared" si="6"/>
        <v>0.12601928374652971</v>
      </c>
      <c r="I113" s="28">
        <f t="shared" si="6"/>
        <v>9.2481032380476336E-2</v>
      </c>
      <c r="J113" s="28">
        <f t="shared" si="6"/>
        <v>-0.24374847581623271</v>
      </c>
      <c r="K113" s="28">
        <f t="shared" si="6"/>
        <v>0.23057529467547511</v>
      </c>
      <c r="L113" s="28">
        <f t="shared" si="6"/>
        <v>0.22075972090505047</v>
      </c>
      <c r="M113" s="28">
        <f t="shared" si="6"/>
        <v>0.21166819085038924</v>
      </c>
      <c r="N113" s="28">
        <f t="shared" si="6"/>
        <v>8.9537043309405817E-2</v>
      </c>
    </row>
    <row r="114" spans="1:14" x14ac:dyDescent="0.4">
      <c r="A114" s="1">
        <v>24654</v>
      </c>
      <c r="B114" s="28">
        <v>-0.37874847581622362</v>
      </c>
      <c r="C114" s="28">
        <f t="shared" si="7"/>
        <v>-0.41046295669065103</v>
      </c>
      <c r="D114" s="28">
        <f t="shared" si="6"/>
        <v>-0.14472525177257012</v>
      </c>
      <c r="E114" s="28">
        <f t="shared" si="6"/>
        <v>-0.13846390507160322</v>
      </c>
      <c r="F114" s="28">
        <f t="shared" si="6"/>
        <v>-0.22354575938226162</v>
      </c>
      <c r="G114" s="28">
        <f t="shared" si="6"/>
        <v>-3.665842478437753E-2</v>
      </c>
      <c r="H114" s="28">
        <f t="shared" si="6"/>
        <v>0.45860125095964577</v>
      </c>
      <c r="I114" s="28">
        <f t="shared" si="6"/>
        <v>0.12601928374652971</v>
      </c>
      <c r="J114" s="28">
        <f t="shared" si="6"/>
        <v>9.2481032380476336E-2</v>
      </c>
      <c r="K114" s="28">
        <f t="shared" si="6"/>
        <v>-0.24374847581623271</v>
      </c>
      <c r="L114" s="28">
        <f t="shared" si="6"/>
        <v>0.23057529467547511</v>
      </c>
      <c r="M114" s="28">
        <f t="shared" si="6"/>
        <v>0.22075972090505047</v>
      </c>
      <c r="N114" s="28">
        <f t="shared" si="6"/>
        <v>0.21166819085038924</v>
      </c>
    </row>
    <row r="115" spans="1:14" x14ac:dyDescent="0.4">
      <c r="A115" s="1">
        <v>24685</v>
      </c>
      <c r="B115" s="28">
        <v>0.10200972090507321</v>
      </c>
      <c r="C115" s="28">
        <f t="shared" si="7"/>
        <v>-0.37874847581622362</v>
      </c>
      <c r="D115" s="28">
        <f t="shared" si="6"/>
        <v>-0.41046295669065103</v>
      </c>
      <c r="E115" s="28">
        <f t="shared" si="6"/>
        <v>-0.14472525177257012</v>
      </c>
      <c r="F115" s="28">
        <f t="shared" si="6"/>
        <v>-0.13846390507160322</v>
      </c>
      <c r="G115" s="28">
        <f t="shared" si="6"/>
        <v>-0.22354575938226162</v>
      </c>
      <c r="H115" s="28">
        <f t="shared" si="6"/>
        <v>-3.665842478437753E-2</v>
      </c>
      <c r="I115" s="28">
        <f t="shared" si="6"/>
        <v>0.45860125095964577</v>
      </c>
      <c r="J115" s="28">
        <f t="shared" si="6"/>
        <v>0.12601928374652971</v>
      </c>
      <c r="K115" s="28">
        <f t="shared" si="6"/>
        <v>9.2481032380476336E-2</v>
      </c>
      <c r="L115" s="28">
        <f t="shared" si="6"/>
        <v>-0.24374847581623271</v>
      </c>
      <c r="M115" s="28">
        <f t="shared" si="6"/>
        <v>0.23057529467547511</v>
      </c>
      <c r="N115" s="28">
        <f t="shared" si="6"/>
        <v>0.22075972090505047</v>
      </c>
    </row>
    <row r="116" spans="1:14" x14ac:dyDescent="0.4">
      <c r="A116" s="1">
        <v>24716</v>
      </c>
      <c r="B116" s="28">
        <v>0.16390862800886907</v>
      </c>
      <c r="C116" s="28">
        <f t="shared" si="7"/>
        <v>0.10200972090507321</v>
      </c>
      <c r="D116" s="28">
        <f t="shared" si="6"/>
        <v>-0.37874847581622362</v>
      </c>
      <c r="E116" s="28">
        <f t="shared" si="6"/>
        <v>-0.41046295669065103</v>
      </c>
      <c r="F116" s="28">
        <f t="shared" si="6"/>
        <v>-0.14472525177257012</v>
      </c>
      <c r="G116" s="28">
        <f t="shared" si="6"/>
        <v>-0.13846390507160322</v>
      </c>
      <c r="H116" s="28">
        <f t="shared" si="6"/>
        <v>-0.22354575938226162</v>
      </c>
      <c r="I116" s="28">
        <f t="shared" si="6"/>
        <v>-3.665842478437753E-2</v>
      </c>
      <c r="J116" s="28">
        <f t="shared" si="6"/>
        <v>0.45860125095964577</v>
      </c>
      <c r="K116" s="28">
        <f t="shared" si="6"/>
        <v>0.12601928374652971</v>
      </c>
      <c r="L116" s="28">
        <f t="shared" si="6"/>
        <v>9.2481032380476336E-2</v>
      </c>
      <c r="M116" s="28">
        <f t="shared" si="6"/>
        <v>-0.24374847581623271</v>
      </c>
      <c r="N116" s="28">
        <f t="shared" si="6"/>
        <v>0.23057529467547511</v>
      </c>
    </row>
    <row r="117" spans="1:14" x14ac:dyDescent="0.4">
      <c r="A117" s="1">
        <v>24746</v>
      </c>
      <c r="B117" s="28">
        <v>0.36625152418372409</v>
      </c>
      <c r="C117" s="28">
        <f t="shared" si="7"/>
        <v>0.16390862800886907</v>
      </c>
      <c r="D117" s="28">
        <f t="shared" si="6"/>
        <v>0.10200972090507321</v>
      </c>
      <c r="E117" s="28">
        <f t="shared" si="6"/>
        <v>-0.37874847581622362</v>
      </c>
      <c r="F117" s="28">
        <f t="shared" si="6"/>
        <v>-0.41046295669065103</v>
      </c>
      <c r="G117" s="28">
        <f t="shared" si="6"/>
        <v>-0.14472525177257012</v>
      </c>
      <c r="H117" s="28">
        <f t="shared" si="6"/>
        <v>-0.13846390507160322</v>
      </c>
      <c r="I117" s="28">
        <f t="shared" si="6"/>
        <v>-0.22354575938226162</v>
      </c>
      <c r="J117" s="28">
        <f t="shared" si="6"/>
        <v>-3.665842478437753E-2</v>
      </c>
      <c r="K117" s="28">
        <f t="shared" si="6"/>
        <v>0.45860125095964577</v>
      </c>
      <c r="L117" s="28">
        <f t="shared" si="6"/>
        <v>0.12601928374652971</v>
      </c>
      <c r="M117" s="28">
        <f t="shared" si="6"/>
        <v>9.2481032380476336E-2</v>
      </c>
      <c r="N117" s="28">
        <f t="shared" si="6"/>
        <v>-0.24374847581623271</v>
      </c>
    </row>
    <row r="118" spans="1:14" x14ac:dyDescent="0.4">
      <c r="A118" s="1">
        <v>24777</v>
      </c>
      <c r="B118" s="28">
        <v>0.38206436571380209</v>
      </c>
      <c r="C118" s="28">
        <f t="shared" si="7"/>
        <v>0.36625152418372409</v>
      </c>
      <c r="D118" s="28">
        <f t="shared" si="6"/>
        <v>0.16390862800886907</v>
      </c>
      <c r="E118" s="28">
        <f t="shared" si="6"/>
        <v>0.10200972090507321</v>
      </c>
      <c r="F118" s="28">
        <f t="shared" si="6"/>
        <v>-0.37874847581622362</v>
      </c>
      <c r="G118" s="28">
        <f t="shared" si="6"/>
        <v>-0.41046295669065103</v>
      </c>
      <c r="H118" s="28">
        <f t="shared" si="6"/>
        <v>-0.14472525177257012</v>
      </c>
      <c r="I118" s="28">
        <f t="shared" si="6"/>
        <v>-0.13846390507160322</v>
      </c>
      <c r="J118" s="28">
        <f t="shared" si="6"/>
        <v>-0.22354575938226162</v>
      </c>
      <c r="K118" s="28">
        <f t="shared" si="6"/>
        <v>-3.665842478437753E-2</v>
      </c>
      <c r="L118" s="28">
        <f t="shared" si="6"/>
        <v>0.45860125095964577</v>
      </c>
      <c r="M118" s="28">
        <f t="shared" si="6"/>
        <v>0.12601928374652971</v>
      </c>
      <c r="N118" s="28">
        <f t="shared" si="6"/>
        <v>9.2481032380476336E-2</v>
      </c>
    </row>
    <row r="119" spans="1:14" x14ac:dyDescent="0.4">
      <c r="A119" s="1">
        <v>24807</v>
      </c>
      <c r="B119" s="28">
        <v>0.37143595041328581</v>
      </c>
      <c r="C119" s="28">
        <f t="shared" si="7"/>
        <v>0.38206436571380209</v>
      </c>
      <c r="D119" s="28">
        <f t="shared" si="7"/>
        <v>0.36625152418372409</v>
      </c>
      <c r="E119" s="28">
        <f t="shared" si="7"/>
        <v>0.16390862800886907</v>
      </c>
      <c r="F119" s="28">
        <f t="shared" si="7"/>
        <v>0.10200972090507321</v>
      </c>
      <c r="G119" s="28">
        <f t="shared" si="7"/>
        <v>-0.37874847581622362</v>
      </c>
      <c r="H119" s="28">
        <f t="shared" si="7"/>
        <v>-0.41046295669065103</v>
      </c>
      <c r="I119" s="28">
        <f t="shared" si="7"/>
        <v>-0.14472525177257012</v>
      </c>
      <c r="J119" s="28">
        <f t="shared" si="7"/>
        <v>-0.13846390507160322</v>
      </c>
      <c r="K119" s="28">
        <f t="shared" si="7"/>
        <v>-0.22354575938226162</v>
      </c>
      <c r="L119" s="28">
        <f t="shared" si="7"/>
        <v>-3.665842478437753E-2</v>
      </c>
      <c r="M119" s="28">
        <f t="shared" si="7"/>
        <v>0.45860125095964577</v>
      </c>
      <c r="N119" s="28">
        <f t="shared" si="7"/>
        <v>0.12601928374652971</v>
      </c>
    </row>
    <row r="120" spans="1:14" x14ac:dyDescent="0.4">
      <c r="A120" s="1">
        <v>24838</v>
      </c>
      <c r="B120" s="28">
        <v>-8.4732082373591311E-2</v>
      </c>
      <c r="C120" s="28">
        <f t="shared" si="7"/>
        <v>0.37143595041328581</v>
      </c>
      <c r="D120" s="28">
        <f t="shared" si="7"/>
        <v>0.38206436571380209</v>
      </c>
      <c r="E120" s="28">
        <f t="shared" si="7"/>
        <v>0.36625152418372409</v>
      </c>
      <c r="F120" s="28">
        <f t="shared" si="7"/>
        <v>0.16390862800886907</v>
      </c>
      <c r="G120" s="28">
        <f t="shared" si="7"/>
        <v>0.10200972090507321</v>
      </c>
      <c r="H120" s="28">
        <f t="shared" si="7"/>
        <v>-0.37874847581622362</v>
      </c>
      <c r="I120" s="28">
        <f t="shared" si="7"/>
        <v>-0.41046295669065103</v>
      </c>
      <c r="J120" s="28">
        <f t="shared" si="7"/>
        <v>-0.14472525177257012</v>
      </c>
      <c r="K120" s="28">
        <f t="shared" si="7"/>
        <v>-0.13846390507160322</v>
      </c>
      <c r="L120" s="28">
        <f t="shared" si="7"/>
        <v>-0.22354575938226162</v>
      </c>
      <c r="M120" s="28">
        <f t="shared" si="7"/>
        <v>-3.665842478437753E-2</v>
      </c>
      <c r="N120" s="28">
        <f t="shared" si="7"/>
        <v>0.45860125095964577</v>
      </c>
    </row>
    <row r="121" spans="1:14" x14ac:dyDescent="0.4">
      <c r="A121" s="1">
        <v>24869</v>
      </c>
      <c r="B121" s="28">
        <v>-0.25624175811765326</v>
      </c>
      <c r="C121" s="28">
        <f t="shared" si="7"/>
        <v>-8.4732082373591311E-2</v>
      </c>
      <c r="D121" s="28">
        <f t="shared" si="7"/>
        <v>0.37143595041328581</v>
      </c>
      <c r="E121" s="28">
        <f t="shared" si="7"/>
        <v>0.38206436571380209</v>
      </c>
      <c r="F121" s="28">
        <f t="shared" si="7"/>
        <v>0.36625152418372409</v>
      </c>
      <c r="G121" s="28">
        <f t="shared" si="7"/>
        <v>0.16390862800886907</v>
      </c>
      <c r="H121" s="28">
        <f t="shared" si="7"/>
        <v>0.10200972090507321</v>
      </c>
      <c r="I121" s="28">
        <f t="shared" si="7"/>
        <v>-0.37874847581622362</v>
      </c>
      <c r="J121" s="28">
        <f t="shared" si="7"/>
        <v>-0.41046295669065103</v>
      </c>
      <c r="K121" s="28">
        <f t="shared" si="7"/>
        <v>-0.14472525177257012</v>
      </c>
      <c r="L121" s="28">
        <f t="shared" si="7"/>
        <v>-0.13846390507160322</v>
      </c>
      <c r="M121" s="28">
        <f t="shared" si="7"/>
        <v>-0.22354575938226162</v>
      </c>
      <c r="N121" s="28">
        <f t="shared" si="7"/>
        <v>-3.665842478437753E-2</v>
      </c>
    </row>
    <row r="122" spans="1:14" x14ac:dyDescent="0.4">
      <c r="A122" s="1">
        <v>24898</v>
      </c>
      <c r="B122" s="28">
        <v>-0.28896242604889721</v>
      </c>
      <c r="C122" s="28">
        <f t="shared" si="7"/>
        <v>-0.25624175811765326</v>
      </c>
      <c r="D122" s="28">
        <f t="shared" si="7"/>
        <v>-8.4732082373591311E-2</v>
      </c>
      <c r="E122" s="28">
        <f t="shared" si="7"/>
        <v>0.37143595041328581</v>
      </c>
      <c r="F122" s="28">
        <f t="shared" si="7"/>
        <v>0.38206436571380209</v>
      </c>
      <c r="G122" s="28">
        <f t="shared" si="7"/>
        <v>0.36625152418372409</v>
      </c>
      <c r="H122" s="28">
        <f t="shared" si="7"/>
        <v>0.16390862800886907</v>
      </c>
      <c r="I122" s="28">
        <f t="shared" si="7"/>
        <v>0.10200972090507321</v>
      </c>
      <c r="J122" s="28">
        <f t="shared" si="7"/>
        <v>-0.37874847581622362</v>
      </c>
      <c r="K122" s="28">
        <f t="shared" si="7"/>
        <v>-0.41046295669065103</v>
      </c>
      <c r="L122" s="28">
        <f t="shared" si="7"/>
        <v>-0.14472525177257012</v>
      </c>
      <c r="M122" s="28">
        <f t="shared" si="7"/>
        <v>-0.13846390507160322</v>
      </c>
      <c r="N122" s="28">
        <f t="shared" si="7"/>
        <v>-0.22354575938226162</v>
      </c>
    </row>
    <row r="123" spans="1:14" x14ac:dyDescent="0.4">
      <c r="A123" s="1">
        <v>24929</v>
      </c>
      <c r="B123" s="28">
        <v>-0.45554723840490396</v>
      </c>
      <c r="C123" s="28">
        <f t="shared" si="7"/>
        <v>-0.28896242604889721</v>
      </c>
      <c r="D123" s="28">
        <f t="shared" si="7"/>
        <v>-0.25624175811765326</v>
      </c>
      <c r="E123" s="28">
        <f t="shared" si="7"/>
        <v>-8.4732082373591311E-2</v>
      </c>
      <c r="F123" s="28">
        <f t="shared" si="7"/>
        <v>0.37143595041328581</v>
      </c>
      <c r="G123" s="28">
        <f t="shared" si="7"/>
        <v>0.38206436571380209</v>
      </c>
      <c r="H123" s="28">
        <f t="shared" si="7"/>
        <v>0.36625152418372409</v>
      </c>
      <c r="I123" s="28">
        <f t="shared" si="7"/>
        <v>0.16390862800886907</v>
      </c>
      <c r="J123" s="28">
        <f t="shared" si="7"/>
        <v>0.10200972090507321</v>
      </c>
      <c r="K123" s="28">
        <f t="shared" si="7"/>
        <v>-0.37874847581622362</v>
      </c>
      <c r="L123" s="28">
        <f t="shared" si="7"/>
        <v>-0.41046295669065103</v>
      </c>
      <c r="M123" s="28">
        <f t="shared" si="7"/>
        <v>-0.14472525177257012</v>
      </c>
      <c r="N123" s="28">
        <f t="shared" si="7"/>
        <v>-0.13846390507160322</v>
      </c>
    </row>
    <row r="124" spans="1:14" x14ac:dyDescent="0.4">
      <c r="A124" s="1">
        <v>24959</v>
      </c>
      <c r="B124" s="28">
        <v>-0.45889191843929211</v>
      </c>
      <c r="C124" s="28">
        <f t="shared" si="7"/>
        <v>-0.45554723840490396</v>
      </c>
      <c r="D124" s="28">
        <f t="shared" si="7"/>
        <v>-0.28896242604889721</v>
      </c>
      <c r="E124" s="28">
        <f t="shared" si="7"/>
        <v>-0.25624175811765326</v>
      </c>
      <c r="F124" s="28">
        <f t="shared" si="7"/>
        <v>-8.4732082373591311E-2</v>
      </c>
      <c r="G124" s="28">
        <f t="shared" si="7"/>
        <v>0.37143595041328581</v>
      </c>
      <c r="H124" s="28">
        <f t="shared" si="7"/>
        <v>0.38206436571380209</v>
      </c>
      <c r="I124" s="28">
        <f t="shared" si="7"/>
        <v>0.36625152418372409</v>
      </c>
      <c r="J124" s="28">
        <f t="shared" si="7"/>
        <v>0.16390862800886907</v>
      </c>
      <c r="K124" s="28">
        <f t="shared" si="7"/>
        <v>0.10200972090507321</v>
      </c>
      <c r="L124" s="28">
        <f t="shared" si="7"/>
        <v>-0.37874847581622362</v>
      </c>
      <c r="M124" s="28">
        <f t="shared" si="7"/>
        <v>-0.41046295669065103</v>
      </c>
      <c r="N124" s="28">
        <f t="shared" si="7"/>
        <v>-0.14472525177257012</v>
      </c>
    </row>
    <row r="125" spans="1:14" x14ac:dyDescent="0.4">
      <c r="A125" s="1">
        <v>24990</v>
      </c>
      <c r="B125" s="28">
        <v>-9.6296233572275014E-3</v>
      </c>
      <c r="C125" s="28">
        <f t="shared" si="7"/>
        <v>-0.45889191843929211</v>
      </c>
      <c r="D125" s="28">
        <f t="shared" si="7"/>
        <v>-0.45554723840490396</v>
      </c>
      <c r="E125" s="28">
        <f t="shared" si="7"/>
        <v>-0.28896242604889721</v>
      </c>
      <c r="F125" s="28">
        <f t="shared" si="7"/>
        <v>-0.25624175811765326</v>
      </c>
      <c r="G125" s="28">
        <f t="shared" si="7"/>
        <v>-8.4732082373591311E-2</v>
      </c>
      <c r="H125" s="28">
        <f t="shared" si="7"/>
        <v>0.37143595041328581</v>
      </c>
      <c r="I125" s="28">
        <f t="shared" si="7"/>
        <v>0.38206436571380209</v>
      </c>
      <c r="J125" s="28">
        <f t="shared" si="7"/>
        <v>0.36625152418372409</v>
      </c>
      <c r="K125" s="28">
        <f t="shared" si="7"/>
        <v>0.16390862800886907</v>
      </c>
      <c r="L125" s="28">
        <f t="shared" si="7"/>
        <v>0.10200972090507321</v>
      </c>
      <c r="M125" s="28">
        <f t="shared" si="7"/>
        <v>-0.37874847581622362</v>
      </c>
      <c r="N125" s="28">
        <f t="shared" si="7"/>
        <v>-0.41046295669065103</v>
      </c>
    </row>
    <row r="126" spans="1:14" x14ac:dyDescent="0.4">
      <c r="A126" s="1">
        <v>25020</v>
      </c>
      <c r="B126" s="28">
        <v>0.3025015241836968</v>
      </c>
      <c r="C126" s="28">
        <f t="shared" si="7"/>
        <v>-9.6296233572275014E-3</v>
      </c>
      <c r="D126" s="28">
        <f t="shared" si="7"/>
        <v>-0.45889191843929211</v>
      </c>
      <c r="E126" s="28">
        <f t="shared" si="7"/>
        <v>-0.45554723840490396</v>
      </c>
      <c r="F126" s="28">
        <f t="shared" si="7"/>
        <v>-0.28896242604889721</v>
      </c>
      <c r="G126" s="28">
        <f t="shared" si="7"/>
        <v>-0.25624175811765326</v>
      </c>
      <c r="H126" s="28">
        <f t="shared" si="7"/>
        <v>-8.4732082373591311E-2</v>
      </c>
      <c r="I126" s="28">
        <f t="shared" si="7"/>
        <v>0.37143595041328581</v>
      </c>
      <c r="J126" s="28">
        <f t="shared" si="7"/>
        <v>0.38206436571380209</v>
      </c>
      <c r="K126" s="28">
        <f t="shared" si="7"/>
        <v>0.36625152418372409</v>
      </c>
      <c r="L126" s="28">
        <f t="shared" si="7"/>
        <v>0.16390862800886907</v>
      </c>
      <c r="M126" s="28">
        <f t="shared" si="7"/>
        <v>0.10200972090507321</v>
      </c>
      <c r="N126" s="28">
        <f t="shared" si="7"/>
        <v>-0.37874847581622362</v>
      </c>
    </row>
    <row r="127" spans="1:14" x14ac:dyDescent="0.4">
      <c r="A127" s="1">
        <v>25051</v>
      </c>
      <c r="B127" s="28">
        <v>0.29825972090509367</v>
      </c>
      <c r="C127" s="28">
        <f t="shared" si="7"/>
        <v>0.3025015241836968</v>
      </c>
      <c r="D127" s="28">
        <f t="shared" si="7"/>
        <v>-9.6296233572275014E-3</v>
      </c>
      <c r="E127" s="28">
        <f t="shared" si="7"/>
        <v>-0.45889191843929211</v>
      </c>
      <c r="F127" s="28">
        <f t="shared" si="7"/>
        <v>-0.45554723840490396</v>
      </c>
      <c r="G127" s="28">
        <f t="shared" si="7"/>
        <v>-0.28896242604889721</v>
      </c>
      <c r="H127" s="28">
        <f t="shared" si="7"/>
        <v>-0.25624175811765326</v>
      </c>
      <c r="I127" s="28">
        <f t="shared" si="7"/>
        <v>-8.4732082373591311E-2</v>
      </c>
      <c r="J127" s="28">
        <f t="shared" si="7"/>
        <v>0.37143595041328581</v>
      </c>
      <c r="K127" s="28">
        <f t="shared" si="7"/>
        <v>0.38206436571380209</v>
      </c>
      <c r="L127" s="28">
        <f t="shared" si="7"/>
        <v>0.36625152418372409</v>
      </c>
      <c r="M127" s="28">
        <f t="shared" si="7"/>
        <v>0.16390862800886907</v>
      </c>
      <c r="N127" s="28">
        <f t="shared" si="7"/>
        <v>0.10200972090507321</v>
      </c>
    </row>
    <row r="128" spans="1:14" x14ac:dyDescent="0.4">
      <c r="A128" s="1">
        <v>25082</v>
      </c>
      <c r="B128" s="28">
        <v>0.18765862800887589</v>
      </c>
      <c r="C128" s="28">
        <f t="shared" si="7"/>
        <v>0.29825972090509367</v>
      </c>
      <c r="D128" s="28">
        <f t="shared" si="7"/>
        <v>0.3025015241836968</v>
      </c>
      <c r="E128" s="28">
        <f t="shared" si="7"/>
        <v>-9.6296233572275014E-3</v>
      </c>
      <c r="F128" s="28">
        <f t="shared" si="7"/>
        <v>-0.45889191843929211</v>
      </c>
      <c r="G128" s="28">
        <f t="shared" si="7"/>
        <v>-0.45554723840490396</v>
      </c>
      <c r="H128" s="28">
        <f t="shared" si="7"/>
        <v>-0.28896242604889721</v>
      </c>
      <c r="I128" s="28">
        <f t="shared" si="7"/>
        <v>-0.25624175811765326</v>
      </c>
      <c r="J128" s="28">
        <f t="shared" si="7"/>
        <v>-8.4732082373591311E-2</v>
      </c>
      <c r="K128" s="28">
        <f t="shared" si="7"/>
        <v>0.37143595041328581</v>
      </c>
      <c r="L128" s="28">
        <f t="shared" si="7"/>
        <v>0.38206436571380209</v>
      </c>
      <c r="M128" s="28">
        <f t="shared" si="7"/>
        <v>0.36625152418372409</v>
      </c>
      <c r="N128" s="28">
        <f t="shared" si="7"/>
        <v>0.16390862800886907</v>
      </c>
    </row>
    <row r="129" spans="1:14" x14ac:dyDescent="0.4">
      <c r="A129" s="1">
        <v>25112</v>
      </c>
      <c r="B129" s="28">
        <v>8.958485751702483E-2</v>
      </c>
      <c r="C129" s="28">
        <f t="shared" si="7"/>
        <v>0.18765862800887589</v>
      </c>
      <c r="D129" s="28">
        <f t="shared" si="7"/>
        <v>0.29825972090509367</v>
      </c>
      <c r="E129" s="28">
        <f t="shared" si="7"/>
        <v>0.3025015241836968</v>
      </c>
      <c r="F129" s="28">
        <f t="shared" si="7"/>
        <v>-9.6296233572275014E-3</v>
      </c>
      <c r="G129" s="28">
        <f t="shared" si="7"/>
        <v>-0.45889191843929211</v>
      </c>
      <c r="H129" s="28">
        <f t="shared" si="7"/>
        <v>-0.45554723840490396</v>
      </c>
      <c r="I129" s="28">
        <f t="shared" si="7"/>
        <v>-0.28896242604889721</v>
      </c>
      <c r="J129" s="28">
        <f t="shared" si="7"/>
        <v>-0.25624175811765326</v>
      </c>
      <c r="K129" s="28">
        <f t="shared" si="7"/>
        <v>-8.4732082373591311E-2</v>
      </c>
      <c r="L129" s="28">
        <f t="shared" si="7"/>
        <v>0.37143595041328581</v>
      </c>
      <c r="M129" s="28">
        <f t="shared" si="7"/>
        <v>0.38206436571380209</v>
      </c>
      <c r="N129" s="28">
        <f t="shared" si="7"/>
        <v>0.36625152418372409</v>
      </c>
    </row>
    <row r="130" spans="1:14" x14ac:dyDescent="0.4">
      <c r="A130" s="1">
        <v>25143</v>
      </c>
      <c r="B130" s="28">
        <v>-0.25960230095284942</v>
      </c>
      <c r="C130" s="28">
        <f t="shared" si="7"/>
        <v>8.958485751702483E-2</v>
      </c>
      <c r="D130" s="28">
        <f t="shared" si="7"/>
        <v>0.18765862800887589</v>
      </c>
      <c r="E130" s="28">
        <f t="shared" si="7"/>
        <v>0.29825972090509367</v>
      </c>
      <c r="F130" s="28">
        <f t="shared" si="7"/>
        <v>0.3025015241836968</v>
      </c>
      <c r="G130" s="28">
        <f t="shared" si="7"/>
        <v>-9.6296233572275014E-3</v>
      </c>
      <c r="H130" s="28">
        <f t="shared" si="7"/>
        <v>-0.45889191843929211</v>
      </c>
      <c r="I130" s="28">
        <f t="shared" si="7"/>
        <v>-0.45554723840490396</v>
      </c>
      <c r="J130" s="28">
        <f t="shared" si="7"/>
        <v>-0.28896242604889721</v>
      </c>
      <c r="K130" s="28">
        <f t="shared" si="7"/>
        <v>-0.25624175811765326</v>
      </c>
      <c r="L130" s="28">
        <f t="shared" si="7"/>
        <v>-8.4732082373591311E-2</v>
      </c>
      <c r="M130" s="28">
        <f t="shared" si="7"/>
        <v>0.37143595041328581</v>
      </c>
      <c r="N130" s="28">
        <f t="shared" si="7"/>
        <v>0.38206436571380209</v>
      </c>
    </row>
    <row r="131" spans="1:14" x14ac:dyDescent="0.4">
      <c r="A131" s="1">
        <v>25173</v>
      </c>
      <c r="B131" s="28">
        <v>1.4769283746545625E-2</v>
      </c>
      <c r="C131" s="28">
        <f t="shared" si="7"/>
        <v>-0.25960230095284942</v>
      </c>
      <c r="D131" s="28">
        <f t="shared" si="7"/>
        <v>8.958485751702483E-2</v>
      </c>
      <c r="E131" s="28">
        <f t="shared" si="7"/>
        <v>0.18765862800887589</v>
      </c>
      <c r="F131" s="28">
        <f t="shared" si="7"/>
        <v>0.29825972090509367</v>
      </c>
      <c r="G131" s="28">
        <f t="shared" si="7"/>
        <v>0.3025015241836968</v>
      </c>
      <c r="H131" s="28">
        <f t="shared" si="7"/>
        <v>-9.6296233572275014E-3</v>
      </c>
      <c r="I131" s="28">
        <f t="shared" si="7"/>
        <v>-0.45889191843929211</v>
      </c>
      <c r="J131" s="28">
        <f t="shared" si="7"/>
        <v>-0.45554723840490396</v>
      </c>
      <c r="K131" s="28">
        <f t="shared" si="7"/>
        <v>-0.28896242604889721</v>
      </c>
      <c r="L131" s="28">
        <f t="shared" si="7"/>
        <v>-0.25624175811765326</v>
      </c>
      <c r="M131" s="28">
        <f t="shared" si="7"/>
        <v>-8.4732082373591311E-2</v>
      </c>
      <c r="N131" s="28">
        <f t="shared" si="7"/>
        <v>0.37143595041328581</v>
      </c>
    </row>
    <row r="132" spans="1:14" x14ac:dyDescent="0.4">
      <c r="A132" s="1">
        <v>25204</v>
      </c>
      <c r="B132" s="28">
        <v>4.9434584292953332E-2</v>
      </c>
      <c r="C132" s="28">
        <f t="shared" si="7"/>
        <v>1.4769283746545625E-2</v>
      </c>
      <c r="D132" s="28">
        <f t="shared" si="7"/>
        <v>-0.25960230095284942</v>
      </c>
      <c r="E132" s="28">
        <f t="shared" si="7"/>
        <v>8.958485751702483E-2</v>
      </c>
      <c r="F132" s="28">
        <f t="shared" si="7"/>
        <v>0.18765862800887589</v>
      </c>
      <c r="G132" s="28">
        <f t="shared" si="7"/>
        <v>0.29825972090509367</v>
      </c>
      <c r="H132" s="28">
        <f t="shared" si="7"/>
        <v>0.3025015241836968</v>
      </c>
      <c r="I132" s="28">
        <f t="shared" si="7"/>
        <v>-9.6296233572275014E-3</v>
      </c>
      <c r="J132" s="28">
        <f t="shared" si="7"/>
        <v>-0.45889191843929211</v>
      </c>
      <c r="K132" s="28">
        <f t="shared" si="7"/>
        <v>-0.45554723840490396</v>
      </c>
      <c r="L132" s="28">
        <f t="shared" si="7"/>
        <v>-0.28896242604889721</v>
      </c>
      <c r="M132" s="28">
        <f t="shared" si="7"/>
        <v>-0.25624175811765326</v>
      </c>
      <c r="N132" s="28">
        <f t="shared" si="7"/>
        <v>-8.4732082373591311E-2</v>
      </c>
    </row>
    <row r="133" spans="1:14" x14ac:dyDescent="0.4">
      <c r="A133" s="1">
        <v>25235</v>
      </c>
      <c r="B133" s="28">
        <v>-0.31290842478432523</v>
      </c>
      <c r="C133" s="28">
        <f t="shared" si="7"/>
        <v>4.9434584292953332E-2</v>
      </c>
      <c r="D133" s="28">
        <f t="shared" si="7"/>
        <v>1.4769283746545625E-2</v>
      </c>
      <c r="E133" s="28">
        <f t="shared" si="7"/>
        <v>-0.25960230095284942</v>
      </c>
      <c r="F133" s="28">
        <f t="shared" si="7"/>
        <v>8.958485751702483E-2</v>
      </c>
      <c r="G133" s="28">
        <f t="shared" si="7"/>
        <v>0.18765862800887589</v>
      </c>
      <c r="H133" s="28">
        <f t="shared" si="7"/>
        <v>0.29825972090509367</v>
      </c>
      <c r="I133" s="28">
        <f t="shared" si="7"/>
        <v>0.3025015241836968</v>
      </c>
      <c r="J133" s="28">
        <f t="shared" si="7"/>
        <v>-9.6296233572275014E-3</v>
      </c>
      <c r="K133" s="28">
        <f t="shared" si="7"/>
        <v>-0.45889191843929211</v>
      </c>
      <c r="L133" s="28">
        <f t="shared" si="7"/>
        <v>-0.45554723840490396</v>
      </c>
      <c r="M133" s="28">
        <f t="shared" si="7"/>
        <v>-0.28896242604889721</v>
      </c>
      <c r="N133" s="28">
        <f t="shared" si="7"/>
        <v>-0.25624175811765326</v>
      </c>
    </row>
    <row r="134" spans="1:14" x14ac:dyDescent="0.4">
      <c r="A134" s="1">
        <v>25263</v>
      </c>
      <c r="B134" s="28">
        <v>7.8954240617804317E-2</v>
      </c>
      <c r="C134" s="28">
        <f t="shared" si="7"/>
        <v>-0.31290842478432523</v>
      </c>
      <c r="D134" s="28">
        <f t="shared" si="7"/>
        <v>4.9434584292953332E-2</v>
      </c>
      <c r="E134" s="28">
        <f t="shared" si="7"/>
        <v>1.4769283746545625E-2</v>
      </c>
      <c r="F134" s="28">
        <f t="shared" si="7"/>
        <v>-0.25960230095284942</v>
      </c>
      <c r="G134" s="28">
        <f t="shared" si="7"/>
        <v>8.958485751702483E-2</v>
      </c>
      <c r="H134" s="28">
        <f t="shared" si="7"/>
        <v>0.18765862800887589</v>
      </c>
      <c r="I134" s="28">
        <f t="shared" si="7"/>
        <v>0.29825972090509367</v>
      </c>
      <c r="J134" s="28">
        <f t="shared" si="7"/>
        <v>0.3025015241836968</v>
      </c>
      <c r="K134" s="28">
        <f t="shared" si="7"/>
        <v>-9.6296233572275014E-3</v>
      </c>
      <c r="L134" s="28">
        <f t="shared" si="7"/>
        <v>-0.45889191843929211</v>
      </c>
      <c r="M134" s="28">
        <f t="shared" si="7"/>
        <v>-0.45554723840490396</v>
      </c>
      <c r="N134" s="28">
        <f t="shared" si="7"/>
        <v>-0.28896242604889721</v>
      </c>
    </row>
    <row r="135" spans="1:14" x14ac:dyDescent="0.4">
      <c r="A135" s="1">
        <v>25294</v>
      </c>
      <c r="B135" s="28">
        <v>-0.2559639050715532</v>
      </c>
      <c r="C135" s="28">
        <f t="shared" si="7"/>
        <v>7.8954240617804317E-2</v>
      </c>
      <c r="D135" s="28">
        <f t="shared" si="7"/>
        <v>-0.31290842478432523</v>
      </c>
      <c r="E135" s="28">
        <f t="shared" si="7"/>
        <v>4.9434584292953332E-2</v>
      </c>
      <c r="F135" s="28">
        <f t="shared" si="7"/>
        <v>1.4769283746545625E-2</v>
      </c>
      <c r="G135" s="28">
        <f t="shared" si="7"/>
        <v>-0.25960230095284942</v>
      </c>
      <c r="H135" s="28">
        <f t="shared" si="7"/>
        <v>8.958485751702483E-2</v>
      </c>
      <c r="I135" s="28">
        <f t="shared" si="7"/>
        <v>0.18765862800887589</v>
      </c>
      <c r="J135" s="28">
        <f t="shared" si="7"/>
        <v>0.29825972090509367</v>
      </c>
      <c r="K135" s="28">
        <f t="shared" si="7"/>
        <v>0.3025015241836968</v>
      </c>
      <c r="L135" s="28">
        <f t="shared" si="7"/>
        <v>-9.6296233572275014E-3</v>
      </c>
      <c r="M135" s="28">
        <f t="shared" si="7"/>
        <v>-0.45889191843929211</v>
      </c>
      <c r="N135" s="28">
        <f t="shared" si="7"/>
        <v>-0.45554723840490396</v>
      </c>
    </row>
    <row r="136" spans="1:14" x14ac:dyDescent="0.4">
      <c r="A136" s="1">
        <v>25324</v>
      </c>
      <c r="B136" s="28">
        <v>-0.15639191843922617</v>
      </c>
      <c r="C136" s="28">
        <f t="shared" si="7"/>
        <v>-0.2559639050715532</v>
      </c>
      <c r="D136" s="28">
        <f t="shared" si="7"/>
        <v>7.8954240617804317E-2</v>
      </c>
      <c r="E136" s="28">
        <f t="shared" si="7"/>
        <v>-0.31290842478432523</v>
      </c>
      <c r="F136" s="28">
        <f t="shared" si="7"/>
        <v>4.9434584292953332E-2</v>
      </c>
      <c r="G136" s="28">
        <f t="shared" si="7"/>
        <v>1.4769283746545625E-2</v>
      </c>
      <c r="H136" s="28">
        <f t="shared" si="7"/>
        <v>-0.25960230095284942</v>
      </c>
      <c r="I136" s="28">
        <f t="shared" si="7"/>
        <v>8.958485751702483E-2</v>
      </c>
      <c r="J136" s="28">
        <f t="shared" si="7"/>
        <v>0.18765862800887589</v>
      </c>
      <c r="K136" s="28">
        <f t="shared" si="7"/>
        <v>0.29825972090509367</v>
      </c>
      <c r="L136" s="28">
        <f t="shared" si="7"/>
        <v>0.3025015241836968</v>
      </c>
      <c r="M136" s="28">
        <f t="shared" si="7"/>
        <v>-9.6296233572275014E-3</v>
      </c>
      <c r="N136" s="28">
        <f t="shared" si="7"/>
        <v>-0.45889191843929211</v>
      </c>
    </row>
    <row r="137" spans="1:14" x14ac:dyDescent="0.4">
      <c r="A137" s="1">
        <v>25355</v>
      </c>
      <c r="B137" s="28">
        <v>-0.21879629002393131</v>
      </c>
      <c r="C137" s="28">
        <f t="shared" si="7"/>
        <v>-0.15639191843922617</v>
      </c>
      <c r="D137" s="28">
        <f t="shared" si="7"/>
        <v>-0.2559639050715532</v>
      </c>
      <c r="E137" s="28">
        <f t="shared" si="7"/>
        <v>7.8954240617804317E-2</v>
      </c>
      <c r="F137" s="28">
        <f t="shared" si="7"/>
        <v>-0.31290842478432523</v>
      </c>
      <c r="G137" s="28">
        <f t="shared" si="7"/>
        <v>4.9434584292953332E-2</v>
      </c>
      <c r="H137" s="28">
        <f t="shared" si="7"/>
        <v>1.4769283746545625E-2</v>
      </c>
      <c r="I137" s="28">
        <f t="shared" si="7"/>
        <v>-0.25960230095284942</v>
      </c>
      <c r="J137" s="28">
        <f t="shared" si="7"/>
        <v>8.958485751702483E-2</v>
      </c>
      <c r="K137" s="28">
        <f t="shared" si="7"/>
        <v>0.18765862800887589</v>
      </c>
      <c r="L137" s="28">
        <f t="shared" si="7"/>
        <v>0.29825972090509367</v>
      </c>
      <c r="M137" s="28">
        <f t="shared" si="7"/>
        <v>0.3025015241836968</v>
      </c>
      <c r="N137" s="28">
        <f t="shared" si="7"/>
        <v>-9.6296233572275014E-3</v>
      </c>
    </row>
    <row r="138" spans="1:14" x14ac:dyDescent="0.4">
      <c r="A138" s="1">
        <v>25385</v>
      </c>
      <c r="B138" s="28">
        <v>0.48625152418367179</v>
      </c>
      <c r="C138" s="28">
        <f t="shared" si="7"/>
        <v>-0.21879629002393131</v>
      </c>
      <c r="D138" s="28">
        <f t="shared" si="7"/>
        <v>-0.15639191843922617</v>
      </c>
      <c r="E138" s="28">
        <f t="shared" si="7"/>
        <v>-0.2559639050715532</v>
      </c>
      <c r="F138" s="28">
        <f t="shared" si="7"/>
        <v>7.8954240617804317E-2</v>
      </c>
      <c r="G138" s="28">
        <f t="shared" si="7"/>
        <v>-0.31290842478432523</v>
      </c>
      <c r="H138" s="28">
        <f t="shared" si="7"/>
        <v>4.9434584292953332E-2</v>
      </c>
      <c r="I138" s="28">
        <f t="shared" si="7"/>
        <v>1.4769283746545625E-2</v>
      </c>
      <c r="J138" s="28">
        <f t="shared" si="7"/>
        <v>-0.25960230095284942</v>
      </c>
      <c r="K138" s="28">
        <f t="shared" si="7"/>
        <v>8.958485751702483E-2</v>
      </c>
      <c r="L138" s="28">
        <f t="shared" si="7"/>
        <v>0.18765862800887589</v>
      </c>
      <c r="M138" s="28">
        <f t="shared" si="7"/>
        <v>0.29825972090509367</v>
      </c>
      <c r="N138" s="28">
        <f t="shared" si="7"/>
        <v>0.3025015241836968</v>
      </c>
    </row>
    <row r="139" spans="1:14" x14ac:dyDescent="0.4">
      <c r="A139" s="1">
        <v>25416</v>
      </c>
      <c r="B139" s="28">
        <v>0.29450972090506866</v>
      </c>
      <c r="C139" s="28">
        <f t="shared" ref="C139:N202" si="8">IF(B138=0,"",B138)</f>
        <v>0.48625152418367179</v>
      </c>
      <c r="D139" s="28">
        <f t="shared" si="8"/>
        <v>-0.21879629002393131</v>
      </c>
      <c r="E139" s="28">
        <f t="shared" si="8"/>
        <v>-0.15639191843922617</v>
      </c>
      <c r="F139" s="28">
        <f t="shared" si="8"/>
        <v>-0.2559639050715532</v>
      </c>
      <c r="G139" s="28">
        <f t="shared" si="8"/>
        <v>7.8954240617804317E-2</v>
      </c>
      <c r="H139" s="28">
        <f t="shared" si="8"/>
        <v>-0.31290842478432523</v>
      </c>
      <c r="I139" s="28">
        <f t="shared" si="8"/>
        <v>4.9434584292953332E-2</v>
      </c>
      <c r="J139" s="28">
        <f t="shared" si="8"/>
        <v>1.4769283746545625E-2</v>
      </c>
      <c r="K139" s="28">
        <f t="shared" si="8"/>
        <v>-0.25960230095284942</v>
      </c>
      <c r="L139" s="28">
        <f t="shared" si="8"/>
        <v>8.958485751702483E-2</v>
      </c>
      <c r="M139" s="28">
        <f t="shared" si="8"/>
        <v>0.18765862800887589</v>
      </c>
      <c r="N139" s="28">
        <f t="shared" si="8"/>
        <v>0.29825972090509367</v>
      </c>
    </row>
    <row r="140" spans="1:14" x14ac:dyDescent="0.4">
      <c r="A140" s="1">
        <v>25447</v>
      </c>
      <c r="B140" s="28">
        <v>0.6893252946754842</v>
      </c>
      <c r="C140" s="28">
        <f t="shared" si="8"/>
        <v>0.29450972090506866</v>
      </c>
      <c r="D140" s="28">
        <f t="shared" si="8"/>
        <v>0.48625152418367179</v>
      </c>
      <c r="E140" s="28">
        <f t="shared" si="8"/>
        <v>-0.21879629002393131</v>
      </c>
      <c r="F140" s="28">
        <f t="shared" si="8"/>
        <v>-0.15639191843922617</v>
      </c>
      <c r="G140" s="28">
        <f t="shared" si="8"/>
        <v>-0.2559639050715532</v>
      </c>
      <c r="H140" s="28">
        <f t="shared" si="8"/>
        <v>7.8954240617804317E-2</v>
      </c>
      <c r="I140" s="28">
        <f t="shared" si="8"/>
        <v>-0.31290842478432523</v>
      </c>
      <c r="J140" s="28">
        <f t="shared" si="8"/>
        <v>4.9434584292953332E-2</v>
      </c>
      <c r="K140" s="28">
        <f t="shared" si="8"/>
        <v>1.4769283746545625E-2</v>
      </c>
      <c r="L140" s="28">
        <f t="shared" si="8"/>
        <v>-0.25960230095284942</v>
      </c>
      <c r="M140" s="28">
        <f t="shared" si="8"/>
        <v>8.958485751702483E-2</v>
      </c>
      <c r="N140" s="28">
        <f t="shared" si="8"/>
        <v>0.18765862800887589</v>
      </c>
    </row>
    <row r="141" spans="1:14" x14ac:dyDescent="0.4">
      <c r="A141" s="1">
        <v>25477</v>
      </c>
      <c r="B141" s="28">
        <v>9.6668190850266456E-2</v>
      </c>
      <c r="C141" s="28">
        <f t="shared" si="8"/>
        <v>0.6893252946754842</v>
      </c>
      <c r="D141" s="28">
        <f t="shared" si="8"/>
        <v>0.29450972090506866</v>
      </c>
      <c r="E141" s="28">
        <f t="shared" si="8"/>
        <v>0.48625152418367179</v>
      </c>
      <c r="F141" s="28">
        <f t="shared" si="8"/>
        <v>-0.21879629002393131</v>
      </c>
      <c r="G141" s="28">
        <f t="shared" si="8"/>
        <v>-0.15639191843922617</v>
      </c>
      <c r="H141" s="28">
        <f t="shared" si="8"/>
        <v>-0.2559639050715532</v>
      </c>
      <c r="I141" s="28">
        <f t="shared" si="8"/>
        <v>7.8954240617804317E-2</v>
      </c>
      <c r="J141" s="28">
        <f t="shared" si="8"/>
        <v>-0.31290842478432523</v>
      </c>
      <c r="K141" s="28">
        <f t="shared" si="8"/>
        <v>4.9434584292953332E-2</v>
      </c>
      <c r="L141" s="28">
        <f t="shared" si="8"/>
        <v>1.4769283746545625E-2</v>
      </c>
      <c r="M141" s="28">
        <f t="shared" si="8"/>
        <v>-0.25960230095284942</v>
      </c>
      <c r="N141" s="28">
        <f t="shared" si="8"/>
        <v>8.958485751702483E-2</v>
      </c>
    </row>
    <row r="142" spans="1:14" x14ac:dyDescent="0.4">
      <c r="A142" s="1">
        <v>25508</v>
      </c>
      <c r="B142" s="28">
        <v>-0.19918563428620928</v>
      </c>
      <c r="C142" s="28">
        <f t="shared" si="8"/>
        <v>9.6668190850266456E-2</v>
      </c>
      <c r="D142" s="28">
        <f t="shared" si="8"/>
        <v>0.6893252946754842</v>
      </c>
      <c r="E142" s="28">
        <f t="shared" si="8"/>
        <v>0.29450972090506866</v>
      </c>
      <c r="F142" s="28">
        <f t="shared" si="8"/>
        <v>0.48625152418367179</v>
      </c>
      <c r="G142" s="28">
        <f t="shared" si="8"/>
        <v>-0.21879629002393131</v>
      </c>
      <c r="H142" s="28">
        <f t="shared" si="8"/>
        <v>-0.15639191843922617</v>
      </c>
      <c r="I142" s="28">
        <f t="shared" si="8"/>
        <v>-0.2559639050715532</v>
      </c>
      <c r="J142" s="28">
        <f t="shared" si="8"/>
        <v>7.8954240617804317E-2</v>
      </c>
      <c r="K142" s="28">
        <f t="shared" si="8"/>
        <v>-0.31290842478432523</v>
      </c>
      <c r="L142" s="28">
        <f t="shared" si="8"/>
        <v>4.9434584292953332E-2</v>
      </c>
      <c r="M142" s="28">
        <f t="shared" si="8"/>
        <v>1.4769283746545625E-2</v>
      </c>
      <c r="N142" s="28">
        <f t="shared" si="8"/>
        <v>-0.25960230095284942</v>
      </c>
    </row>
    <row r="143" spans="1:14" x14ac:dyDescent="0.4">
      <c r="A143" s="1">
        <v>25538</v>
      </c>
      <c r="B143" s="28">
        <v>-0.16231404958676876</v>
      </c>
      <c r="C143" s="28">
        <f t="shared" si="8"/>
        <v>-0.19918563428620928</v>
      </c>
      <c r="D143" s="28">
        <f t="shared" si="8"/>
        <v>9.6668190850266456E-2</v>
      </c>
      <c r="E143" s="28">
        <f t="shared" si="8"/>
        <v>0.6893252946754842</v>
      </c>
      <c r="F143" s="28">
        <f t="shared" si="8"/>
        <v>0.29450972090506866</v>
      </c>
      <c r="G143" s="28">
        <f t="shared" si="8"/>
        <v>0.48625152418367179</v>
      </c>
      <c r="H143" s="28">
        <f t="shared" si="8"/>
        <v>-0.21879629002393131</v>
      </c>
      <c r="I143" s="28">
        <f t="shared" si="8"/>
        <v>-0.15639191843922617</v>
      </c>
      <c r="J143" s="28">
        <f t="shared" si="8"/>
        <v>-0.2559639050715532</v>
      </c>
      <c r="K143" s="28">
        <f t="shared" si="8"/>
        <v>7.8954240617804317E-2</v>
      </c>
      <c r="L143" s="28">
        <f t="shared" si="8"/>
        <v>-0.31290842478432523</v>
      </c>
      <c r="M143" s="28">
        <f t="shared" si="8"/>
        <v>4.9434584292953332E-2</v>
      </c>
      <c r="N143" s="28">
        <f t="shared" si="8"/>
        <v>1.4769283746545625E-2</v>
      </c>
    </row>
    <row r="144" spans="1:14" x14ac:dyDescent="0.4">
      <c r="A144" s="1">
        <v>25569</v>
      </c>
      <c r="B144" s="28">
        <v>-0.22806541570696481</v>
      </c>
      <c r="C144" s="28">
        <f t="shared" si="8"/>
        <v>-0.16231404958676876</v>
      </c>
      <c r="D144" s="28">
        <f t="shared" si="8"/>
        <v>-0.19918563428620928</v>
      </c>
      <c r="E144" s="28">
        <f t="shared" si="8"/>
        <v>9.6668190850266456E-2</v>
      </c>
      <c r="F144" s="28">
        <f t="shared" si="8"/>
        <v>0.6893252946754842</v>
      </c>
      <c r="G144" s="28">
        <f t="shared" si="8"/>
        <v>0.29450972090506866</v>
      </c>
      <c r="H144" s="28">
        <f t="shared" si="8"/>
        <v>0.48625152418367179</v>
      </c>
      <c r="I144" s="28">
        <f t="shared" si="8"/>
        <v>-0.21879629002393131</v>
      </c>
      <c r="J144" s="28">
        <f t="shared" si="8"/>
        <v>-0.15639191843922617</v>
      </c>
      <c r="K144" s="28">
        <f t="shared" si="8"/>
        <v>-0.2559639050715532</v>
      </c>
      <c r="L144" s="28">
        <f t="shared" si="8"/>
        <v>7.8954240617804317E-2</v>
      </c>
      <c r="M144" s="28">
        <f t="shared" si="8"/>
        <v>-0.31290842478432523</v>
      </c>
      <c r="N144" s="28">
        <f t="shared" si="8"/>
        <v>4.9434584292953332E-2</v>
      </c>
    </row>
    <row r="145" spans="1:14" x14ac:dyDescent="0.4">
      <c r="A145" s="1">
        <v>25600</v>
      </c>
      <c r="B145" s="28">
        <v>-5.4084247842638433E-3</v>
      </c>
      <c r="C145" s="28">
        <f t="shared" si="8"/>
        <v>-0.22806541570696481</v>
      </c>
      <c r="D145" s="28">
        <f t="shared" si="8"/>
        <v>-0.16231404958676876</v>
      </c>
      <c r="E145" s="28">
        <f t="shared" si="8"/>
        <v>-0.19918563428620928</v>
      </c>
      <c r="F145" s="28">
        <f t="shared" si="8"/>
        <v>9.6668190850266456E-2</v>
      </c>
      <c r="G145" s="28">
        <f t="shared" si="8"/>
        <v>0.6893252946754842</v>
      </c>
      <c r="H145" s="28">
        <f t="shared" si="8"/>
        <v>0.29450972090506866</v>
      </c>
      <c r="I145" s="28">
        <f t="shared" si="8"/>
        <v>0.48625152418367179</v>
      </c>
      <c r="J145" s="28">
        <f t="shared" si="8"/>
        <v>-0.21879629002393131</v>
      </c>
      <c r="K145" s="28">
        <f t="shared" si="8"/>
        <v>-0.15639191843922617</v>
      </c>
      <c r="L145" s="28">
        <f t="shared" si="8"/>
        <v>-0.2559639050715532</v>
      </c>
      <c r="M145" s="28">
        <f t="shared" si="8"/>
        <v>7.8954240617804317E-2</v>
      </c>
      <c r="N145" s="28">
        <f t="shared" si="8"/>
        <v>-0.31290842478432523</v>
      </c>
    </row>
    <row r="146" spans="1:14" x14ac:dyDescent="0.4">
      <c r="A146" s="1">
        <v>25628</v>
      </c>
      <c r="B146" s="28">
        <v>0.1935375739511187</v>
      </c>
      <c r="C146" s="28">
        <f t="shared" si="8"/>
        <v>-5.4084247842638433E-3</v>
      </c>
      <c r="D146" s="28">
        <f t="shared" si="8"/>
        <v>-0.22806541570696481</v>
      </c>
      <c r="E146" s="28">
        <f t="shared" si="8"/>
        <v>-0.16231404958676876</v>
      </c>
      <c r="F146" s="28">
        <f t="shared" si="8"/>
        <v>-0.19918563428620928</v>
      </c>
      <c r="G146" s="28">
        <f t="shared" si="8"/>
        <v>9.6668190850266456E-2</v>
      </c>
      <c r="H146" s="28">
        <f t="shared" si="8"/>
        <v>0.6893252946754842</v>
      </c>
      <c r="I146" s="28">
        <f t="shared" si="8"/>
        <v>0.29450972090506866</v>
      </c>
      <c r="J146" s="28">
        <f t="shared" si="8"/>
        <v>0.48625152418367179</v>
      </c>
      <c r="K146" s="28">
        <f t="shared" si="8"/>
        <v>-0.21879629002393131</v>
      </c>
      <c r="L146" s="28">
        <f t="shared" si="8"/>
        <v>-0.15639191843922617</v>
      </c>
      <c r="M146" s="28">
        <f t="shared" si="8"/>
        <v>-0.2559639050715532</v>
      </c>
      <c r="N146" s="28">
        <f t="shared" si="8"/>
        <v>7.8954240617804317E-2</v>
      </c>
    </row>
    <row r="147" spans="1:14" x14ac:dyDescent="0.4">
      <c r="A147" s="1">
        <v>25659</v>
      </c>
      <c r="B147" s="28">
        <v>9.4452761595050561E-2</v>
      </c>
      <c r="C147" s="28">
        <f t="shared" si="8"/>
        <v>0.1935375739511187</v>
      </c>
      <c r="D147" s="28">
        <f t="shared" si="8"/>
        <v>-5.4084247842638433E-3</v>
      </c>
      <c r="E147" s="28">
        <f t="shared" si="8"/>
        <v>-0.22806541570696481</v>
      </c>
      <c r="F147" s="28">
        <f t="shared" si="8"/>
        <v>-0.16231404958676876</v>
      </c>
      <c r="G147" s="28">
        <f t="shared" si="8"/>
        <v>-0.19918563428620928</v>
      </c>
      <c r="H147" s="28">
        <f t="shared" si="8"/>
        <v>9.6668190850266456E-2</v>
      </c>
      <c r="I147" s="28">
        <f t="shared" si="8"/>
        <v>0.6893252946754842</v>
      </c>
      <c r="J147" s="28">
        <f t="shared" si="8"/>
        <v>0.29450972090506866</v>
      </c>
      <c r="K147" s="28">
        <f t="shared" si="8"/>
        <v>0.48625152418367179</v>
      </c>
      <c r="L147" s="28">
        <f t="shared" si="8"/>
        <v>-0.21879629002393131</v>
      </c>
      <c r="M147" s="28">
        <f t="shared" si="8"/>
        <v>-0.15639191843922617</v>
      </c>
      <c r="N147" s="28">
        <f t="shared" si="8"/>
        <v>-0.2559639050715532</v>
      </c>
    </row>
    <row r="148" spans="1:14" x14ac:dyDescent="0.4">
      <c r="A148" s="1">
        <v>25689</v>
      </c>
      <c r="B148" s="28">
        <v>-0.55014191843929439</v>
      </c>
      <c r="C148" s="28">
        <f t="shared" si="8"/>
        <v>9.4452761595050561E-2</v>
      </c>
      <c r="D148" s="28">
        <f t="shared" si="8"/>
        <v>0.1935375739511187</v>
      </c>
      <c r="E148" s="28">
        <f t="shared" si="8"/>
        <v>-5.4084247842638433E-3</v>
      </c>
      <c r="F148" s="28">
        <f t="shared" si="8"/>
        <v>-0.22806541570696481</v>
      </c>
      <c r="G148" s="28">
        <f t="shared" si="8"/>
        <v>-0.16231404958676876</v>
      </c>
      <c r="H148" s="28">
        <f t="shared" si="8"/>
        <v>-0.19918563428620928</v>
      </c>
      <c r="I148" s="28">
        <f t="shared" si="8"/>
        <v>9.6668190850266456E-2</v>
      </c>
      <c r="J148" s="28">
        <f t="shared" si="8"/>
        <v>0.6893252946754842</v>
      </c>
      <c r="K148" s="28">
        <f t="shared" si="8"/>
        <v>0.29450972090506866</v>
      </c>
      <c r="L148" s="28">
        <f t="shared" si="8"/>
        <v>0.48625152418367179</v>
      </c>
      <c r="M148" s="28">
        <f t="shared" si="8"/>
        <v>-0.21879629002393131</v>
      </c>
      <c r="N148" s="28">
        <f t="shared" si="8"/>
        <v>-0.15639191843922617</v>
      </c>
    </row>
    <row r="149" spans="1:14" x14ac:dyDescent="0.4">
      <c r="A149" s="1">
        <v>25720</v>
      </c>
      <c r="B149" s="28">
        <v>-0.32796295669061237</v>
      </c>
      <c r="C149" s="28">
        <f t="shared" si="8"/>
        <v>-0.55014191843929439</v>
      </c>
      <c r="D149" s="28">
        <f t="shared" si="8"/>
        <v>9.4452761595050561E-2</v>
      </c>
      <c r="E149" s="28">
        <f t="shared" si="8"/>
        <v>0.1935375739511187</v>
      </c>
      <c r="F149" s="28">
        <f t="shared" si="8"/>
        <v>-5.4084247842638433E-3</v>
      </c>
      <c r="G149" s="28">
        <f t="shared" si="8"/>
        <v>-0.22806541570696481</v>
      </c>
      <c r="H149" s="28">
        <f t="shared" si="8"/>
        <v>-0.16231404958676876</v>
      </c>
      <c r="I149" s="28">
        <f t="shared" si="8"/>
        <v>-0.19918563428620928</v>
      </c>
      <c r="J149" s="28">
        <f t="shared" si="8"/>
        <v>9.6668190850266456E-2</v>
      </c>
      <c r="K149" s="28">
        <f t="shared" si="8"/>
        <v>0.6893252946754842</v>
      </c>
      <c r="L149" s="28">
        <f t="shared" si="8"/>
        <v>0.29450972090506866</v>
      </c>
      <c r="M149" s="28">
        <f t="shared" si="8"/>
        <v>0.48625152418367179</v>
      </c>
      <c r="N149" s="28">
        <f t="shared" si="8"/>
        <v>-0.21879629002393131</v>
      </c>
    </row>
    <row r="150" spans="1:14" x14ac:dyDescent="0.4">
      <c r="A150" s="1">
        <v>25750</v>
      </c>
      <c r="B150" s="28">
        <v>-0.11583180914965396</v>
      </c>
      <c r="C150" s="28">
        <f t="shared" si="8"/>
        <v>-0.32796295669061237</v>
      </c>
      <c r="D150" s="28">
        <f t="shared" si="8"/>
        <v>-0.55014191843929439</v>
      </c>
      <c r="E150" s="28">
        <f t="shared" si="8"/>
        <v>9.4452761595050561E-2</v>
      </c>
      <c r="F150" s="28">
        <f t="shared" si="8"/>
        <v>0.1935375739511187</v>
      </c>
      <c r="G150" s="28">
        <f t="shared" si="8"/>
        <v>-5.4084247842638433E-3</v>
      </c>
      <c r="H150" s="28">
        <f t="shared" si="8"/>
        <v>-0.22806541570696481</v>
      </c>
      <c r="I150" s="28">
        <f t="shared" si="8"/>
        <v>-0.16231404958676876</v>
      </c>
      <c r="J150" s="28">
        <f t="shared" si="8"/>
        <v>-0.19918563428620928</v>
      </c>
      <c r="K150" s="28">
        <f t="shared" si="8"/>
        <v>9.6668190850266456E-2</v>
      </c>
      <c r="L150" s="28">
        <f t="shared" si="8"/>
        <v>0.6893252946754842</v>
      </c>
      <c r="M150" s="28">
        <f t="shared" si="8"/>
        <v>0.29450972090506866</v>
      </c>
      <c r="N150" s="28">
        <f t="shared" si="8"/>
        <v>0.48625152418367179</v>
      </c>
    </row>
    <row r="151" spans="1:14" x14ac:dyDescent="0.4">
      <c r="A151" s="1">
        <v>25781</v>
      </c>
      <c r="B151" s="28">
        <v>0.29659305423837168</v>
      </c>
      <c r="C151" s="28">
        <f t="shared" si="8"/>
        <v>-0.11583180914965396</v>
      </c>
      <c r="D151" s="28">
        <f t="shared" si="8"/>
        <v>-0.32796295669061237</v>
      </c>
      <c r="E151" s="28">
        <f t="shared" si="8"/>
        <v>-0.55014191843929439</v>
      </c>
      <c r="F151" s="28">
        <f t="shared" si="8"/>
        <v>9.4452761595050561E-2</v>
      </c>
      <c r="G151" s="28">
        <f t="shared" si="8"/>
        <v>0.1935375739511187</v>
      </c>
      <c r="H151" s="28">
        <f t="shared" si="8"/>
        <v>-5.4084247842638433E-3</v>
      </c>
      <c r="I151" s="28">
        <f t="shared" si="8"/>
        <v>-0.22806541570696481</v>
      </c>
      <c r="J151" s="28">
        <f t="shared" si="8"/>
        <v>-0.16231404958676876</v>
      </c>
      <c r="K151" s="28">
        <f t="shared" si="8"/>
        <v>-0.19918563428620928</v>
      </c>
      <c r="L151" s="28">
        <f t="shared" si="8"/>
        <v>9.6668190850266456E-2</v>
      </c>
      <c r="M151" s="28">
        <f t="shared" si="8"/>
        <v>0.6893252946754842</v>
      </c>
      <c r="N151" s="28">
        <f t="shared" si="8"/>
        <v>0.29450972090506866</v>
      </c>
    </row>
    <row r="152" spans="1:14" x14ac:dyDescent="0.4">
      <c r="A152" s="1">
        <v>25812</v>
      </c>
      <c r="B152" s="28">
        <v>0.46182529467557742</v>
      </c>
      <c r="C152" s="28">
        <f t="shared" si="8"/>
        <v>0.29659305423837168</v>
      </c>
      <c r="D152" s="28">
        <f t="shared" si="8"/>
        <v>-0.11583180914965396</v>
      </c>
      <c r="E152" s="28">
        <f t="shared" si="8"/>
        <v>-0.32796295669061237</v>
      </c>
      <c r="F152" s="28">
        <f t="shared" si="8"/>
        <v>-0.55014191843929439</v>
      </c>
      <c r="G152" s="28">
        <f t="shared" si="8"/>
        <v>9.4452761595050561E-2</v>
      </c>
      <c r="H152" s="28">
        <f t="shared" si="8"/>
        <v>0.1935375739511187</v>
      </c>
      <c r="I152" s="28">
        <f t="shared" si="8"/>
        <v>-5.4084247842638433E-3</v>
      </c>
      <c r="J152" s="28">
        <f t="shared" si="8"/>
        <v>-0.22806541570696481</v>
      </c>
      <c r="K152" s="28">
        <f t="shared" si="8"/>
        <v>-0.16231404958676876</v>
      </c>
      <c r="L152" s="28">
        <f t="shared" si="8"/>
        <v>-0.19918563428620928</v>
      </c>
      <c r="M152" s="28">
        <f t="shared" si="8"/>
        <v>9.6668190850266456E-2</v>
      </c>
      <c r="N152" s="28">
        <f t="shared" si="8"/>
        <v>0.6893252946754842</v>
      </c>
    </row>
    <row r="153" spans="1:14" x14ac:dyDescent="0.4">
      <c r="A153" s="1">
        <v>25842</v>
      </c>
      <c r="B153" s="28">
        <v>0.54875152418372863</v>
      </c>
      <c r="C153" s="28">
        <f t="shared" si="8"/>
        <v>0.46182529467557742</v>
      </c>
      <c r="D153" s="28">
        <f t="shared" si="8"/>
        <v>0.29659305423837168</v>
      </c>
      <c r="E153" s="28">
        <f t="shared" si="8"/>
        <v>-0.11583180914965396</v>
      </c>
      <c r="F153" s="28">
        <f t="shared" si="8"/>
        <v>-0.32796295669061237</v>
      </c>
      <c r="G153" s="28">
        <f t="shared" si="8"/>
        <v>-0.55014191843929439</v>
      </c>
      <c r="H153" s="28">
        <f t="shared" si="8"/>
        <v>9.4452761595050561E-2</v>
      </c>
      <c r="I153" s="28">
        <f t="shared" si="8"/>
        <v>0.1935375739511187</v>
      </c>
      <c r="J153" s="28">
        <f t="shared" si="8"/>
        <v>-5.4084247842638433E-3</v>
      </c>
      <c r="K153" s="28">
        <f t="shared" si="8"/>
        <v>-0.22806541570696481</v>
      </c>
      <c r="L153" s="28">
        <f t="shared" si="8"/>
        <v>-0.16231404958676876</v>
      </c>
      <c r="M153" s="28">
        <f t="shared" si="8"/>
        <v>-0.19918563428620928</v>
      </c>
      <c r="N153" s="28">
        <f t="shared" si="8"/>
        <v>9.6668190850266456E-2</v>
      </c>
    </row>
    <row r="154" spans="1:14" x14ac:dyDescent="0.4">
      <c r="A154" s="1">
        <v>25873</v>
      </c>
      <c r="B154" s="28">
        <v>0.20206436571379527</v>
      </c>
      <c r="C154" s="28">
        <f t="shared" si="8"/>
        <v>0.54875152418372863</v>
      </c>
      <c r="D154" s="28">
        <f t="shared" si="8"/>
        <v>0.46182529467557742</v>
      </c>
      <c r="E154" s="28">
        <f t="shared" si="8"/>
        <v>0.29659305423837168</v>
      </c>
      <c r="F154" s="28">
        <f t="shared" si="8"/>
        <v>-0.11583180914965396</v>
      </c>
      <c r="G154" s="28">
        <f t="shared" si="8"/>
        <v>-0.32796295669061237</v>
      </c>
      <c r="H154" s="28">
        <f t="shared" si="8"/>
        <v>-0.55014191843929439</v>
      </c>
      <c r="I154" s="28">
        <f t="shared" si="8"/>
        <v>9.4452761595050561E-2</v>
      </c>
      <c r="J154" s="28">
        <f t="shared" si="8"/>
        <v>0.1935375739511187</v>
      </c>
      <c r="K154" s="28">
        <f t="shared" si="8"/>
        <v>-5.4084247842638433E-3</v>
      </c>
      <c r="L154" s="28">
        <f t="shared" si="8"/>
        <v>-0.22806541570696481</v>
      </c>
      <c r="M154" s="28">
        <f t="shared" si="8"/>
        <v>-0.16231404958676876</v>
      </c>
      <c r="N154" s="28">
        <f t="shared" si="8"/>
        <v>-0.19918563428620928</v>
      </c>
    </row>
    <row r="155" spans="1:14" x14ac:dyDescent="0.4">
      <c r="A155" s="1">
        <v>25903</v>
      </c>
      <c r="B155" s="28">
        <v>8.5185950413233513E-2</v>
      </c>
      <c r="C155" s="28">
        <f t="shared" si="8"/>
        <v>0.20206436571379527</v>
      </c>
      <c r="D155" s="28">
        <f t="shared" si="8"/>
        <v>0.54875152418372863</v>
      </c>
      <c r="E155" s="28">
        <f t="shared" si="8"/>
        <v>0.46182529467557742</v>
      </c>
      <c r="F155" s="28">
        <f t="shared" si="8"/>
        <v>0.29659305423837168</v>
      </c>
      <c r="G155" s="28">
        <f t="shared" si="8"/>
        <v>-0.11583180914965396</v>
      </c>
      <c r="H155" s="28">
        <f t="shared" si="8"/>
        <v>-0.32796295669061237</v>
      </c>
      <c r="I155" s="28">
        <f t="shared" si="8"/>
        <v>-0.55014191843929439</v>
      </c>
      <c r="J155" s="28">
        <f t="shared" si="8"/>
        <v>9.4452761595050561E-2</v>
      </c>
      <c r="K155" s="28">
        <f t="shared" si="8"/>
        <v>0.1935375739511187</v>
      </c>
      <c r="L155" s="28">
        <f t="shared" si="8"/>
        <v>-5.4084247842638433E-3</v>
      </c>
      <c r="M155" s="28">
        <f t="shared" si="8"/>
        <v>-0.22806541570696481</v>
      </c>
      <c r="N155" s="28">
        <f t="shared" si="8"/>
        <v>-0.16231404958676876</v>
      </c>
    </row>
    <row r="156" spans="1:14" x14ac:dyDescent="0.4">
      <c r="A156" s="1">
        <v>25934</v>
      </c>
      <c r="B156" s="28">
        <v>9.8601250959688969E-2</v>
      </c>
      <c r="C156" s="28">
        <f t="shared" si="8"/>
        <v>8.5185950413233513E-2</v>
      </c>
      <c r="D156" s="28">
        <f t="shared" si="8"/>
        <v>0.20206436571379527</v>
      </c>
      <c r="E156" s="28">
        <f t="shared" si="8"/>
        <v>0.54875152418372863</v>
      </c>
      <c r="F156" s="28">
        <f t="shared" si="8"/>
        <v>0.46182529467557742</v>
      </c>
      <c r="G156" s="28">
        <f t="shared" si="8"/>
        <v>0.29659305423837168</v>
      </c>
      <c r="H156" s="28">
        <f t="shared" si="8"/>
        <v>-0.11583180914965396</v>
      </c>
      <c r="I156" s="28">
        <f t="shared" si="8"/>
        <v>-0.32796295669061237</v>
      </c>
      <c r="J156" s="28">
        <f t="shared" si="8"/>
        <v>-0.55014191843929439</v>
      </c>
      <c r="K156" s="28">
        <f t="shared" si="8"/>
        <v>9.4452761595050561E-2</v>
      </c>
      <c r="L156" s="28">
        <f t="shared" si="8"/>
        <v>0.1935375739511187</v>
      </c>
      <c r="M156" s="28">
        <f t="shared" si="8"/>
        <v>-5.4084247842638433E-3</v>
      </c>
      <c r="N156" s="28">
        <f t="shared" si="8"/>
        <v>-0.22806541570696481</v>
      </c>
    </row>
    <row r="157" spans="1:14" x14ac:dyDescent="0.4">
      <c r="A157" s="1">
        <v>25965</v>
      </c>
      <c r="B157" s="28">
        <v>-9.9991758117653262E-2</v>
      </c>
      <c r="C157" s="28">
        <f t="shared" si="8"/>
        <v>9.8601250959688969E-2</v>
      </c>
      <c r="D157" s="28">
        <f t="shared" si="8"/>
        <v>8.5185950413233513E-2</v>
      </c>
      <c r="E157" s="28">
        <f t="shared" si="8"/>
        <v>0.20206436571379527</v>
      </c>
      <c r="F157" s="28">
        <f t="shared" si="8"/>
        <v>0.54875152418372863</v>
      </c>
      <c r="G157" s="28">
        <f t="shared" si="8"/>
        <v>0.46182529467557742</v>
      </c>
      <c r="H157" s="28">
        <f t="shared" si="8"/>
        <v>0.29659305423837168</v>
      </c>
      <c r="I157" s="28">
        <f t="shared" si="8"/>
        <v>-0.11583180914965396</v>
      </c>
      <c r="J157" s="28">
        <f t="shared" si="8"/>
        <v>-0.32796295669061237</v>
      </c>
      <c r="K157" s="28">
        <f t="shared" si="8"/>
        <v>-0.55014191843929439</v>
      </c>
      <c r="L157" s="28">
        <f t="shared" si="8"/>
        <v>9.4452761595050561E-2</v>
      </c>
      <c r="M157" s="28">
        <f t="shared" si="8"/>
        <v>0.1935375739511187</v>
      </c>
      <c r="N157" s="28">
        <f t="shared" si="8"/>
        <v>-5.4084247842638433E-3</v>
      </c>
    </row>
    <row r="158" spans="1:14" x14ac:dyDescent="0.4">
      <c r="A158" s="1">
        <v>25993</v>
      </c>
      <c r="B158" s="28">
        <v>-0.32979575938219341</v>
      </c>
      <c r="C158" s="28">
        <f t="shared" si="8"/>
        <v>-9.9991758117653262E-2</v>
      </c>
      <c r="D158" s="28">
        <f t="shared" si="8"/>
        <v>9.8601250959688969E-2</v>
      </c>
      <c r="E158" s="28">
        <f t="shared" si="8"/>
        <v>8.5185950413233513E-2</v>
      </c>
      <c r="F158" s="28">
        <f t="shared" si="8"/>
        <v>0.20206436571379527</v>
      </c>
      <c r="G158" s="28">
        <f t="shared" si="8"/>
        <v>0.54875152418372863</v>
      </c>
      <c r="H158" s="28">
        <f t="shared" si="8"/>
        <v>0.46182529467557742</v>
      </c>
      <c r="I158" s="28">
        <f t="shared" si="8"/>
        <v>0.29659305423837168</v>
      </c>
      <c r="J158" s="28">
        <f t="shared" si="8"/>
        <v>-0.11583180914965396</v>
      </c>
      <c r="K158" s="28">
        <f t="shared" si="8"/>
        <v>-0.32796295669061237</v>
      </c>
      <c r="L158" s="28">
        <f t="shared" si="8"/>
        <v>-0.55014191843929439</v>
      </c>
      <c r="M158" s="28">
        <f t="shared" si="8"/>
        <v>9.4452761595050561E-2</v>
      </c>
      <c r="N158" s="28">
        <f t="shared" si="8"/>
        <v>0.1935375739511187</v>
      </c>
    </row>
    <row r="159" spans="1:14" x14ac:dyDescent="0.4">
      <c r="A159" s="1">
        <v>26024</v>
      </c>
      <c r="B159" s="28">
        <v>-0.95721390507151227</v>
      </c>
      <c r="C159" s="28">
        <f t="shared" si="8"/>
        <v>-0.32979575938219341</v>
      </c>
      <c r="D159" s="28">
        <f t="shared" si="8"/>
        <v>-9.9991758117653262E-2</v>
      </c>
      <c r="E159" s="28">
        <f t="shared" si="8"/>
        <v>9.8601250959688969E-2</v>
      </c>
      <c r="F159" s="28">
        <f t="shared" si="8"/>
        <v>8.5185950413233513E-2</v>
      </c>
      <c r="G159" s="28">
        <f t="shared" si="8"/>
        <v>0.20206436571379527</v>
      </c>
      <c r="H159" s="28">
        <f t="shared" si="8"/>
        <v>0.54875152418372863</v>
      </c>
      <c r="I159" s="28">
        <f t="shared" si="8"/>
        <v>0.46182529467557742</v>
      </c>
      <c r="J159" s="28">
        <f t="shared" si="8"/>
        <v>0.29659305423837168</v>
      </c>
      <c r="K159" s="28">
        <f t="shared" si="8"/>
        <v>-0.11583180914965396</v>
      </c>
      <c r="L159" s="28">
        <f t="shared" si="8"/>
        <v>-0.32796295669061237</v>
      </c>
      <c r="M159" s="28">
        <f t="shared" si="8"/>
        <v>-0.55014191843929439</v>
      </c>
      <c r="N159" s="28">
        <f t="shared" si="8"/>
        <v>9.4452761595050561E-2</v>
      </c>
    </row>
    <row r="160" spans="1:14" x14ac:dyDescent="0.4">
      <c r="A160" s="1">
        <v>26054</v>
      </c>
      <c r="B160" s="28">
        <v>-0.36389191843926483</v>
      </c>
      <c r="C160" s="28">
        <f t="shared" si="8"/>
        <v>-0.95721390507151227</v>
      </c>
      <c r="D160" s="28">
        <f t="shared" si="8"/>
        <v>-0.32979575938219341</v>
      </c>
      <c r="E160" s="28">
        <f t="shared" si="8"/>
        <v>-9.9991758117653262E-2</v>
      </c>
      <c r="F160" s="28">
        <f t="shared" ref="D160:P175" si="9">IF(E159=0,"",E159)</f>
        <v>9.8601250959688969E-2</v>
      </c>
      <c r="G160" s="28">
        <f t="shared" si="9"/>
        <v>8.5185950413233513E-2</v>
      </c>
      <c r="H160" s="28">
        <f t="shared" si="9"/>
        <v>0.20206436571379527</v>
      </c>
      <c r="I160" s="28">
        <f t="shared" si="9"/>
        <v>0.54875152418372863</v>
      </c>
      <c r="J160" s="28">
        <f t="shared" si="9"/>
        <v>0.46182529467557742</v>
      </c>
      <c r="K160" s="28">
        <f t="shared" si="9"/>
        <v>0.29659305423837168</v>
      </c>
      <c r="L160" s="28">
        <f t="shared" si="9"/>
        <v>-0.11583180914965396</v>
      </c>
      <c r="M160" s="28">
        <f t="shared" si="9"/>
        <v>-0.32796295669061237</v>
      </c>
      <c r="N160" s="28">
        <f t="shared" si="9"/>
        <v>-0.55014191843929439</v>
      </c>
    </row>
    <row r="161" spans="1:14" x14ac:dyDescent="0.4">
      <c r="A161" s="1">
        <v>26085</v>
      </c>
      <c r="B161" s="28">
        <v>-7.087962335725706E-2</v>
      </c>
      <c r="C161" s="28">
        <f t="shared" ref="C161:N224" si="10">IF(B160=0,"",B160)</f>
        <v>-0.36389191843926483</v>
      </c>
      <c r="D161" s="28">
        <f t="shared" si="9"/>
        <v>-0.95721390507151227</v>
      </c>
      <c r="E161" s="28">
        <f t="shared" si="9"/>
        <v>-0.32979575938219341</v>
      </c>
      <c r="F161" s="28">
        <f t="shared" si="9"/>
        <v>-9.9991758117653262E-2</v>
      </c>
      <c r="G161" s="28">
        <f t="shared" si="9"/>
        <v>9.8601250959688969E-2</v>
      </c>
      <c r="H161" s="28">
        <f t="shared" si="9"/>
        <v>8.5185950413233513E-2</v>
      </c>
      <c r="I161" s="28">
        <f t="shared" si="9"/>
        <v>0.20206436571379527</v>
      </c>
      <c r="J161" s="28">
        <f t="shared" si="9"/>
        <v>0.54875152418372863</v>
      </c>
      <c r="K161" s="28">
        <f t="shared" si="9"/>
        <v>0.46182529467557742</v>
      </c>
      <c r="L161" s="28">
        <f t="shared" si="9"/>
        <v>0.29659305423837168</v>
      </c>
      <c r="M161" s="28">
        <f t="shared" si="9"/>
        <v>-0.11583180914965396</v>
      </c>
      <c r="N161" s="28">
        <f t="shared" si="9"/>
        <v>-0.32796295669061237</v>
      </c>
    </row>
    <row r="162" spans="1:14" x14ac:dyDescent="0.4">
      <c r="A162" s="1">
        <v>26115</v>
      </c>
      <c r="B162" s="28">
        <v>0.28791819085034831</v>
      </c>
      <c r="C162" s="28">
        <f t="shared" si="10"/>
        <v>-7.087962335725706E-2</v>
      </c>
      <c r="D162" s="28">
        <f t="shared" si="9"/>
        <v>-0.36389191843926483</v>
      </c>
      <c r="E162" s="28">
        <f t="shared" si="9"/>
        <v>-0.95721390507151227</v>
      </c>
      <c r="F162" s="28">
        <f t="shared" si="9"/>
        <v>-0.32979575938219341</v>
      </c>
      <c r="G162" s="28">
        <f t="shared" si="9"/>
        <v>-9.9991758117653262E-2</v>
      </c>
      <c r="H162" s="28">
        <f t="shared" si="9"/>
        <v>9.8601250959688969E-2</v>
      </c>
      <c r="I162" s="28">
        <f t="shared" si="9"/>
        <v>8.5185950413233513E-2</v>
      </c>
      <c r="J162" s="28">
        <f t="shared" si="9"/>
        <v>0.20206436571379527</v>
      </c>
      <c r="K162" s="28">
        <f t="shared" si="9"/>
        <v>0.54875152418372863</v>
      </c>
      <c r="L162" s="28">
        <f t="shared" si="9"/>
        <v>0.46182529467557742</v>
      </c>
      <c r="M162" s="28">
        <f t="shared" si="9"/>
        <v>0.29659305423837168</v>
      </c>
      <c r="N162" s="28">
        <f t="shared" si="9"/>
        <v>-0.11583180914965396</v>
      </c>
    </row>
    <row r="163" spans="1:14" x14ac:dyDescent="0.4">
      <c r="A163" s="1">
        <v>26146</v>
      </c>
      <c r="B163" s="28">
        <v>0.43117638757172472</v>
      </c>
      <c r="C163" s="28">
        <f t="shared" si="10"/>
        <v>0.28791819085034831</v>
      </c>
      <c r="D163" s="28">
        <f t="shared" si="9"/>
        <v>-7.087962335725706E-2</v>
      </c>
      <c r="E163" s="28">
        <f t="shared" si="9"/>
        <v>-0.36389191843926483</v>
      </c>
      <c r="F163" s="28">
        <f t="shared" si="9"/>
        <v>-0.95721390507151227</v>
      </c>
      <c r="G163" s="28">
        <f t="shared" si="9"/>
        <v>-0.32979575938219341</v>
      </c>
      <c r="H163" s="28">
        <f t="shared" si="9"/>
        <v>-9.9991758117653262E-2</v>
      </c>
      <c r="I163" s="28">
        <f t="shared" si="9"/>
        <v>9.8601250959688969E-2</v>
      </c>
      <c r="J163" s="28">
        <f t="shared" si="9"/>
        <v>8.5185950413233513E-2</v>
      </c>
      <c r="K163" s="28">
        <f t="shared" si="9"/>
        <v>0.20206436571379527</v>
      </c>
      <c r="L163" s="28">
        <f t="shared" si="9"/>
        <v>0.54875152418372863</v>
      </c>
      <c r="M163" s="28">
        <f t="shared" si="9"/>
        <v>0.46182529467557742</v>
      </c>
      <c r="N163" s="28">
        <f t="shared" si="9"/>
        <v>0.29659305423837168</v>
      </c>
    </row>
    <row r="164" spans="1:14" x14ac:dyDescent="0.4">
      <c r="A164" s="1">
        <v>26177</v>
      </c>
      <c r="B164" s="28">
        <v>9.1825294675516034E-2</v>
      </c>
      <c r="C164" s="28">
        <f t="shared" si="10"/>
        <v>0.43117638757172472</v>
      </c>
      <c r="D164" s="28">
        <f t="shared" si="9"/>
        <v>0.28791819085034831</v>
      </c>
      <c r="E164" s="28">
        <f t="shared" si="9"/>
        <v>-7.087962335725706E-2</v>
      </c>
      <c r="F164" s="28">
        <f t="shared" si="9"/>
        <v>-0.36389191843926483</v>
      </c>
      <c r="G164" s="28">
        <f t="shared" si="9"/>
        <v>-0.95721390507151227</v>
      </c>
      <c r="H164" s="28">
        <f t="shared" si="9"/>
        <v>-0.32979575938219341</v>
      </c>
      <c r="I164" s="28">
        <f t="shared" si="9"/>
        <v>-9.9991758117653262E-2</v>
      </c>
      <c r="J164" s="28">
        <f t="shared" si="9"/>
        <v>9.8601250959688969E-2</v>
      </c>
      <c r="K164" s="28">
        <f t="shared" si="9"/>
        <v>8.5185950413233513E-2</v>
      </c>
      <c r="L164" s="28">
        <f t="shared" si="9"/>
        <v>0.20206436571379527</v>
      </c>
      <c r="M164" s="28">
        <f t="shared" si="9"/>
        <v>0.54875152418372863</v>
      </c>
      <c r="N164" s="28">
        <f t="shared" si="9"/>
        <v>0.46182529467557742</v>
      </c>
    </row>
    <row r="165" spans="1:14" x14ac:dyDescent="0.4">
      <c r="A165" s="1">
        <v>26207</v>
      </c>
      <c r="B165" s="28">
        <v>0.31000152418374682</v>
      </c>
      <c r="C165" s="28">
        <f t="shared" si="10"/>
        <v>9.1825294675516034E-2</v>
      </c>
      <c r="D165" s="28">
        <f t="shared" si="9"/>
        <v>0.43117638757172472</v>
      </c>
      <c r="E165" s="28">
        <f t="shared" si="9"/>
        <v>0.28791819085034831</v>
      </c>
      <c r="F165" s="28">
        <f t="shared" si="9"/>
        <v>-7.087962335725706E-2</v>
      </c>
      <c r="G165" s="28">
        <f t="shared" si="9"/>
        <v>-0.36389191843926483</v>
      </c>
      <c r="H165" s="28">
        <f t="shared" si="9"/>
        <v>-0.95721390507151227</v>
      </c>
      <c r="I165" s="28">
        <f t="shared" si="9"/>
        <v>-0.32979575938219341</v>
      </c>
      <c r="J165" s="28">
        <f t="shared" si="9"/>
        <v>-9.9991758117653262E-2</v>
      </c>
      <c r="K165" s="28">
        <f t="shared" si="9"/>
        <v>9.8601250959688969E-2</v>
      </c>
      <c r="L165" s="28">
        <f t="shared" si="9"/>
        <v>8.5185950413233513E-2</v>
      </c>
      <c r="M165" s="28">
        <f t="shared" si="9"/>
        <v>0.20206436571379527</v>
      </c>
      <c r="N165" s="28">
        <f t="shared" si="9"/>
        <v>0.54875152418372863</v>
      </c>
    </row>
    <row r="166" spans="1:14" x14ac:dyDescent="0.4">
      <c r="A166" s="1">
        <v>26238</v>
      </c>
      <c r="B166" s="28">
        <v>0.14664769904715058</v>
      </c>
      <c r="C166" s="28">
        <f t="shared" si="10"/>
        <v>0.31000152418374682</v>
      </c>
      <c r="D166" s="28">
        <f t="shared" si="9"/>
        <v>9.1825294675516034E-2</v>
      </c>
      <c r="E166" s="28">
        <f t="shared" si="9"/>
        <v>0.43117638757172472</v>
      </c>
      <c r="F166" s="28">
        <f t="shared" si="9"/>
        <v>0.28791819085034831</v>
      </c>
      <c r="G166" s="28">
        <f t="shared" si="9"/>
        <v>-7.087962335725706E-2</v>
      </c>
      <c r="H166" s="28">
        <f t="shared" si="9"/>
        <v>-0.36389191843926483</v>
      </c>
      <c r="I166" s="28">
        <f t="shared" si="9"/>
        <v>-0.95721390507151227</v>
      </c>
      <c r="J166" s="28">
        <f t="shared" si="9"/>
        <v>-0.32979575938219341</v>
      </c>
      <c r="K166" s="28">
        <f t="shared" si="9"/>
        <v>-9.9991758117653262E-2</v>
      </c>
      <c r="L166" s="28">
        <f t="shared" si="9"/>
        <v>9.8601250959688969E-2</v>
      </c>
      <c r="M166" s="28">
        <f t="shared" si="9"/>
        <v>8.5185950413233513E-2</v>
      </c>
      <c r="N166" s="28">
        <f t="shared" si="9"/>
        <v>0.20206436571379527</v>
      </c>
    </row>
    <row r="167" spans="1:14" x14ac:dyDescent="0.4">
      <c r="A167" s="1">
        <v>26268</v>
      </c>
      <c r="B167" s="28">
        <v>0.12351928374658883</v>
      </c>
      <c r="C167" s="28">
        <f t="shared" si="10"/>
        <v>0.14664769904715058</v>
      </c>
      <c r="D167" s="28">
        <f t="shared" si="9"/>
        <v>0.31000152418374682</v>
      </c>
      <c r="E167" s="28">
        <f t="shared" si="9"/>
        <v>9.1825294675516034E-2</v>
      </c>
      <c r="F167" s="28">
        <f t="shared" si="9"/>
        <v>0.43117638757172472</v>
      </c>
      <c r="G167" s="28">
        <f t="shared" si="9"/>
        <v>0.28791819085034831</v>
      </c>
      <c r="H167" s="28">
        <f t="shared" si="9"/>
        <v>-7.087962335725706E-2</v>
      </c>
      <c r="I167" s="28">
        <f t="shared" si="9"/>
        <v>-0.36389191843926483</v>
      </c>
      <c r="J167" s="28">
        <f t="shared" si="9"/>
        <v>-0.95721390507151227</v>
      </c>
      <c r="K167" s="28">
        <f t="shared" si="9"/>
        <v>-0.32979575938219341</v>
      </c>
      <c r="L167" s="28">
        <f t="shared" si="9"/>
        <v>-9.9991758117653262E-2</v>
      </c>
      <c r="M167" s="28">
        <f t="shared" si="9"/>
        <v>9.8601250959688969E-2</v>
      </c>
      <c r="N167" s="28">
        <f t="shared" si="9"/>
        <v>8.5185950413233513E-2</v>
      </c>
    </row>
    <row r="168" spans="1:14" x14ac:dyDescent="0.4">
      <c r="A168" s="1">
        <v>26299</v>
      </c>
      <c r="B168" s="28">
        <v>-0.11306541570701256</v>
      </c>
      <c r="C168" s="28">
        <f t="shared" si="10"/>
        <v>0.12351928374658883</v>
      </c>
      <c r="D168" s="28">
        <f t="shared" si="9"/>
        <v>0.14664769904715058</v>
      </c>
      <c r="E168" s="28">
        <f t="shared" si="9"/>
        <v>0.31000152418374682</v>
      </c>
      <c r="F168" s="28">
        <f t="shared" si="9"/>
        <v>9.1825294675516034E-2</v>
      </c>
      <c r="G168" s="28">
        <f t="shared" si="9"/>
        <v>0.43117638757172472</v>
      </c>
      <c r="H168" s="28">
        <f t="shared" si="9"/>
        <v>0.28791819085034831</v>
      </c>
      <c r="I168" s="28">
        <f t="shared" si="9"/>
        <v>-7.087962335725706E-2</v>
      </c>
      <c r="J168" s="28">
        <f t="shared" si="9"/>
        <v>-0.36389191843926483</v>
      </c>
      <c r="K168" s="28">
        <f t="shared" si="9"/>
        <v>-0.95721390507151227</v>
      </c>
      <c r="L168" s="28">
        <f t="shared" si="9"/>
        <v>-0.32979575938219341</v>
      </c>
      <c r="M168" s="28">
        <f t="shared" si="9"/>
        <v>-9.9991758117653262E-2</v>
      </c>
      <c r="N168" s="28">
        <f t="shared" si="9"/>
        <v>9.8601250959688969E-2</v>
      </c>
    </row>
    <row r="169" spans="1:14" x14ac:dyDescent="0.4">
      <c r="A169" s="1">
        <v>26330</v>
      </c>
      <c r="B169" s="28">
        <v>4.6258241882298989E-2</v>
      </c>
      <c r="C169" s="28">
        <f t="shared" si="10"/>
        <v>-0.11306541570701256</v>
      </c>
      <c r="D169" s="28">
        <f t="shared" si="9"/>
        <v>0.12351928374658883</v>
      </c>
      <c r="E169" s="28">
        <f t="shared" si="9"/>
        <v>0.14664769904715058</v>
      </c>
      <c r="F169" s="28">
        <f t="shared" si="9"/>
        <v>0.31000152418374682</v>
      </c>
      <c r="G169" s="28">
        <f t="shared" si="9"/>
        <v>9.1825294675516034E-2</v>
      </c>
      <c r="H169" s="28">
        <f t="shared" si="9"/>
        <v>0.43117638757172472</v>
      </c>
      <c r="I169" s="28">
        <f t="shared" si="9"/>
        <v>0.28791819085034831</v>
      </c>
      <c r="J169" s="28">
        <f t="shared" si="9"/>
        <v>-7.087962335725706E-2</v>
      </c>
      <c r="K169" s="28">
        <f t="shared" si="9"/>
        <v>-0.36389191843926483</v>
      </c>
      <c r="L169" s="28">
        <f t="shared" si="9"/>
        <v>-0.95721390507151227</v>
      </c>
      <c r="M169" s="28">
        <f t="shared" si="9"/>
        <v>-0.32979575938219341</v>
      </c>
      <c r="N169" s="28">
        <f t="shared" si="9"/>
        <v>-9.9991758117653262E-2</v>
      </c>
    </row>
    <row r="170" spans="1:14" x14ac:dyDescent="0.4">
      <c r="A170" s="1">
        <v>26359</v>
      </c>
      <c r="B170" s="28">
        <v>-0.6106290927154987</v>
      </c>
      <c r="C170" s="28">
        <f t="shared" si="10"/>
        <v>4.6258241882298989E-2</v>
      </c>
      <c r="D170" s="28">
        <f t="shared" si="9"/>
        <v>-0.11306541570701256</v>
      </c>
      <c r="E170" s="28">
        <f t="shared" si="9"/>
        <v>0.12351928374658883</v>
      </c>
      <c r="F170" s="28">
        <f t="shared" si="9"/>
        <v>0.14664769904715058</v>
      </c>
      <c r="G170" s="28">
        <f t="shared" si="9"/>
        <v>0.31000152418374682</v>
      </c>
      <c r="H170" s="28">
        <f t="shared" si="9"/>
        <v>9.1825294675516034E-2</v>
      </c>
      <c r="I170" s="28">
        <f t="shared" si="9"/>
        <v>0.43117638757172472</v>
      </c>
      <c r="J170" s="28">
        <f t="shared" si="9"/>
        <v>0.28791819085034831</v>
      </c>
      <c r="K170" s="28">
        <f t="shared" si="9"/>
        <v>-7.087962335725706E-2</v>
      </c>
      <c r="L170" s="28">
        <f t="shared" si="9"/>
        <v>-0.36389191843926483</v>
      </c>
      <c r="M170" s="28">
        <f t="shared" si="9"/>
        <v>-0.95721390507151227</v>
      </c>
      <c r="N170" s="28">
        <f t="shared" si="9"/>
        <v>-0.32979575938219341</v>
      </c>
    </row>
    <row r="171" spans="1:14" x14ac:dyDescent="0.4">
      <c r="A171" s="1">
        <v>26390</v>
      </c>
      <c r="B171" s="28">
        <v>1.3619428261790745E-2</v>
      </c>
      <c r="C171" s="28">
        <f t="shared" si="10"/>
        <v>-0.6106290927154987</v>
      </c>
      <c r="D171" s="28">
        <f t="shared" si="9"/>
        <v>4.6258241882298989E-2</v>
      </c>
      <c r="E171" s="28">
        <f t="shared" si="9"/>
        <v>-0.11306541570701256</v>
      </c>
      <c r="F171" s="28">
        <f t="shared" si="9"/>
        <v>0.12351928374658883</v>
      </c>
      <c r="G171" s="28">
        <f t="shared" si="9"/>
        <v>0.14664769904715058</v>
      </c>
      <c r="H171" s="28">
        <f t="shared" si="9"/>
        <v>0.31000152418374682</v>
      </c>
      <c r="I171" s="28">
        <f t="shared" si="9"/>
        <v>9.1825294675516034E-2</v>
      </c>
      <c r="J171" s="28">
        <f t="shared" si="9"/>
        <v>0.43117638757172472</v>
      </c>
      <c r="K171" s="28">
        <f t="shared" si="9"/>
        <v>0.28791819085034831</v>
      </c>
      <c r="L171" s="28">
        <f t="shared" si="9"/>
        <v>-7.087962335725706E-2</v>
      </c>
      <c r="M171" s="28">
        <f t="shared" si="9"/>
        <v>-0.36389191843926483</v>
      </c>
      <c r="N171" s="28">
        <f t="shared" si="9"/>
        <v>-0.95721390507151227</v>
      </c>
    </row>
    <row r="172" spans="1:14" x14ac:dyDescent="0.4">
      <c r="A172" s="1">
        <v>26420</v>
      </c>
      <c r="B172" s="28">
        <v>-0.26847525177259968</v>
      </c>
      <c r="C172" s="28">
        <f t="shared" si="10"/>
        <v>1.3619428261790745E-2</v>
      </c>
      <c r="D172" s="28">
        <f t="shared" si="9"/>
        <v>-0.6106290927154987</v>
      </c>
      <c r="E172" s="28">
        <f t="shared" si="9"/>
        <v>4.6258241882298989E-2</v>
      </c>
      <c r="F172" s="28">
        <f t="shared" si="9"/>
        <v>-0.11306541570701256</v>
      </c>
      <c r="G172" s="28">
        <f t="shared" si="9"/>
        <v>0.12351928374658883</v>
      </c>
      <c r="H172" s="28">
        <f t="shared" si="9"/>
        <v>0.14664769904715058</v>
      </c>
      <c r="I172" s="28">
        <f t="shared" si="9"/>
        <v>0.31000152418374682</v>
      </c>
      <c r="J172" s="28">
        <f t="shared" si="9"/>
        <v>9.1825294675516034E-2</v>
      </c>
      <c r="K172" s="28">
        <f t="shared" si="9"/>
        <v>0.43117638757172472</v>
      </c>
      <c r="L172" s="28">
        <f t="shared" si="9"/>
        <v>0.28791819085034831</v>
      </c>
      <c r="M172" s="28">
        <f t="shared" si="9"/>
        <v>-7.087962335725706E-2</v>
      </c>
      <c r="N172" s="28">
        <f t="shared" si="9"/>
        <v>-0.36389191843926483</v>
      </c>
    </row>
    <row r="173" spans="1:14" x14ac:dyDescent="0.4">
      <c r="A173" s="1">
        <v>26451</v>
      </c>
      <c r="B173" s="28">
        <v>-0.66087962335728889</v>
      </c>
      <c r="C173" s="28">
        <f t="shared" si="10"/>
        <v>-0.26847525177259968</v>
      </c>
      <c r="D173" s="28">
        <f t="shared" si="9"/>
        <v>1.3619428261790745E-2</v>
      </c>
      <c r="E173" s="28">
        <f t="shared" si="9"/>
        <v>-0.6106290927154987</v>
      </c>
      <c r="F173" s="28">
        <f t="shared" si="9"/>
        <v>4.6258241882298989E-2</v>
      </c>
      <c r="G173" s="28">
        <f t="shared" si="9"/>
        <v>-0.11306541570701256</v>
      </c>
      <c r="H173" s="28">
        <f t="shared" si="9"/>
        <v>0.12351928374658883</v>
      </c>
      <c r="I173" s="28">
        <f t="shared" si="9"/>
        <v>0.14664769904715058</v>
      </c>
      <c r="J173" s="28">
        <f t="shared" si="9"/>
        <v>0.31000152418374682</v>
      </c>
      <c r="K173" s="28">
        <f t="shared" si="9"/>
        <v>9.1825294675516034E-2</v>
      </c>
      <c r="L173" s="28">
        <f t="shared" si="9"/>
        <v>0.43117638757172472</v>
      </c>
      <c r="M173" s="28">
        <f t="shared" si="9"/>
        <v>0.28791819085034831</v>
      </c>
      <c r="N173" s="28">
        <f t="shared" si="9"/>
        <v>-7.087962335725706E-2</v>
      </c>
    </row>
    <row r="174" spans="1:14" x14ac:dyDescent="0.4">
      <c r="A174" s="1">
        <v>26481</v>
      </c>
      <c r="B174" s="28">
        <v>-0.21874847581625545</v>
      </c>
      <c r="C174" s="28">
        <f t="shared" si="10"/>
        <v>-0.66087962335728889</v>
      </c>
      <c r="D174" s="28">
        <f t="shared" si="9"/>
        <v>-0.26847525177259968</v>
      </c>
      <c r="E174" s="28">
        <f t="shared" si="9"/>
        <v>1.3619428261790745E-2</v>
      </c>
      <c r="F174" s="28">
        <f t="shared" si="9"/>
        <v>-0.6106290927154987</v>
      </c>
      <c r="G174" s="28">
        <f t="shared" si="9"/>
        <v>4.6258241882298989E-2</v>
      </c>
      <c r="H174" s="28">
        <f t="shared" si="9"/>
        <v>-0.11306541570701256</v>
      </c>
      <c r="I174" s="28">
        <f t="shared" si="9"/>
        <v>0.12351928374658883</v>
      </c>
      <c r="J174" s="28">
        <f t="shared" si="9"/>
        <v>0.14664769904715058</v>
      </c>
      <c r="K174" s="28">
        <f t="shared" si="9"/>
        <v>0.31000152418374682</v>
      </c>
      <c r="L174" s="28">
        <f t="shared" si="9"/>
        <v>9.1825294675516034E-2</v>
      </c>
      <c r="M174" s="28">
        <f t="shared" si="9"/>
        <v>0.43117638757172472</v>
      </c>
      <c r="N174" s="28">
        <f t="shared" si="9"/>
        <v>0.28791819085034831</v>
      </c>
    </row>
    <row r="175" spans="1:14" x14ac:dyDescent="0.4">
      <c r="A175" s="1">
        <v>26512</v>
      </c>
      <c r="B175" s="28">
        <v>4.4509720905068662E-2</v>
      </c>
      <c r="C175" s="28">
        <f t="shared" si="10"/>
        <v>-0.21874847581625545</v>
      </c>
      <c r="D175" s="28">
        <f t="shared" si="9"/>
        <v>-0.66087962335728889</v>
      </c>
      <c r="E175" s="28">
        <f t="shared" si="9"/>
        <v>-0.26847525177259968</v>
      </c>
      <c r="F175" s="28">
        <f t="shared" si="9"/>
        <v>1.3619428261790745E-2</v>
      </c>
      <c r="G175" s="28">
        <f t="shared" si="9"/>
        <v>-0.6106290927154987</v>
      </c>
      <c r="H175" s="28">
        <f t="shared" si="9"/>
        <v>4.6258241882298989E-2</v>
      </c>
      <c r="I175" s="28">
        <f t="shared" si="9"/>
        <v>-0.11306541570701256</v>
      </c>
      <c r="J175" s="28">
        <f t="shared" si="9"/>
        <v>0.12351928374658883</v>
      </c>
      <c r="K175" s="28">
        <f t="shared" si="9"/>
        <v>0.14664769904715058</v>
      </c>
      <c r="L175" s="28">
        <f t="shared" si="9"/>
        <v>0.31000152418374682</v>
      </c>
      <c r="M175" s="28">
        <f t="shared" si="9"/>
        <v>9.1825294675516034E-2</v>
      </c>
      <c r="N175" s="28">
        <f t="shared" si="9"/>
        <v>0.43117638757172472</v>
      </c>
    </row>
    <row r="176" spans="1:14" x14ac:dyDescent="0.4">
      <c r="A176" s="1">
        <v>26543</v>
      </c>
      <c r="B176" s="28">
        <v>0.17224196134219483</v>
      </c>
      <c r="C176" s="28">
        <f t="shared" si="10"/>
        <v>4.4509720905068662E-2</v>
      </c>
      <c r="D176" s="28">
        <f t="shared" si="10"/>
        <v>-0.21874847581625545</v>
      </c>
      <c r="E176" s="28">
        <f t="shared" si="10"/>
        <v>-0.66087962335728889</v>
      </c>
      <c r="F176" s="28">
        <f t="shared" si="10"/>
        <v>-0.26847525177259968</v>
      </c>
      <c r="G176" s="28">
        <f t="shared" si="10"/>
        <v>1.3619428261790745E-2</v>
      </c>
      <c r="H176" s="28">
        <f t="shared" si="10"/>
        <v>-0.6106290927154987</v>
      </c>
      <c r="I176" s="28">
        <f t="shared" si="10"/>
        <v>4.6258241882298989E-2</v>
      </c>
      <c r="J176" s="28">
        <f t="shared" si="10"/>
        <v>-0.11306541570701256</v>
      </c>
      <c r="K176" s="28">
        <f t="shared" si="10"/>
        <v>0.12351928374658883</v>
      </c>
      <c r="L176" s="28">
        <f t="shared" si="10"/>
        <v>0.14664769904715058</v>
      </c>
      <c r="M176" s="28">
        <f t="shared" si="10"/>
        <v>0.31000152418374682</v>
      </c>
      <c r="N176" s="28">
        <f t="shared" si="10"/>
        <v>9.1825294675516034E-2</v>
      </c>
    </row>
    <row r="177" spans="1:14" x14ac:dyDescent="0.4">
      <c r="A177" s="1">
        <v>26573</v>
      </c>
      <c r="B177" s="28">
        <v>0.47458485751707258</v>
      </c>
      <c r="C177" s="28">
        <f t="shared" si="10"/>
        <v>0.17224196134219483</v>
      </c>
      <c r="D177" s="28">
        <f t="shared" si="10"/>
        <v>4.4509720905068662E-2</v>
      </c>
      <c r="E177" s="28">
        <f t="shared" si="10"/>
        <v>-0.21874847581625545</v>
      </c>
      <c r="F177" s="28">
        <f t="shared" si="10"/>
        <v>-0.66087962335728889</v>
      </c>
      <c r="G177" s="28">
        <f t="shared" si="10"/>
        <v>-0.26847525177259968</v>
      </c>
      <c r="H177" s="28">
        <f t="shared" si="10"/>
        <v>1.3619428261790745E-2</v>
      </c>
      <c r="I177" s="28">
        <f t="shared" si="10"/>
        <v>-0.6106290927154987</v>
      </c>
      <c r="J177" s="28">
        <f t="shared" si="10"/>
        <v>4.6258241882298989E-2</v>
      </c>
      <c r="K177" s="28">
        <f t="shared" si="10"/>
        <v>-0.11306541570701256</v>
      </c>
      <c r="L177" s="28">
        <f t="shared" si="10"/>
        <v>0.12351928374658883</v>
      </c>
      <c r="M177" s="28">
        <f t="shared" si="10"/>
        <v>0.14664769904715058</v>
      </c>
      <c r="N177" s="28">
        <f t="shared" si="10"/>
        <v>0.31000152418374682</v>
      </c>
    </row>
    <row r="178" spans="1:14" x14ac:dyDescent="0.4">
      <c r="A178" s="1">
        <v>26604</v>
      </c>
      <c r="B178" s="28">
        <v>0.3245643657137407</v>
      </c>
      <c r="C178" s="28">
        <f t="shared" si="10"/>
        <v>0.47458485751707258</v>
      </c>
      <c r="D178" s="28">
        <f t="shared" si="10"/>
        <v>0.17224196134219483</v>
      </c>
      <c r="E178" s="28">
        <f t="shared" si="10"/>
        <v>4.4509720905068662E-2</v>
      </c>
      <c r="F178" s="28">
        <f t="shared" si="10"/>
        <v>-0.21874847581625545</v>
      </c>
      <c r="G178" s="28">
        <f t="shared" si="10"/>
        <v>-0.66087962335728889</v>
      </c>
      <c r="H178" s="28">
        <f t="shared" si="10"/>
        <v>-0.26847525177259968</v>
      </c>
      <c r="I178" s="28">
        <f t="shared" si="10"/>
        <v>1.3619428261790745E-2</v>
      </c>
      <c r="J178" s="28">
        <f t="shared" si="10"/>
        <v>-0.6106290927154987</v>
      </c>
      <c r="K178" s="28">
        <f t="shared" si="10"/>
        <v>4.6258241882298989E-2</v>
      </c>
      <c r="L178" s="28">
        <f t="shared" si="10"/>
        <v>-0.11306541570701256</v>
      </c>
      <c r="M178" s="28">
        <f t="shared" si="10"/>
        <v>0.12351928374658883</v>
      </c>
      <c r="N178" s="28">
        <f t="shared" si="10"/>
        <v>0.14664769904715058</v>
      </c>
    </row>
    <row r="179" spans="1:14" x14ac:dyDescent="0.4">
      <c r="A179" s="1">
        <v>26634</v>
      </c>
      <c r="B179" s="28">
        <v>-1.3980716253399805E-2</v>
      </c>
      <c r="C179" s="28">
        <f t="shared" si="10"/>
        <v>0.3245643657137407</v>
      </c>
      <c r="D179" s="28">
        <f t="shared" si="10"/>
        <v>0.47458485751707258</v>
      </c>
      <c r="E179" s="28">
        <f t="shared" si="10"/>
        <v>0.17224196134219483</v>
      </c>
      <c r="F179" s="28">
        <f t="shared" si="10"/>
        <v>4.4509720905068662E-2</v>
      </c>
      <c r="G179" s="28">
        <f t="shared" si="10"/>
        <v>-0.21874847581625545</v>
      </c>
      <c r="H179" s="28">
        <f t="shared" si="10"/>
        <v>-0.66087962335728889</v>
      </c>
      <c r="I179" s="28">
        <f t="shared" si="10"/>
        <v>-0.26847525177259968</v>
      </c>
      <c r="J179" s="28">
        <f t="shared" si="10"/>
        <v>1.3619428261790745E-2</v>
      </c>
      <c r="K179" s="28">
        <f t="shared" si="10"/>
        <v>-0.6106290927154987</v>
      </c>
      <c r="L179" s="28">
        <f t="shared" si="10"/>
        <v>4.6258241882298989E-2</v>
      </c>
      <c r="M179" s="28">
        <f t="shared" si="10"/>
        <v>-0.11306541570701256</v>
      </c>
      <c r="N179" s="28">
        <f t="shared" si="10"/>
        <v>0.12351928374658883</v>
      </c>
    </row>
    <row r="180" spans="1:14" x14ac:dyDescent="0.4">
      <c r="A180" s="1">
        <v>26665</v>
      </c>
      <c r="B180" s="28">
        <v>-0.20264874904034968</v>
      </c>
      <c r="C180" s="28">
        <f t="shared" si="10"/>
        <v>-1.3980716253399805E-2</v>
      </c>
      <c r="D180" s="28">
        <f t="shared" si="10"/>
        <v>0.3245643657137407</v>
      </c>
      <c r="E180" s="28">
        <f t="shared" si="10"/>
        <v>0.47458485751707258</v>
      </c>
      <c r="F180" s="28">
        <f t="shared" si="10"/>
        <v>0.17224196134219483</v>
      </c>
      <c r="G180" s="28">
        <f t="shared" si="10"/>
        <v>4.4509720905068662E-2</v>
      </c>
      <c r="H180" s="28">
        <f t="shared" si="10"/>
        <v>-0.21874847581625545</v>
      </c>
      <c r="I180" s="28">
        <f t="shared" si="10"/>
        <v>-0.66087962335728889</v>
      </c>
      <c r="J180" s="28">
        <f t="shared" si="10"/>
        <v>-0.26847525177259968</v>
      </c>
      <c r="K180" s="28">
        <f t="shared" si="10"/>
        <v>1.3619428261790745E-2</v>
      </c>
      <c r="L180" s="28">
        <f t="shared" si="10"/>
        <v>-0.6106290927154987</v>
      </c>
      <c r="M180" s="28">
        <f t="shared" si="10"/>
        <v>4.6258241882298989E-2</v>
      </c>
      <c r="N180" s="28">
        <f t="shared" si="10"/>
        <v>-0.11306541570701256</v>
      </c>
    </row>
    <row r="181" spans="1:14" x14ac:dyDescent="0.4">
      <c r="A181" s="1">
        <v>26696</v>
      </c>
      <c r="B181" s="28">
        <v>-7.0408424784318413E-2</v>
      </c>
      <c r="C181" s="28">
        <f t="shared" si="10"/>
        <v>-0.20264874904034968</v>
      </c>
      <c r="D181" s="28">
        <f t="shared" si="10"/>
        <v>-1.3980716253399805E-2</v>
      </c>
      <c r="E181" s="28">
        <f t="shared" si="10"/>
        <v>0.3245643657137407</v>
      </c>
      <c r="F181" s="28">
        <f t="shared" si="10"/>
        <v>0.47458485751707258</v>
      </c>
      <c r="G181" s="28">
        <f t="shared" si="10"/>
        <v>0.17224196134219483</v>
      </c>
      <c r="H181" s="28">
        <f t="shared" si="10"/>
        <v>4.4509720905068662E-2</v>
      </c>
      <c r="I181" s="28">
        <f t="shared" si="10"/>
        <v>-0.21874847581625545</v>
      </c>
      <c r="J181" s="28">
        <f t="shared" si="10"/>
        <v>-0.66087962335728889</v>
      </c>
      <c r="K181" s="28">
        <f t="shared" si="10"/>
        <v>-0.26847525177259968</v>
      </c>
      <c r="L181" s="28">
        <f t="shared" si="10"/>
        <v>1.3619428261790745E-2</v>
      </c>
      <c r="M181" s="28">
        <f t="shared" si="10"/>
        <v>-0.6106290927154987</v>
      </c>
      <c r="N181" s="28">
        <f t="shared" si="10"/>
        <v>4.6258241882298989E-2</v>
      </c>
    </row>
    <row r="182" spans="1:14" x14ac:dyDescent="0.4">
      <c r="A182" s="1">
        <v>26724</v>
      </c>
      <c r="B182" s="28">
        <v>-0.24437909271557601</v>
      </c>
      <c r="C182" s="28">
        <f t="shared" si="10"/>
        <v>-7.0408424784318413E-2</v>
      </c>
      <c r="D182" s="28">
        <f t="shared" si="10"/>
        <v>-0.20264874904034968</v>
      </c>
      <c r="E182" s="28">
        <f t="shared" si="10"/>
        <v>-1.3980716253399805E-2</v>
      </c>
      <c r="F182" s="28">
        <f t="shared" si="10"/>
        <v>0.3245643657137407</v>
      </c>
      <c r="G182" s="28">
        <f t="shared" si="10"/>
        <v>0.47458485751707258</v>
      </c>
      <c r="H182" s="28">
        <f t="shared" si="10"/>
        <v>0.17224196134219483</v>
      </c>
      <c r="I182" s="28">
        <f t="shared" si="10"/>
        <v>4.4509720905068662E-2</v>
      </c>
      <c r="J182" s="28">
        <f t="shared" si="10"/>
        <v>-0.21874847581625545</v>
      </c>
      <c r="K182" s="28">
        <f t="shared" si="10"/>
        <v>-0.66087962335728889</v>
      </c>
      <c r="L182" s="28">
        <f t="shared" si="10"/>
        <v>-0.26847525177259968</v>
      </c>
      <c r="M182" s="28">
        <f t="shared" si="10"/>
        <v>1.3619428261790745E-2</v>
      </c>
      <c r="N182" s="28">
        <f t="shared" si="10"/>
        <v>-0.6106290927154987</v>
      </c>
    </row>
    <row r="183" spans="1:14" x14ac:dyDescent="0.4">
      <c r="A183" s="1">
        <v>26755</v>
      </c>
      <c r="B183" s="28">
        <v>-0.45388057173823881</v>
      </c>
      <c r="C183" s="28">
        <f t="shared" si="10"/>
        <v>-0.24437909271557601</v>
      </c>
      <c r="D183" s="28">
        <f t="shared" si="10"/>
        <v>-7.0408424784318413E-2</v>
      </c>
      <c r="E183" s="28">
        <f t="shared" si="10"/>
        <v>-0.20264874904034968</v>
      </c>
      <c r="F183" s="28">
        <f t="shared" si="10"/>
        <v>-1.3980716253399805E-2</v>
      </c>
      <c r="G183" s="28">
        <f t="shared" si="10"/>
        <v>0.3245643657137407</v>
      </c>
      <c r="H183" s="28">
        <f t="shared" si="10"/>
        <v>0.47458485751707258</v>
      </c>
      <c r="I183" s="28">
        <f t="shared" si="10"/>
        <v>0.17224196134219483</v>
      </c>
      <c r="J183" s="28">
        <f t="shared" si="10"/>
        <v>4.4509720905068662E-2</v>
      </c>
      <c r="K183" s="28">
        <f t="shared" si="10"/>
        <v>-0.21874847581625545</v>
      </c>
      <c r="L183" s="28">
        <f t="shared" si="10"/>
        <v>-0.66087962335728889</v>
      </c>
      <c r="M183" s="28">
        <f t="shared" si="10"/>
        <v>-0.26847525177259968</v>
      </c>
      <c r="N183" s="28">
        <f t="shared" si="10"/>
        <v>1.3619428261790745E-2</v>
      </c>
    </row>
    <row r="184" spans="1:14" x14ac:dyDescent="0.4">
      <c r="A184" s="1">
        <v>26785</v>
      </c>
      <c r="B184" s="28">
        <v>-0.11847525177256557</v>
      </c>
      <c r="C184" s="28">
        <f t="shared" si="10"/>
        <v>-0.45388057173823881</v>
      </c>
      <c r="D184" s="28">
        <f t="shared" si="10"/>
        <v>-0.24437909271557601</v>
      </c>
      <c r="E184" s="28">
        <f t="shared" si="10"/>
        <v>-7.0408424784318413E-2</v>
      </c>
      <c r="F184" s="28">
        <f t="shared" si="10"/>
        <v>-0.20264874904034968</v>
      </c>
      <c r="G184" s="28">
        <f t="shared" si="10"/>
        <v>-1.3980716253399805E-2</v>
      </c>
      <c r="H184" s="28">
        <f t="shared" si="10"/>
        <v>0.3245643657137407</v>
      </c>
      <c r="I184" s="28">
        <f t="shared" si="10"/>
        <v>0.47458485751707258</v>
      </c>
      <c r="J184" s="28">
        <f t="shared" si="10"/>
        <v>0.17224196134219483</v>
      </c>
      <c r="K184" s="28">
        <f t="shared" si="10"/>
        <v>4.4509720905068662E-2</v>
      </c>
      <c r="L184" s="28">
        <f t="shared" si="10"/>
        <v>-0.21874847581625545</v>
      </c>
      <c r="M184" s="28">
        <f t="shared" si="10"/>
        <v>-0.66087962335728889</v>
      </c>
      <c r="N184" s="28">
        <f t="shared" si="10"/>
        <v>-0.26847525177259968</v>
      </c>
    </row>
    <row r="185" spans="1:14" x14ac:dyDescent="0.4">
      <c r="A185" s="1">
        <v>26816</v>
      </c>
      <c r="B185" s="28">
        <v>7.9537043309358069E-2</v>
      </c>
      <c r="C185" s="28">
        <f t="shared" si="10"/>
        <v>-0.11847525177256557</v>
      </c>
      <c r="D185" s="28">
        <f t="shared" si="10"/>
        <v>-0.45388057173823881</v>
      </c>
      <c r="E185" s="28">
        <f t="shared" si="10"/>
        <v>-0.24437909271557601</v>
      </c>
      <c r="F185" s="28">
        <f t="shared" si="10"/>
        <v>-7.0408424784318413E-2</v>
      </c>
      <c r="G185" s="28">
        <f t="shared" si="10"/>
        <v>-0.20264874904034968</v>
      </c>
      <c r="H185" s="28">
        <f t="shared" si="10"/>
        <v>-1.3980716253399805E-2</v>
      </c>
      <c r="I185" s="28">
        <f t="shared" si="10"/>
        <v>0.3245643657137407</v>
      </c>
      <c r="J185" s="28">
        <f t="shared" si="10"/>
        <v>0.47458485751707258</v>
      </c>
      <c r="K185" s="28">
        <f t="shared" si="10"/>
        <v>0.17224196134219483</v>
      </c>
      <c r="L185" s="28">
        <f t="shared" si="10"/>
        <v>4.4509720905068662E-2</v>
      </c>
      <c r="M185" s="28">
        <f t="shared" si="10"/>
        <v>-0.21874847581625545</v>
      </c>
      <c r="N185" s="28">
        <f t="shared" si="10"/>
        <v>-0.66087962335728889</v>
      </c>
    </row>
    <row r="186" spans="1:14" x14ac:dyDescent="0.4">
      <c r="A186" s="1">
        <v>26846</v>
      </c>
      <c r="B186" s="28">
        <v>0.43125152418366497</v>
      </c>
      <c r="C186" s="28">
        <f t="shared" si="10"/>
        <v>7.9537043309358069E-2</v>
      </c>
      <c r="D186" s="28">
        <f t="shared" si="10"/>
        <v>-0.11847525177256557</v>
      </c>
      <c r="E186" s="28">
        <f t="shared" si="10"/>
        <v>-0.45388057173823881</v>
      </c>
      <c r="F186" s="28">
        <f t="shared" si="10"/>
        <v>-0.24437909271557601</v>
      </c>
      <c r="G186" s="28">
        <f t="shared" si="10"/>
        <v>-7.0408424784318413E-2</v>
      </c>
      <c r="H186" s="28">
        <f t="shared" si="10"/>
        <v>-0.20264874904034968</v>
      </c>
      <c r="I186" s="28">
        <f t="shared" si="10"/>
        <v>-1.3980716253399805E-2</v>
      </c>
      <c r="J186" s="28">
        <f t="shared" si="10"/>
        <v>0.3245643657137407</v>
      </c>
      <c r="K186" s="28">
        <f t="shared" si="10"/>
        <v>0.47458485751707258</v>
      </c>
      <c r="L186" s="28">
        <f t="shared" si="10"/>
        <v>0.17224196134219483</v>
      </c>
      <c r="M186" s="28">
        <f t="shared" si="10"/>
        <v>4.4509720905068662E-2</v>
      </c>
      <c r="N186" s="28">
        <f t="shared" si="10"/>
        <v>-0.21874847581625545</v>
      </c>
    </row>
    <row r="187" spans="1:14" x14ac:dyDescent="0.4">
      <c r="A187" s="1">
        <v>26877</v>
      </c>
      <c r="B187" s="28">
        <v>0.92784305423839442</v>
      </c>
      <c r="C187" s="28">
        <f t="shared" si="10"/>
        <v>0.43125152418366497</v>
      </c>
      <c r="D187" s="28">
        <f t="shared" si="10"/>
        <v>7.9537043309358069E-2</v>
      </c>
      <c r="E187" s="28">
        <f t="shared" si="10"/>
        <v>-0.11847525177256557</v>
      </c>
      <c r="F187" s="28">
        <f t="shared" si="10"/>
        <v>-0.45388057173823881</v>
      </c>
      <c r="G187" s="28">
        <f t="shared" si="10"/>
        <v>-0.24437909271557601</v>
      </c>
      <c r="H187" s="28">
        <f t="shared" si="10"/>
        <v>-7.0408424784318413E-2</v>
      </c>
      <c r="I187" s="28">
        <f t="shared" si="10"/>
        <v>-0.20264874904034968</v>
      </c>
      <c r="J187" s="28">
        <f t="shared" si="10"/>
        <v>-1.3980716253399805E-2</v>
      </c>
      <c r="K187" s="28">
        <f t="shared" si="10"/>
        <v>0.3245643657137407</v>
      </c>
      <c r="L187" s="28">
        <f t="shared" si="10"/>
        <v>0.47458485751707258</v>
      </c>
      <c r="M187" s="28">
        <f t="shared" si="10"/>
        <v>0.17224196134219483</v>
      </c>
      <c r="N187" s="28">
        <f t="shared" si="10"/>
        <v>4.4509720905068662E-2</v>
      </c>
    </row>
    <row r="188" spans="1:14" x14ac:dyDescent="0.4">
      <c r="A188" s="1">
        <v>26908</v>
      </c>
      <c r="B188" s="28">
        <v>0.82515862800875084</v>
      </c>
      <c r="C188" s="28">
        <f t="shared" si="10"/>
        <v>0.92784305423839442</v>
      </c>
      <c r="D188" s="28">
        <f t="shared" si="10"/>
        <v>0.43125152418366497</v>
      </c>
      <c r="E188" s="28">
        <f t="shared" si="10"/>
        <v>7.9537043309358069E-2</v>
      </c>
      <c r="F188" s="28">
        <f t="shared" si="10"/>
        <v>-0.11847525177256557</v>
      </c>
      <c r="G188" s="28">
        <f t="shared" si="10"/>
        <v>-0.45388057173823881</v>
      </c>
      <c r="H188" s="28">
        <f t="shared" si="10"/>
        <v>-0.24437909271557601</v>
      </c>
      <c r="I188" s="28">
        <f t="shared" si="10"/>
        <v>-7.0408424784318413E-2</v>
      </c>
      <c r="J188" s="28">
        <f t="shared" si="10"/>
        <v>-0.20264874904034968</v>
      </c>
      <c r="K188" s="28">
        <f t="shared" si="10"/>
        <v>-1.3980716253399805E-2</v>
      </c>
      <c r="L188" s="28">
        <f t="shared" si="10"/>
        <v>0.3245643657137407</v>
      </c>
      <c r="M188" s="28">
        <f t="shared" si="10"/>
        <v>0.47458485751707258</v>
      </c>
      <c r="N188" s="28">
        <f t="shared" si="10"/>
        <v>0.17224196134219483</v>
      </c>
    </row>
    <row r="189" spans="1:14" x14ac:dyDescent="0.4">
      <c r="A189" s="1">
        <v>26938</v>
      </c>
      <c r="B189" s="28">
        <v>0.52083485751700209</v>
      </c>
      <c r="C189" s="28">
        <f t="shared" si="10"/>
        <v>0.82515862800875084</v>
      </c>
      <c r="D189" s="28">
        <f t="shared" si="10"/>
        <v>0.92784305423839442</v>
      </c>
      <c r="E189" s="28">
        <f t="shared" si="10"/>
        <v>0.43125152418366497</v>
      </c>
      <c r="F189" s="28">
        <f t="shared" si="10"/>
        <v>7.9537043309358069E-2</v>
      </c>
      <c r="G189" s="28">
        <f t="shared" si="10"/>
        <v>-0.11847525177256557</v>
      </c>
      <c r="H189" s="28">
        <f t="shared" si="10"/>
        <v>-0.45388057173823881</v>
      </c>
      <c r="I189" s="28">
        <f t="shared" si="10"/>
        <v>-0.24437909271557601</v>
      </c>
      <c r="J189" s="28">
        <f t="shared" si="10"/>
        <v>-7.0408424784318413E-2</v>
      </c>
      <c r="K189" s="28">
        <f t="shared" si="10"/>
        <v>-0.20264874904034968</v>
      </c>
      <c r="L189" s="28">
        <f t="shared" si="10"/>
        <v>-1.3980716253399805E-2</v>
      </c>
      <c r="M189" s="28">
        <f t="shared" si="10"/>
        <v>0.3245643657137407</v>
      </c>
      <c r="N189" s="28">
        <f t="shared" si="10"/>
        <v>0.47458485751707258</v>
      </c>
    </row>
    <row r="190" spans="1:14" x14ac:dyDescent="0.4">
      <c r="A190" s="1">
        <v>26969</v>
      </c>
      <c r="B190" s="28">
        <v>0.1520643657137839</v>
      </c>
      <c r="C190" s="28">
        <f t="shared" si="10"/>
        <v>0.52083485751700209</v>
      </c>
      <c r="D190" s="28">
        <f t="shared" si="10"/>
        <v>0.82515862800875084</v>
      </c>
      <c r="E190" s="28">
        <f t="shared" si="10"/>
        <v>0.92784305423839442</v>
      </c>
      <c r="F190" s="28">
        <f t="shared" si="10"/>
        <v>0.43125152418366497</v>
      </c>
      <c r="G190" s="28">
        <f t="shared" si="10"/>
        <v>7.9537043309358069E-2</v>
      </c>
      <c r="H190" s="28">
        <f t="shared" si="10"/>
        <v>-0.11847525177256557</v>
      </c>
      <c r="I190" s="28">
        <f t="shared" si="10"/>
        <v>-0.45388057173823881</v>
      </c>
      <c r="J190" s="28">
        <f t="shared" si="10"/>
        <v>-0.24437909271557601</v>
      </c>
      <c r="K190" s="28">
        <f t="shared" si="10"/>
        <v>-7.0408424784318413E-2</v>
      </c>
      <c r="L190" s="28">
        <f t="shared" si="10"/>
        <v>-0.20264874904034968</v>
      </c>
      <c r="M190" s="28">
        <f t="shared" si="10"/>
        <v>-1.3980716253399805E-2</v>
      </c>
      <c r="N190" s="28">
        <f t="shared" si="10"/>
        <v>0.3245643657137407</v>
      </c>
    </row>
    <row r="191" spans="1:14" x14ac:dyDescent="0.4">
      <c r="A191" s="1">
        <v>26999</v>
      </c>
      <c r="B191" s="28">
        <v>-0.56481404958680059</v>
      </c>
      <c r="C191" s="28">
        <f t="shared" si="10"/>
        <v>0.1520643657137839</v>
      </c>
      <c r="D191" s="28">
        <f t="shared" si="10"/>
        <v>0.52083485751700209</v>
      </c>
      <c r="E191" s="28">
        <f t="shared" si="10"/>
        <v>0.82515862800875084</v>
      </c>
      <c r="F191" s="28">
        <f t="shared" si="10"/>
        <v>0.92784305423839442</v>
      </c>
      <c r="G191" s="28">
        <f t="shared" si="10"/>
        <v>0.43125152418366497</v>
      </c>
      <c r="H191" s="28">
        <f t="shared" si="10"/>
        <v>7.9537043309358069E-2</v>
      </c>
      <c r="I191" s="28">
        <f t="shared" si="10"/>
        <v>-0.11847525177256557</v>
      </c>
      <c r="J191" s="28">
        <f t="shared" si="10"/>
        <v>-0.45388057173823881</v>
      </c>
      <c r="K191" s="28">
        <f t="shared" si="10"/>
        <v>-0.24437909271557601</v>
      </c>
      <c r="L191" s="28">
        <f t="shared" si="10"/>
        <v>-7.0408424784318413E-2</v>
      </c>
      <c r="M191" s="28">
        <f t="shared" si="10"/>
        <v>-0.20264874904034968</v>
      </c>
      <c r="N191" s="28">
        <f t="shared" si="10"/>
        <v>-1.3980716253399805E-2</v>
      </c>
    </row>
    <row r="192" spans="1:14" x14ac:dyDescent="0.4">
      <c r="A192" s="1">
        <v>27030</v>
      </c>
      <c r="B192" s="28">
        <v>-0.82181541570690797</v>
      </c>
      <c r="C192" s="28">
        <f t="shared" si="10"/>
        <v>-0.56481404958680059</v>
      </c>
      <c r="D192" s="28">
        <f t="shared" si="10"/>
        <v>0.1520643657137839</v>
      </c>
      <c r="E192" s="28">
        <f t="shared" si="10"/>
        <v>0.52083485751700209</v>
      </c>
      <c r="F192" s="28">
        <f t="shared" si="10"/>
        <v>0.82515862800875084</v>
      </c>
      <c r="G192" s="28">
        <f t="shared" si="10"/>
        <v>0.92784305423839442</v>
      </c>
      <c r="H192" s="28">
        <f t="shared" si="10"/>
        <v>0.43125152418366497</v>
      </c>
      <c r="I192" s="28">
        <f t="shared" si="10"/>
        <v>7.9537043309358069E-2</v>
      </c>
      <c r="J192" s="28">
        <f t="shared" si="10"/>
        <v>-0.11847525177256557</v>
      </c>
      <c r="K192" s="28">
        <f t="shared" si="10"/>
        <v>-0.45388057173823881</v>
      </c>
      <c r="L192" s="28">
        <f t="shared" si="10"/>
        <v>-0.24437909271557601</v>
      </c>
      <c r="M192" s="28">
        <f t="shared" si="10"/>
        <v>-7.0408424784318413E-2</v>
      </c>
      <c r="N192" s="28">
        <f t="shared" si="10"/>
        <v>-0.20264874904034968</v>
      </c>
    </row>
    <row r="193" spans="1:14" x14ac:dyDescent="0.4">
      <c r="A193" s="1">
        <v>27061</v>
      </c>
      <c r="B193" s="28">
        <v>-0.11332509145097447</v>
      </c>
      <c r="C193" s="28">
        <f t="shared" si="10"/>
        <v>-0.82181541570690797</v>
      </c>
      <c r="D193" s="28">
        <f t="shared" si="10"/>
        <v>-0.56481404958680059</v>
      </c>
      <c r="E193" s="28">
        <f t="shared" si="10"/>
        <v>0.1520643657137839</v>
      </c>
      <c r="F193" s="28">
        <f t="shared" si="10"/>
        <v>0.52083485751700209</v>
      </c>
      <c r="G193" s="28">
        <f t="shared" si="10"/>
        <v>0.82515862800875084</v>
      </c>
      <c r="H193" s="28">
        <f t="shared" si="10"/>
        <v>0.92784305423839442</v>
      </c>
      <c r="I193" s="28">
        <f t="shared" si="10"/>
        <v>0.43125152418366497</v>
      </c>
      <c r="J193" s="28">
        <f t="shared" si="10"/>
        <v>7.9537043309358069E-2</v>
      </c>
      <c r="K193" s="28">
        <f t="shared" si="10"/>
        <v>-0.11847525177256557</v>
      </c>
      <c r="L193" s="28">
        <f t="shared" si="10"/>
        <v>-0.45388057173823881</v>
      </c>
      <c r="M193" s="28">
        <f t="shared" si="10"/>
        <v>-0.24437909271557601</v>
      </c>
      <c r="N193" s="28">
        <f t="shared" si="10"/>
        <v>-7.0408424784318413E-2</v>
      </c>
    </row>
    <row r="194" spans="1:14" x14ac:dyDescent="0.4">
      <c r="A194" s="1">
        <v>27089</v>
      </c>
      <c r="B194" s="28">
        <v>-2.1462426048799443E-2</v>
      </c>
      <c r="C194" s="28">
        <f t="shared" si="10"/>
        <v>-0.11332509145097447</v>
      </c>
      <c r="D194" s="28">
        <f t="shared" si="10"/>
        <v>-0.82181541570690797</v>
      </c>
      <c r="E194" s="28">
        <f t="shared" si="10"/>
        <v>-0.56481404958680059</v>
      </c>
      <c r="F194" s="28">
        <f t="shared" si="10"/>
        <v>0.1520643657137839</v>
      </c>
      <c r="G194" s="28">
        <f t="shared" si="10"/>
        <v>0.52083485751700209</v>
      </c>
      <c r="H194" s="28">
        <f t="shared" si="10"/>
        <v>0.82515862800875084</v>
      </c>
      <c r="I194" s="28">
        <f t="shared" si="10"/>
        <v>0.92784305423839442</v>
      </c>
      <c r="J194" s="28">
        <f t="shared" si="10"/>
        <v>0.43125152418366497</v>
      </c>
      <c r="K194" s="28">
        <f t="shared" si="10"/>
        <v>7.9537043309358069E-2</v>
      </c>
      <c r="L194" s="28">
        <f t="shared" si="10"/>
        <v>-0.11847525177256557</v>
      </c>
      <c r="M194" s="28">
        <f t="shared" si="10"/>
        <v>-0.45388057173823881</v>
      </c>
      <c r="N194" s="28">
        <f t="shared" si="10"/>
        <v>-0.24437909271557601</v>
      </c>
    </row>
    <row r="195" spans="1:14" x14ac:dyDescent="0.4">
      <c r="A195" s="1">
        <v>27120</v>
      </c>
      <c r="B195" s="28">
        <v>-7.1797238404883501E-2</v>
      </c>
      <c r="C195" s="28">
        <f t="shared" si="10"/>
        <v>-2.1462426048799443E-2</v>
      </c>
      <c r="D195" s="28">
        <f t="shared" si="10"/>
        <v>-0.11332509145097447</v>
      </c>
      <c r="E195" s="28">
        <f t="shared" si="10"/>
        <v>-0.82181541570690797</v>
      </c>
      <c r="F195" s="28">
        <f t="shared" si="10"/>
        <v>-0.56481404958680059</v>
      </c>
      <c r="G195" s="28">
        <f t="shared" si="10"/>
        <v>0.1520643657137839</v>
      </c>
      <c r="H195" s="28">
        <f t="shared" si="10"/>
        <v>0.52083485751700209</v>
      </c>
      <c r="I195" s="28">
        <f t="shared" si="10"/>
        <v>0.82515862800875084</v>
      </c>
      <c r="J195" s="28">
        <f t="shared" si="10"/>
        <v>0.92784305423839442</v>
      </c>
      <c r="K195" s="28">
        <f t="shared" si="10"/>
        <v>0.43125152418366497</v>
      </c>
      <c r="L195" s="28">
        <f t="shared" si="10"/>
        <v>7.9537043309358069E-2</v>
      </c>
      <c r="M195" s="28">
        <f t="shared" si="10"/>
        <v>-0.11847525177256557</v>
      </c>
      <c r="N195" s="28">
        <f t="shared" si="10"/>
        <v>-0.45388057173823881</v>
      </c>
    </row>
    <row r="196" spans="1:14" x14ac:dyDescent="0.4">
      <c r="A196" s="1">
        <v>27150</v>
      </c>
      <c r="B196" s="28">
        <v>-0.14514191843932167</v>
      </c>
      <c r="C196" s="28">
        <f t="shared" ref="C196:N259" si="11">IF(B195=0,"",B195)</f>
        <v>-7.1797238404883501E-2</v>
      </c>
      <c r="D196" s="28">
        <f t="shared" si="11"/>
        <v>-2.1462426048799443E-2</v>
      </c>
      <c r="E196" s="28">
        <f t="shared" si="11"/>
        <v>-0.11332509145097447</v>
      </c>
      <c r="F196" s="28">
        <f t="shared" si="11"/>
        <v>-0.82181541570690797</v>
      </c>
      <c r="G196" s="28">
        <f t="shared" si="11"/>
        <v>-0.56481404958680059</v>
      </c>
      <c r="H196" s="28">
        <f t="shared" si="11"/>
        <v>0.1520643657137839</v>
      </c>
      <c r="I196" s="28">
        <f t="shared" si="11"/>
        <v>0.52083485751700209</v>
      </c>
      <c r="J196" s="28">
        <f t="shared" si="11"/>
        <v>0.82515862800875084</v>
      </c>
      <c r="K196" s="28">
        <f t="shared" si="11"/>
        <v>0.92784305423839442</v>
      </c>
      <c r="L196" s="28">
        <f t="shared" si="11"/>
        <v>0.43125152418366497</v>
      </c>
      <c r="M196" s="28">
        <f t="shared" si="11"/>
        <v>7.9537043309358069E-2</v>
      </c>
      <c r="N196" s="28">
        <f t="shared" si="11"/>
        <v>-0.11847525177256557</v>
      </c>
    </row>
    <row r="197" spans="1:14" x14ac:dyDescent="0.4">
      <c r="A197" s="1">
        <v>27181</v>
      </c>
      <c r="B197" s="28">
        <v>-0.31379629002395859</v>
      </c>
      <c r="C197" s="28">
        <f t="shared" si="11"/>
        <v>-0.14514191843932167</v>
      </c>
      <c r="D197" s="28">
        <f t="shared" si="11"/>
        <v>-7.1797238404883501E-2</v>
      </c>
      <c r="E197" s="28">
        <f t="shared" si="11"/>
        <v>-2.1462426048799443E-2</v>
      </c>
      <c r="F197" s="28">
        <f t="shared" si="11"/>
        <v>-0.11332509145097447</v>
      </c>
      <c r="G197" s="28">
        <f t="shared" si="11"/>
        <v>-0.82181541570690797</v>
      </c>
      <c r="H197" s="28">
        <f t="shared" si="11"/>
        <v>-0.56481404958680059</v>
      </c>
      <c r="I197" s="28">
        <f t="shared" si="11"/>
        <v>0.1520643657137839</v>
      </c>
      <c r="J197" s="28">
        <f t="shared" si="11"/>
        <v>0.52083485751700209</v>
      </c>
      <c r="K197" s="28">
        <f t="shared" si="11"/>
        <v>0.82515862800875084</v>
      </c>
      <c r="L197" s="28">
        <f t="shared" si="11"/>
        <v>0.92784305423839442</v>
      </c>
      <c r="M197" s="28">
        <f t="shared" si="11"/>
        <v>0.43125152418366497</v>
      </c>
      <c r="N197" s="28">
        <f t="shared" si="11"/>
        <v>7.9537043309358069E-2</v>
      </c>
    </row>
    <row r="198" spans="1:14" x14ac:dyDescent="0.4">
      <c r="A198" s="1">
        <v>27211</v>
      </c>
      <c r="B198" s="28">
        <v>0.16416819085043244</v>
      </c>
      <c r="C198" s="28">
        <f t="shared" si="11"/>
        <v>-0.31379629002395859</v>
      </c>
      <c r="D198" s="28">
        <f t="shared" si="11"/>
        <v>-0.14514191843932167</v>
      </c>
      <c r="E198" s="28">
        <f t="shared" si="11"/>
        <v>-7.1797238404883501E-2</v>
      </c>
      <c r="F198" s="28">
        <f t="shared" si="11"/>
        <v>-2.1462426048799443E-2</v>
      </c>
      <c r="G198" s="28">
        <f t="shared" si="11"/>
        <v>-0.11332509145097447</v>
      </c>
      <c r="H198" s="28">
        <f t="shared" si="11"/>
        <v>-0.82181541570690797</v>
      </c>
      <c r="I198" s="28">
        <f t="shared" si="11"/>
        <v>-0.56481404958680059</v>
      </c>
      <c r="J198" s="28">
        <f t="shared" si="11"/>
        <v>0.1520643657137839</v>
      </c>
      <c r="K198" s="28">
        <f t="shared" si="11"/>
        <v>0.52083485751700209</v>
      </c>
      <c r="L198" s="28">
        <f t="shared" si="11"/>
        <v>0.82515862800875084</v>
      </c>
      <c r="M198" s="28">
        <f t="shared" si="11"/>
        <v>0.92784305423839442</v>
      </c>
      <c r="N198" s="28">
        <f t="shared" si="11"/>
        <v>0.43125152418366497</v>
      </c>
    </row>
    <row r="199" spans="1:14" x14ac:dyDescent="0.4">
      <c r="A199" s="1">
        <v>27242</v>
      </c>
      <c r="B199" s="28">
        <v>0.43950972090505047</v>
      </c>
      <c r="C199" s="28">
        <f t="shared" si="11"/>
        <v>0.16416819085043244</v>
      </c>
      <c r="D199" s="28">
        <f t="shared" si="11"/>
        <v>-0.31379629002395859</v>
      </c>
      <c r="E199" s="28">
        <f t="shared" si="11"/>
        <v>-0.14514191843932167</v>
      </c>
      <c r="F199" s="28">
        <f t="shared" si="11"/>
        <v>-7.1797238404883501E-2</v>
      </c>
      <c r="G199" s="28">
        <f t="shared" si="11"/>
        <v>-2.1462426048799443E-2</v>
      </c>
      <c r="H199" s="28">
        <f t="shared" si="11"/>
        <v>-0.11332509145097447</v>
      </c>
      <c r="I199" s="28">
        <f t="shared" si="11"/>
        <v>-0.82181541570690797</v>
      </c>
      <c r="J199" s="28">
        <f t="shared" si="11"/>
        <v>-0.56481404958680059</v>
      </c>
      <c r="K199" s="28">
        <f t="shared" si="11"/>
        <v>0.1520643657137839</v>
      </c>
      <c r="L199" s="28">
        <f t="shared" si="11"/>
        <v>0.52083485751700209</v>
      </c>
      <c r="M199" s="28">
        <f t="shared" si="11"/>
        <v>0.82515862800875084</v>
      </c>
      <c r="N199" s="28">
        <f t="shared" si="11"/>
        <v>0.92784305423839442</v>
      </c>
    </row>
    <row r="200" spans="1:14" x14ac:dyDescent="0.4">
      <c r="A200" s="1">
        <v>27273</v>
      </c>
      <c r="B200" s="28">
        <v>0.22182529467551149</v>
      </c>
      <c r="C200" s="28">
        <f t="shared" si="11"/>
        <v>0.43950972090505047</v>
      </c>
      <c r="D200" s="28">
        <f t="shared" si="11"/>
        <v>0.16416819085043244</v>
      </c>
      <c r="E200" s="28">
        <f t="shared" si="11"/>
        <v>-0.31379629002395859</v>
      </c>
      <c r="F200" s="28">
        <f t="shared" si="11"/>
        <v>-0.14514191843932167</v>
      </c>
      <c r="G200" s="28">
        <f t="shared" si="11"/>
        <v>-7.1797238404883501E-2</v>
      </c>
      <c r="H200" s="28">
        <f t="shared" si="11"/>
        <v>-2.1462426048799443E-2</v>
      </c>
      <c r="I200" s="28">
        <f t="shared" si="11"/>
        <v>-0.11332509145097447</v>
      </c>
      <c r="J200" s="28">
        <f t="shared" si="11"/>
        <v>-0.82181541570690797</v>
      </c>
      <c r="K200" s="28">
        <f t="shared" si="11"/>
        <v>-0.56481404958680059</v>
      </c>
      <c r="L200" s="28">
        <f t="shared" si="11"/>
        <v>0.1520643657137839</v>
      </c>
      <c r="M200" s="28">
        <f t="shared" si="11"/>
        <v>0.52083485751700209</v>
      </c>
      <c r="N200" s="28">
        <f t="shared" si="11"/>
        <v>0.82515862800875084</v>
      </c>
    </row>
    <row r="201" spans="1:14" x14ac:dyDescent="0.4">
      <c r="A201" s="1">
        <v>27303</v>
      </c>
      <c r="B201" s="28">
        <v>0.23375152418367406</v>
      </c>
      <c r="C201" s="28">
        <f t="shared" si="11"/>
        <v>0.22182529467551149</v>
      </c>
      <c r="D201" s="28">
        <f t="shared" si="11"/>
        <v>0.43950972090505047</v>
      </c>
      <c r="E201" s="28">
        <f t="shared" si="11"/>
        <v>0.16416819085043244</v>
      </c>
      <c r="F201" s="28">
        <f t="shared" si="11"/>
        <v>-0.31379629002395859</v>
      </c>
      <c r="G201" s="28">
        <f t="shared" si="11"/>
        <v>-0.14514191843932167</v>
      </c>
      <c r="H201" s="28">
        <f t="shared" si="11"/>
        <v>-7.1797238404883501E-2</v>
      </c>
      <c r="I201" s="28">
        <f t="shared" si="11"/>
        <v>-2.1462426048799443E-2</v>
      </c>
      <c r="J201" s="28">
        <f t="shared" si="11"/>
        <v>-0.11332509145097447</v>
      </c>
      <c r="K201" s="28">
        <f t="shared" si="11"/>
        <v>-0.82181541570690797</v>
      </c>
      <c r="L201" s="28">
        <f t="shared" si="11"/>
        <v>-0.56481404958680059</v>
      </c>
      <c r="M201" s="28">
        <f t="shared" si="11"/>
        <v>0.1520643657137839</v>
      </c>
      <c r="N201" s="28">
        <f t="shared" si="11"/>
        <v>0.52083485751700209</v>
      </c>
    </row>
    <row r="202" spans="1:14" x14ac:dyDescent="0.4">
      <c r="A202" s="1">
        <v>27334</v>
      </c>
      <c r="B202" s="28">
        <v>-1.5852300952872156E-2</v>
      </c>
      <c r="C202" s="28">
        <f t="shared" si="11"/>
        <v>0.23375152418367406</v>
      </c>
      <c r="D202" s="28">
        <f t="shared" si="11"/>
        <v>0.22182529467551149</v>
      </c>
      <c r="E202" s="28">
        <f t="shared" si="11"/>
        <v>0.43950972090505047</v>
      </c>
      <c r="F202" s="28">
        <f t="shared" si="11"/>
        <v>0.16416819085043244</v>
      </c>
      <c r="G202" s="28">
        <f t="shared" si="11"/>
        <v>-0.31379629002395859</v>
      </c>
      <c r="H202" s="28">
        <f t="shared" si="11"/>
        <v>-0.14514191843932167</v>
      </c>
      <c r="I202" s="28">
        <f t="shared" si="11"/>
        <v>-7.1797238404883501E-2</v>
      </c>
      <c r="J202" s="28">
        <f t="shared" si="11"/>
        <v>-2.1462426048799443E-2</v>
      </c>
      <c r="K202" s="28">
        <f t="shared" si="11"/>
        <v>-0.11332509145097447</v>
      </c>
      <c r="L202" s="28">
        <f t="shared" si="11"/>
        <v>-0.82181541570690797</v>
      </c>
      <c r="M202" s="28">
        <f t="shared" si="11"/>
        <v>-0.56481404958680059</v>
      </c>
      <c r="N202" s="28">
        <f t="shared" si="11"/>
        <v>0.1520643657137839</v>
      </c>
    </row>
    <row r="203" spans="1:14" x14ac:dyDescent="0.4">
      <c r="A203" s="1">
        <v>27364</v>
      </c>
      <c r="B203" s="28">
        <v>-0.16273071625340663</v>
      </c>
      <c r="C203" s="28">
        <f t="shared" si="11"/>
        <v>-1.5852300952872156E-2</v>
      </c>
      <c r="D203" s="28">
        <f t="shared" si="11"/>
        <v>0.23375152418367406</v>
      </c>
      <c r="E203" s="28">
        <f t="shared" si="11"/>
        <v>0.22182529467551149</v>
      </c>
      <c r="F203" s="28">
        <f t="shared" si="11"/>
        <v>0.43950972090505047</v>
      </c>
      <c r="G203" s="28">
        <f t="shared" si="11"/>
        <v>0.16416819085043244</v>
      </c>
      <c r="H203" s="28">
        <f t="shared" si="11"/>
        <v>-0.31379629002395859</v>
      </c>
      <c r="I203" s="28">
        <f t="shared" si="11"/>
        <v>-0.14514191843932167</v>
      </c>
      <c r="J203" s="28">
        <f t="shared" si="11"/>
        <v>-7.1797238404883501E-2</v>
      </c>
      <c r="K203" s="28">
        <f t="shared" si="11"/>
        <v>-2.1462426048799443E-2</v>
      </c>
      <c r="L203" s="28">
        <f t="shared" si="11"/>
        <v>-0.11332509145097447</v>
      </c>
      <c r="M203" s="28">
        <f t="shared" si="11"/>
        <v>-0.82181541570690797</v>
      </c>
      <c r="N203" s="28">
        <f t="shared" si="11"/>
        <v>-0.56481404958680059</v>
      </c>
    </row>
    <row r="204" spans="1:14" x14ac:dyDescent="0.4">
      <c r="A204" s="1">
        <v>27395</v>
      </c>
      <c r="B204" s="28">
        <v>-0.36556541570706713</v>
      </c>
      <c r="C204" s="28">
        <f t="shared" si="11"/>
        <v>-0.16273071625340663</v>
      </c>
      <c r="D204" s="28">
        <f t="shared" si="11"/>
        <v>-1.5852300952872156E-2</v>
      </c>
      <c r="E204" s="28">
        <f t="shared" si="11"/>
        <v>0.23375152418367406</v>
      </c>
      <c r="F204" s="28">
        <f t="shared" si="11"/>
        <v>0.22182529467551149</v>
      </c>
      <c r="G204" s="28">
        <f t="shared" si="11"/>
        <v>0.43950972090505047</v>
      </c>
      <c r="H204" s="28">
        <f t="shared" si="11"/>
        <v>0.16416819085043244</v>
      </c>
      <c r="I204" s="28">
        <f t="shared" si="11"/>
        <v>-0.31379629002395859</v>
      </c>
      <c r="J204" s="28">
        <f t="shared" si="11"/>
        <v>-0.14514191843932167</v>
      </c>
      <c r="K204" s="28">
        <f t="shared" si="11"/>
        <v>-7.1797238404883501E-2</v>
      </c>
      <c r="L204" s="28">
        <f t="shared" si="11"/>
        <v>-2.1462426048799443E-2</v>
      </c>
      <c r="M204" s="28">
        <f t="shared" si="11"/>
        <v>-0.11332509145097447</v>
      </c>
      <c r="N204" s="28">
        <f t="shared" si="11"/>
        <v>-0.82181541570690797</v>
      </c>
    </row>
    <row r="205" spans="1:14" x14ac:dyDescent="0.4">
      <c r="A205" s="1">
        <v>27426</v>
      </c>
      <c r="B205" s="28">
        <v>-5.8741758117719201E-2</v>
      </c>
      <c r="C205" s="28">
        <f t="shared" si="11"/>
        <v>-0.36556541570706713</v>
      </c>
      <c r="D205" s="28">
        <f t="shared" si="11"/>
        <v>-0.16273071625340663</v>
      </c>
      <c r="E205" s="28">
        <f t="shared" si="11"/>
        <v>-1.5852300952872156E-2</v>
      </c>
      <c r="F205" s="28">
        <f t="shared" si="11"/>
        <v>0.23375152418367406</v>
      </c>
      <c r="G205" s="28">
        <f t="shared" si="11"/>
        <v>0.22182529467551149</v>
      </c>
      <c r="H205" s="28">
        <f t="shared" si="11"/>
        <v>0.43950972090505047</v>
      </c>
      <c r="I205" s="28">
        <f t="shared" si="11"/>
        <v>0.16416819085043244</v>
      </c>
      <c r="J205" s="28">
        <f t="shared" si="11"/>
        <v>-0.31379629002395859</v>
      </c>
      <c r="K205" s="28">
        <f t="shared" si="11"/>
        <v>-0.14514191843932167</v>
      </c>
      <c r="L205" s="28">
        <f t="shared" si="11"/>
        <v>-7.1797238404883501E-2</v>
      </c>
      <c r="M205" s="28">
        <f t="shared" si="11"/>
        <v>-2.1462426048799443E-2</v>
      </c>
      <c r="N205" s="28">
        <f t="shared" si="11"/>
        <v>-0.11332509145097447</v>
      </c>
    </row>
    <row r="206" spans="1:14" x14ac:dyDescent="0.4">
      <c r="A206" s="1">
        <v>27454</v>
      </c>
      <c r="B206" s="28">
        <v>-0.17187909271552826</v>
      </c>
      <c r="C206" s="28">
        <f t="shared" si="11"/>
        <v>-5.8741758117719201E-2</v>
      </c>
      <c r="D206" s="28">
        <f t="shared" si="11"/>
        <v>-0.36556541570706713</v>
      </c>
      <c r="E206" s="28">
        <f t="shared" si="11"/>
        <v>-0.16273071625340663</v>
      </c>
      <c r="F206" s="28">
        <f t="shared" si="11"/>
        <v>-1.5852300952872156E-2</v>
      </c>
      <c r="G206" s="28">
        <f t="shared" si="11"/>
        <v>0.23375152418367406</v>
      </c>
      <c r="H206" s="28">
        <f t="shared" si="11"/>
        <v>0.22182529467551149</v>
      </c>
      <c r="I206" s="28">
        <f t="shared" si="11"/>
        <v>0.43950972090505047</v>
      </c>
      <c r="J206" s="28">
        <f t="shared" si="11"/>
        <v>0.16416819085043244</v>
      </c>
      <c r="K206" s="28">
        <f t="shared" si="11"/>
        <v>-0.31379629002395859</v>
      </c>
      <c r="L206" s="28">
        <f t="shared" si="11"/>
        <v>-0.14514191843932167</v>
      </c>
      <c r="M206" s="28">
        <f t="shared" si="11"/>
        <v>-7.1797238404883501E-2</v>
      </c>
      <c r="N206" s="28">
        <f t="shared" si="11"/>
        <v>-2.1462426048799443E-2</v>
      </c>
    </row>
    <row r="207" spans="1:14" x14ac:dyDescent="0.4">
      <c r="A207" s="1">
        <v>27485</v>
      </c>
      <c r="B207" s="28">
        <v>-0.20513057173820926</v>
      </c>
      <c r="C207" s="28">
        <f t="shared" si="11"/>
        <v>-0.17187909271552826</v>
      </c>
      <c r="D207" s="28">
        <f t="shared" si="11"/>
        <v>-5.8741758117719201E-2</v>
      </c>
      <c r="E207" s="28">
        <f t="shared" si="11"/>
        <v>-0.36556541570706713</v>
      </c>
      <c r="F207" s="28">
        <f t="shared" si="11"/>
        <v>-0.16273071625340663</v>
      </c>
      <c r="G207" s="28">
        <f t="shared" si="11"/>
        <v>-1.5852300952872156E-2</v>
      </c>
      <c r="H207" s="28">
        <f t="shared" si="11"/>
        <v>0.23375152418367406</v>
      </c>
      <c r="I207" s="28">
        <f t="shared" si="11"/>
        <v>0.22182529467551149</v>
      </c>
      <c r="J207" s="28">
        <f t="shared" si="11"/>
        <v>0.43950972090505047</v>
      </c>
      <c r="K207" s="28">
        <f t="shared" si="11"/>
        <v>0.16416819085043244</v>
      </c>
      <c r="L207" s="28">
        <f t="shared" si="11"/>
        <v>-0.31379629002395859</v>
      </c>
      <c r="M207" s="28">
        <f t="shared" si="11"/>
        <v>-0.14514191843932167</v>
      </c>
      <c r="N207" s="28">
        <f t="shared" si="11"/>
        <v>-7.1797238404883501E-2</v>
      </c>
    </row>
    <row r="208" spans="1:14" x14ac:dyDescent="0.4">
      <c r="A208" s="1">
        <v>27515</v>
      </c>
      <c r="B208" s="28">
        <v>-0.12139191843925801</v>
      </c>
      <c r="C208" s="28">
        <f t="shared" si="11"/>
        <v>-0.20513057173820926</v>
      </c>
      <c r="D208" s="28">
        <f t="shared" si="11"/>
        <v>-0.17187909271552826</v>
      </c>
      <c r="E208" s="28">
        <f t="shared" si="11"/>
        <v>-5.8741758117719201E-2</v>
      </c>
      <c r="F208" s="28">
        <f t="shared" si="11"/>
        <v>-0.36556541570706713</v>
      </c>
      <c r="G208" s="28">
        <f t="shared" si="11"/>
        <v>-0.16273071625340663</v>
      </c>
      <c r="H208" s="28">
        <f t="shared" si="11"/>
        <v>-1.5852300952872156E-2</v>
      </c>
      <c r="I208" s="28">
        <f t="shared" si="11"/>
        <v>0.23375152418367406</v>
      </c>
      <c r="J208" s="28">
        <f t="shared" si="11"/>
        <v>0.22182529467551149</v>
      </c>
      <c r="K208" s="28">
        <f t="shared" si="11"/>
        <v>0.43950972090505047</v>
      </c>
      <c r="L208" s="28">
        <f t="shared" si="11"/>
        <v>0.16416819085043244</v>
      </c>
      <c r="M208" s="28">
        <f t="shared" si="11"/>
        <v>-0.31379629002395859</v>
      </c>
      <c r="N208" s="28">
        <f t="shared" si="11"/>
        <v>-0.14514191843932167</v>
      </c>
    </row>
    <row r="209" spans="1:14" x14ac:dyDescent="0.4">
      <c r="A209" s="1">
        <v>27546</v>
      </c>
      <c r="B209" s="28">
        <v>0.13870370997608461</v>
      </c>
      <c r="C209" s="28">
        <f t="shared" si="11"/>
        <v>-0.12139191843925801</v>
      </c>
      <c r="D209" s="28">
        <f t="shared" si="11"/>
        <v>-0.20513057173820926</v>
      </c>
      <c r="E209" s="28">
        <f t="shared" si="11"/>
        <v>-0.17187909271552826</v>
      </c>
      <c r="F209" s="28">
        <f t="shared" si="11"/>
        <v>-5.8741758117719201E-2</v>
      </c>
      <c r="G209" s="28">
        <f t="shared" si="11"/>
        <v>-0.36556541570706713</v>
      </c>
      <c r="H209" s="28">
        <f t="shared" si="11"/>
        <v>-0.16273071625340663</v>
      </c>
      <c r="I209" s="28">
        <f t="shared" si="11"/>
        <v>-1.5852300952872156E-2</v>
      </c>
      <c r="J209" s="28">
        <f t="shared" si="11"/>
        <v>0.23375152418367406</v>
      </c>
      <c r="K209" s="28">
        <f t="shared" si="11"/>
        <v>0.22182529467551149</v>
      </c>
      <c r="L209" s="28">
        <f t="shared" si="11"/>
        <v>0.43950972090505047</v>
      </c>
      <c r="M209" s="28">
        <f t="shared" si="11"/>
        <v>0.16416819085043244</v>
      </c>
      <c r="N209" s="28">
        <f t="shared" si="11"/>
        <v>-0.31379629002395859</v>
      </c>
    </row>
    <row r="210" spans="1:14" x14ac:dyDescent="0.4">
      <c r="A210" s="1">
        <v>27576</v>
      </c>
      <c r="B210" s="28">
        <v>-3.6665142483002455E-2</v>
      </c>
      <c r="C210" s="28">
        <f t="shared" si="11"/>
        <v>0.13870370997608461</v>
      </c>
      <c r="D210" s="28">
        <f t="shared" si="11"/>
        <v>-0.12139191843925801</v>
      </c>
      <c r="E210" s="28">
        <f t="shared" si="11"/>
        <v>-0.20513057173820926</v>
      </c>
      <c r="F210" s="28">
        <f t="shared" si="11"/>
        <v>-0.17187909271552826</v>
      </c>
      <c r="G210" s="28">
        <f t="shared" si="11"/>
        <v>-5.8741758117719201E-2</v>
      </c>
      <c r="H210" s="28">
        <f t="shared" si="11"/>
        <v>-0.36556541570706713</v>
      </c>
      <c r="I210" s="28">
        <f t="shared" si="11"/>
        <v>-0.16273071625340663</v>
      </c>
      <c r="J210" s="28">
        <f t="shared" si="11"/>
        <v>-1.5852300952872156E-2</v>
      </c>
      <c r="K210" s="28">
        <f t="shared" si="11"/>
        <v>0.23375152418367406</v>
      </c>
      <c r="L210" s="28">
        <f t="shared" si="11"/>
        <v>0.22182529467551149</v>
      </c>
      <c r="M210" s="28">
        <f t="shared" si="11"/>
        <v>0.43950972090505047</v>
      </c>
      <c r="N210" s="28">
        <f t="shared" si="11"/>
        <v>0.16416819085043244</v>
      </c>
    </row>
    <row r="211" spans="1:14" x14ac:dyDescent="0.4">
      <c r="A211" s="1">
        <v>27607</v>
      </c>
      <c r="B211" s="28">
        <v>0.15617638757169061</v>
      </c>
      <c r="C211" s="28">
        <f t="shared" si="11"/>
        <v>-3.6665142483002455E-2</v>
      </c>
      <c r="D211" s="28">
        <f t="shared" si="11"/>
        <v>0.13870370997608461</v>
      </c>
      <c r="E211" s="28">
        <f t="shared" si="11"/>
        <v>-0.12139191843925801</v>
      </c>
      <c r="F211" s="28">
        <f t="shared" si="11"/>
        <v>-0.20513057173820926</v>
      </c>
      <c r="G211" s="28">
        <f t="shared" si="11"/>
        <v>-0.17187909271552826</v>
      </c>
      <c r="H211" s="28">
        <f t="shared" si="11"/>
        <v>-5.8741758117719201E-2</v>
      </c>
      <c r="I211" s="28">
        <f t="shared" si="11"/>
        <v>-0.36556541570706713</v>
      </c>
      <c r="J211" s="28">
        <f t="shared" si="11"/>
        <v>-0.16273071625340663</v>
      </c>
      <c r="K211" s="28">
        <f t="shared" si="11"/>
        <v>-1.5852300952872156E-2</v>
      </c>
      <c r="L211" s="28">
        <f t="shared" si="11"/>
        <v>0.23375152418367406</v>
      </c>
      <c r="M211" s="28">
        <f t="shared" si="11"/>
        <v>0.22182529467551149</v>
      </c>
      <c r="N211" s="28">
        <f t="shared" si="11"/>
        <v>0.43950972090505047</v>
      </c>
    </row>
    <row r="212" spans="1:14" x14ac:dyDescent="0.4">
      <c r="A212" s="1">
        <v>27638</v>
      </c>
      <c r="B212" s="28">
        <v>0.34099196134218346</v>
      </c>
      <c r="C212" s="28">
        <f t="shared" si="11"/>
        <v>0.15617638757169061</v>
      </c>
      <c r="D212" s="28">
        <f t="shared" si="11"/>
        <v>-3.6665142483002455E-2</v>
      </c>
      <c r="E212" s="28">
        <f t="shared" si="11"/>
        <v>0.13870370997608461</v>
      </c>
      <c r="F212" s="28">
        <f t="shared" si="11"/>
        <v>-0.12139191843925801</v>
      </c>
      <c r="G212" s="28">
        <f t="shared" si="11"/>
        <v>-0.20513057173820926</v>
      </c>
      <c r="H212" s="28">
        <f t="shared" si="11"/>
        <v>-0.17187909271552826</v>
      </c>
      <c r="I212" s="28">
        <f t="shared" si="11"/>
        <v>-5.8741758117719201E-2</v>
      </c>
      <c r="J212" s="28">
        <f t="shared" si="11"/>
        <v>-0.36556541570706713</v>
      </c>
      <c r="K212" s="28">
        <f t="shared" si="11"/>
        <v>-0.16273071625340663</v>
      </c>
      <c r="L212" s="28">
        <f t="shared" si="11"/>
        <v>-1.5852300952872156E-2</v>
      </c>
      <c r="M212" s="28">
        <f t="shared" si="11"/>
        <v>0.23375152418367406</v>
      </c>
      <c r="N212" s="28">
        <f t="shared" si="11"/>
        <v>0.22182529467551149</v>
      </c>
    </row>
    <row r="213" spans="1:14" x14ac:dyDescent="0.4">
      <c r="A213" s="1">
        <v>27668</v>
      </c>
      <c r="B213" s="28">
        <v>0.13000152418368316</v>
      </c>
      <c r="C213" s="28">
        <f t="shared" si="11"/>
        <v>0.34099196134218346</v>
      </c>
      <c r="D213" s="28">
        <f t="shared" si="11"/>
        <v>0.15617638757169061</v>
      </c>
      <c r="E213" s="28">
        <f t="shared" si="11"/>
        <v>-3.6665142483002455E-2</v>
      </c>
      <c r="F213" s="28">
        <f t="shared" si="11"/>
        <v>0.13870370997608461</v>
      </c>
      <c r="G213" s="28">
        <f t="shared" si="11"/>
        <v>-0.12139191843925801</v>
      </c>
      <c r="H213" s="28">
        <f t="shared" si="11"/>
        <v>-0.20513057173820926</v>
      </c>
      <c r="I213" s="28">
        <f t="shared" si="11"/>
        <v>-0.17187909271552826</v>
      </c>
      <c r="J213" s="28">
        <f t="shared" si="11"/>
        <v>-5.8741758117719201E-2</v>
      </c>
      <c r="K213" s="28">
        <f t="shared" si="11"/>
        <v>-0.36556541570706713</v>
      </c>
      <c r="L213" s="28">
        <f t="shared" si="11"/>
        <v>-0.16273071625340663</v>
      </c>
      <c r="M213" s="28">
        <f t="shared" si="11"/>
        <v>-1.5852300952872156E-2</v>
      </c>
      <c r="N213" s="28">
        <f t="shared" si="11"/>
        <v>0.23375152418367406</v>
      </c>
    </row>
    <row r="214" spans="1:14" x14ac:dyDescent="0.4">
      <c r="A214" s="1">
        <v>27699</v>
      </c>
      <c r="B214" s="28">
        <v>-8.6268967619616888E-2</v>
      </c>
      <c r="C214" s="28">
        <f t="shared" si="11"/>
        <v>0.13000152418368316</v>
      </c>
      <c r="D214" s="28">
        <f t="shared" si="11"/>
        <v>0.34099196134218346</v>
      </c>
      <c r="E214" s="28">
        <f t="shared" si="11"/>
        <v>0.15617638757169061</v>
      </c>
      <c r="F214" s="28">
        <f t="shared" si="11"/>
        <v>-3.6665142483002455E-2</v>
      </c>
      <c r="G214" s="28">
        <f t="shared" si="11"/>
        <v>0.13870370997608461</v>
      </c>
      <c r="H214" s="28">
        <f t="shared" si="11"/>
        <v>-0.12139191843925801</v>
      </c>
      <c r="I214" s="28">
        <f t="shared" si="11"/>
        <v>-0.20513057173820926</v>
      </c>
      <c r="J214" s="28">
        <f t="shared" si="11"/>
        <v>-0.17187909271552826</v>
      </c>
      <c r="K214" s="28">
        <f t="shared" si="11"/>
        <v>-5.8741758117719201E-2</v>
      </c>
      <c r="L214" s="28">
        <f t="shared" si="11"/>
        <v>-0.36556541570706713</v>
      </c>
      <c r="M214" s="28">
        <f t="shared" si="11"/>
        <v>-0.16273071625340663</v>
      </c>
      <c r="N214" s="28">
        <f t="shared" si="11"/>
        <v>-1.5852300952872156E-2</v>
      </c>
    </row>
    <row r="215" spans="1:14" x14ac:dyDescent="0.4">
      <c r="A215" s="1">
        <v>27729</v>
      </c>
      <c r="B215" s="28">
        <v>-4.856404958678695E-2</v>
      </c>
      <c r="C215" s="28">
        <f t="shared" si="11"/>
        <v>-8.6268967619616888E-2</v>
      </c>
      <c r="D215" s="28">
        <f t="shared" si="11"/>
        <v>0.13000152418368316</v>
      </c>
      <c r="E215" s="28">
        <f t="shared" si="11"/>
        <v>0.34099196134218346</v>
      </c>
      <c r="F215" s="28">
        <f t="shared" si="11"/>
        <v>0.15617638757169061</v>
      </c>
      <c r="G215" s="28">
        <f t="shared" si="11"/>
        <v>-3.6665142483002455E-2</v>
      </c>
      <c r="H215" s="28">
        <f t="shared" si="11"/>
        <v>0.13870370997608461</v>
      </c>
      <c r="I215" s="28">
        <f t="shared" si="11"/>
        <v>-0.12139191843925801</v>
      </c>
      <c r="J215" s="28">
        <f t="shared" si="11"/>
        <v>-0.20513057173820926</v>
      </c>
      <c r="K215" s="28">
        <f t="shared" si="11"/>
        <v>-0.17187909271552826</v>
      </c>
      <c r="L215" s="28">
        <f t="shared" si="11"/>
        <v>-5.8741758117719201E-2</v>
      </c>
      <c r="M215" s="28">
        <f t="shared" si="11"/>
        <v>-0.36556541570706713</v>
      </c>
      <c r="N215" s="28">
        <f t="shared" si="11"/>
        <v>-0.16273071625340663</v>
      </c>
    </row>
    <row r="216" spans="1:14" x14ac:dyDescent="0.4">
      <c r="A216" s="1">
        <v>27760</v>
      </c>
      <c r="B216" s="28">
        <v>-8.3482082373734556E-2</v>
      </c>
      <c r="C216" s="28">
        <f t="shared" si="11"/>
        <v>-4.856404958678695E-2</v>
      </c>
      <c r="D216" s="28">
        <f t="shared" si="11"/>
        <v>-8.6268967619616888E-2</v>
      </c>
      <c r="E216" s="28">
        <f t="shared" si="11"/>
        <v>0.13000152418368316</v>
      </c>
      <c r="F216" s="28">
        <f t="shared" si="11"/>
        <v>0.34099196134218346</v>
      </c>
      <c r="G216" s="28">
        <f t="shared" si="11"/>
        <v>0.15617638757169061</v>
      </c>
      <c r="H216" s="28">
        <f t="shared" si="11"/>
        <v>-3.6665142483002455E-2</v>
      </c>
      <c r="I216" s="28">
        <f t="shared" si="11"/>
        <v>0.13870370997608461</v>
      </c>
      <c r="J216" s="28">
        <f t="shared" si="11"/>
        <v>-0.12139191843925801</v>
      </c>
      <c r="K216" s="28">
        <f t="shared" si="11"/>
        <v>-0.20513057173820926</v>
      </c>
      <c r="L216" s="28">
        <f t="shared" si="11"/>
        <v>-0.17187909271552826</v>
      </c>
      <c r="M216" s="28">
        <f t="shared" si="11"/>
        <v>-5.8741758117719201E-2</v>
      </c>
      <c r="N216" s="28">
        <f t="shared" si="11"/>
        <v>-0.36556541570706713</v>
      </c>
    </row>
    <row r="217" spans="1:14" x14ac:dyDescent="0.4">
      <c r="A217" s="1">
        <v>27791</v>
      </c>
      <c r="B217" s="28">
        <v>1.667490854896414E-2</v>
      </c>
      <c r="C217" s="28">
        <f t="shared" si="11"/>
        <v>-8.3482082373734556E-2</v>
      </c>
      <c r="D217" s="28">
        <f t="shared" si="11"/>
        <v>-4.856404958678695E-2</v>
      </c>
      <c r="E217" s="28">
        <f t="shared" si="11"/>
        <v>-8.6268967619616888E-2</v>
      </c>
      <c r="F217" s="28">
        <f t="shared" ref="D217:P232" si="12">IF(E216=0,"",E216)</f>
        <v>0.13000152418368316</v>
      </c>
      <c r="G217" s="28">
        <f t="shared" si="12"/>
        <v>0.34099196134218346</v>
      </c>
      <c r="H217" s="28">
        <f t="shared" si="12"/>
        <v>0.15617638757169061</v>
      </c>
      <c r="I217" s="28">
        <f t="shared" si="12"/>
        <v>-3.6665142483002455E-2</v>
      </c>
      <c r="J217" s="28">
        <f t="shared" si="12"/>
        <v>0.13870370997608461</v>
      </c>
      <c r="K217" s="28">
        <f t="shared" si="12"/>
        <v>-0.12139191843925801</v>
      </c>
      <c r="L217" s="28">
        <f t="shared" si="12"/>
        <v>-0.20513057173820926</v>
      </c>
      <c r="M217" s="28">
        <f t="shared" si="12"/>
        <v>-0.17187909271552826</v>
      </c>
      <c r="N217" s="28">
        <f t="shared" si="12"/>
        <v>-5.8741758117719201E-2</v>
      </c>
    </row>
    <row r="218" spans="1:14" x14ac:dyDescent="0.4">
      <c r="A218" s="1">
        <v>27820</v>
      </c>
      <c r="B218" s="28">
        <v>0.20103757395111188</v>
      </c>
      <c r="C218" s="28">
        <f t="shared" ref="C218:N281" si="13">IF(B217=0,"",B217)</f>
        <v>1.667490854896414E-2</v>
      </c>
      <c r="D218" s="28">
        <f t="shared" si="12"/>
        <v>-8.3482082373734556E-2</v>
      </c>
      <c r="E218" s="28">
        <f t="shared" si="12"/>
        <v>-4.856404958678695E-2</v>
      </c>
      <c r="F218" s="28">
        <f t="shared" si="12"/>
        <v>-8.6268967619616888E-2</v>
      </c>
      <c r="G218" s="28">
        <f t="shared" si="12"/>
        <v>0.13000152418368316</v>
      </c>
      <c r="H218" s="28">
        <f t="shared" si="12"/>
        <v>0.34099196134218346</v>
      </c>
      <c r="I218" s="28">
        <f t="shared" si="12"/>
        <v>0.15617638757169061</v>
      </c>
      <c r="J218" s="28">
        <f t="shared" si="12"/>
        <v>-3.6665142483002455E-2</v>
      </c>
      <c r="K218" s="28">
        <f t="shared" si="12"/>
        <v>0.13870370997608461</v>
      </c>
      <c r="L218" s="28">
        <f t="shared" si="12"/>
        <v>-0.12139191843925801</v>
      </c>
      <c r="M218" s="28">
        <f t="shared" si="12"/>
        <v>-0.20513057173820926</v>
      </c>
      <c r="N218" s="28">
        <f t="shared" si="12"/>
        <v>-0.17187909271552826</v>
      </c>
    </row>
    <row r="219" spans="1:14" x14ac:dyDescent="0.4">
      <c r="A219" s="1">
        <v>27851</v>
      </c>
      <c r="B219" s="28">
        <v>9.4527615951278676E-3</v>
      </c>
      <c r="C219" s="28">
        <f t="shared" si="13"/>
        <v>0.20103757395111188</v>
      </c>
      <c r="D219" s="28">
        <f t="shared" si="12"/>
        <v>1.667490854896414E-2</v>
      </c>
      <c r="E219" s="28">
        <f t="shared" si="12"/>
        <v>-8.3482082373734556E-2</v>
      </c>
      <c r="F219" s="28">
        <f t="shared" si="12"/>
        <v>-4.856404958678695E-2</v>
      </c>
      <c r="G219" s="28">
        <f t="shared" si="12"/>
        <v>-8.6268967619616888E-2</v>
      </c>
      <c r="H219" s="28">
        <f t="shared" si="12"/>
        <v>0.13000152418368316</v>
      </c>
      <c r="I219" s="28">
        <f t="shared" si="12"/>
        <v>0.34099196134218346</v>
      </c>
      <c r="J219" s="28">
        <f t="shared" si="12"/>
        <v>0.15617638757169061</v>
      </c>
      <c r="K219" s="28">
        <f t="shared" si="12"/>
        <v>-3.6665142483002455E-2</v>
      </c>
      <c r="L219" s="28">
        <f t="shared" si="12"/>
        <v>0.13870370997608461</v>
      </c>
      <c r="M219" s="28">
        <f t="shared" si="12"/>
        <v>-0.12139191843925801</v>
      </c>
      <c r="N219" s="28">
        <f t="shared" si="12"/>
        <v>-0.20513057173820926</v>
      </c>
    </row>
    <row r="220" spans="1:14" x14ac:dyDescent="0.4">
      <c r="A220" s="1">
        <v>27881</v>
      </c>
      <c r="B220" s="28">
        <v>-0.24264191843928984</v>
      </c>
      <c r="C220" s="28">
        <f t="shared" si="13"/>
        <v>9.4527615951278676E-3</v>
      </c>
      <c r="D220" s="28">
        <f t="shared" si="12"/>
        <v>0.20103757395111188</v>
      </c>
      <c r="E220" s="28">
        <f t="shared" si="12"/>
        <v>1.667490854896414E-2</v>
      </c>
      <c r="F220" s="28">
        <f t="shared" si="12"/>
        <v>-8.3482082373734556E-2</v>
      </c>
      <c r="G220" s="28">
        <f t="shared" si="12"/>
        <v>-4.856404958678695E-2</v>
      </c>
      <c r="H220" s="28">
        <f t="shared" si="12"/>
        <v>-8.6268967619616888E-2</v>
      </c>
      <c r="I220" s="28">
        <f t="shared" si="12"/>
        <v>0.13000152418368316</v>
      </c>
      <c r="J220" s="28">
        <f t="shared" si="12"/>
        <v>0.34099196134218346</v>
      </c>
      <c r="K220" s="28">
        <f t="shared" si="12"/>
        <v>0.15617638757169061</v>
      </c>
      <c r="L220" s="28">
        <f t="shared" si="12"/>
        <v>-3.6665142483002455E-2</v>
      </c>
      <c r="M220" s="28">
        <f t="shared" si="12"/>
        <v>0.13870370997608461</v>
      </c>
      <c r="N220" s="28">
        <f t="shared" si="12"/>
        <v>-0.12139191843925801</v>
      </c>
    </row>
    <row r="221" spans="1:14" x14ac:dyDescent="0.4">
      <c r="A221" s="1">
        <v>27912</v>
      </c>
      <c r="B221" s="28">
        <v>-0.14254629002397223</v>
      </c>
      <c r="C221" s="28">
        <f t="shared" si="13"/>
        <v>-0.24264191843928984</v>
      </c>
      <c r="D221" s="28">
        <f t="shared" si="12"/>
        <v>9.4527615951278676E-3</v>
      </c>
      <c r="E221" s="28">
        <f t="shared" si="12"/>
        <v>0.20103757395111188</v>
      </c>
      <c r="F221" s="28">
        <f t="shared" si="12"/>
        <v>1.667490854896414E-2</v>
      </c>
      <c r="G221" s="28">
        <f t="shared" si="12"/>
        <v>-8.3482082373734556E-2</v>
      </c>
      <c r="H221" s="28">
        <f t="shared" si="12"/>
        <v>-4.856404958678695E-2</v>
      </c>
      <c r="I221" s="28">
        <f t="shared" si="12"/>
        <v>-8.6268967619616888E-2</v>
      </c>
      <c r="J221" s="28">
        <f t="shared" si="12"/>
        <v>0.13000152418368316</v>
      </c>
      <c r="K221" s="28">
        <f t="shared" si="12"/>
        <v>0.34099196134218346</v>
      </c>
      <c r="L221" s="28">
        <f t="shared" si="12"/>
        <v>0.15617638757169061</v>
      </c>
      <c r="M221" s="28">
        <f t="shared" si="12"/>
        <v>-3.6665142483002455E-2</v>
      </c>
      <c r="N221" s="28">
        <f t="shared" si="12"/>
        <v>0.13870370997608461</v>
      </c>
    </row>
    <row r="222" spans="1:14" x14ac:dyDescent="0.4">
      <c r="A222" s="1">
        <v>27942</v>
      </c>
      <c r="B222" s="28">
        <v>0.12041819085038696</v>
      </c>
      <c r="C222" s="28">
        <f t="shared" si="13"/>
        <v>-0.14254629002397223</v>
      </c>
      <c r="D222" s="28">
        <f t="shared" si="12"/>
        <v>-0.24264191843928984</v>
      </c>
      <c r="E222" s="28">
        <f t="shared" si="12"/>
        <v>9.4527615951278676E-3</v>
      </c>
      <c r="F222" s="28">
        <f t="shared" si="12"/>
        <v>0.20103757395111188</v>
      </c>
      <c r="G222" s="28">
        <f t="shared" si="12"/>
        <v>1.667490854896414E-2</v>
      </c>
      <c r="H222" s="28">
        <f t="shared" si="12"/>
        <v>-8.3482082373734556E-2</v>
      </c>
      <c r="I222" s="28">
        <f t="shared" si="12"/>
        <v>-4.856404958678695E-2</v>
      </c>
      <c r="J222" s="28">
        <f t="shared" si="12"/>
        <v>-8.6268967619616888E-2</v>
      </c>
      <c r="K222" s="28">
        <f t="shared" si="12"/>
        <v>0.13000152418368316</v>
      </c>
      <c r="L222" s="28">
        <f t="shared" si="12"/>
        <v>0.34099196134218346</v>
      </c>
      <c r="M222" s="28">
        <f t="shared" si="12"/>
        <v>0.15617638757169061</v>
      </c>
      <c r="N222" s="28">
        <f t="shared" si="12"/>
        <v>-3.6665142483002455E-2</v>
      </c>
    </row>
    <row r="223" spans="1:14" x14ac:dyDescent="0.4">
      <c r="A223" s="1">
        <v>27973</v>
      </c>
      <c r="B223" s="28">
        <v>6.3676387571661053E-2</v>
      </c>
      <c r="C223" s="28">
        <f t="shared" si="13"/>
        <v>0.12041819085038696</v>
      </c>
      <c r="D223" s="28">
        <f t="shared" si="12"/>
        <v>-0.14254629002397223</v>
      </c>
      <c r="E223" s="28">
        <f t="shared" si="12"/>
        <v>-0.24264191843928984</v>
      </c>
      <c r="F223" s="28">
        <f t="shared" si="12"/>
        <v>9.4527615951278676E-3</v>
      </c>
      <c r="G223" s="28">
        <f t="shared" si="12"/>
        <v>0.20103757395111188</v>
      </c>
      <c r="H223" s="28">
        <f t="shared" si="12"/>
        <v>1.667490854896414E-2</v>
      </c>
      <c r="I223" s="28">
        <f t="shared" si="12"/>
        <v>-8.3482082373734556E-2</v>
      </c>
      <c r="J223" s="28">
        <f t="shared" si="12"/>
        <v>-4.856404958678695E-2</v>
      </c>
      <c r="K223" s="28">
        <f t="shared" si="12"/>
        <v>-8.6268967619616888E-2</v>
      </c>
      <c r="L223" s="28">
        <f t="shared" si="12"/>
        <v>0.13000152418368316</v>
      </c>
      <c r="M223" s="28">
        <f t="shared" si="12"/>
        <v>0.34099196134218346</v>
      </c>
      <c r="N223" s="28">
        <f t="shared" si="12"/>
        <v>0.15617638757169061</v>
      </c>
    </row>
    <row r="224" spans="1:14" x14ac:dyDescent="0.4">
      <c r="A224" s="1">
        <v>28004</v>
      </c>
      <c r="B224" s="28">
        <v>0.13265862800886907</v>
      </c>
      <c r="C224" s="28">
        <f t="shared" si="13"/>
        <v>6.3676387571661053E-2</v>
      </c>
      <c r="D224" s="28">
        <f t="shared" si="12"/>
        <v>0.12041819085038696</v>
      </c>
      <c r="E224" s="28">
        <f t="shared" si="12"/>
        <v>-0.14254629002397223</v>
      </c>
      <c r="F224" s="28">
        <f t="shared" si="12"/>
        <v>-0.24264191843928984</v>
      </c>
      <c r="G224" s="28">
        <f t="shared" si="12"/>
        <v>9.4527615951278676E-3</v>
      </c>
      <c r="H224" s="28">
        <f t="shared" si="12"/>
        <v>0.20103757395111188</v>
      </c>
      <c r="I224" s="28">
        <f t="shared" si="12"/>
        <v>1.667490854896414E-2</v>
      </c>
      <c r="J224" s="28">
        <f t="shared" si="12"/>
        <v>-8.3482082373734556E-2</v>
      </c>
      <c r="K224" s="28">
        <f t="shared" si="12"/>
        <v>-4.856404958678695E-2</v>
      </c>
      <c r="L224" s="28">
        <f t="shared" si="12"/>
        <v>-8.6268967619616888E-2</v>
      </c>
      <c r="M224" s="28">
        <f t="shared" si="12"/>
        <v>0.13000152418368316</v>
      </c>
      <c r="N224" s="28">
        <f t="shared" si="12"/>
        <v>0.34099196134218346</v>
      </c>
    </row>
    <row r="225" spans="1:14" x14ac:dyDescent="0.4">
      <c r="A225" s="1">
        <v>28034</v>
      </c>
      <c r="B225" s="28">
        <v>-0.21666514248300928</v>
      </c>
      <c r="C225" s="28">
        <f t="shared" si="13"/>
        <v>0.13265862800886907</v>
      </c>
      <c r="D225" s="28">
        <f t="shared" si="12"/>
        <v>6.3676387571661053E-2</v>
      </c>
      <c r="E225" s="28">
        <f t="shared" si="12"/>
        <v>0.12041819085038696</v>
      </c>
      <c r="F225" s="28">
        <f t="shared" si="12"/>
        <v>-0.14254629002397223</v>
      </c>
      <c r="G225" s="28">
        <f t="shared" si="12"/>
        <v>-0.24264191843928984</v>
      </c>
      <c r="H225" s="28">
        <f t="shared" si="12"/>
        <v>9.4527615951278676E-3</v>
      </c>
      <c r="I225" s="28">
        <f t="shared" si="12"/>
        <v>0.20103757395111188</v>
      </c>
      <c r="J225" s="28">
        <f t="shared" si="12"/>
        <v>1.667490854896414E-2</v>
      </c>
      <c r="K225" s="28">
        <f t="shared" si="12"/>
        <v>-8.3482082373734556E-2</v>
      </c>
      <c r="L225" s="28">
        <f t="shared" si="12"/>
        <v>-4.856404958678695E-2</v>
      </c>
      <c r="M225" s="28">
        <f t="shared" si="12"/>
        <v>-8.6268967619616888E-2</v>
      </c>
      <c r="N225" s="28">
        <f t="shared" si="12"/>
        <v>0.13000152418368316</v>
      </c>
    </row>
    <row r="226" spans="1:14" x14ac:dyDescent="0.4">
      <c r="A226" s="1">
        <v>28065</v>
      </c>
      <c r="B226" s="28">
        <v>-0.26210230095284714</v>
      </c>
      <c r="C226" s="28">
        <f t="shared" si="13"/>
        <v>-0.21666514248300928</v>
      </c>
      <c r="D226" s="28">
        <f t="shared" si="12"/>
        <v>0.13265862800886907</v>
      </c>
      <c r="E226" s="28">
        <f t="shared" si="12"/>
        <v>6.3676387571661053E-2</v>
      </c>
      <c r="F226" s="28">
        <f t="shared" si="12"/>
        <v>0.12041819085038696</v>
      </c>
      <c r="G226" s="28">
        <f t="shared" si="12"/>
        <v>-0.14254629002397223</v>
      </c>
      <c r="H226" s="28">
        <f t="shared" si="12"/>
        <v>-0.24264191843928984</v>
      </c>
      <c r="I226" s="28">
        <f t="shared" si="12"/>
        <v>9.4527615951278676E-3</v>
      </c>
      <c r="J226" s="28">
        <f t="shared" si="12"/>
        <v>0.20103757395111188</v>
      </c>
      <c r="K226" s="28">
        <f t="shared" si="12"/>
        <v>1.667490854896414E-2</v>
      </c>
      <c r="L226" s="28">
        <f t="shared" si="12"/>
        <v>-8.3482082373734556E-2</v>
      </c>
      <c r="M226" s="28">
        <f t="shared" si="12"/>
        <v>-4.856404958678695E-2</v>
      </c>
      <c r="N226" s="28">
        <f t="shared" si="12"/>
        <v>-8.6268967619616888E-2</v>
      </c>
    </row>
    <row r="227" spans="1:14" x14ac:dyDescent="0.4">
      <c r="A227" s="1">
        <v>28095</v>
      </c>
      <c r="B227" s="28">
        <v>-0.21481404958677786</v>
      </c>
      <c r="C227" s="28">
        <f t="shared" si="13"/>
        <v>-0.26210230095284714</v>
      </c>
      <c r="D227" s="28">
        <f t="shared" si="12"/>
        <v>-0.21666514248300928</v>
      </c>
      <c r="E227" s="28">
        <f t="shared" si="12"/>
        <v>0.13265862800886907</v>
      </c>
      <c r="F227" s="28">
        <f t="shared" si="12"/>
        <v>6.3676387571661053E-2</v>
      </c>
      <c r="G227" s="28">
        <f t="shared" si="12"/>
        <v>0.12041819085038696</v>
      </c>
      <c r="H227" s="28">
        <f t="shared" si="12"/>
        <v>-0.14254629002397223</v>
      </c>
      <c r="I227" s="28">
        <f t="shared" si="12"/>
        <v>-0.24264191843928984</v>
      </c>
      <c r="J227" s="28">
        <f t="shared" si="12"/>
        <v>9.4527615951278676E-3</v>
      </c>
      <c r="K227" s="28">
        <f t="shared" si="12"/>
        <v>0.20103757395111188</v>
      </c>
      <c r="L227" s="28">
        <f t="shared" si="12"/>
        <v>1.667490854896414E-2</v>
      </c>
      <c r="M227" s="28">
        <f t="shared" si="12"/>
        <v>-8.3482082373734556E-2</v>
      </c>
      <c r="N227" s="28">
        <f t="shared" si="12"/>
        <v>-4.856404958678695E-2</v>
      </c>
    </row>
    <row r="228" spans="1:14" x14ac:dyDescent="0.4">
      <c r="A228" s="1">
        <v>28126</v>
      </c>
      <c r="B228" s="28">
        <v>-7.0148749040299663E-2</v>
      </c>
      <c r="C228" s="28">
        <f t="shared" si="13"/>
        <v>-0.21481404958677786</v>
      </c>
      <c r="D228" s="28">
        <f t="shared" si="12"/>
        <v>-0.26210230095284714</v>
      </c>
      <c r="E228" s="28">
        <f t="shared" si="12"/>
        <v>-0.21666514248300928</v>
      </c>
      <c r="F228" s="28">
        <f t="shared" si="12"/>
        <v>0.13265862800886907</v>
      </c>
      <c r="G228" s="28">
        <f t="shared" si="12"/>
        <v>6.3676387571661053E-2</v>
      </c>
      <c r="H228" s="28">
        <f t="shared" si="12"/>
        <v>0.12041819085038696</v>
      </c>
      <c r="I228" s="28">
        <f t="shared" si="12"/>
        <v>-0.14254629002397223</v>
      </c>
      <c r="J228" s="28">
        <f t="shared" si="12"/>
        <v>-0.24264191843928984</v>
      </c>
      <c r="K228" s="28">
        <f t="shared" si="12"/>
        <v>9.4527615951278676E-3</v>
      </c>
      <c r="L228" s="28">
        <f t="shared" si="12"/>
        <v>0.20103757395111188</v>
      </c>
      <c r="M228" s="28">
        <f t="shared" si="12"/>
        <v>1.667490854896414E-2</v>
      </c>
      <c r="N228" s="28">
        <f t="shared" si="12"/>
        <v>-8.3482082373734556E-2</v>
      </c>
    </row>
    <row r="229" spans="1:14" x14ac:dyDescent="0.4">
      <c r="A229" s="1">
        <v>28157</v>
      </c>
      <c r="B229" s="28">
        <v>-0.36874175811766463</v>
      </c>
      <c r="C229" s="28">
        <f t="shared" si="13"/>
        <v>-7.0148749040299663E-2</v>
      </c>
      <c r="D229" s="28">
        <f t="shared" si="12"/>
        <v>-0.21481404958677786</v>
      </c>
      <c r="E229" s="28">
        <f t="shared" si="12"/>
        <v>-0.26210230095284714</v>
      </c>
      <c r="F229" s="28">
        <f t="shared" si="12"/>
        <v>-0.21666514248300928</v>
      </c>
      <c r="G229" s="28">
        <f t="shared" si="12"/>
        <v>0.13265862800886907</v>
      </c>
      <c r="H229" s="28">
        <f t="shared" si="12"/>
        <v>6.3676387571661053E-2</v>
      </c>
      <c r="I229" s="28">
        <f t="shared" si="12"/>
        <v>0.12041819085038696</v>
      </c>
      <c r="J229" s="28">
        <f t="shared" si="12"/>
        <v>-0.14254629002397223</v>
      </c>
      <c r="K229" s="28">
        <f t="shared" si="12"/>
        <v>-0.24264191843928984</v>
      </c>
      <c r="L229" s="28">
        <f t="shared" si="12"/>
        <v>9.4527615951278676E-3</v>
      </c>
      <c r="M229" s="28">
        <f t="shared" si="12"/>
        <v>0.20103757395111188</v>
      </c>
      <c r="N229" s="28">
        <f t="shared" si="12"/>
        <v>1.667490854896414E-2</v>
      </c>
    </row>
    <row r="230" spans="1:14" x14ac:dyDescent="0.4">
      <c r="A230" s="1">
        <v>28185</v>
      </c>
      <c r="B230" s="28">
        <v>6.2287573951095965E-2</v>
      </c>
      <c r="C230" s="28">
        <f t="shared" si="13"/>
        <v>-0.36874175811766463</v>
      </c>
      <c r="D230" s="28">
        <f t="shared" si="12"/>
        <v>-7.0148749040299663E-2</v>
      </c>
      <c r="E230" s="28">
        <f t="shared" si="12"/>
        <v>-0.21481404958677786</v>
      </c>
      <c r="F230" s="28">
        <f t="shared" si="12"/>
        <v>-0.26210230095284714</v>
      </c>
      <c r="G230" s="28">
        <f t="shared" si="12"/>
        <v>-0.21666514248300928</v>
      </c>
      <c r="H230" s="28">
        <f t="shared" si="12"/>
        <v>0.13265862800886907</v>
      </c>
      <c r="I230" s="28">
        <f t="shared" si="12"/>
        <v>6.3676387571661053E-2</v>
      </c>
      <c r="J230" s="28">
        <f t="shared" si="12"/>
        <v>0.12041819085038696</v>
      </c>
      <c r="K230" s="28">
        <f t="shared" si="12"/>
        <v>-0.14254629002397223</v>
      </c>
      <c r="L230" s="28">
        <f t="shared" si="12"/>
        <v>-0.24264191843928984</v>
      </c>
      <c r="M230" s="28">
        <f t="shared" si="12"/>
        <v>9.4527615951278676E-3</v>
      </c>
      <c r="N230" s="28">
        <f t="shared" si="12"/>
        <v>0.20103757395111188</v>
      </c>
    </row>
    <row r="231" spans="1:14" x14ac:dyDescent="0.4">
      <c r="A231" s="1">
        <v>28216</v>
      </c>
      <c r="B231" s="28">
        <v>2.8619428261777102E-2</v>
      </c>
      <c r="C231" s="28">
        <f t="shared" si="13"/>
        <v>6.2287573951095965E-2</v>
      </c>
      <c r="D231" s="28">
        <f t="shared" si="12"/>
        <v>-0.36874175811766463</v>
      </c>
      <c r="E231" s="28">
        <f t="shared" si="12"/>
        <v>-7.0148749040299663E-2</v>
      </c>
      <c r="F231" s="28">
        <f t="shared" si="12"/>
        <v>-0.21481404958677786</v>
      </c>
      <c r="G231" s="28">
        <f t="shared" si="12"/>
        <v>-0.26210230095284714</v>
      </c>
      <c r="H231" s="28">
        <f t="shared" si="12"/>
        <v>-0.21666514248300928</v>
      </c>
      <c r="I231" s="28">
        <f t="shared" si="12"/>
        <v>0.13265862800886907</v>
      </c>
      <c r="J231" s="28">
        <f t="shared" si="12"/>
        <v>6.3676387571661053E-2</v>
      </c>
      <c r="K231" s="28">
        <f t="shared" si="12"/>
        <v>0.12041819085038696</v>
      </c>
      <c r="L231" s="28">
        <f t="shared" si="12"/>
        <v>-0.14254629002397223</v>
      </c>
      <c r="M231" s="28">
        <f t="shared" si="12"/>
        <v>-0.24264191843928984</v>
      </c>
      <c r="N231" s="28">
        <f t="shared" si="12"/>
        <v>9.4527615951278676E-3</v>
      </c>
    </row>
    <row r="232" spans="1:14" x14ac:dyDescent="0.4">
      <c r="A232" s="1">
        <v>28246</v>
      </c>
      <c r="B232" s="28">
        <v>3.6108081560769278E-2</v>
      </c>
      <c r="C232" s="28">
        <f t="shared" si="13"/>
        <v>2.8619428261777102E-2</v>
      </c>
      <c r="D232" s="28">
        <f t="shared" si="12"/>
        <v>6.2287573951095965E-2</v>
      </c>
      <c r="E232" s="28">
        <f t="shared" si="12"/>
        <v>-0.36874175811766463</v>
      </c>
      <c r="F232" s="28">
        <f t="shared" si="12"/>
        <v>-7.0148749040299663E-2</v>
      </c>
      <c r="G232" s="28">
        <f t="shared" si="12"/>
        <v>-0.21481404958677786</v>
      </c>
      <c r="H232" s="28">
        <f t="shared" si="12"/>
        <v>-0.26210230095284714</v>
      </c>
      <c r="I232" s="28">
        <f t="shared" si="12"/>
        <v>-0.21666514248300928</v>
      </c>
      <c r="J232" s="28">
        <f t="shared" si="12"/>
        <v>0.13265862800886907</v>
      </c>
      <c r="K232" s="28">
        <f t="shared" si="12"/>
        <v>6.3676387571661053E-2</v>
      </c>
      <c r="L232" s="28">
        <f t="shared" si="12"/>
        <v>0.12041819085038696</v>
      </c>
      <c r="M232" s="28">
        <f t="shared" si="12"/>
        <v>-0.14254629002397223</v>
      </c>
      <c r="N232" s="28">
        <f t="shared" si="12"/>
        <v>-0.24264191843928984</v>
      </c>
    </row>
    <row r="233" spans="1:14" x14ac:dyDescent="0.4">
      <c r="A233" s="1">
        <v>28277</v>
      </c>
      <c r="B233" s="28">
        <v>0.10120370997600503</v>
      </c>
      <c r="C233" s="28">
        <f t="shared" si="13"/>
        <v>3.6108081560769278E-2</v>
      </c>
      <c r="D233" s="28">
        <f t="shared" si="13"/>
        <v>2.8619428261777102E-2</v>
      </c>
      <c r="E233" s="28">
        <f t="shared" si="13"/>
        <v>6.2287573951095965E-2</v>
      </c>
      <c r="F233" s="28">
        <f t="shared" si="13"/>
        <v>-0.36874175811766463</v>
      </c>
      <c r="G233" s="28">
        <f t="shared" si="13"/>
        <v>-7.0148749040299663E-2</v>
      </c>
      <c r="H233" s="28">
        <f t="shared" si="13"/>
        <v>-0.21481404958677786</v>
      </c>
      <c r="I233" s="28">
        <f t="shared" si="13"/>
        <v>-0.26210230095284714</v>
      </c>
      <c r="J233" s="28">
        <f t="shared" si="13"/>
        <v>-0.21666514248300928</v>
      </c>
      <c r="K233" s="28">
        <f t="shared" si="13"/>
        <v>0.13265862800886907</v>
      </c>
      <c r="L233" s="28">
        <f t="shared" si="13"/>
        <v>6.3676387571661053E-2</v>
      </c>
      <c r="M233" s="28">
        <f t="shared" si="13"/>
        <v>0.12041819085038696</v>
      </c>
      <c r="N233" s="28">
        <f t="shared" si="13"/>
        <v>-0.14254629002397223</v>
      </c>
    </row>
    <row r="234" spans="1:14" x14ac:dyDescent="0.4">
      <c r="A234" s="1">
        <v>28307</v>
      </c>
      <c r="B234" s="28">
        <v>0.20625152418369908</v>
      </c>
      <c r="C234" s="28">
        <f t="shared" si="13"/>
        <v>0.10120370997600503</v>
      </c>
      <c r="D234" s="28">
        <f t="shared" si="13"/>
        <v>3.6108081560769278E-2</v>
      </c>
      <c r="E234" s="28">
        <f t="shared" si="13"/>
        <v>2.8619428261777102E-2</v>
      </c>
      <c r="F234" s="28">
        <f t="shared" si="13"/>
        <v>6.2287573951095965E-2</v>
      </c>
      <c r="G234" s="28">
        <f t="shared" si="13"/>
        <v>-0.36874175811766463</v>
      </c>
      <c r="H234" s="28">
        <f t="shared" si="13"/>
        <v>-7.0148749040299663E-2</v>
      </c>
      <c r="I234" s="28">
        <f t="shared" si="13"/>
        <v>-0.21481404958677786</v>
      </c>
      <c r="J234" s="28">
        <f t="shared" si="13"/>
        <v>-0.26210230095284714</v>
      </c>
      <c r="K234" s="28">
        <f t="shared" si="13"/>
        <v>-0.21666514248300928</v>
      </c>
      <c r="L234" s="28">
        <f t="shared" si="13"/>
        <v>0.13265862800886907</v>
      </c>
      <c r="M234" s="28">
        <f t="shared" si="13"/>
        <v>6.3676387571661053E-2</v>
      </c>
      <c r="N234" s="28">
        <f t="shared" si="13"/>
        <v>0.12041819085038696</v>
      </c>
    </row>
    <row r="235" spans="1:14" x14ac:dyDescent="0.4">
      <c r="A235" s="1">
        <v>28338</v>
      </c>
      <c r="B235" s="28">
        <v>7.0097209050459242E-3</v>
      </c>
      <c r="C235" s="28">
        <f t="shared" si="13"/>
        <v>0.20625152418369908</v>
      </c>
      <c r="D235" s="28">
        <f t="shared" si="13"/>
        <v>0.10120370997600503</v>
      </c>
      <c r="E235" s="28">
        <f t="shared" si="13"/>
        <v>3.6108081560769278E-2</v>
      </c>
      <c r="F235" s="28">
        <f t="shared" si="13"/>
        <v>2.8619428261777102E-2</v>
      </c>
      <c r="G235" s="28">
        <f t="shared" si="13"/>
        <v>6.2287573951095965E-2</v>
      </c>
      <c r="H235" s="28">
        <f t="shared" si="13"/>
        <v>-0.36874175811766463</v>
      </c>
      <c r="I235" s="28">
        <f t="shared" si="13"/>
        <v>-7.0148749040299663E-2</v>
      </c>
      <c r="J235" s="28">
        <f t="shared" si="13"/>
        <v>-0.21481404958677786</v>
      </c>
      <c r="K235" s="28">
        <f t="shared" si="13"/>
        <v>-0.26210230095284714</v>
      </c>
      <c r="L235" s="28">
        <f t="shared" si="13"/>
        <v>-0.21666514248300928</v>
      </c>
      <c r="M235" s="28">
        <f t="shared" si="13"/>
        <v>0.13265862800886907</v>
      </c>
      <c r="N235" s="28">
        <f t="shared" si="13"/>
        <v>6.3676387571661053E-2</v>
      </c>
    </row>
    <row r="236" spans="1:14" x14ac:dyDescent="0.4">
      <c r="A236" s="1">
        <v>28369</v>
      </c>
      <c r="B236" s="28">
        <v>0.47849196134217209</v>
      </c>
      <c r="C236" s="28">
        <f t="shared" si="13"/>
        <v>7.0097209050459242E-3</v>
      </c>
      <c r="D236" s="28">
        <f t="shared" si="13"/>
        <v>0.20625152418369908</v>
      </c>
      <c r="E236" s="28">
        <f t="shared" si="13"/>
        <v>0.10120370997600503</v>
      </c>
      <c r="F236" s="28">
        <f t="shared" si="13"/>
        <v>3.6108081560769278E-2</v>
      </c>
      <c r="G236" s="28">
        <f t="shared" si="13"/>
        <v>2.8619428261777102E-2</v>
      </c>
      <c r="H236" s="28">
        <f t="shared" si="13"/>
        <v>6.2287573951095965E-2</v>
      </c>
      <c r="I236" s="28">
        <f t="shared" si="13"/>
        <v>-0.36874175811766463</v>
      </c>
      <c r="J236" s="28">
        <f t="shared" si="13"/>
        <v>-7.0148749040299663E-2</v>
      </c>
      <c r="K236" s="28">
        <f t="shared" si="13"/>
        <v>-0.21481404958677786</v>
      </c>
      <c r="L236" s="28">
        <f t="shared" si="13"/>
        <v>-0.26210230095284714</v>
      </c>
      <c r="M236" s="28">
        <f t="shared" si="13"/>
        <v>-0.21666514248300928</v>
      </c>
      <c r="N236" s="28">
        <f t="shared" si="13"/>
        <v>0.13265862800886907</v>
      </c>
    </row>
    <row r="237" spans="1:14" x14ac:dyDescent="0.4">
      <c r="A237" s="1">
        <v>28399</v>
      </c>
      <c r="B237" s="28">
        <v>2.0001524183783204E-2</v>
      </c>
      <c r="C237" s="28">
        <f t="shared" si="13"/>
        <v>0.47849196134217209</v>
      </c>
      <c r="D237" s="28">
        <f t="shared" si="13"/>
        <v>7.0097209050459242E-3</v>
      </c>
      <c r="E237" s="28">
        <f t="shared" si="13"/>
        <v>0.20625152418369908</v>
      </c>
      <c r="F237" s="28">
        <f t="shared" si="13"/>
        <v>0.10120370997600503</v>
      </c>
      <c r="G237" s="28">
        <f t="shared" si="13"/>
        <v>3.6108081560769278E-2</v>
      </c>
      <c r="H237" s="28">
        <f t="shared" si="13"/>
        <v>2.8619428261777102E-2</v>
      </c>
      <c r="I237" s="28">
        <f t="shared" si="13"/>
        <v>6.2287573951095965E-2</v>
      </c>
      <c r="J237" s="28">
        <f t="shared" si="13"/>
        <v>-0.36874175811766463</v>
      </c>
      <c r="K237" s="28">
        <f t="shared" si="13"/>
        <v>-7.0148749040299663E-2</v>
      </c>
      <c r="L237" s="28">
        <f t="shared" si="13"/>
        <v>-0.21481404958677786</v>
      </c>
      <c r="M237" s="28">
        <f t="shared" si="13"/>
        <v>-0.26210230095284714</v>
      </c>
      <c r="N237" s="28">
        <f t="shared" si="13"/>
        <v>-0.21666514248300928</v>
      </c>
    </row>
    <row r="238" spans="1:14" x14ac:dyDescent="0.4">
      <c r="A238" s="1">
        <v>28430</v>
      </c>
      <c r="B238" s="28">
        <v>-0.13835230095287443</v>
      </c>
      <c r="C238" s="28">
        <f t="shared" si="13"/>
        <v>2.0001524183783204E-2</v>
      </c>
      <c r="D238" s="28">
        <f t="shared" si="13"/>
        <v>0.47849196134217209</v>
      </c>
      <c r="E238" s="28">
        <f t="shared" si="13"/>
        <v>7.0097209050459242E-3</v>
      </c>
      <c r="F238" s="28">
        <f t="shared" si="13"/>
        <v>0.20625152418369908</v>
      </c>
      <c r="G238" s="28">
        <f t="shared" si="13"/>
        <v>0.10120370997600503</v>
      </c>
      <c r="H238" s="28">
        <f t="shared" si="13"/>
        <v>3.6108081560769278E-2</v>
      </c>
      <c r="I238" s="28">
        <f t="shared" si="13"/>
        <v>2.8619428261777102E-2</v>
      </c>
      <c r="J238" s="28">
        <f t="shared" si="13"/>
        <v>6.2287573951095965E-2</v>
      </c>
      <c r="K238" s="28">
        <f t="shared" si="13"/>
        <v>-0.36874175811766463</v>
      </c>
      <c r="L238" s="28">
        <f t="shared" si="13"/>
        <v>-7.0148749040299663E-2</v>
      </c>
      <c r="M238" s="28">
        <f t="shared" si="13"/>
        <v>-0.21481404958677786</v>
      </c>
      <c r="N238" s="28">
        <f t="shared" si="13"/>
        <v>-0.26210230095284714</v>
      </c>
    </row>
    <row r="239" spans="1:14" x14ac:dyDescent="0.4">
      <c r="A239" s="1">
        <v>28460</v>
      </c>
      <c r="B239" s="28">
        <v>2.7269283746647943E-2</v>
      </c>
      <c r="C239" s="28">
        <f t="shared" si="13"/>
        <v>-0.13835230095287443</v>
      </c>
      <c r="D239" s="28">
        <f t="shared" si="13"/>
        <v>2.0001524183783204E-2</v>
      </c>
      <c r="E239" s="28">
        <f t="shared" si="13"/>
        <v>0.47849196134217209</v>
      </c>
      <c r="F239" s="28">
        <f t="shared" si="13"/>
        <v>7.0097209050459242E-3</v>
      </c>
      <c r="G239" s="28">
        <f t="shared" si="13"/>
        <v>0.20625152418369908</v>
      </c>
      <c r="H239" s="28">
        <f t="shared" si="13"/>
        <v>0.10120370997600503</v>
      </c>
      <c r="I239" s="28">
        <f t="shared" si="13"/>
        <v>3.6108081560769278E-2</v>
      </c>
      <c r="J239" s="28">
        <f t="shared" si="13"/>
        <v>2.8619428261777102E-2</v>
      </c>
      <c r="K239" s="28">
        <f t="shared" si="13"/>
        <v>6.2287573951095965E-2</v>
      </c>
      <c r="L239" s="28">
        <f t="shared" si="13"/>
        <v>-0.36874175811766463</v>
      </c>
      <c r="M239" s="28">
        <f t="shared" si="13"/>
        <v>-7.0148749040299663E-2</v>
      </c>
      <c r="N239" s="28">
        <f t="shared" si="13"/>
        <v>-0.21481404958677786</v>
      </c>
    </row>
    <row r="240" spans="1:14" x14ac:dyDescent="0.4">
      <c r="A240" s="1">
        <v>28491</v>
      </c>
      <c r="B240" s="28">
        <v>6.5267917626385952E-2</v>
      </c>
      <c r="C240" s="28">
        <f t="shared" si="13"/>
        <v>2.7269283746647943E-2</v>
      </c>
      <c r="D240" s="28">
        <f t="shared" si="13"/>
        <v>-0.13835230095287443</v>
      </c>
      <c r="E240" s="28">
        <f t="shared" si="13"/>
        <v>2.0001524183783204E-2</v>
      </c>
      <c r="F240" s="28">
        <f t="shared" si="13"/>
        <v>0.47849196134217209</v>
      </c>
      <c r="G240" s="28">
        <f t="shared" si="13"/>
        <v>7.0097209050459242E-3</v>
      </c>
      <c r="H240" s="28">
        <f t="shared" si="13"/>
        <v>0.20625152418369908</v>
      </c>
      <c r="I240" s="28">
        <f t="shared" si="13"/>
        <v>0.10120370997600503</v>
      </c>
      <c r="J240" s="28">
        <f t="shared" si="13"/>
        <v>3.6108081560769278E-2</v>
      </c>
      <c r="K240" s="28">
        <f t="shared" si="13"/>
        <v>2.8619428261777102E-2</v>
      </c>
      <c r="L240" s="28">
        <f t="shared" si="13"/>
        <v>6.2287573951095965E-2</v>
      </c>
      <c r="M240" s="28">
        <f t="shared" si="13"/>
        <v>-0.36874175811766463</v>
      </c>
      <c r="N240" s="28">
        <f t="shared" si="13"/>
        <v>-7.0148749040299663E-2</v>
      </c>
    </row>
    <row r="241" spans="1:14" x14ac:dyDescent="0.4">
      <c r="A241" s="1">
        <v>28522</v>
      </c>
      <c r="B241" s="28">
        <v>-0.29790842478433888</v>
      </c>
      <c r="C241" s="28">
        <f t="shared" si="13"/>
        <v>6.5267917626385952E-2</v>
      </c>
      <c r="D241" s="28">
        <f t="shared" si="13"/>
        <v>2.7269283746647943E-2</v>
      </c>
      <c r="E241" s="28">
        <f t="shared" si="13"/>
        <v>-0.13835230095287443</v>
      </c>
      <c r="F241" s="28">
        <f t="shared" si="13"/>
        <v>2.0001524183783204E-2</v>
      </c>
      <c r="G241" s="28">
        <f t="shared" si="13"/>
        <v>0.47849196134217209</v>
      </c>
      <c r="H241" s="28">
        <f t="shared" si="13"/>
        <v>7.0097209050459242E-3</v>
      </c>
      <c r="I241" s="28">
        <f t="shared" si="13"/>
        <v>0.20625152418369908</v>
      </c>
      <c r="J241" s="28">
        <f t="shared" si="13"/>
        <v>0.10120370997600503</v>
      </c>
      <c r="K241" s="28">
        <f t="shared" si="13"/>
        <v>3.6108081560769278E-2</v>
      </c>
      <c r="L241" s="28">
        <f t="shared" si="13"/>
        <v>2.8619428261777102E-2</v>
      </c>
      <c r="M241" s="28">
        <f t="shared" si="13"/>
        <v>6.2287573951095965E-2</v>
      </c>
      <c r="N241" s="28">
        <f t="shared" si="13"/>
        <v>-0.36874175811766463</v>
      </c>
    </row>
    <row r="242" spans="1:14" x14ac:dyDescent="0.4">
      <c r="A242" s="1">
        <v>28550</v>
      </c>
      <c r="B242" s="28">
        <v>0.14478757395107777</v>
      </c>
      <c r="C242" s="28">
        <f t="shared" si="13"/>
        <v>-0.29790842478433888</v>
      </c>
      <c r="D242" s="28">
        <f t="shared" si="13"/>
        <v>6.5267917626385952E-2</v>
      </c>
      <c r="E242" s="28">
        <f t="shared" si="13"/>
        <v>2.7269283746647943E-2</v>
      </c>
      <c r="F242" s="28">
        <f t="shared" si="13"/>
        <v>-0.13835230095287443</v>
      </c>
      <c r="G242" s="28">
        <f t="shared" si="13"/>
        <v>2.0001524183783204E-2</v>
      </c>
      <c r="H242" s="28">
        <f t="shared" si="13"/>
        <v>0.47849196134217209</v>
      </c>
      <c r="I242" s="28">
        <f t="shared" si="13"/>
        <v>7.0097209050459242E-3</v>
      </c>
      <c r="J242" s="28">
        <f t="shared" si="13"/>
        <v>0.20625152418369908</v>
      </c>
      <c r="K242" s="28">
        <f t="shared" si="13"/>
        <v>0.10120370997600503</v>
      </c>
      <c r="L242" s="28">
        <f t="shared" si="13"/>
        <v>3.6108081560769278E-2</v>
      </c>
      <c r="M242" s="28">
        <f t="shared" si="13"/>
        <v>2.8619428261777102E-2</v>
      </c>
      <c r="N242" s="28">
        <f t="shared" si="13"/>
        <v>6.2287573951095965E-2</v>
      </c>
    </row>
    <row r="243" spans="1:14" x14ac:dyDescent="0.4">
      <c r="A243" s="1">
        <v>28581</v>
      </c>
      <c r="B243" s="28">
        <v>-5.7630571738229719E-2</v>
      </c>
      <c r="C243" s="28">
        <f t="shared" si="13"/>
        <v>0.14478757395107777</v>
      </c>
      <c r="D243" s="28">
        <f t="shared" si="13"/>
        <v>-0.29790842478433888</v>
      </c>
      <c r="E243" s="28">
        <f t="shared" si="13"/>
        <v>6.5267917626385952E-2</v>
      </c>
      <c r="F243" s="28">
        <f t="shared" si="13"/>
        <v>2.7269283746647943E-2</v>
      </c>
      <c r="G243" s="28">
        <f t="shared" si="13"/>
        <v>-0.13835230095287443</v>
      </c>
      <c r="H243" s="28">
        <f t="shared" si="13"/>
        <v>2.0001524183783204E-2</v>
      </c>
      <c r="I243" s="28">
        <f t="shared" si="13"/>
        <v>0.47849196134217209</v>
      </c>
      <c r="J243" s="28">
        <f t="shared" si="13"/>
        <v>7.0097209050459242E-3</v>
      </c>
      <c r="K243" s="28">
        <f t="shared" si="13"/>
        <v>0.20625152418369908</v>
      </c>
      <c r="L243" s="28">
        <f t="shared" si="13"/>
        <v>0.10120370997600503</v>
      </c>
      <c r="M243" s="28">
        <f t="shared" si="13"/>
        <v>3.6108081560769278E-2</v>
      </c>
      <c r="N243" s="28">
        <f t="shared" si="13"/>
        <v>2.8619428261777102E-2</v>
      </c>
    </row>
    <row r="244" spans="1:14" x14ac:dyDescent="0.4">
      <c r="A244" s="1">
        <v>28611</v>
      </c>
      <c r="B244" s="28">
        <v>-0.42180858510596408</v>
      </c>
      <c r="C244" s="28">
        <f t="shared" si="13"/>
        <v>-5.7630571738229719E-2</v>
      </c>
      <c r="D244" s="28">
        <f t="shared" si="13"/>
        <v>0.14478757395107777</v>
      </c>
      <c r="E244" s="28">
        <f t="shared" si="13"/>
        <v>-0.29790842478433888</v>
      </c>
      <c r="F244" s="28">
        <f t="shared" si="13"/>
        <v>6.5267917626385952E-2</v>
      </c>
      <c r="G244" s="28">
        <f t="shared" si="13"/>
        <v>2.7269283746647943E-2</v>
      </c>
      <c r="H244" s="28">
        <f t="shared" si="13"/>
        <v>-0.13835230095287443</v>
      </c>
      <c r="I244" s="28">
        <f t="shared" si="13"/>
        <v>2.0001524183783204E-2</v>
      </c>
      <c r="J244" s="28">
        <f t="shared" si="13"/>
        <v>0.47849196134217209</v>
      </c>
      <c r="K244" s="28">
        <f t="shared" si="13"/>
        <v>7.0097209050459242E-3</v>
      </c>
      <c r="L244" s="28">
        <f t="shared" si="13"/>
        <v>0.20625152418369908</v>
      </c>
      <c r="M244" s="28">
        <f t="shared" si="13"/>
        <v>0.10120370997600503</v>
      </c>
      <c r="N244" s="28">
        <f t="shared" si="13"/>
        <v>3.6108081560769278E-2</v>
      </c>
    </row>
    <row r="245" spans="1:14" x14ac:dyDescent="0.4">
      <c r="A245" s="1">
        <v>28642</v>
      </c>
      <c r="B245" s="28">
        <v>8.1620376642717929E-2</v>
      </c>
      <c r="C245" s="28">
        <f t="shared" si="13"/>
        <v>-0.42180858510596408</v>
      </c>
      <c r="D245" s="28">
        <f t="shared" si="13"/>
        <v>-5.7630571738229719E-2</v>
      </c>
      <c r="E245" s="28">
        <f t="shared" si="13"/>
        <v>0.14478757395107777</v>
      </c>
      <c r="F245" s="28">
        <f t="shared" si="13"/>
        <v>-0.29790842478433888</v>
      </c>
      <c r="G245" s="28">
        <f t="shared" si="13"/>
        <v>6.5267917626385952E-2</v>
      </c>
      <c r="H245" s="28">
        <f t="shared" si="13"/>
        <v>2.7269283746647943E-2</v>
      </c>
      <c r="I245" s="28">
        <f t="shared" si="13"/>
        <v>-0.13835230095287443</v>
      </c>
      <c r="J245" s="28">
        <f t="shared" si="13"/>
        <v>2.0001524183783204E-2</v>
      </c>
      <c r="K245" s="28">
        <f t="shared" si="13"/>
        <v>0.47849196134217209</v>
      </c>
      <c r="L245" s="28">
        <f t="shared" si="13"/>
        <v>7.0097209050459242E-3</v>
      </c>
      <c r="M245" s="28">
        <f t="shared" si="13"/>
        <v>0.20625152418369908</v>
      </c>
      <c r="N245" s="28">
        <f t="shared" si="13"/>
        <v>0.10120370997600503</v>
      </c>
    </row>
    <row r="246" spans="1:14" x14ac:dyDescent="0.4">
      <c r="A246" s="1">
        <v>28672</v>
      </c>
      <c r="B246" s="28">
        <v>0.25375152418376956</v>
      </c>
      <c r="C246" s="28">
        <f t="shared" si="13"/>
        <v>8.1620376642717929E-2</v>
      </c>
      <c r="D246" s="28">
        <f t="shared" si="13"/>
        <v>-0.42180858510596408</v>
      </c>
      <c r="E246" s="28">
        <f t="shared" si="13"/>
        <v>-5.7630571738229719E-2</v>
      </c>
      <c r="F246" s="28">
        <f t="shared" si="13"/>
        <v>0.14478757395107777</v>
      </c>
      <c r="G246" s="28">
        <f t="shared" si="13"/>
        <v>-0.29790842478433888</v>
      </c>
      <c r="H246" s="28">
        <f t="shared" si="13"/>
        <v>6.5267917626385952E-2</v>
      </c>
      <c r="I246" s="28">
        <f t="shared" si="13"/>
        <v>2.7269283746647943E-2</v>
      </c>
      <c r="J246" s="28">
        <f t="shared" si="13"/>
        <v>-0.13835230095287443</v>
      </c>
      <c r="K246" s="28">
        <f t="shared" si="13"/>
        <v>2.0001524183783204E-2</v>
      </c>
      <c r="L246" s="28">
        <f t="shared" si="13"/>
        <v>0.47849196134217209</v>
      </c>
      <c r="M246" s="28">
        <f t="shared" si="13"/>
        <v>7.0097209050459242E-3</v>
      </c>
      <c r="N246" s="28">
        <f t="shared" si="13"/>
        <v>0.20625152418369908</v>
      </c>
    </row>
    <row r="247" spans="1:14" x14ac:dyDescent="0.4">
      <c r="A247" s="1">
        <v>28703</v>
      </c>
      <c r="B247" s="28">
        <v>0.42200972090512323</v>
      </c>
      <c r="C247" s="28">
        <f t="shared" si="13"/>
        <v>0.25375152418376956</v>
      </c>
      <c r="D247" s="28">
        <f t="shared" si="13"/>
        <v>8.1620376642717929E-2</v>
      </c>
      <c r="E247" s="28">
        <f t="shared" si="13"/>
        <v>-0.42180858510596408</v>
      </c>
      <c r="F247" s="28">
        <f t="shared" si="13"/>
        <v>-5.7630571738229719E-2</v>
      </c>
      <c r="G247" s="28">
        <f t="shared" si="13"/>
        <v>0.14478757395107777</v>
      </c>
      <c r="H247" s="28">
        <f t="shared" si="13"/>
        <v>-0.29790842478433888</v>
      </c>
      <c r="I247" s="28">
        <f t="shared" si="13"/>
        <v>6.5267917626385952E-2</v>
      </c>
      <c r="J247" s="28">
        <f t="shared" si="13"/>
        <v>2.7269283746647943E-2</v>
      </c>
      <c r="K247" s="28">
        <f t="shared" si="13"/>
        <v>-0.13835230095287443</v>
      </c>
      <c r="L247" s="28">
        <f t="shared" si="13"/>
        <v>2.0001524183783204E-2</v>
      </c>
      <c r="M247" s="28">
        <f t="shared" si="13"/>
        <v>0.47849196134217209</v>
      </c>
      <c r="N247" s="28">
        <f t="shared" si="13"/>
        <v>7.0097209050459242E-3</v>
      </c>
    </row>
    <row r="248" spans="1:14" x14ac:dyDescent="0.4">
      <c r="A248" s="1">
        <v>28734</v>
      </c>
      <c r="B248" s="28">
        <v>0.18432529467554559</v>
      </c>
      <c r="C248" s="28">
        <f t="shared" si="13"/>
        <v>0.42200972090512323</v>
      </c>
      <c r="D248" s="28">
        <f t="shared" si="13"/>
        <v>0.25375152418376956</v>
      </c>
      <c r="E248" s="28">
        <f t="shared" si="13"/>
        <v>8.1620376642717929E-2</v>
      </c>
      <c r="F248" s="28">
        <f t="shared" si="13"/>
        <v>-0.42180858510596408</v>
      </c>
      <c r="G248" s="28">
        <f t="shared" si="13"/>
        <v>-5.7630571738229719E-2</v>
      </c>
      <c r="H248" s="28">
        <f t="shared" si="13"/>
        <v>0.14478757395107777</v>
      </c>
      <c r="I248" s="28">
        <f t="shared" si="13"/>
        <v>-0.29790842478433888</v>
      </c>
      <c r="J248" s="28">
        <f t="shared" si="13"/>
        <v>6.5267917626385952E-2</v>
      </c>
      <c r="K248" s="28">
        <f t="shared" si="13"/>
        <v>2.7269283746647943E-2</v>
      </c>
      <c r="L248" s="28">
        <f t="shared" si="13"/>
        <v>-0.13835230095287443</v>
      </c>
      <c r="M248" s="28">
        <f t="shared" si="13"/>
        <v>2.0001524183783204E-2</v>
      </c>
      <c r="N248" s="28">
        <f t="shared" si="13"/>
        <v>0.47849196134217209</v>
      </c>
    </row>
    <row r="249" spans="1:14" x14ac:dyDescent="0.4">
      <c r="A249" s="1">
        <v>28764</v>
      </c>
      <c r="B249" s="28">
        <v>-4.581809149556193E-3</v>
      </c>
      <c r="C249" s="28">
        <f t="shared" si="13"/>
        <v>0.18432529467554559</v>
      </c>
      <c r="D249" s="28">
        <f t="shared" si="13"/>
        <v>0.42200972090512323</v>
      </c>
      <c r="E249" s="28">
        <f t="shared" si="13"/>
        <v>0.25375152418376956</v>
      </c>
      <c r="F249" s="28">
        <f t="shared" si="13"/>
        <v>8.1620376642717929E-2</v>
      </c>
      <c r="G249" s="28">
        <f t="shared" si="13"/>
        <v>-0.42180858510596408</v>
      </c>
      <c r="H249" s="28">
        <f t="shared" si="13"/>
        <v>-5.7630571738229719E-2</v>
      </c>
      <c r="I249" s="28">
        <f t="shared" si="13"/>
        <v>0.14478757395107777</v>
      </c>
      <c r="J249" s="28">
        <f t="shared" si="13"/>
        <v>-0.29790842478433888</v>
      </c>
      <c r="K249" s="28">
        <f t="shared" si="13"/>
        <v>6.5267917626385952E-2</v>
      </c>
      <c r="L249" s="28">
        <f t="shared" si="13"/>
        <v>2.7269283746647943E-2</v>
      </c>
      <c r="M249" s="28">
        <f t="shared" si="13"/>
        <v>-0.13835230095287443</v>
      </c>
      <c r="N249" s="28">
        <f t="shared" si="13"/>
        <v>2.0001524183783204E-2</v>
      </c>
    </row>
    <row r="250" spans="1:14" x14ac:dyDescent="0.4">
      <c r="A250" s="1">
        <v>28795</v>
      </c>
      <c r="B250" s="28">
        <v>-1.7518967619480463E-2</v>
      </c>
      <c r="C250" s="28">
        <f t="shared" si="13"/>
        <v>-4.581809149556193E-3</v>
      </c>
      <c r="D250" s="28">
        <f t="shared" si="13"/>
        <v>0.18432529467554559</v>
      </c>
      <c r="E250" s="28">
        <f t="shared" si="13"/>
        <v>0.42200972090512323</v>
      </c>
      <c r="F250" s="28">
        <f t="shared" si="13"/>
        <v>0.25375152418376956</v>
      </c>
      <c r="G250" s="28">
        <f t="shared" si="13"/>
        <v>8.1620376642717929E-2</v>
      </c>
      <c r="H250" s="28">
        <f t="shared" si="13"/>
        <v>-0.42180858510596408</v>
      </c>
      <c r="I250" s="28">
        <f t="shared" si="13"/>
        <v>-5.7630571738229719E-2</v>
      </c>
      <c r="J250" s="28">
        <f t="shared" si="13"/>
        <v>0.14478757395107777</v>
      </c>
      <c r="K250" s="28">
        <f t="shared" si="13"/>
        <v>-0.29790842478433888</v>
      </c>
      <c r="L250" s="28">
        <f t="shared" si="13"/>
        <v>6.5267917626385952E-2</v>
      </c>
      <c r="M250" s="28">
        <f t="shared" si="13"/>
        <v>2.7269283746647943E-2</v>
      </c>
      <c r="N250" s="28">
        <f t="shared" si="13"/>
        <v>-0.13835230095287443</v>
      </c>
    </row>
    <row r="251" spans="1:14" x14ac:dyDescent="0.4">
      <c r="A251" s="1">
        <v>28825</v>
      </c>
      <c r="B251" s="28">
        <v>-0.27023071625342254</v>
      </c>
      <c r="C251" s="28">
        <f t="shared" si="13"/>
        <v>-1.7518967619480463E-2</v>
      </c>
      <c r="D251" s="28">
        <f t="shared" si="13"/>
        <v>-4.581809149556193E-3</v>
      </c>
      <c r="E251" s="28">
        <f t="shared" si="13"/>
        <v>0.18432529467554559</v>
      </c>
      <c r="F251" s="28">
        <f t="shared" si="13"/>
        <v>0.42200972090512323</v>
      </c>
      <c r="G251" s="28">
        <f t="shared" si="13"/>
        <v>0.25375152418376956</v>
      </c>
      <c r="H251" s="28">
        <f t="shared" si="13"/>
        <v>8.1620376642717929E-2</v>
      </c>
      <c r="I251" s="28">
        <f t="shared" si="13"/>
        <v>-0.42180858510596408</v>
      </c>
      <c r="J251" s="28">
        <f t="shared" si="13"/>
        <v>-5.7630571738229719E-2</v>
      </c>
      <c r="K251" s="28">
        <f t="shared" si="13"/>
        <v>0.14478757395107777</v>
      </c>
      <c r="L251" s="28">
        <f t="shared" si="13"/>
        <v>-0.29790842478433888</v>
      </c>
      <c r="M251" s="28">
        <f t="shared" si="13"/>
        <v>6.5267917626385952E-2</v>
      </c>
      <c r="N251" s="28">
        <f t="shared" si="13"/>
        <v>2.7269283746647943E-2</v>
      </c>
    </row>
    <row r="252" spans="1:14" x14ac:dyDescent="0.4">
      <c r="A252" s="1">
        <v>28856</v>
      </c>
      <c r="B252" s="28">
        <v>-4.4315415706932981E-2</v>
      </c>
      <c r="C252" s="28">
        <f t="shared" si="13"/>
        <v>-0.27023071625342254</v>
      </c>
      <c r="D252" s="28">
        <f t="shared" si="13"/>
        <v>-1.7518967619480463E-2</v>
      </c>
      <c r="E252" s="28">
        <f t="shared" si="13"/>
        <v>-4.581809149556193E-3</v>
      </c>
      <c r="F252" s="28">
        <f t="shared" si="13"/>
        <v>0.18432529467554559</v>
      </c>
      <c r="G252" s="28">
        <f t="shared" si="13"/>
        <v>0.42200972090512323</v>
      </c>
      <c r="H252" s="28">
        <f t="shared" si="13"/>
        <v>0.25375152418376956</v>
      </c>
      <c r="I252" s="28">
        <f t="shared" si="13"/>
        <v>8.1620376642717929E-2</v>
      </c>
      <c r="J252" s="28">
        <f t="shared" si="13"/>
        <v>-0.42180858510596408</v>
      </c>
      <c r="K252" s="28">
        <f t="shared" si="13"/>
        <v>-5.7630571738229719E-2</v>
      </c>
      <c r="L252" s="28">
        <f t="shared" si="13"/>
        <v>0.14478757395107777</v>
      </c>
      <c r="M252" s="28">
        <f t="shared" si="13"/>
        <v>-0.29790842478433888</v>
      </c>
      <c r="N252" s="28">
        <f t="shared" si="13"/>
        <v>6.5267917626385952E-2</v>
      </c>
    </row>
    <row r="253" spans="1:14" x14ac:dyDescent="0.4">
      <c r="A253" s="1">
        <v>28887</v>
      </c>
      <c r="B253" s="28">
        <v>-0.25790842478431841</v>
      </c>
      <c r="C253" s="28">
        <f t="shared" ref="C253:N316" si="14">IF(B252=0,"",B252)</f>
        <v>-4.4315415706932981E-2</v>
      </c>
      <c r="D253" s="28">
        <f t="shared" si="14"/>
        <v>-0.27023071625342254</v>
      </c>
      <c r="E253" s="28">
        <f t="shared" si="14"/>
        <v>-1.7518967619480463E-2</v>
      </c>
      <c r="F253" s="28">
        <f t="shared" si="14"/>
        <v>-4.581809149556193E-3</v>
      </c>
      <c r="G253" s="28">
        <f t="shared" si="14"/>
        <v>0.18432529467554559</v>
      </c>
      <c r="H253" s="28">
        <f t="shared" si="14"/>
        <v>0.42200972090512323</v>
      </c>
      <c r="I253" s="28">
        <f t="shared" si="14"/>
        <v>0.25375152418376956</v>
      </c>
      <c r="J253" s="28">
        <f t="shared" si="14"/>
        <v>8.1620376642717929E-2</v>
      </c>
      <c r="K253" s="28">
        <f t="shared" si="14"/>
        <v>-0.42180858510596408</v>
      </c>
      <c r="L253" s="28">
        <f t="shared" si="14"/>
        <v>-5.7630571738229719E-2</v>
      </c>
      <c r="M253" s="28">
        <f t="shared" si="14"/>
        <v>0.14478757395107777</v>
      </c>
      <c r="N253" s="28">
        <f t="shared" si="14"/>
        <v>-0.29790842478433888</v>
      </c>
    </row>
    <row r="254" spans="1:14" x14ac:dyDescent="0.4">
      <c r="A254" s="1">
        <v>28915</v>
      </c>
      <c r="B254" s="28">
        <v>0.15687090728448538</v>
      </c>
      <c r="C254" s="28">
        <f t="shared" si="14"/>
        <v>-0.25790842478431841</v>
      </c>
      <c r="D254" s="28">
        <f t="shared" si="14"/>
        <v>-4.4315415706932981E-2</v>
      </c>
      <c r="E254" s="28">
        <f t="shared" si="14"/>
        <v>-0.27023071625342254</v>
      </c>
      <c r="F254" s="28">
        <f t="shared" si="14"/>
        <v>-1.7518967619480463E-2</v>
      </c>
      <c r="G254" s="28">
        <f t="shared" si="14"/>
        <v>-4.581809149556193E-3</v>
      </c>
      <c r="H254" s="28">
        <f t="shared" si="14"/>
        <v>0.18432529467554559</v>
      </c>
      <c r="I254" s="28">
        <f t="shared" si="14"/>
        <v>0.42200972090512323</v>
      </c>
      <c r="J254" s="28">
        <f t="shared" si="14"/>
        <v>0.25375152418376956</v>
      </c>
      <c r="K254" s="28">
        <f t="shared" si="14"/>
        <v>8.1620376642717929E-2</v>
      </c>
      <c r="L254" s="28">
        <f t="shared" si="14"/>
        <v>-0.42180858510596408</v>
      </c>
      <c r="M254" s="28">
        <f t="shared" si="14"/>
        <v>-5.7630571738229719E-2</v>
      </c>
      <c r="N254" s="28">
        <f t="shared" si="14"/>
        <v>0.14478757395107777</v>
      </c>
    </row>
    <row r="255" spans="1:14" x14ac:dyDescent="0.4">
      <c r="A255" s="1">
        <v>28946</v>
      </c>
      <c r="B255" s="28">
        <v>-0.24179723840489942</v>
      </c>
      <c r="C255" s="28">
        <f t="shared" si="14"/>
        <v>0.15687090728448538</v>
      </c>
      <c r="D255" s="28">
        <f t="shared" si="14"/>
        <v>-0.25790842478431841</v>
      </c>
      <c r="E255" s="28">
        <f t="shared" si="14"/>
        <v>-4.4315415706932981E-2</v>
      </c>
      <c r="F255" s="28">
        <f t="shared" si="14"/>
        <v>-0.27023071625342254</v>
      </c>
      <c r="G255" s="28">
        <f t="shared" si="14"/>
        <v>-1.7518967619480463E-2</v>
      </c>
      <c r="H255" s="28">
        <f t="shared" si="14"/>
        <v>-4.581809149556193E-3</v>
      </c>
      <c r="I255" s="28">
        <f t="shared" si="14"/>
        <v>0.18432529467554559</v>
      </c>
      <c r="J255" s="28">
        <f t="shared" si="14"/>
        <v>0.42200972090512323</v>
      </c>
      <c r="K255" s="28">
        <f t="shared" si="14"/>
        <v>0.25375152418376956</v>
      </c>
      <c r="L255" s="28">
        <f t="shared" si="14"/>
        <v>8.1620376642717929E-2</v>
      </c>
      <c r="M255" s="28">
        <f t="shared" si="14"/>
        <v>-0.42180858510596408</v>
      </c>
      <c r="N255" s="28">
        <f t="shared" si="14"/>
        <v>-5.7630571738229719E-2</v>
      </c>
    </row>
    <row r="256" spans="1:14" x14ac:dyDescent="0.4">
      <c r="A256" s="1">
        <v>28976</v>
      </c>
      <c r="B256" s="28">
        <v>-0.25639191843924891</v>
      </c>
      <c r="C256" s="28">
        <f t="shared" si="14"/>
        <v>-0.24179723840489942</v>
      </c>
      <c r="D256" s="28">
        <f t="shared" si="14"/>
        <v>0.15687090728448538</v>
      </c>
      <c r="E256" s="28">
        <f t="shared" si="14"/>
        <v>-0.25790842478431841</v>
      </c>
      <c r="F256" s="28">
        <f t="shared" si="14"/>
        <v>-4.4315415706932981E-2</v>
      </c>
      <c r="G256" s="28">
        <f t="shared" si="14"/>
        <v>-0.27023071625342254</v>
      </c>
      <c r="H256" s="28">
        <f t="shared" si="14"/>
        <v>-1.7518967619480463E-2</v>
      </c>
      <c r="I256" s="28">
        <f t="shared" si="14"/>
        <v>-4.581809149556193E-3</v>
      </c>
      <c r="J256" s="28">
        <f t="shared" si="14"/>
        <v>0.18432529467554559</v>
      </c>
      <c r="K256" s="28">
        <f t="shared" si="14"/>
        <v>0.42200972090512323</v>
      </c>
      <c r="L256" s="28">
        <f t="shared" si="14"/>
        <v>0.25375152418376956</v>
      </c>
      <c r="M256" s="28">
        <f t="shared" si="14"/>
        <v>8.1620376642717929E-2</v>
      </c>
      <c r="N256" s="28">
        <f t="shared" si="14"/>
        <v>-0.42180858510596408</v>
      </c>
    </row>
    <row r="257" spans="1:14" x14ac:dyDescent="0.4">
      <c r="A257" s="1">
        <v>29007</v>
      </c>
      <c r="B257" s="28">
        <v>0.15495370997604141</v>
      </c>
      <c r="C257" s="28">
        <f t="shared" si="14"/>
        <v>-0.25639191843924891</v>
      </c>
      <c r="D257" s="28">
        <f t="shared" si="14"/>
        <v>-0.24179723840489942</v>
      </c>
      <c r="E257" s="28">
        <f t="shared" si="14"/>
        <v>0.15687090728448538</v>
      </c>
      <c r="F257" s="28">
        <f t="shared" si="14"/>
        <v>-0.25790842478431841</v>
      </c>
      <c r="G257" s="28">
        <f t="shared" si="14"/>
        <v>-4.4315415706932981E-2</v>
      </c>
      <c r="H257" s="28">
        <f t="shared" si="14"/>
        <v>-0.27023071625342254</v>
      </c>
      <c r="I257" s="28">
        <f t="shared" si="14"/>
        <v>-1.7518967619480463E-2</v>
      </c>
      <c r="J257" s="28">
        <f t="shared" si="14"/>
        <v>-4.581809149556193E-3</v>
      </c>
      <c r="K257" s="28">
        <f t="shared" si="14"/>
        <v>0.18432529467554559</v>
      </c>
      <c r="L257" s="28">
        <f t="shared" si="14"/>
        <v>0.42200972090512323</v>
      </c>
      <c r="M257" s="28">
        <f t="shared" si="14"/>
        <v>0.25375152418376956</v>
      </c>
      <c r="N257" s="28">
        <f t="shared" si="14"/>
        <v>8.1620376642717929E-2</v>
      </c>
    </row>
    <row r="258" spans="1:14" x14ac:dyDescent="0.4">
      <c r="A258" s="1">
        <v>29037</v>
      </c>
      <c r="B258" s="28">
        <v>7.7084857517036198E-2</v>
      </c>
      <c r="C258" s="28">
        <f t="shared" si="14"/>
        <v>0.15495370997604141</v>
      </c>
      <c r="D258" s="28">
        <f t="shared" si="14"/>
        <v>-0.25639191843924891</v>
      </c>
      <c r="E258" s="28">
        <f t="shared" si="14"/>
        <v>-0.24179723840489942</v>
      </c>
      <c r="F258" s="28">
        <f t="shared" si="14"/>
        <v>0.15687090728448538</v>
      </c>
      <c r="G258" s="28">
        <f t="shared" si="14"/>
        <v>-0.25790842478431841</v>
      </c>
      <c r="H258" s="28">
        <f t="shared" si="14"/>
        <v>-4.4315415706932981E-2</v>
      </c>
      <c r="I258" s="28">
        <f t="shared" si="14"/>
        <v>-0.27023071625342254</v>
      </c>
      <c r="J258" s="28">
        <f t="shared" si="14"/>
        <v>-1.7518967619480463E-2</v>
      </c>
      <c r="K258" s="28">
        <f t="shared" si="14"/>
        <v>-4.581809149556193E-3</v>
      </c>
      <c r="L258" s="28">
        <f t="shared" si="14"/>
        <v>0.18432529467554559</v>
      </c>
      <c r="M258" s="28">
        <f t="shared" si="14"/>
        <v>0.42200972090512323</v>
      </c>
      <c r="N258" s="28">
        <f t="shared" si="14"/>
        <v>0.25375152418376956</v>
      </c>
    </row>
    <row r="259" spans="1:14" x14ac:dyDescent="0.4">
      <c r="A259" s="1">
        <v>29068</v>
      </c>
      <c r="B259" s="28">
        <v>0.43409305423836031</v>
      </c>
      <c r="C259" s="28">
        <f t="shared" si="14"/>
        <v>7.7084857517036198E-2</v>
      </c>
      <c r="D259" s="28">
        <f t="shared" si="14"/>
        <v>0.15495370997604141</v>
      </c>
      <c r="E259" s="28">
        <f t="shared" si="14"/>
        <v>-0.25639191843924891</v>
      </c>
      <c r="F259" s="28">
        <f t="shared" si="14"/>
        <v>-0.24179723840489942</v>
      </c>
      <c r="G259" s="28">
        <f t="shared" si="14"/>
        <v>0.15687090728448538</v>
      </c>
      <c r="H259" s="28">
        <f t="shared" si="14"/>
        <v>-0.25790842478431841</v>
      </c>
      <c r="I259" s="28">
        <f t="shared" si="14"/>
        <v>-4.4315415706932981E-2</v>
      </c>
      <c r="J259" s="28">
        <f t="shared" si="14"/>
        <v>-0.27023071625342254</v>
      </c>
      <c r="K259" s="28">
        <f t="shared" si="14"/>
        <v>-1.7518967619480463E-2</v>
      </c>
      <c r="L259" s="28">
        <f t="shared" si="14"/>
        <v>-4.581809149556193E-3</v>
      </c>
      <c r="M259" s="28">
        <f t="shared" si="14"/>
        <v>0.18432529467554559</v>
      </c>
      <c r="N259" s="28">
        <f t="shared" si="14"/>
        <v>0.42200972090512323</v>
      </c>
    </row>
    <row r="260" spans="1:14" x14ac:dyDescent="0.4">
      <c r="A260" s="1">
        <v>29099</v>
      </c>
      <c r="B260" s="28">
        <v>-9.6091371991178676E-2</v>
      </c>
      <c r="C260" s="28">
        <f t="shared" si="14"/>
        <v>0.43409305423836031</v>
      </c>
      <c r="D260" s="28">
        <f t="shared" si="14"/>
        <v>7.7084857517036198E-2</v>
      </c>
      <c r="E260" s="28">
        <f t="shared" si="14"/>
        <v>0.15495370997604141</v>
      </c>
      <c r="F260" s="28">
        <f t="shared" si="14"/>
        <v>-0.25639191843924891</v>
      </c>
      <c r="G260" s="28">
        <f t="shared" si="14"/>
        <v>-0.24179723840489942</v>
      </c>
      <c r="H260" s="28">
        <f t="shared" si="14"/>
        <v>0.15687090728448538</v>
      </c>
      <c r="I260" s="28">
        <f t="shared" si="14"/>
        <v>-0.25790842478431841</v>
      </c>
      <c r="J260" s="28">
        <f t="shared" si="14"/>
        <v>-4.4315415706932981E-2</v>
      </c>
      <c r="K260" s="28">
        <f t="shared" si="14"/>
        <v>-0.27023071625342254</v>
      </c>
      <c r="L260" s="28">
        <f t="shared" si="14"/>
        <v>-1.7518967619480463E-2</v>
      </c>
      <c r="M260" s="28">
        <f t="shared" si="14"/>
        <v>-4.581809149556193E-3</v>
      </c>
      <c r="N260" s="28">
        <f t="shared" si="14"/>
        <v>0.18432529467554559</v>
      </c>
    </row>
    <row r="261" spans="1:14" x14ac:dyDescent="0.4">
      <c r="A261" s="1">
        <v>29129</v>
      </c>
      <c r="B261" s="28">
        <v>-0.19958180914966306</v>
      </c>
      <c r="C261" s="28">
        <f t="shared" si="14"/>
        <v>-9.6091371991178676E-2</v>
      </c>
      <c r="D261" s="28">
        <f t="shared" si="14"/>
        <v>0.43409305423836031</v>
      </c>
      <c r="E261" s="28">
        <f t="shared" si="14"/>
        <v>7.7084857517036198E-2</v>
      </c>
      <c r="F261" s="28">
        <f t="shared" si="14"/>
        <v>0.15495370997604141</v>
      </c>
      <c r="G261" s="28">
        <f t="shared" si="14"/>
        <v>-0.25639191843924891</v>
      </c>
      <c r="H261" s="28">
        <f t="shared" si="14"/>
        <v>-0.24179723840489942</v>
      </c>
      <c r="I261" s="28">
        <f t="shared" si="14"/>
        <v>0.15687090728448538</v>
      </c>
      <c r="J261" s="28">
        <f t="shared" si="14"/>
        <v>-0.25790842478431841</v>
      </c>
      <c r="K261" s="28">
        <f t="shared" si="14"/>
        <v>-4.4315415706932981E-2</v>
      </c>
      <c r="L261" s="28">
        <f t="shared" si="14"/>
        <v>-0.27023071625342254</v>
      </c>
      <c r="M261" s="28">
        <f t="shared" si="14"/>
        <v>-1.7518967619480463E-2</v>
      </c>
      <c r="N261" s="28">
        <f t="shared" si="14"/>
        <v>-4.581809149556193E-3</v>
      </c>
    </row>
    <row r="262" spans="1:14" x14ac:dyDescent="0.4">
      <c r="A262" s="1">
        <v>29160</v>
      </c>
      <c r="B262" s="28">
        <v>-0.20668563428620246</v>
      </c>
      <c r="C262" s="28">
        <f t="shared" si="14"/>
        <v>-0.19958180914966306</v>
      </c>
      <c r="D262" s="28">
        <f t="shared" si="14"/>
        <v>-9.6091371991178676E-2</v>
      </c>
      <c r="E262" s="28">
        <f t="shared" si="14"/>
        <v>0.43409305423836031</v>
      </c>
      <c r="F262" s="28">
        <f t="shared" si="14"/>
        <v>7.7084857517036198E-2</v>
      </c>
      <c r="G262" s="28">
        <f t="shared" si="14"/>
        <v>0.15495370997604141</v>
      </c>
      <c r="H262" s="28">
        <f t="shared" si="14"/>
        <v>-0.25639191843924891</v>
      </c>
      <c r="I262" s="28">
        <f t="shared" si="14"/>
        <v>-0.24179723840489942</v>
      </c>
      <c r="J262" s="28">
        <f t="shared" si="14"/>
        <v>0.15687090728448538</v>
      </c>
      <c r="K262" s="28">
        <f t="shared" si="14"/>
        <v>-0.25790842478431841</v>
      </c>
      <c r="L262" s="28">
        <f t="shared" si="14"/>
        <v>-4.4315415706932981E-2</v>
      </c>
      <c r="M262" s="28">
        <f t="shared" si="14"/>
        <v>-0.27023071625342254</v>
      </c>
      <c r="N262" s="28">
        <f t="shared" si="14"/>
        <v>-1.7518967619480463E-2</v>
      </c>
    </row>
    <row r="263" spans="1:14" x14ac:dyDescent="0.4">
      <c r="A263" s="1">
        <v>29190</v>
      </c>
      <c r="B263" s="28">
        <v>-9.2314049586718738E-2</v>
      </c>
      <c r="C263" s="28">
        <f t="shared" si="14"/>
        <v>-0.20668563428620246</v>
      </c>
      <c r="D263" s="28">
        <f t="shared" si="14"/>
        <v>-0.19958180914966306</v>
      </c>
      <c r="E263" s="28">
        <f t="shared" si="14"/>
        <v>-9.6091371991178676E-2</v>
      </c>
      <c r="F263" s="28">
        <f t="shared" si="14"/>
        <v>0.43409305423836031</v>
      </c>
      <c r="G263" s="28">
        <f t="shared" si="14"/>
        <v>7.7084857517036198E-2</v>
      </c>
      <c r="H263" s="28">
        <f t="shared" si="14"/>
        <v>0.15495370997604141</v>
      </c>
      <c r="I263" s="28">
        <f t="shared" si="14"/>
        <v>-0.25639191843924891</v>
      </c>
      <c r="J263" s="28">
        <f t="shared" si="14"/>
        <v>-0.24179723840489942</v>
      </c>
      <c r="K263" s="28">
        <f t="shared" si="14"/>
        <v>0.15687090728448538</v>
      </c>
      <c r="L263" s="28">
        <f t="shared" si="14"/>
        <v>-0.25790842478431841</v>
      </c>
      <c r="M263" s="28">
        <f t="shared" si="14"/>
        <v>-4.4315415706932981E-2</v>
      </c>
      <c r="N263" s="28">
        <f t="shared" si="14"/>
        <v>-0.27023071625342254</v>
      </c>
    </row>
    <row r="264" spans="1:14" x14ac:dyDescent="0.4">
      <c r="A264" s="1">
        <v>29221</v>
      </c>
      <c r="B264" s="28">
        <v>8.6517917626338203E-2</v>
      </c>
      <c r="C264" s="28">
        <f t="shared" si="14"/>
        <v>-9.2314049586718738E-2</v>
      </c>
      <c r="D264" s="28">
        <f t="shared" si="14"/>
        <v>-0.20668563428620246</v>
      </c>
      <c r="E264" s="28">
        <f t="shared" si="14"/>
        <v>-0.19958180914966306</v>
      </c>
      <c r="F264" s="28">
        <f t="shared" si="14"/>
        <v>-9.6091371991178676E-2</v>
      </c>
      <c r="G264" s="28">
        <f t="shared" si="14"/>
        <v>0.43409305423836031</v>
      </c>
      <c r="H264" s="28">
        <f t="shared" si="14"/>
        <v>7.7084857517036198E-2</v>
      </c>
      <c r="I264" s="28">
        <f t="shared" si="14"/>
        <v>0.15495370997604141</v>
      </c>
      <c r="J264" s="28">
        <f t="shared" si="14"/>
        <v>-0.25639191843924891</v>
      </c>
      <c r="K264" s="28">
        <f t="shared" si="14"/>
        <v>-0.24179723840489942</v>
      </c>
      <c r="L264" s="28">
        <f t="shared" si="14"/>
        <v>0.15687090728448538</v>
      </c>
      <c r="M264" s="28">
        <f t="shared" si="14"/>
        <v>-0.25790842478431841</v>
      </c>
      <c r="N264" s="28">
        <f t="shared" si="14"/>
        <v>-4.4315415706932981E-2</v>
      </c>
    </row>
    <row r="265" spans="1:14" x14ac:dyDescent="0.4">
      <c r="A265" s="1">
        <v>29252</v>
      </c>
      <c r="B265" s="28">
        <v>-0.33790842478435934</v>
      </c>
      <c r="C265" s="28">
        <f t="shared" si="14"/>
        <v>8.6517917626338203E-2</v>
      </c>
      <c r="D265" s="28">
        <f t="shared" si="14"/>
        <v>-9.2314049586718738E-2</v>
      </c>
      <c r="E265" s="28">
        <f t="shared" si="14"/>
        <v>-0.20668563428620246</v>
      </c>
      <c r="F265" s="28">
        <f t="shared" si="14"/>
        <v>-0.19958180914966306</v>
      </c>
      <c r="G265" s="28">
        <f t="shared" si="14"/>
        <v>-9.6091371991178676E-2</v>
      </c>
      <c r="H265" s="28">
        <f t="shared" si="14"/>
        <v>0.43409305423836031</v>
      </c>
      <c r="I265" s="28">
        <f t="shared" si="14"/>
        <v>7.7084857517036198E-2</v>
      </c>
      <c r="J265" s="28">
        <f t="shared" si="14"/>
        <v>0.15495370997604141</v>
      </c>
      <c r="K265" s="28">
        <f t="shared" si="14"/>
        <v>-0.25639191843924891</v>
      </c>
      <c r="L265" s="28">
        <f t="shared" si="14"/>
        <v>-0.24179723840489942</v>
      </c>
      <c r="M265" s="28">
        <f t="shared" si="14"/>
        <v>0.15687090728448538</v>
      </c>
      <c r="N265" s="28">
        <f t="shared" si="14"/>
        <v>-0.25790842478431841</v>
      </c>
    </row>
    <row r="266" spans="1:14" x14ac:dyDescent="0.4">
      <c r="A266" s="1">
        <v>29281</v>
      </c>
      <c r="B266" s="28">
        <v>0.54937090728441262</v>
      </c>
      <c r="C266" s="28">
        <f t="shared" si="14"/>
        <v>-0.33790842478435934</v>
      </c>
      <c r="D266" s="28">
        <f t="shared" si="14"/>
        <v>8.6517917626338203E-2</v>
      </c>
      <c r="E266" s="28">
        <f t="shared" si="14"/>
        <v>-9.2314049586718738E-2</v>
      </c>
      <c r="F266" s="28">
        <f t="shared" si="14"/>
        <v>-0.20668563428620246</v>
      </c>
      <c r="G266" s="28">
        <f t="shared" si="14"/>
        <v>-0.19958180914966306</v>
      </c>
      <c r="H266" s="28">
        <f t="shared" si="14"/>
        <v>-9.6091371991178676E-2</v>
      </c>
      <c r="I266" s="28">
        <f t="shared" si="14"/>
        <v>0.43409305423836031</v>
      </c>
      <c r="J266" s="28">
        <f t="shared" si="14"/>
        <v>7.7084857517036198E-2</v>
      </c>
      <c r="K266" s="28">
        <f t="shared" si="14"/>
        <v>0.15495370997604141</v>
      </c>
      <c r="L266" s="28">
        <f t="shared" si="14"/>
        <v>-0.25639191843924891</v>
      </c>
      <c r="M266" s="28">
        <f t="shared" si="14"/>
        <v>-0.24179723840489942</v>
      </c>
      <c r="N266" s="28">
        <f t="shared" si="14"/>
        <v>0.15687090728448538</v>
      </c>
    </row>
    <row r="267" spans="1:14" x14ac:dyDescent="0.4">
      <c r="A267" s="1">
        <v>29312</v>
      </c>
      <c r="B267" s="28">
        <v>-0.14804723840489942</v>
      </c>
      <c r="C267" s="28">
        <f t="shared" si="14"/>
        <v>0.54937090728441262</v>
      </c>
      <c r="D267" s="28">
        <f t="shared" si="14"/>
        <v>-0.33790842478435934</v>
      </c>
      <c r="E267" s="28">
        <f t="shared" si="14"/>
        <v>8.6517917626338203E-2</v>
      </c>
      <c r="F267" s="28">
        <f t="shared" si="14"/>
        <v>-9.2314049586718738E-2</v>
      </c>
      <c r="G267" s="28">
        <f t="shared" si="14"/>
        <v>-0.20668563428620246</v>
      </c>
      <c r="H267" s="28">
        <f t="shared" si="14"/>
        <v>-0.19958180914966306</v>
      </c>
      <c r="I267" s="28">
        <f t="shared" si="14"/>
        <v>-9.6091371991178676E-2</v>
      </c>
      <c r="J267" s="28">
        <f t="shared" si="14"/>
        <v>0.43409305423836031</v>
      </c>
      <c r="K267" s="28">
        <f t="shared" si="14"/>
        <v>7.7084857517036198E-2</v>
      </c>
      <c r="L267" s="28">
        <f t="shared" si="14"/>
        <v>0.15495370997604141</v>
      </c>
      <c r="M267" s="28">
        <f t="shared" si="14"/>
        <v>-0.25639191843924891</v>
      </c>
      <c r="N267" s="28">
        <f t="shared" si="14"/>
        <v>-0.24179723840489942</v>
      </c>
    </row>
    <row r="268" spans="1:14" x14ac:dyDescent="0.4">
      <c r="A268" s="1">
        <v>29342</v>
      </c>
      <c r="B268" s="28">
        <v>-9.6391918439280744E-2</v>
      </c>
      <c r="C268" s="28">
        <f t="shared" si="14"/>
        <v>-0.14804723840489942</v>
      </c>
      <c r="D268" s="28">
        <f t="shared" si="14"/>
        <v>0.54937090728441262</v>
      </c>
      <c r="E268" s="28">
        <f t="shared" si="14"/>
        <v>-0.33790842478435934</v>
      </c>
      <c r="F268" s="28">
        <f t="shared" si="14"/>
        <v>8.6517917626338203E-2</v>
      </c>
      <c r="G268" s="28">
        <f t="shared" si="14"/>
        <v>-9.2314049586718738E-2</v>
      </c>
      <c r="H268" s="28">
        <f t="shared" si="14"/>
        <v>-0.20668563428620246</v>
      </c>
      <c r="I268" s="28">
        <f t="shared" si="14"/>
        <v>-0.19958180914966306</v>
      </c>
      <c r="J268" s="28">
        <f t="shared" si="14"/>
        <v>-9.6091371991178676E-2</v>
      </c>
      <c r="K268" s="28">
        <f t="shared" si="14"/>
        <v>0.43409305423836031</v>
      </c>
      <c r="L268" s="28">
        <f t="shared" si="14"/>
        <v>7.7084857517036198E-2</v>
      </c>
      <c r="M268" s="28">
        <f t="shared" si="14"/>
        <v>0.15495370997604141</v>
      </c>
      <c r="N268" s="28">
        <f t="shared" si="14"/>
        <v>-0.25639191843924891</v>
      </c>
    </row>
    <row r="269" spans="1:14" x14ac:dyDescent="0.4">
      <c r="A269" s="1">
        <v>29373</v>
      </c>
      <c r="B269" s="28">
        <v>0.189120376642677</v>
      </c>
      <c r="C269" s="28">
        <f t="shared" si="14"/>
        <v>-9.6391918439280744E-2</v>
      </c>
      <c r="D269" s="28">
        <f t="shared" si="14"/>
        <v>-0.14804723840489942</v>
      </c>
      <c r="E269" s="28">
        <f t="shared" si="14"/>
        <v>0.54937090728441262</v>
      </c>
      <c r="F269" s="28">
        <f t="shared" si="14"/>
        <v>-0.33790842478435934</v>
      </c>
      <c r="G269" s="28">
        <f t="shared" si="14"/>
        <v>8.6517917626338203E-2</v>
      </c>
      <c r="H269" s="28">
        <f t="shared" si="14"/>
        <v>-9.2314049586718738E-2</v>
      </c>
      <c r="I269" s="28">
        <f t="shared" si="14"/>
        <v>-0.20668563428620246</v>
      </c>
      <c r="J269" s="28">
        <f t="shared" si="14"/>
        <v>-0.19958180914966306</v>
      </c>
      <c r="K269" s="28">
        <f t="shared" si="14"/>
        <v>-9.6091371991178676E-2</v>
      </c>
      <c r="L269" s="28">
        <f t="shared" si="14"/>
        <v>0.43409305423836031</v>
      </c>
      <c r="M269" s="28">
        <f t="shared" si="14"/>
        <v>7.7084857517036198E-2</v>
      </c>
      <c r="N269" s="28">
        <f t="shared" si="14"/>
        <v>0.15495370997604141</v>
      </c>
    </row>
    <row r="270" spans="1:14" x14ac:dyDescent="0.4">
      <c r="A270" s="1">
        <v>29403</v>
      </c>
      <c r="B270" s="28">
        <v>9.6668190850380142E-2</v>
      </c>
      <c r="C270" s="28">
        <f t="shared" si="14"/>
        <v>0.189120376642677</v>
      </c>
      <c r="D270" s="28">
        <f t="shared" si="14"/>
        <v>-9.6391918439280744E-2</v>
      </c>
      <c r="E270" s="28">
        <f t="shared" si="14"/>
        <v>-0.14804723840489942</v>
      </c>
      <c r="F270" s="28">
        <f t="shared" si="14"/>
        <v>0.54937090728441262</v>
      </c>
      <c r="G270" s="28">
        <f t="shared" si="14"/>
        <v>-0.33790842478435934</v>
      </c>
      <c r="H270" s="28">
        <f t="shared" si="14"/>
        <v>8.6517917626338203E-2</v>
      </c>
      <c r="I270" s="28">
        <f t="shared" si="14"/>
        <v>-9.2314049586718738E-2</v>
      </c>
      <c r="J270" s="28">
        <f t="shared" si="14"/>
        <v>-0.20668563428620246</v>
      </c>
      <c r="K270" s="28">
        <f t="shared" si="14"/>
        <v>-0.19958180914966306</v>
      </c>
      <c r="L270" s="28">
        <f t="shared" si="14"/>
        <v>-9.6091371991178676E-2</v>
      </c>
      <c r="M270" s="28">
        <f t="shared" si="14"/>
        <v>0.43409305423836031</v>
      </c>
      <c r="N270" s="28">
        <f t="shared" si="14"/>
        <v>7.7084857517036198E-2</v>
      </c>
    </row>
    <row r="271" spans="1:14" x14ac:dyDescent="0.4">
      <c r="A271" s="1">
        <v>29434</v>
      </c>
      <c r="B271" s="28">
        <v>0.13492638757173836</v>
      </c>
      <c r="C271" s="28">
        <f t="shared" si="14"/>
        <v>9.6668190850380142E-2</v>
      </c>
      <c r="D271" s="28">
        <f t="shared" si="14"/>
        <v>0.189120376642677</v>
      </c>
      <c r="E271" s="28">
        <f t="shared" si="14"/>
        <v>-9.6391918439280744E-2</v>
      </c>
      <c r="F271" s="28">
        <f t="shared" si="14"/>
        <v>-0.14804723840489942</v>
      </c>
      <c r="G271" s="28">
        <f t="shared" si="14"/>
        <v>0.54937090728441262</v>
      </c>
      <c r="H271" s="28">
        <f t="shared" si="14"/>
        <v>-0.33790842478435934</v>
      </c>
      <c r="I271" s="28">
        <f t="shared" si="14"/>
        <v>8.6517917626338203E-2</v>
      </c>
      <c r="J271" s="28">
        <f t="shared" si="14"/>
        <v>-9.2314049586718738E-2</v>
      </c>
      <c r="K271" s="28">
        <f t="shared" si="14"/>
        <v>-0.20668563428620246</v>
      </c>
      <c r="L271" s="28">
        <f t="shared" si="14"/>
        <v>-0.19958180914966306</v>
      </c>
      <c r="M271" s="28">
        <f t="shared" si="14"/>
        <v>-9.6091371991178676E-2</v>
      </c>
      <c r="N271" s="28">
        <f t="shared" si="14"/>
        <v>0.43409305423836031</v>
      </c>
    </row>
    <row r="272" spans="1:14" x14ac:dyDescent="0.4">
      <c r="A272" s="1">
        <v>29465</v>
      </c>
      <c r="B272" s="28">
        <v>6.6408628008844062E-2</v>
      </c>
      <c r="C272" s="28">
        <f t="shared" si="14"/>
        <v>0.13492638757173836</v>
      </c>
      <c r="D272" s="28">
        <f t="shared" si="14"/>
        <v>9.6668190850380142E-2</v>
      </c>
      <c r="E272" s="28">
        <f t="shared" si="14"/>
        <v>0.189120376642677</v>
      </c>
      <c r="F272" s="28">
        <f t="shared" si="14"/>
        <v>-9.6391918439280744E-2</v>
      </c>
      <c r="G272" s="28">
        <f t="shared" si="14"/>
        <v>-0.14804723840489942</v>
      </c>
      <c r="H272" s="28">
        <f t="shared" si="14"/>
        <v>0.54937090728441262</v>
      </c>
      <c r="I272" s="28">
        <f t="shared" si="14"/>
        <v>-0.33790842478435934</v>
      </c>
      <c r="J272" s="28">
        <f t="shared" si="14"/>
        <v>8.6517917626338203E-2</v>
      </c>
      <c r="K272" s="28">
        <f t="shared" si="14"/>
        <v>-9.2314049586718738E-2</v>
      </c>
      <c r="L272" s="28">
        <f t="shared" si="14"/>
        <v>-0.20668563428620246</v>
      </c>
      <c r="M272" s="28">
        <f t="shared" si="14"/>
        <v>-0.19958180914966306</v>
      </c>
      <c r="N272" s="28">
        <f t="shared" si="14"/>
        <v>-9.6091371991178676E-2</v>
      </c>
    </row>
    <row r="273" spans="1:14" x14ac:dyDescent="0.4">
      <c r="A273" s="1">
        <v>29495</v>
      </c>
      <c r="B273" s="28">
        <v>0.20208485751697935</v>
      </c>
      <c r="C273" s="28">
        <f t="shared" si="14"/>
        <v>6.6408628008844062E-2</v>
      </c>
      <c r="D273" s="28">
        <f t="shared" si="14"/>
        <v>0.13492638757173836</v>
      </c>
      <c r="E273" s="28">
        <f t="shared" si="14"/>
        <v>9.6668190850380142E-2</v>
      </c>
      <c r="F273" s="28">
        <f t="shared" si="14"/>
        <v>0.189120376642677</v>
      </c>
      <c r="G273" s="28">
        <f t="shared" si="14"/>
        <v>-9.6391918439280744E-2</v>
      </c>
      <c r="H273" s="28">
        <f t="shared" si="14"/>
        <v>-0.14804723840489942</v>
      </c>
      <c r="I273" s="28">
        <f t="shared" si="14"/>
        <v>0.54937090728441262</v>
      </c>
      <c r="J273" s="28">
        <f t="shared" si="14"/>
        <v>-0.33790842478435934</v>
      </c>
      <c r="K273" s="28">
        <f t="shared" si="14"/>
        <v>8.6517917626338203E-2</v>
      </c>
      <c r="L273" s="28">
        <f t="shared" si="14"/>
        <v>-9.2314049586718738E-2</v>
      </c>
      <c r="M273" s="28">
        <f t="shared" si="14"/>
        <v>-0.20668563428620246</v>
      </c>
      <c r="N273" s="28">
        <f t="shared" si="14"/>
        <v>-0.19958180914966306</v>
      </c>
    </row>
    <row r="274" spans="1:14" x14ac:dyDescent="0.4">
      <c r="A274" s="1">
        <v>29526</v>
      </c>
      <c r="B274" s="28">
        <v>-0.1258523009528858</v>
      </c>
      <c r="C274" s="28">
        <f t="shared" si="14"/>
        <v>0.20208485751697935</v>
      </c>
      <c r="D274" s="28">
        <f t="shared" si="14"/>
        <v>6.6408628008844062E-2</v>
      </c>
      <c r="E274" s="28">
        <f t="shared" si="14"/>
        <v>0.13492638757173836</v>
      </c>
      <c r="F274" s="28">
        <f t="shared" ref="C274:Q337" si="15">IF(E273=0,"",E273)</f>
        <v>9.6668190850380142E-2</v>
      </c>
      <c r="G274" s="28">
        <f t="shared" si="15"/>
        <v>0.189120376642677</v>
      </c>
      <c r="H274" s="28">
        <f t="shared" si="15"/>
        <v>-9.6391918439280744E-2</v>
      </c>
      <c r="I274" s="28">
        <f t="shared" si="15"/>
        <v>-0.14804723840489942</v>
      </c>
      <c r="J274" s="28">
        <f t="shared" si="15"/>
        <v>0.54937090728441262</v>
      </c>
      <c r="K274" s="28">
        <f t="shared" si="15"/>
        <v>-0.33790842478435934</v>
      </c>
      <c r="L274" s="28">
        <f t="shared" si="15"/>
        <v>8.6517917626338203E-2</v>
      </c>
      <c r="M274" s="28">
        <f t="shared" si="15"/>
        <v>-9.2314049586718738E-2</v>
      </c>
      <c r="N274" s="28">
        <f t="shared" si="15"/>
        <v>-0.20668563428620246</v>
      </c>
    </row>
    <row r="275" spans="1:14" x14ac:dyDescent="0.4">
      <c r="A275" s="1">
        <v>29556</v>
      </c>
      <c r="B275" s="28">
        <v>-0.28481404958677103</v>
      </c>
      <c r="C275" s="28">
        <f t="shared" si="15"/>
        <v>-0.1258523009528858</v>
      </c>
      <c r="D275" s="28">
        <f t="shared" si="15"/>
        <v>0.20208485751697935</v>
      </c>
      <c r="E275" s="28">
        <f t="shared" si="15"/>
        <v>6.6408628008844062E-2</v>
      </c>
      <c r="F275" s="28">
        <f t="shared" si="15"/>
        <v>0.13492638757173836</v>
      </c>
      <c r="G275" s="28">
        <f t="shared" si="15"/>
        <v>9.6668190850380142E-2</v>
      </c>
      <c r="H275" s="28">
        <f t="shared" si="15"/>
        <v>0.189120376642677</v>
      </c>
      <c r="I275" s="28">
        <f t="shared" si="15"/>
        <v>-9.6391918439280744E-2</v>
      </c>
      <c r="J275" s="28">
        <f t="shared" si="15"/>
        <v>-0.14804723840489942</v>
      </c>
      <c r="K275" s="28">
        <f t="shared" si="15"/>
        <v>0.54937090728441262</v>
      </c>
      <c r="L275" s="28">
        <f t="shared" si="15"/>
        <v>-0.33790842478435934</v>
      </c>
      <c r="M275" s="28">
        <f t="shared" si="15"/>
        <v>8.6517917626338203E-2</v>
      </c>
      <c r="N275" s="28">
        <f t="shared" si="15"/>
        <v>-9.2314049586718738E-2</v>
      </c>
    </row>
    <row r="276" spans="1:14" x14ac:dyDescent="0.4">
      <c r="A276" s="1">
        <v>29587</v>
      </c>
      <c r="B276" s="28">
        <v>-0.2851487490403315</v>
      </c>
      <c r="C276" s="28">
        <f t="shared" si="15"/>
        <v>-0.28481404958677103</v>
      </c>
      <c r="D276" s="28">
        <f t="shared" si="15"/>
        <v>-0.1258523009528858</v>
      </c>
      <c r="E276" s="28">
        <f t="shared" si="15"/>
        <v>0.20208485751697935</v>
      </c>
      <c r="F276" s="28">
        <f t="shared" si="15"/>
        <v>6.6408628008844062E-2</v>
      </c>
      <c r="G276" s="28">
        <f t="shared" si="15"/>
        <v>0.13492638757173836</v>
      </c>
      <c r="H276" s="28">
        <f t="shared" si="15"/>
        <v>9.6668190850380142E-2</v>
      </c>
      <c r="I276" s="28">
        <f t="shared" si="15"/>
        <v>0.189120376642677</v>
      </c>
      <c r="J276" s="28">
        <f t="shared" si="15"/>
        <v>-9.6391918439280744E-2</v>
      </c>
      <c r="K276" s="28">
        <f t="shared" si="15"/>
        <v>-0.14804723840489942</v>
      </c>
      <c r="L276" s="28">
        <f t="shared" si="15"/>
        <v>0.54937090728441262</v>
      </c>
      <c r="M276" s="28">
        <f t="shared" si="15"/>
        <v>-0.33790842478435934</v>
      </c>
      <c r="N276" s="28">
        <f t="shared" si="15"/>
        <v>8.6517917626338203E-2</v>
      </c>
    </row>
    <row r="277" spans="1:14" x14ac:dyDescent="0.4">
      <c r="A277" s="1">
        <v>29618</v>
      </c>
      <c r="B277" s="28">
        <v>0.24625824188234446</v>
      </c>
      <c r="C277" s="28">
        <f t="shared" si="15"/>
        <v>-0.2851487490403315</v>
      </c>
      <c r="D277" s="28">
        <f t="shared" si="15"/>
        <v>-0.28481404958677103</v>
      </c>
      <c r="E277" s="28">
        <f t="shared" si="15"/>
        <v>-0.1258523009528858</v>
      </c>
      <c r="F277" s="28">
        <f t="shared" si="15"/>
        <v>0.20208485751697935</v>
      </c>
      <c r="G277" s="28">
        <f t="shared" si="15"/>
        <v>6.6408628008844062E-2</v>
      </c>
      <c r="H277" s="28">
        <f t="shared" si="15"/>
        <v>0.13492638757173836</v>
      </c>
      <c r="I277" s="28">
        <f t="shared" si="15"/>
        <v>9.6668190850380142E-2</v>
      </c>
      <c r="J277" s="28">
        <f t="shared" si="15"/>
        <v>0.189120376642677</v>
      </c>
      <c r="K277" s="28">
        <f t="shared" si="15"/>
        <v>-9.6391918439280744E-2</v>
      </c>
      <c r="L277" s="28">
        <f t="shared" si="15"/>
        <v>-0.14804723840489942</v>
      </c>
      <c r="M277" s="28">
        <f t="shared" si="15"/>
        <v>0.54937090728441262</v>
      </c>
      <c r="N277" s="28">
        <f t="shared" si="15"/>
        <v>-0.33790842478435934</v>
      </c>
    </row>
    <row r="278" spans="1:14" x14ac:dyDescent="0.4">
      <c r="A278" s="1">
        <v>29646</v>
      </c>
      <c r="B278" s="28">
        <v>0.39978757395113007</v>
      </c>
      <c r="C278" s="28">
        <f t="shared" si="15"/>
        <v>0.24625824188234446</v>
      </c>
      <c r="D278" s="28">
        <f t="shared" si="15"/>
        <v>-0.2851487490403315</v>
      </c>
      <c r="E278" s="28">
        <f t="shared" si="15"/>
        <v>-0.28481404958677103</v>
      </c>
      <c r="F278" s="28">
        <f t="shared" si="15"/>
        <v>-0.1258523009528858</v>
      </c>
      <c r="G278" s="28">
        <f t="shared" si="15"/>
        <v>0.20208485751697935</v>
      </c>
      <c r="H278" s="28">
        <f t="shared" si="15"/>
        <v>6.6408628008844062E-2</v>
      </c>
      <c r="I278" s="28">
        <f t="shared" si="15"/>
        <v>0.13492638757173836</v>
      </c>
      <c r="J278" s="28">
        <f t="shared" si="15"/>
        <v>9.6668190850380142E-2</v>
      </c>
      <c r="K278" s="28">
        <f t="shared" si="15"/>
        <v>0.189120376642677</v>
      </c>
      <c r="L278" s="28">
        <f t="shared" si="15"/>
        <v>-9.6391918439280744E-2</v>
      </c>
      <c r="M278" s="28">
        <f t="shared" si="15"/>
        <v>-0.14804723840489942</v>
      </c>
      <c r="N278" s="28">
        <f t="shared" si="15"/>
        <v>0.54937090728441262</v>
      </c>
    </row>
    <row r="279" spans="1:14" x14ac:dyDescent="0.4">
      <c r="A279" s="1">
        <v>29677</v>
      </c>
      <c r="B279" s="28">
        <v>0.23528609492842634</v>
      </c>
      <c r="C279" s="28">
        <f t="shared" si="15"/>
        <v>0.39978757395113007</v>
      </c>
      <c r="D279" s="28">
        <f t="shared" si="15"/>
        <v>0.24625824188234446</v>
      </c>
      <c r="E279" s="28">
        <f t="shared" si="15"/>
        <v>-0.2851487490403315</v>
      </c>
      <c r="F279" s="28">
        <f t="shared" si="15"/>
        <v>-0.28481404958677103</v>
      </c>
      <c r="G279" s="28">
        <f t="shared" si="15"/>
        <v>-0.1258523009528858</v>
      </c>
      <c r="H279" s="28">
        <f t="shared" si="15"/>
        <v>0.20208485751697935</v>
      </c>
      <c r="I279" s="28">
        <f t="shared" si="15"/>
        <v>6.6408628008844062E-2</v>
      </c>
      <c r="J279" s="28">
        <f t="shared" si="15"/>
        <v>0.13492638757173836</v>
      </c>
      <c r="K279" s="28">
        <f t="shared" si="15"/>
        <v>9.6668190850380142E-2</v>
      </c>
      <c r="L279" s="28">
        <f t="shared" si="15"/>
        <v>0.189120376642677</v>
      </c>
      <c r="M279" s="28">
        <f t="shared" si="15"/>
        <v>-9.6391918439280744E-2</v>
      </c>
      <c r="N279" s="28">
        <f t="shared" si="15"/>
        <v>-0.14804723840489942</v>
      </c>
    </row>
    <row r="280" spans="1:14" x14ac:dyDescent="0.4">
      <c r="A280" s="1">
        <v>29707</v>
      </c>
      <c r="B280" s="28">
        <v>6.4858081560771552E-2</v>
      </c>
      <c r="C280" s="28">
        <f t="shared" si="15"/>
        <v>0.23528609492842634</v>
      </c>
      <c r="D280" s="28">
        <f t="shared" si="15"/>
        <v>0.39978757395113007</v>
      </c>
      <c r="E280" s="28">
        <f t="shared" si="15"/>
        <v>0.24625824188234446</v>
      </c>
      <c r="F280" s="28">
        <f t="shared" si="15"/>
        <v>-0.2851487490403315</v>
      </c>
      <c r="G280" s="28">
        <f t="shared" si="15"/>
        <v>-0.28481404958677103</v>
      </c>
      <c r="H280" s="28">
        <f t="shared" si="15"/>
        <v>-0.1258523009528858</v>
      </c>
      <c r="I280" s="28">
        <f t="shared" si="15"/>
        <v>0.20208485751697935</v>
      </c>
      <c r="J280" s="28">
        <f t="shared" si="15"/>
        <v>6.6408628008844062E-2</v>
      </c>
      <c r="K280" s="28">
        <f t="shared" si="15"/>
        <v>0.13492638757173836</v>
      </c>
      <c r="L280" s="28">
        <f t="shared" si="15"/>
        <v>9.6668190850380142E-2</v>
      </c>
      <c r="M280" s="28">
        <f t="shared" si="15"/>
        <v>0.189120376642677</v>
      </c>
      <c r="N280" s="28">
        <f t="shared" si="15"/>
        <v>-9.6391918439280744E-2</v>
      </c>
    </row>
    <row r="281" spans="1:14" x14ac:dyDescent="0.4">
      <c r="A281" s="1">
        <v>29738</v>
      </c>
      <c r="B281" s="28">
        <v>1.6620376642663359E-2</v>
      </c>
      <c r="C281" s="28">
        <f t="shared" si="15"/>
        <v>6.4858081560771552E-2</v>
      </c>
      <c r="D281" s="28">
        <f t="shared" si="15"/>
        <v>0.23528609492842634</v>
      </c>
      <c r="E281" s="28">
        <f t="shared" si="15"/>
        <v>0.39978757395113007</v>
      </c>
      <c r="F281" s="28">
        <f t="shared" si="15"/>
        <v>0.24625824188234446</v>
      </c>
      <c r="G281" s="28">
        <f t="shared" si="15"/>
        <v>-0.2851487490403315</v>
      </c>
      <c r="H281" s="28">
        <f t="shared" si="15"/>
        <v>-0.28481404958677103</v>
      </c>
      <c r="I281" s="28">
        <f t="shared" si="15"/>
        <v>-0.1258523009528858</v>
      </c>
      <c r="J281" s="28">
        <f t="shared" si="15"/>
        <v>0.20208485751697935</v>
      </c>
      <c r="K281" s="28">
        <f t="shared" si="15"/>
        <v>6.6408628008844062E-2</v>
      </c>
      <c r="L281" s="28">
        <f t="shared" si="15"/>
        <v>0.13492638757173836</v>
      </c>
      <c r="M281" s="28">
        <f t="shared" si="15"/>
        <v>9.6668190850380142E-2</v>
      </c>
      <c r="N281" s="28">
        <f t="shared" si="15"/>
        <v>0.189120376642677</v>
      </c>
    </row>
    <row r="282" spans="1:14" x14ac:dyDescent="0.4">
      <c r="A282" s="1">
        <v>29768</v>
      </c>
      <c r="B282" s="28">
        <v>-0.23416514248299336</v>
      </c>
      <c r="C282" s="28">
        <f t="shared" si="15"/>
        <v>1.6620376642663359E-2</v>
      </c>
      <c r="D282" s="28">
        <f t="shared" si="15"/>
        <v>6.4858081560771552E-2</v>
      </c>
      <c r="E282" s="28">
        <f t="shared" si="15"/>
        <v>0.23528609492842634</v>
      </c>
      <c r="F282" s="28">
        <f t="shared" si="15"/>
        <v>0.39978757395113007</v>
      </c>
      <c r="G282" s="28">
        <f t="shared" si="15"/>
        <v>0.24625824188234446</v>
      </c>
      <c r="H282" s="28">
        <f t="shared" si="15"/>
        <v>-0.2851487490403315</v>
      </c>
      <c r="I282" s="28">
        <f t="shared" si="15"/>
        <v>-0.28481404958677103</v>
      </c>
      <c r="J282" s="28">
        <f t="shared" si="15"/>
        <v>-0.1258523009528858</v>
      </c>
      <c r="K282" s="28">
        <f t="shared" si="15"/>
        <v>0.20208485751697935</v>
      </c>
      <c r="L282" s="28">
        <f t="shared" si="15"/>
        <v>6.6408628008844062E-2</v>
      </c>
      <c r="M282" s="28">
        <f t="shared" si="15"/>
        <v>0.13492638757173836</v>
      </c>
      <c r="N282" s="28">
        <f t="shared" si="15"/>
        <v>9.6668190850380142E-2</v>
      </c>
    </row>
    <row r="283" spans="1:14" x14ac:dyDescent="0.4">
      <c r="A283" s="1">
        <v>29799</v>
      </c>
      <c r="B283" s="28">
        <v>-0.26632361242826619</v>
      </c>
      <c r="C283" s="28">
        <f t="shared" si="15"/>
        <v>-0.23416514248299336</v>
      </c>
      <c r="D283" s="28">
        <f t="shared" si="15"/>
        <v>1.6620376642663359E-2</v>
      </c>
      <c r="E283" s="28">
        <f t="shared" si="15"/>
        <v>6.4858081560771552E-2</v>
      </c>
      <c r="F283" s="28">
        <f t="shared" si="15"/>
        <v>0.23528609492842634</v>
      </c>
      <c r="G283" s="28">
        <f t="shared" si="15"/>
        <v>0.39978757395113007</v>
      </c>
      <c r="H283" s="28">
        <f t="shared" si="15"/>
        <v>0.24625824188234446</v>
      </c>
      <c r="I283" s="28">
        <f t="shared" si="15"/>
        <v>-0.2851487490403315</v>
      </c>
      <c r="J283" s="28">
        <f t="shared" si="15"/>
        <v>-0.28481404958677103</v>
      </c>
      <c r="K283" s="28">
        <f t="shared" si="15"/>
        <v>-0.1258523009528858</v>
      </c>
      <c r="L283" s="28">
        <f t="shared" si="15"/>
        <v>0.20208485751697935</v>
      </c>
      <c r="M283" s="28">
        <f t="shared" si="15"/>
        <v>6.6408628008844062E-2</v>
      </c>
      <c r="N283" s="28">
        <f t="shared" si="15"/>
        <v>0.13492638757173836</v>
      </c>
    </row>
    <row r="284" spans="1:14" x14ac:dyDescent="0.4">
      <c r="A284" s="1">
        <v>29830</v>
      </c>
      <c r="B284" s="28">
        <v>-0.31400803865778926</v>
      </c>
      <c r="C284" s="28">
        <f t="shared" si="15"/>
        <v>-0.26632361242826619</v>
      </c>
      <c r="D284" s="28">
        <f t="shared" si="15"/>
        <v>-0.23416514248299336</v>
      </c>
      <c r="E284" s="28">
        <f t="shared" si="15"/>
        <v>1.6620376642663359E-2</v>
      </c>
      <c r="F284" s="28">
        <f t="shared" si="15"/>
        <v>6.4858081560771552E-2</v>
      </c>
      <c r="G284" s="28">
        <f t="shared" si="15"/>
        <v>0.23528609492842634</v>
      </c>
      <c r="H284" s="28">
        <f t="shared" si="15"/>
        <v>0.39978757395113007</v>
      </c>
      <c r="I284" s="28">
        <f t="shared" si="15"/>
        <v>0.24625824188234446</v>
      </c>
      <c r="J284" s="28">
        <f t="shared" si="15"/>
        <v>-0.2851487490403315</v>
      </c>
      <c r="K284" s="28">
        <f t="shared" si="15"/>
        <v>-0.28481404958677103</v>
      </c>
      <c r="L284" s="28">
        <f t="shared" si="15"/>
        <v>-0.1258523009528858</v>
      </c>
      <c r="M284" s="28">
        <f t="shared" si="15"/>
        <v>0.20208485751697935</v>
      </c>
      <c r="N284" s="28">
        <f t="shared" si="15"/>
        <v>6.6408628008844062E-2</v>
      </c>
    </row>
    <row r="285" spans="1:14" x14ac:dyDescent="0.4">
      <c r="A285" s="1">
        <v>29860</v>
      </c>
      <c r="B285" s="28">
        <v>-0.12083180914964942</v>
      </c>
      <c r="C285" s="28">
        <f t="shared" si="15"/>
        <v>-0.31400803865778926</v>
      </c>
      <c r="D285" s="28">
        <f t="shared" si="15"/>
        <v>-0.26632361242826619</v>
      </c>
      <c r="E285" s="28">
        <f t="shared" si="15"/>
        <v>-0.23416514248299336</v>
      </c>
      <c r="F285" s="28">
        <f t="shared" si="15"/>
        <v>1.6620376642663359E-2</v>
      </c>
      <c r="G285" s="28">
        <f t="shared" si="15"/>
        <v>6.4858081560771552E-2</v>
      </c>
      <c r="H285" s="28">
        <f t="shared" si="15"/>
        <v>0.23528609492842634</v>
      </c>
      <c r="I285" s="28">
        <f t="shared" si="15"/>
        <v>0.39978757395113007</v>
      </c>
      <c r="J285" s="28">
        <f t="shared" si="15"/>
        <v>0.24625824188234446</v>
      </c>
      <c r="K285" s="28">
        <f t="shared" si="15"/>
        <v>-0.2851487490403315</v>
      </c>
      <c r="L285" s="28">
        <f t="shared" si="15"/>
        <v>-0.28481404958677103</v>
      </c>
      <c r="M285" s="28">
        <f t="shared" si="15"/>
        <v>-0.1258523009528858</v>
      </c>
      <c r="N285" s="28">
        <f t="shared" si="15"/>
        <v>0.20208485751697935</v>
      </c>
    </row>
    <row r="286" spans="1:14" x14ac:dyDescent="0.4">
      <c r="A286" s="1">
        <v>29891</v>
      </c>
      <c r="B286" s="28">
        <v>7.8976990471346653E-3</v>
      </c>
      <c r="C286" s="28">
        <f t="shared" si="15"/>
        <v>-0.12083180914964942</v>
      </c>
      <c r="D286" s="28">
        <f t="shared" si="15"/>
        <v>-0.31400803865778926</v>
      </c>
      <c r="E286" s="28">
        <f t="shared" si="15"/>
        <v>-0.26632361242826619</v>
      </c>
      <c r="F286" s="28">
        <f t="shared" si="15"/>
        <v>-0.23416514248299336</v>
      </c>
      <c r="G286" s="28">
        <f t="shared" si="15"/>
        <v>1.6620376642663359E-2</v>
      </c>
      <c r="H286" s="28">
        <f t="shared" si="15"/>
        <v>6.4858081560771552E-2</v>
      </c>
      <c r="I286" s="28">
        <f t="shared" si="15"/>
        <v>0.23528609492842634</v>
      </c>
      <c r="J286" s="28">
        <f t="shared" si="15"/>
        <v>0.39978757395113007</v>
      </c>
      <c r="K286" s="28">
        <f t="shared" si="15"/>
        <v>0.24625824188234446</v>
      </c>
      <c r="L286" s="28">
        <f t="shared" si="15"/>
        <v>-0.2851487490403315</v>
      </c>
      <c r="M286" s="28">
        <f t="shared" si="15"/>
        <v>-0.28481404958677103</v>
      </c>
      <c r="N286" s="28">
        <f t="shared" si="15"/>
        <v>-0.1258523009528858</v>
      </c>
    </row>
    <row r="287" spans="1:14" x14ac:dyDescent="0.4">
      <c r="A287" s="1">
        <v>29921</v>
      </c>
      <c r="B287" s="28">
        <v>-3.1473829200763248E-3</v>
      </c>
      <c r="C287" s="28">
        <f t="shared" si="15"/>
        <v>7.8976990471346653E-3</v>
      </c>
      <c r="D287" s="28">
        <f t="shared" si="15"/>
        <v>-0.12083180914964942</v>
      </c>
      <c r="E287" s="28">
        <f t="shared" si="15"/>
        <v>-0.31400803865778926</v>
      </c>
      <c r="F287" s="28">
        <f t="shared" si="15"/>
        <v>-0.26632361242826619</v>
      </c>
      <c r="G287" s="28">
        <f t="shared" si="15"/>
        <v>-0.23416514248299336</v>
      </c>
      <c r="H287" s="28">
        <f t="shared" si="15"/>
        <v>1.6620376642663359E-2</v>
      </c>
      <c r="I287" s="28">
        <f t="shared" si="15"/>
        <v>6.4858081560771552E-2</v>
      </c>
      <c r="J287" s="28">
        <f t="shared" si="15"/>
        <v>0.23528609492842634</v>
      </c>
      <c r="K287" s="28">
        <f t="shared" si="15"/>
        <v>0.39978757395113007</v>
      </c>
      <c r="L287" s="28">
        <f t="shared" si="15"/>
        <v>0.24625824188234446</v>
      </c>
      <c r="M287" s="28">
        <f t="shared" si="15"/>
        <v>-0.2851487490403315</v>
      </c>
      <c r="N287" s="28">
        <f t="shared" si="15"/>
        <v>-0.28481404958677103</v>
      </c>
    </row>
    <row r="288" spans="1:14" x14ac:dyDescent="0.4">
      <c r="A288" s="1">
        <v>29952</v>
      </c>
      <c r="B288" s="28">
        <v>7.9017917626345024E-2</v>
      </c>
      <c r="C288" s="28">
        <f t="shared" si="15"/>
        <v>-3.1473829200763248E-3</v>
      </c>
      <c r="D288" s="28">
        <f t="shared" si="15"/>
        <v>7.8976990471346653E-3</v>
      </c>
      <c r="E288" s="28">
        <f t="shared" si="15"/>
        <v>-0.12083180914964942</v>
      </c>
      <c r="F288" s="28">
        <f t="shared" si="15"/>
        <v>-0.31400803865778926</v>
      </c>
      <c r="G288" s="28">
        <f t="shared" si="15"/>
        <v>-0.26632361242826619</v>
      </c>
      <c r="H288" s="28">
        <f t="shared" si="15"/>
        <v>-0.23416514248299336</v>
      </c>
      <c r="I288" s="28">
        <f t="shared" si="15"/>
        <v>1.6620376642663359E-2</v>
      </c>
      <c r="J288" s="28">
        <f t="shared" si="15"/>
        <v>6.4858081560771552E-2</v>
      </c>
      <c r="K288" s="28">
        <f t="shared" si="15"/>
        <v>0.23528609492842634</v>
      </c>
      <c r="L288" s="28">
        <f t="shared" si="15"/>
        <v>0.39978757395113007</v>
      </c>
      <c r="M288" s="28">
        <f t="shared" si="15"/>
        <v>0.24625824188234446</v>
      </c>
      <c r="N288" s="28">
        <f t="shared" si="15"/>
        <v>-0.2851487490403315</v>
      </c>
    </row>
    <row r="289" spans="1:14" x14ac:dyDescent="0.4">
      <c r="A289" s="1">
        <v>29983</v>
      </c>
      <c r="B289" s="28">
        <v>0.18084157521565203</v>
      </c>
      <c r="C289" s="28">
        <f t="shared" si="15"/>
        <v>7.9017917626345024E-2</v>
      </c>
      <c r="D289" s="28">
        <f t="shared" si="15"/>
        <v>-3.1473829200763248E-3</v>
      </c>
      <c r="E289" s="28">
        <f t="shared" si="15"/>
        <v>7.8976990471346653E-3</v>
      </c>
      <c r="F289" s="28">
        <f t="shared" si="15"/>
        <v>-0.12083180914964942</v>
      </c>
      <c r="G289" s="28">
        <f t="shared" si="15"/>
        <v>-0.31400803865778926</v>
      </c>
      <c r="H289" s="28">
        <f t="shared" si="15"/>
        <v>-0.26632361242826619</v>
      </c>
      <c r="I289" s="28">
        <f t="shared" si="15"/>
        <v>-0.23416514248299336</v>
      </c>
      <c r="J289" s="28">
        <f t="shared" si="15"/>
        <v>1.6620376642663359E-2</v>
      </c>
      <c r="K289" s="28">
        <f t="shared" si="15"/>
        <v>6.4858081560771552E-2</v>
      </c>
      <c r="L289" s="28">
        <f t="shared" si="15"/>
        <v>0.23528609492842634</v>
      </c>
      <c r="M289" s="28">
        <f t="shared" si="15"/>
        <v>0.39978757395113007</v>
      </c>
      <c r="N289" s="28">
        <f t="shared" si="15"/>
        <v>0.24625824188234446</v>
      </c>
    </row>
    <row r="290" spans="1:14" x14ac:dyDescent="0.4">
      <c r="A290" s="1">
        <v>30011</v>
      </c>
      <c r="B290" s="28">
        <v>0.48145424061772246</v>
      </c>
      <c r="C290" s="28">
        <f t="shared" si="15"/>
        <v>0.18084157521565203</v>
      </c>
      <c r="D290" s="28">
        <f t="shared" si="15"/>
        <v>7.9017917626345024E-2</v>
      </c>
      <c r="E290" s="28">
        <f t="shared" si="15"/>
        <v>-3.1473829200763248E-3</v>
      </c>
      <c r="F290" s="28">
        <f t="shared" si="15"/>
        <v>7.8976990471346653E-3</v>
      </c>
      <c r="G290" s="28">
        <f t="shared" si="15"/>
        <v>-0.12083180914964942</v>
      </c>
      <c r="H290" s="28">
        <f t="shared" si="15"/>
        <v>-0.31400803865778926</v>
      </c>
      <c r="I290" s="28">
        <f t="shared" si="15"/>
        <v>-0.26632361242826619</v>
      </c>
      <c r="J290" s="28">
        <f t="shared" si="15"/>
        <v>-0.23416514248299336</v>
      </c>
      <c r="K290" s="28">
        <f t="shared" si="15"/>
        <v>1.6620376642663359E-2</v>
      </c>
      <c r="L290" s="28">
        <f t="shared" si="15"/>
        <v>6.4858081560771552E-2</v>
      </c>
      <c r="M290" s="28">
        <f t="shared" si="15"/>
        <v>0.23528609492842634</v>
      </c>
      <c r="N290" s="28">
        <f t="shared" si="15"/>
        <v>0.39978757395113007</v>
      </c>
    </row>
    <row r="291" spans="1:14" x14ac:dyDescent="0.4">
      <c r="A291" s="1">
        <v>30042</v>
      </c>
      <c r="B291" s="28">
        <v>4.0286094928376315E-2</v>
      </c>
      <c r="C291" s="28">
        <f t="shared" si="15"/>
        <v>0.48145424061772246</v>
      </c>
      <c r="D291" s="28">
        <f t="shared" si="15"/>
        <v>0.18084157521565203</v>
      </c>
      <c r="E291" s="28">
        <f t="shared" si="15"/>
        <v>7.9017917626345024E-2</v>
      </c>
      <c r="F291" s="28">
        <f t="shared" si="15"/>
        <v>-3.1473829200763248E-3</v>
      </c>
      <c r="G291" s="28">
        <f t="shared" si="15"/>
        <v>7.8976990471346653E-3</v>
      </c>
      <c r="H291" s="28">
        <f t="shared" si="15"/>
        <v>-0.12083180914964942</v>
      </c>
      <c r="I291" s="28">
        <f t="shared" si="15"/>
        <v>-0.31400803865778926</v>
      </c>
      <c r="J291" s="28">
        <f t="shared" si="15"/>
        <v>-0.26632361242826619</v>
      </c>
      <c r="K291" s="28">
        <f t="shared" si="15"/>
        <v>-0.23416514248299336</v>
      </c>
      <c r="L291" s="28">
        <f t="shared" si="15"/>
        <v>1.6620376642663359E-2</v>
      </c>
      <c r="M291" s="28">
        <f t="shared" si="15"/>
        <v>6.4858081560771552E-2</v>
      </c>
      <c r="N291" s="28">
        <f t="shared" si="15"/>
        <v>0.23528609492842634</v>
      </c>
    </row>
    <row r="292" spans="1:14" x14ac:dyDescent="0.4">
      <c r="A292" s="1">
        <v>30072</v>
      </c>
      <c r="B292" s="28">
        <v>3.8191414894072295E-2</v>
      </c>
      <c r="C292" s="28">
        <f t="shared" si="15"/>
        <v>4.0286094928376315E-2</v>
      </c>
      <c r="D292" s="28">
        <f t="shared" si="15"/>
        <v>0.48145424061772246</v>
      </c>
      <c r="E292" s="28">
        <f t="shared" si="15"/>
        <v>0.18084157521565203</v>
      </c>
      <c r="F292" s="28">
        <f t="shared" si="15"/>
        <v>7.9017917626345024E-2</v>
      </c>
      <c r="G292" s="28">
        <f t="shared" si="15"/>
        <v>-3.1473829200763248E-3</v>
      </c>
      <c r="H292" s="28">
        <f t="shared" si="15"/>
        <v>7.8976990471346653E-3</v>
      </c>
      <c r="I292" s="28">
        <f t="shared" si="15"/>
        <v>-0.12083180914964942</v>
      </c>
      <c r="J292" s="28">
        <f t="shared" si="15"/>
        <v>-0.31400803865778926</v>
      </c>
      <c r="K292" s="28">
        <f t="shared" si="15"/>
        <v>-0.26632361242826619</v>
      </c>
      <c r="L292" s="28">
        <f t="shared" si="15"/>
        <v>-0.23416514248299336</v>
      </c>
      <c r="M292" s="28">
        <f t="shared" si="15"/>
        <v>1.6620376642663359E-2</v>
      </c>
      <c r="N292" s="28">
        <f t="shared" si="15"/>
        <v>6.4858081560771552E-2</v>
      </c>
    </row>
    <row r="293" spans="1:14" x14ac:dyDescent="0.4">
      <c r="A293" s="1">
        <v>30103</v>
      </c>
      <c r="B293" s="28">
        <v>-0.10337962335728434</v>
      </c>
      <c r="C293" s="28">
        <f t="shared" si="15"/>
        <v>3.8191414894072295E-2</v>
      </c>
      <c r="D293" s="28">
        <f t="shared" si="15"/>
        <v>4.0286094928376315E-2</v>
      </c>
      <c r="E293" s="28">
        <f t="shared" si="15"/>
        <v>0.48145424061772246</v>
      </c>
      <c r="F293" s="28">
        <f t="shared" si="15"/>
        <v>0.18084157521565203</v>
      </c>
      <c r="G293" s="28">
        <f t="shared" si="15"/>
        <v>7.9017917626345024E-2</v>
      </c>
      <c r="H293" s="28">
        <f t="shared" si="15"/>
        <v>-3.1473829200763248E-3</v>
      </c>
      <c r="I293" s="28">
        <f t="shared" si="15"/>
        <v>7.8976990471346653E-3</v>
      </c>
      <c r="J293" s="28">
        <f t="shared" si="15"/>
        <v>-0.12083180914964942</v>
      </c>
      <c r="K293" s="28">
        <f t="shared" si="15"/>
        <v>-0.31400803865778926</v>
      </c>
      <c r="L293" s="28">
        <f t="shared" si="15"/>
        <v>-0.26632361242826619</v>
      </c>
      <c r="M293" s="28">
        <f t="shared" si="15"/>
        <v>-0.23416514248299336</v>
      </c>
      <c r="N293" s="28">
        <f t="shared" si="15"/>
        <v>1.6620376642663359E-2</v>
      </c>
    </row>
    <row r="294" spans="1:14" x14ac:dyDescent="0.4">
      <c r="A294" s="1">
        <v>30133</v>
      </c>
      <c r="B294" s="28">
        <v>0.1741681908503665</v>
      </c>
      <c r="C294" s="28">
        <f t="shared" si="15"/>
        <v>-0.10337962335728434</v>
      </c>
      <c r="D294" s="28">
        <f t="shared" si="15"/>
        <v>3.8191414894072295E-2</v>
      </c>
      <c r="E294" s="28">
        <f t="shared" si="15"/>
        <v>4.0286094928376315E-2</v>
      </c>
      <c r="F294" s="28">
        <f t="shared" si="15"/>
        <v>0.48145424061772246</v>
      </c>
      <c r="G294" s="28">
        <f t="shared" si="15"/>
        <v>0.18084157521565203</v>
      </c>
      <c r="H294" s="28">
        <f t="shared" si="15"/>
        <v>7.9017917626345024E-2</v>
      </c>
      <c r="I294" s="28">
        <f t="shared" si="15"/>
        <v>-3.1473829200763248E-3</v>
      </c>
      <c r="J294" s="28">
        <f t="shared" si="15"/>
        <v>7.8976990471346653E-3</v>
      </c>
      <c r="K294" s="28">
        <f t="shared" si="15"/>
        <v>-0.12083180914964942</v>
      </c>
      <c r="L294" s="28">
        <f t="shared" si="15"/>
        <v>-0.31400803865778926</v>
      </c>
      <c r="M294" s="28">
        <f t="shared" si="15"/>
        <v>-0.26632361242826619</v>
      </c>
      <c r="N294" s="28">
        <f t="shared" si="15"/>
        <v>-0.23416514248299336</v>
      </c>
    </row>
    <row r="295" spans="1:14" x14ac:dyDescent="0.4">
      <c r="A295" s="1">
        <v>30164</v>
      </c>
      <c r="B295" s="28">
        <v>-2.1569457616124055E-3</v>
      </c>
      <c r="C295" s="28">
        <f t="shared" si="15"/>
        <v>0.1741681908503665</v>
      </c>
      <c r="D295" s="28">
        <f t="shared" si="15"/>
        <v>-0.10337962335728434</v>
      </c>
      <c r="E295" s="28">
        <f t="shared" si="15"/>
        <v>3.8191414894072295E-2</v>
      </c>
      <c r="F295" s="28">
        <f t="shared" si="15"/>
        <v>4.0286094928376315E-2</v>
      </c>
      <c r="G295" s="28">
        <f t="shared" si="15"/>
        <v>0.48145424061772246</v>
      </c>
      <c r="H295" s="28">
        <f t="shared" si="15"/>
        <v>0.18084157521565203</v>
      </c>
      <c r="I295" s="28">
        <f t="shared" ref="D295:S310" si="16">IF(H294=0,"",H294)</f>
        <v>7.9017917626345024E-2</v>
      </c>
      <c r="J295" s="28">
        <f t="shared" si="16"/>
        <v>-3.1473829200763248E-3</v>
      </c>
      <c r="K295" s="28">
        <f t="shared" si="16"/>
        <v>7.8976990471346653E-3</v>
      </c>
      <c r="L295" s="28">
        <f t="shared" si="16"/>
        <v>-0.12083180914964942</v>
      </c>
      <c r="M295" s="28">
        <f t="shared" si="16"/>
        <v>-0.31400803865778926</v>
      </c>
      <c r="N295" s="28">
        <f t="shared" si="16"/>
        <v>-0.26632361242826619</v>
      </c>
    </row>
    <row r="296" spans="1:14" x14ac:dyDescent="0.4">
      <c r="A296" s="1">
        <v>30195</v>
      </c>
      <c r="B296" s="28">
        <v>-9.2341371991153665E-2</v>
      </c>
      <c r="C296" s="28">
        <f t="shared" ref="C296:N359" si="17">IF(B295=0,"",B295)</f>
        <v>-2.1569457616124055E-3</v>
      </c>
      <c r="D296" s="28">
        <f t="shared" si="16"/>
        <v>0.1741681908503665</v>
      </c>
      <c r="E296" s="28">
        <f t="shared" si="16"/>
        <v>-0.10337962335728434</v>
      </c>
      <c r="F296" s="28">
        <f t="shared" si="16"/>
        <v>3.8191414894072295E-2</v>
      </c>
      <c r="G296" s="28">
        <f t="shared" si="16"/>
        <v>4.0286094928376315E-2</v>
      </c>
      <c r="H296" s="28">
        <f t="shared" si="16"/>
        <v>0.48145424061772246</v>
      </c>
      <c r="I296" s="28">
        <f t="shared" si="16"/>
        <v>0.18084157521565203</v>
      </c>
      <c r="J296" s="28">
        <f t="shared" si="16"/>
        <v>7.9017917626345024E-2</v>
      </c>
      <c r="K296" s="28">
        <f t="shared" si="16"/>
        <v>-3.1473829200763248E-3</v>
      </c>
      <c r="L296" s="28">
        <f t="shared" si="16"/>
        <v>7.8976990471346653E-3</v>
      </c>
      <c r="M296" s="28">
        <f t="shared" si="16"/>
        <v>-0.12083180914964942</v>
      </c>
      <c r="N296" s="28">
        <f t="shared" si="16"/>
        <v>-0.31400803865778926</v>
      </c>
    </row>
    <row r="297" spans="1:14" x14ac:dyDescent="0.4">
      <c r="A297" s="1">
        <v>30225</v>
      </c>
      <c r="B297" s="28">
        <v>-0.16333180914961076</v>
      </c>
      <c r="C297" s="28">
        <f t="shared" si="17"/>
        <v>-9.2341371991153665E-2</v>
      </c>
      <c r="D297" s="28">
        <f t="shared" si="16"/>
        <v>-2.1569457616124055E-3</v>
      </c>
      <c r="E297" s="28">
        <f t="shared" si="16"/>
        <v>0.1741681908503665</v>
      </c>
      <c r="F297" s="28">
        <f t="shared" si="16"/>
        <v>-0.10337962335728434</v>
      </c>
      <c r="G297" s="28">
        <f t="shared" si="16"/>
        <v>3.8191414894072295E-2</v>
      </c>
      <c r="H297" s="28">
        <f t="shared" si="16"/>
        <v>4.0286094928376315E-2</v>
      </c>
      <c r="I297" s="28">
        <f t="shared" si="16"/>
        <v>0.48145424061772246</v>
      </c>
      <c r="J297" s="28">
        <f t="shared" si="16"/>
        <v>0.18084157521565203</v>
      </c>
      <c r="K297" s="28">
        <f t="shared" si="16"/>
        <v>7.9017917626345024E-2</v>
      </c>
      <c r="L297" s="28">
        <f t="shared" si="16"/>
        <v>-3.1473829200763248E-3</v>
      </c>
      <c r="M297" s="28">
        <f t="shared" si="16"/>
        <v>7.8976990471346653E-3</v>
      </c>
      <c r="N297" s="28">
        <f t="shared" si="16"/>
        <v>-0.12083180914964942</v>
      </c>
    </row>
    <row r="298" spans="1:14" x14ac:dyDescent="0.4">
      <c r="A298" s="1">
        <v>30256</v>
      </c>
      <c r="B298" s="28">
        <v>-0.16335230095285169</v>
      </c>
      <c r="C298" s="28">
        <f t="shared" si="17"/>
        <v>-0.16333180914961076</v>
      </c>
      <c r="D298" s="28">
        <f t="shared" si="16"/>
        <v>-9.2341371991153665E-2</v>
      </c>
      <c r="E298" s="28">
        <f t="shared" si="16"/>
        <v>-2.1569457616124055E-3</v>
      </c>
      <c r="F298" s="28">
        <f t="shared" si="16"/>
        <v>0.1741681908503665</v>
      </c>
      <c r="G298" s="28">
        <f t="shared" si="16"/>
        <v>-0.10337962335728434</v>
      </c>
      <c r="H298" s="28">
        <f t="shared" si="16"/>
        <v>3.8191414894072295E-2</v>
      </c>
      <c r="I298" s="28">
        <f t="shared" si="16"/>
        <v>4.0286094928376315E-2</v>
      </c>
      <c r="J298" s="28">
        <f t="shared" si="16"/>
        <v>0.48145424061772246</v>
      </c>
      <c r="K298" s="28">
        <f t="shared" si="16"/>
        <v>0.18084157521565203</v>
      </c>
      <c r="L298" s="28">
        <f t="shared" si="16"/>
        <v>7.9017917626345024E-2</v>
      </c>
      <c r="M298" s="28">
        <f t="shared" si="16"/>
        <v>-3.1473829200763248E-3</v>
      </c>
      <c r="N298" s="28">
        <f t="shared" si="16"/>
        <v>7.8976990471346653E-3</v>
      </c>
    </row>
    <row r="299" spans="1:14" x14ac:dyDescent="0.4">
      <c r="A299" s="1">
        <v>30286</v>
      </c>
      <c r="B299" s="28">
        <v>-0.24689738292005359</v>
      </c>
      <c r="C299" s="28">
        <f t="shared" si="17"/>
        <v>-0.16335230095285169</v>
      </c>
      <c r="D299" s="28">
        <f t="shared" si="16"/>
        <v>-0.16333180914961076</v>
      </c>
      <c r="E299" s="28">
        <f t="shared" si="16"/>
        <v>-9.2341371991153665E-2</v>
      </c>
      <c r="F299" s="28">
        <f t="shared" si="16"/>
        <v>-2.1569457616124055E-3</v>
      </c>
      <c r="G299" s="28">
        <f t="shared" si="16"/>
        <v>0.1741681908503665</v>
      </c>
      <c r="H299" s="28">
        <f t="shared" si="16"/>
        <v>-0.10337962335728434</v>
      </c>
      <c r="I299" s="28">
        <f t="shared" si="16"/>
        <v>3.8191414894072295E-2</v>
      </c>
      <c r="J299" s="28">
        <f t="shared" si="16"/>
        <v>4.0286094928376315E-2</v>
      </c>
      <c r="K299" s="28">
        <f t="shared" si="16"/>
        <v>0.48145424061772246</v>
      </c>
      <c r="L299" s="28">
        <f t="shared" si="16"/>
        <v>0.18084157521565203</v>
      </c>
      <c r="M299" s="28">
        <f t="shared" si="16"/>
        <v>7.9017917626345024E-2</v>
      </c>
      <c r="N299" s="28">
        <f t="shared" si="16"/>
        <v>-3.1473829200763248E-3</v>
      </c>
    </row>
    <row r="300" spans="1:14" x14ac:dyDescent="0.4">
      <c r="A300" s="1">
        <v>30317</v>
      </c>
      <c r="B300" s="28">
        <v>-0.46556541570697618</v>
      </c>
      <c r="C300" s="28">
        <f t="shared" si="17"/>
        <v>-0.24689738292005359</v>
      </c>
      <c r="D300" s="28">
        <f t="shared" si="16"/>
        <v>-0.16335230095285169</v>
      </c>
      <c r="E300" s="28">
        <f t="shared" si="16"/>
        <v>-0.16333180914961076</v>
      </c>
      <c r="F300" s="28">
        <f t="shared" si="16"/>
        <v>-9.2341371991153665E-2</v>
      </c>
      <c r="G300" s="28">
        <f t="shared" si="16"/>
        <v>-2.1569457616124055E-3</v>
      </c>
      <c r="H300" s="28">
        <f t="shared" si="16"/>
        <v>0.1741681908503665</v>
      </c>
      <c r="I300" s="28">
        <f t="shared" si="16"/>
        <v>-0.10337962335728434</v>
      </c>
      <c r="J300" s="28">
        <f t="shared" si="16"/>
        <v>3.8191414894072295E-2</v>
      </c>
      <c r="K300" s="28">
        <f t="shared" si="16"/>
        <v>4.0286094928376315E-2</v>
      </c>
      <c r="L300" s="28">
        <f t="shared" si="16"/>
        <v>0.48145424061772246</v>
      </c>
      <c r="M300" s="28">
        <f t="shared" si="16"/>
        <v>0.18084157521565203</v>
      </c>
      <c r="N300" s="28">
        <f t="shared" si="16"/>
        <v>7.9017917626345024E-2</v>
      </c>
    </row>
    <row r="301" spans="1:14" x14ac:dyDescent="0.4">
      <c r="A301" s="1">
        <v>30348</v>
      </c>
      <c r="B301" s="28">
        <v>-0.14790842478430477</v>
      </c>
      <c r="C301" s="28">
        <f t="shared" si="17"/>
        <v>-0.46556541570697618</v>
      </c>
      <c r="D301" s="28">
        <f t="shared" si="16"/>
        <v>-0.24689738292005359</v>
      </c>
      <c r="E301" s="28">
        <f t="shared" si="16"/>
        <v>-0.16335230095285169</v>
      </c>
      <c r="F301" s="28">
        <f t="shared" si="16"/>
        <v>-0.16333180914961076</v>
      </c>
      <c r="G301" s="28">
        <f t="shared" si="16"/>
        <v>-9.2341371991153665E-2</v>
      </c>
      <c r="H301" s="28">
        <f t="shared" si="16"/>
        <v>-2.1569457616124055E-3</v>
      </c>
      <c r="I301" s="28">
        <f t="shared" si="16"/>
        <v>0.1741681908503665</v>
      </c>
      <c r="J301" s="28">
        <f t="shared" si="16"/>
        <v>-0.10337962335728434</v>
      </c>
      <c r="K301" s="28">
        <f t="shared" si="16"/>
        <v>3.8191414894072295E-2</v>
      </c>
      <c r="L301" s="28">
        <f t="shared" si="16"/>
        <v>4.0286094928376315E-2</v>
      </c>
      <c r="M301" s="28">
        <f t="shared" si="16"/>
        <v>0.48145424061772246</v>
      </c>
      <c r="N301" s="28">
        <f t="shared" si="16"/>
        <v>0.18084157521565203</v>
      </c>
    </row>
    <row r="302" spans="1:14" x14ac:dyDescent="0.4">
      <c r="A302" s="1">
        <v>30376</v>
      </c>
      <c r="B302" s="28">
        <v>-0.43187909271546232</v>
      </c>
      <c r="C302" s="28">
        <f t="shared" si="17"/>
        <v>-0.14790842478430477</v>
      </c>
      <c r="D302" s="28">
        <f t="shared" si="16"/>
        <v>-0.46556541570697618</v>
      </c>
      <c r="E302" s="28">
        <f t="shared" si="16"/>
        <v>-0.24689738292005359</v>
      </c>
      <c r="F302" s="28">
        <f t="shared" si="16"/>
        <v>-0.16335230095285169</v>
      </c>
      <c r="G302" s="28">
        <f t="shared" si="16"/>
        <v>-0.16333180914961076</v>
      </c>
      <c r="H302" s="28">
        <f t="shared" si="16"/>
        <v>-9.2341371991153665E-2</v>
      </c>
      <c r="I302" s="28">
        <f t="shared" si="16"/>
        <v>-2.1569457616124055E-3</v>
      </c>
      <c r="J302" s="28">
        <f t="shared" si="16"/>
        <v>0.1741681908503665</v>
      </c>
      <c r="K302" s="28">
        <f t="shared" si="16"/>
        <v>-0.10337962335728434</v>
      </c>
      <c r="L302" s="28">
        <f t="shared" si="16"/>
        <v>3.8191414894072295E-2</v>
      </c>
      <c r="M302" s="28">
        <f t="shared" si="16"/>
        <v>4.0286094928376315E-2</v>
      </c>
      <c r="N302" s="28">
        <f t="shared" si="16"/>
        <v>0.48145424061772246</v>
      </c>
    </row>
    <row r="303" spans="1:14" x14ac:dyDescent="0.4">
      <c r="A303" s="1">
        <v>30407</v>
      </c>
      <c r="B303" s="28">
        <v>2.4869428261752091E-2</v>
      </c>
      <c r="C303" s="28">
        <f t="shared" si="17"/>
        <v>-0.43187909271546232</v>
      </c>
      <c r="D303" s="28">
        <f t="shared" si="16"/>
        <v>-0.14790842478430477</v>
      </c>
      <c r="E303" s="28">
        <f t="shared" si="16"/>
        <v>-0.46556541570697618</v>
      </c>
      <c r="F303" s="28">
        <f t="shared" si="16"/>
        <v>-0.24689738292005359</v>
      </c>
      <c r="G303" s="28">
        <f t="shared" si="16"/>
        <v>-0.16335230095285169</v>
      </c>
      <c r="H303" s="28">
        <f t="shared" si="16"/>
        <v>-0.16333180914961076</v>
      </c>
      <c r="I303" s="28">
        <f t="shared" si="16"/>
        <v>-9.2341371991153665E-2</v>
      </c>
      <c r="J303" s="28">
        <f t="shared" si="16"/>
        <v>-2.1569457616124055E-3</v>
      </c>
      <c r="K303" s="28">
        <f t="shared" si="16"/>
        <v>0.1741681908503665</v>
      </c>
      <c r="L303" s="28">
        <f t="shared" si="16"/>
        <v>-0.10337962335728434</v>
      </c>
      <c r="M303" s="28">
        <f t="shared" si="16"/>
        <v>3.8191414894072295E-2</v>
      </c>
      <c r="N303" s="28">
        <f t="shared" si="16"/>
        <v>4.0286094928376315E-2</v>
      </c>
    </row>
    <row r="304" spans="1:14" x14ac:dyDescent="0.4">
      <c r="A304" s="1">
        <v>30437</v>
      </c>
      <c r="B304" s="28">
        <v>0.18444141489408139</v>
      </c>
      <c r="C304" s="28">
        <f t="shared" si="17"/>
        <v>2.4869428261752091E-2</v>
      </c>
      <c r="D304" s="28">
        <f t="shared" si="16"/>
        <v>-0.43187909271546232</v>
      </c>
      <c r="E304" s="28">
        <f t="shared" si="16"/>
        <v>-0.14790842478430477</v>
      </c>
      <c r="F304" s="28">
        <f t="shared" si="16"/>
        <v>-0.46556541570697618</v>
      </c>
      <c r="G304" s="28">
        <f t="shared" si="16"/>
        <v>-0.24689738292005359</v>
      </c>
      <c r="H304" s="28">
        <f t="shared" si="16"/>
        <v>-0.16335230095285169</v>
      </c>
      <c r="I304" s="28">
        <f t="shared" si="16"/>
        <v>-0.16333180914961076</v>
      </c>
      <c r="J304" s="28">
        <f t="shared" si="16"/>
        <v>-9.2341371991153665E-2</v>
      </c>
      <c r="K304" s="28">
        <f t="shared" si="16"/>
        <v>-2.1569457616124055E-3</v>
      </c>
      <c r="L304" s="28">
        <f t="shared" si="16"/>
        <v>0.1741681908503665</v>
      </c>
      <c r="M304" s="28">
        <f t="shared" si="16"/>
        <v>-0.10337962335728434</v>
      </c>
      <c r="N304" s="28">
        <f t="shared" si="16"/>
        <v>3.8191414894072295E-2</v>
      </c>
    </row>
    <row r="305" spans="1:14" x14ac:dyDescent="0.4">
      <c r="A305" s="1">
        <v>30468</v>
      </c>
      <c r="B305" s="28">
        <v>0.28412037664276113</v>
      </c>
      <c r="C305" s="28">
        <f t="shared" si="17"/>
        <v>0.18444141489408139</v>
      </c>
      <c r="D305" s="28">
        <f t="shared" si="16"/>
        <v>2.4869428261752091E-2</v>
      </c>
      <c r="E305" s="28">
        <f t="shared" si="16"/>
        <v>-0.43187909271546232</v>
      </c>
      <c r="F305" s="28">
        <f t="shared" si="16"/>
        <v>-0.14790842478430477</v>
      </c>
      <c r="G305" s="28">
        <f t="shared" si="16"/>
        <v>-0.46556541570697618</v>
      </c>
      <c r="H305" s="28">
        <f t="shared" si="16"/>
        <v>-0.24689738292005359</v>
      </c>
      <c r="I305" s="28">
        <f t="shared" si="16"/>
        <v>-0.16335230095285169</v>
      </c>
      <c r="J305" s="28">
        <f t="shared" si="16"/>
        <v>-0.16333180914961076</v>
      </c>
      <c r="K305" s="28">
        <f t="shared" si="16"/>
        <v>-9.2341371991153665E-2</v>
      </c>
      <c r="L305" s="28">
        <f t="shared" si="16"/>
        <v>-2.1569457616124055E-3</v>
      </c>
      <c r="M305" s="28">
        <f t="shared" si="16"/>
        <v>0.1741681908503665</v>
      </c>
      <c r="N305" s="28">
        <f t="shared" si="16"/>
        <v>-0.10337962335728434</v>
      </c>
    </row>
    <row r="306" spans="1:14" x14ac:dyDescent="0.4">
      <c r="A306" s="1">
        <v>30498</v>
      </c>
      <c r="B306" s="28">
        <v>0.37375152418377411</v>
      </c>
      <c r="C306" s="28">
        <f t="shared" si="17"/>
        <v>0.28412037664276113</v>
      </c>
      <c r="D306" s="28">
        <f t="shared" si="16"/>
        <v>0.18444141489408139</v>
      </c>
      <c r="E306" s="28">
        <f t="shared" si="16"/>
        <v>2.4869428261752091E-2</v>
      </c>
      <c r="F306" s="28">
        <f t="shared" si="16"/>
        <v>-0.43187909271546232</v>
      </c>
      <c r="G306" s="28">
        <f t="shared" si="16"/>
        <v>-0.14790842478430477</v>
      </c>
      <c r="H306" s="28">
        <f t="shared" si="16"/>
        <v>-0.46556541570697618</v>
      </c>
      <c r="I306" s="28">
        <f t="shared" si="16"/>
        <v>-0.24689738292005359</v>
      </c>
      <c r="J306" s="28">
        <f t="shared" si="16"/>
        <v>-0.16335230095285169</v>
      </c>
      <c r="K306" s="28">
        <f t="shared" si="16"/>
        <v>-0.16333180914961076</v>
      </c>
      <c r="L306" s="28">
        <f t="shared" si="16"/>
        <v>-9.2341371991153665E-2</v>
      </c>
      <c r="M306" s="28">
        <f t="shared" si="16"/>
        <v>-2.1569457616124055E-3</v>
      </c>
      <c r="N306" s="28">
        <f t="shared" si="16"/>
        <v>0.1741681908503665</v>
      </c>
    </row>
    <row r="307" spans="1:14" x14ac:dyDescent="0.4">
      <c r="A307" s="1">
        <v>30529</v>
      </c>
      <c r="B307" s="28">
        <v>0.73242638757176337</v>
      </c>
      <c r="C307" s="28">
        <f t="shared" si="17"/>
        <v>0.37375152418377411</v>
      </c>
      <c r="D307" s="28">
        <f t="shared" si="16"/>
        <v>0.28412037664276113</v>
      </c>
      <c r="E307" s="28">
        <f t="shared" si="16"/>
        <v>0.18444141489408139</v>
      </c>
      <c r="F307" s="28">
        <f t="shared" si="16"/>
        <v>2.4869428261752091E-2</v>
      </c>
      <c r="G307" s="28">
        <f t="shared" si="16"/>
        <v>-0.43187909271546232</v>
      </c>
      <c r="H307" s="28">
        <f t="shared" si="16"/>
        <v>-0.14790842478430477</v>
      </c>
      <c r="I307" s="28">
        <f t="shared" si="16"/>
        <v>-0.46556541570697618</v>
      </c>
      <c r="J307" s="28">
        <f t="shared" si="16"/>
        <v>-0.24689738292005359</v>
      </c>
      <c r="K307" s="28">
        <f t="shared" si="16"/>
        <v>-0.16335230095285169</v>
      </c>
      <c r="L307" s="28">
        <f t="shared" si="16"/>
        <v>-0.16333180914961076</v>
      </c>
      <c r="M307" s="28">
        <f t="shared" si="16"/>
        <v>-9.2341371991153665E-2</v>
      </c>
      <c r="N307" s="28">
        <f t="shared" si="16"/>
        <v>-2.1569457616124055E-3</v>
      </c>
    </row>
    <row r="308" spans="1:14" x14ac:dyDescent="0.4">
      <c r="A308" s="1">
        <v>30560</v>
      </c>
      <c r="B308" s="28">
        <v>-0.15650803865781882</v>
      </c>
      <c r="C308" s="28">
        <f t="shared" si="17"/>
        <v>0.73242638757176337</v>
      </c>
      <c r="D308" s="28">
        <f t="shared" si="16"/>
        <v>0.37375152418377411</v>
      </c>
      <c r="E308" s="28">
        <f t="shared" si="16"/>
        <v>0.28412037664276113</v>
      </c>
      <c r="F308" s="28">
        <f t="shared" si="16"/>
        <v>0.18444141489408139</v>
      </c>
      <c r="G308" s="28">
        <f t="shared" si="16"/>
        <v>2.4869428261752091E-2</v>
      </c>
      <c r="H308" s="28">
        <f t="shared" si="16"/>
        <v>-0.43187909271546232</v>
      </c>
      <c r="I308" s="28">
        <f t="shared" si="16"/>
        <v>-0.14790842478430477</v>
      </c>
      <c r="J308" s="28">
        <f t="shared" si="16"/>
        <v>-0.46556541570697618</v>
      </c>
      <c r="K308" s="28">
        <f t="shared" si="16"/>
        <v>-0.24689738292005359</v>
      </c>
      <c r="L308" s="28">
        <f t="shared" si="16"/>
        <v>-0.16335230095285169</v>
      </c>
      <c r="M308" s="28">
        <f t="shared" si="16"/>
        <v>-0.16333180914961076</v>
      </c>
      <c r="N308" s="28">
        <f t="shared" si="16"/>
        <v>-9.2341371991153665E-2</v>
      </c>
    </row>
    <row r="309" spans="1:14" x14ac:dyDescent="0.4">
      <c r="A309" s="1">
        <v>30590</v>
      </c>
      <c r="B309" s="28">
        <v>-9.2498475816285008E-2</v>
      </c>
      <c r="C309" s="28">
        <f t="shared" si="17"/>
        <v>-0.15650803865781882</v>
      </c>
      <c r="D309" s="28">
        <f t="shared" si="16"/>
        <v>0.73242638757176337</v>
      </c>
      <c r="E309" s="28">
        <f t="shared" si="16"/>
        <v>0.37375152418377411</v>
      </c>
      <c r="F309" s="28">
        <f t="shared" si="16"/>
        <v>0.28412037664276113</v>
      </c>
      <c r="G309" s="28">
        <f t="shared" si="16"/>
        <v>0.18444141489408139</v>
      </c>
      <c r="H309" s="28">
        <f t="shared" si="16"/>
        <v>2.4869428261752091E-2</v>
      </c>
      <c r="I309" s="28">
        <f t="shared" si="16"/>
        <v>-0.43187909271546232</v>
      </c>
      <c r="J309" s="28">
        <f t="shared" si="16"/>
        <v>-0.14790842478430477</v>
      </c>
      <c r="K309" s="28">
        <f t="shared" si="16"/>
        <v>-0.46556541570697618</v>
      </c>
      <c r="L309" s="28">
        <f t="shared" si="16"/>
        <v>-0.24689738292005359</v>
      </c>
      <c r="M309" s="28">
        <f t="shared" si="16"/>
        <v>-0.16335230095285169</v>
      </c>
      <c r="N309" s="28">
        <f t="shared" si="16"/>
        <v>-0.16333180914961076</v>
      </c>
    </row>
    <row r="310" spans="1:14" x14ac:dyDescent="0.4">
      <c r="A310" s="1">
        <v>30621</v>
      </c>
      <c r="B310" s="28">
        <v>-0.36543563428625703</v>
      </c>
      <c r="C310" s="28">
        <f t="shared" si="17"/>
        <v>-9.2498475816285008E-2</v>
      </c>
      <c r="D310" s="28">
        <f t="shared" si="16"/>
        <v>-0.15650803865781882</v>
      </c>
      <c r="E310" s="28">
        <f t="shared" si="16"/>
        <v>0.73242638757176337</v>
      </c>
      <c r="F310" s="28">
        <f t="shared" si="16"/>
        <v>0.37375152418377411</v>
      </c>
      <c r="G310" s="28">
        <f t="shared" si="16"/>
        <v>0.28412037664276113</v>
      </c>
      <c r="H310" s="28">
        <f t="shared" si="16"/>
        <v>0.18444141489408139</v>
      </c>
      <c r="I310" s="28">
        <f t="shared" si="16"/>
        <v>2.4869428261752091E-2</v>
      </c>
      <c r="J310" s="28">
        <f t="shared" si="16"/>
        <v>-0.43187909271546232</v>
      </c>
      <c r="K310" s="28">
        <f t="shared" si="16"/>
        <v>-0.14790842478430477</v>
      </c>
      <c r="L310" s="28">
        <f t="shared" si="16"/>
        <v>-0.46556541570697618</v>
      </c>
      <c r="M310" s="28">
        <f t="shared" si="16"/>
        <v>-0.24689738292005359</v>
      </c>
      <c r="N310" s="28">
        <f t="shared" si="16"/>
        <v>-0.16335230095285169</v>
      </c>
    </row>
    <row r="311" spans="1:14" x14ac:dyDescent="0.4">
      <c r="A311" s="1">
        <v>30651</v>
      </c>
      <c r="B311" s="28">
        <v>0.17935261707992822</v>
      </c>
      <c r="C311" s="28">
        <f t="shared" si="17"/>
        <v>-0.36543563428625703</v>
      </c>
      <c r="D311" s="28">
        <f t="shared" si="17"/>
        <v>-9.2498475816285008E-2</v>
      </c>
      <c r="E311" s="28">
        <f t="shared" si="17"/>
        <v>-0.15650803865781882</v>
      </c>
      <c r="F311" s="28">
        <f t="shared" si="17"/>
        <v>0.73242638757176337</v>
      </c>
      <c r="G311" s="28">
        <f t="shared" si="17"/>
        <v>0.37375152418377411</v>
      </c>
      <c r="H311" s="28">
        <f t="shared" si="17"/>
        <v>0.28412037664276113</v>
      </c>
      <c r="I311" s="28">
        <f t="shared" si="17"/>
        <v>0.18444141489408139</v>
      </c>
      <c r="J311" s="28">
        <f t="shared" si="17"/>
        <v>2.4869428261752091E-2</v>
      </c>
      <c r="K311" s="28">
        <f t="shared" si="17"/>
        <v>-0.43187909271546232</v>
      </c>
      <c r="L311" s="28">
        <f t="shared" si="17"/>
        <v>-0.14790842478430477</v>
      </c>
      <c r="M311" s="28">
        <f t="shared" si="17"/>
        <v>-0.46556541570697618</v>
      </c>
      <c r="N311" s="28">
        <f t="shared" si="17"/>
        <v>-0.24689738292005359</v>
      </c>
    </row>
    <row r="312" spans="1:14" x14ac:dyDescent="0.4">
      <c r="A312" s="1">
        <v>30682</v>
      </c>
      <c r="B312" s="28">
        <v>-0.17764874904031558</v>
      </c>
      <c r="C312" s="28">
        <f t="shared" si="17"/>
        <v>0.17935261707992822</v>
      </c>
      <c r="D312" s="28">
        <f t="shared" si="17"/>
        <v>-0.36543563428625703</v>
      </c>
      <c r="E312" s="28">
        <f t="shared" si="17"/>
        <v>-9.2498475816285008E-2</v>
      </c>
      <c r="F312" s="28">
        <f t="shared" si="17"/>
        <v>-0.15650803865781882</v>
      </c>
      <c r="G312" s="28">
        <f t="shared" si="17"/>
        <v>0.73242638757176337</v>
      </c>
      <c r="H312" s="28">
        <f t="shared" si="17"/>
        <v>0.37375152418377411</v>
      </c>
      <c r="I312" s="28">
        <f t="shared" si="17"/>
        <v>0.28412037664276113</v>
      </c>
      <c r="J312" s="28">
        <f t="shared" si="17"/>
        <v>0.18444141489408139</v>
      </c>
      <c r="K312" s="28">
        <f t="shared" si="17"/>
        <v>2.4869428261752091E-2</v>
      </c>
      <c r="L312" s="28">
        <f t="shared" si="17"/>
        <v>-0.43187909271546232</v>
      </c>
      <c r="M312" s="28">
        <f t="shared" si="17"/>
        <v>-0.14790842478430477</v>
      </c>
      <c r="N312" s="28">
        <f t="shared" si="17"/>
        <v>-0.46556541570697618</v>
      </c>
    </row>
    <row r="313" spans="1:14" x14ac:dyDescent="0.4">
      <c r="A313" s="1">
        <v>30713</v>
      </c>
      <c r="B313" s="28">
        <v>-0.10915842478431159</v>
      </c>
      <c r="C313" s="28">
        <f t="shared" si="17"/>
        <v>-0.17764874904031558</v>
      </c>
      <c r="D313" s="28">
        <f t="shared" si="17"/>
        <v>0.17935261707992822</v>
      </c>
      <c r="E313" s="28">
        <f t="shared" si="17"/>
        <v>-0.36543563428625703</v>
      </c>
      <c r="F313" s="28">
        <f t="shared" si="17"/>
        <v>-9.2498475816285008E-2</v>
      </c>
      <c r="G313" s="28">
        <f t="shared" si="17"/>
        <v>-0.15650803865781882</v>
      </c>
      <c r="H313" s="28">
        <f t="shared" si="17"/>
        <v>0.73242638757176337</v>
      </c>
      <c r="I313" s="28">
        <f t="shared" si="17"/>
        <v>0.37375152418377411</v>
      </c>
      <c r="J313" s="28">
        <f t="shared" si="17"/>
        <v>0.28412037664276113</v>
      </c>
      <c r="K313" s="28">
        <f t="shared" si="17"/>
        <v>0.18444141489408139</v>
      </c>
      <c r="L313" s="28">
        <f t="shared" si="17"/>
        <v>2.4869428261752091E-2</v>
      </c>
      <c r="M313" s="28">
        <f t="shared" si="17"/>
        <v>-0.43187909271546232</v>
      </c>
      <c r="N313" s="28">
        <f t="shared" si="17"/>
        <v>-0.14790842478430477</v>
      </c>
    </row>
    <row r="314" spans="1:14" x14ac:dyDescent="0.4">
      <c r="A314" s="1">
        <v>30742</v>
      </c>
      <c r="B314" s="28">
        <v>-9.4795759382236611E-2</v>
      </c>
      <c r="C314" s="28">
        <f t="shared" si="17"/>
        <v>-0.10915842478431159</v>
      </c>
      <c r="D314" s="28">
        <f t="shared" si="17"/>
        <v>-0.17764874904031558</v>
      </c>
      <c r="E314" s="28">
        <f t="shared" si="17"/>
        <v>0.17935261707992822</v>
      </c>
      <c r="F314" s="28">
        <f t="shared" si="17"/>
        <v>-0.36543563428625703</v>
      </c>
      <c r="G314" s="28">
        <f t="shared" si="17"/>
        <v>-9.2498475816285008E-2</v>
      </c>
      <c r="H314" s="28">
        <f t="shared" si="17"/>
        <v>-0.15650803865781882</v>
      </c>
      <c r="I314" s="28">
        <f t="shared" si="17"/>
        <v>0.73242638757176337</v>
      </c>
      <c r="J314" s="28">
        <f t="shared" si="17"/>
        <v>0.37375152418377411</v>
      </c>
      <c r="K314" s="28">
        <f t="shared" si="17"/>
        <v>0.28412037664276113</v>
      </c>
      <c r="L314" s="28">
        <f t="shared" si="17"/>
        <v>0.18444141489408139</v>
      </c>
      <c r="M314" s="28">
        <f t="shared" si="17"/>
        <v>2.4869428261752091E-2</v>
      </c>
      <c r="N314" s="28">
        <f t="shared" si="17"/>
        <v>-0.43187909271546232</v>
      </c>
    </row>
    <row r="315" spans="1:14" x14ac:dyDescent="0.4">
      <c r="A315" s="1">
        <v>30773</v>
      </c>
      <c r="B315" s="28">
        <v>0.35278609492843316</v>
      </c>
      <c r="C315" s="28">
        <f t="shared" si="17"/>
        <v>-9.4795759382236611E-2</v>
      </c>
      <c r="D315" s="28">
        <f t="shared" si="17"/>
        <v>-0.10915842478431159</v>
      </c>
      <c r="E315" s="28">
        <f t="shared" si="17"/>
        <v>-0.17764874904031558</v>
      </c>
      <c r="F315" s="28">
        <f t="shared" si="17"/>
        <v>0.17935261707992822</v>
      </c>
      <c r="G315" s="28">
        <f t="shared" si="17"/>
        <v>-0.36543563428625703</v>
      </c>
      <c r="H315" s="28">
        <f t="shared" si="17"/>
        <v>-9.2498475816285008E-2</v>
      </c>
      <c r="I315" s="28">
        <f t="shared" si="17"/>
        <v>-0.15650803865781882</v>
      </c>
      <c r="J315" s="28">
        <f t="shared" si="17"/>
        <v>0.73242638757176337</v>
      </c>
      <c r="K315" s="28">
        <f t="shared" si="17"/>
        <v>0.37375152418377411</v>
      </c>
      <c r="L315" s="28">
        <f t="shared" si="17"/>
        <v>0.28412037664276113</v>
      </c>
      <c r="M315" s="28">
        <f t="shared" si="17"/>
        <v>0.18444141489408139</v>
      </c>
      <c r="N315" s="28">
        <f t="shared" si="17"/>
        <v>2.4869428261752091E-2</v>
      </c>
    </row>
    <row r="316" spans="1:14" x14ac:dyDescent="0.4">
      <c r="A316" s="1">
        <v>30803</v>
      </c>
      <c r="B316" s="28">
        <v>0.10694141489409503</v>
      </c>
      <c r="C316" s="28">
        <f t="shared" si="17"/>
        <v>0.35278609492843316</v>
      </c>
      <c r="D316" s="28">
        <f t="shared" si="17"/>
        <v>-9.4795759382236611E-2</v>
      </c>
      <c r="E316" s="28">
        <f t="shared" si="17"/>
        <v>-0.10915842478431159</v>
      </c>
      <c r="F316" s="28">
        <f t="shared" si="17"/>
        <v>-0.17764874904031558</v>
      </c>
      <c r="G316" s="28">
        <f t="shared" si="17"/>
        <v>0.17935261707992822</v>
      </c>
      <c r="H316" s="28">
        <f t="shared" si="17"/>
        <v>-0.36543563428625703</v>
      </c>
      <c r="I316" s="28">
        <f t="shared" si="17"/>
        <v>-9.2498475816285008E-2</v>
      </c>
      <c r="J316" s="28">
        <f t="shared" si="17"/>
        <v>-0.15650803865781882</v>
      </c>
      <c r="K316" s="28">
        <f t="shared" si="17"/>
        <v>0.73242638757176337</v>
      </c>
      <c r="L316" s="28">
        <f t="shared" si="17"/>
        <v>0.37375152418377411</v>
      </c>
      <c r="M316" s="28">
        <f t="shared" si="17"/>
        <v>0.28412037664276113</v>
      </c>
      <c r="N316" s="28">
        <f t="shared" si="17"/>
        <v>0.18444141489408139</v>
      </c>
    </row>
    <row r="317" spans="1:14" x14ac:dyDescent="0.4">
      <c r="A317" s="1">
        <v>30834</v>
      </c>
      <c r="B317" s="28">
        <v>7.2037043309421733E-2</v>
      </c>
      <c r="C317" s="28">
        <f t="shared" si="17"/>
        <v>0.10694141489409503</v>
      </c>
      <c r="D317" s="28">
        <f t="shared" si="17"/>
        <v>0.35278609492843316</v>
      </c>
      <c r="E317" s="28">
        <f t="shared" si="17"/>
        <v>-9.4795759382236611E-2</v>
      </c>
      <c r="F317" s="28">
        <f t="shared" si="17"/>
        <v>-0.10915842478431159</v>
      </c>
      <c r="G317" s="28">
        <f t="shared" si="17"/>
        <v>-0.17764874904031558</v>
      </c>
      <c r="H317" s="28">
        <f t="shared" si="17"/>
        <v>0.17935261707992822</v>
      </c>
      <c r="I317" s="28">
        <f t="shared" si="17"/>
        <v>-0.36543563428625703</v>
      </c>
      <c r="J317" s="28">
        <f t="shared" si="17"/>
        <v>-9.2498475816285008E-2</v>
      </c>
      <c r="K317" s="28">
        <f t="shared" si="17"/>
        <v>-0.15650803865781882</v>
      </c>
      <c r="L317" s="28">
        <f t="shared" si="17"/>
        <v>0.73242638757176337</v>
      </c>
      <c r="M317" s="28">
        <f t="shared" si="17"/>
        <v>0.37375152418377411</v>
      </c>
      <c r="N317" s="28">
        <f t="shared" si="17"/>
        <v>0.28412037664276113</v>
      </c>
    </row>
    <row r="318" spans="1:14" x14ac:dyDescent="0.4">
      <c r="A318" s="1">
        <v>30864</v>
      </c>
      <c r="B318" s="28">
        <v>0.18833485751696344</v>
      </c>
      <c r="C318" s="28">
        <f t="shared" si="17"/>
        <v>7.2037043309421733E-2</v>
      </c>
      <c r="D318" s="28">
        <f t="shared" si="17"/>
        <v>0.10694141489409503</v>
      </c>
      <c r="E318" s="28">
        <f t="shared" si="17"/>
        <v>0.35278609492843316</v>
      </c>
      <c r="F318" s="28">
        <f t="shared" si="17"/>
        <v>-9.4795759382236611E-2</v>
      </c>
      <c r="G318" s="28">
        <f t="shared" si="17"/>
        <v>-0.10915842478431159</v>
      </c>
      <c r="H318" s="28">
        <f t="shared" si="17"/>
        <v>-0.17764874904031558</v>
      </c>
      <c r="I318" s="28">
        <f t="shared" si="17"/>
        <v>0.17935261707992822</v>
      </c>
      <c r="J318" s="28">
        <f t="shared" si="17"/>
        <v>-0.36543563428625703</v>
      </c>
      <c r="K318" s="28">
        <f t="shared" si="17"/>
        <v>-9.2498475816285008E-2</v>
      </c>
      <c r="L318" s="28">
        <f t="shared" si="17"/>
        <v>-0.15650803865781882</v>
      </c>
      <c r="M318" s="28">
        <f t="shared" si="17"/>
        <v>0.73242638757176337</v>
      </c>
      <c r="N318" s="28">
        <f t="shared" si="17"/>
        <v>0.37375152418377411</v>
      </c>
    </row>
    <row r="319" spans="1:14" x14ac:dyDescent="0.4">
      <c r="A319" s="1">
        <v>30895</v>
      </c>
      <c r="B319" s="28">
        <v>0.10117638757162695</v>
      </c>
      <c r="C319" s="28">
        <f t="shared" si="17"/>
        <v>0.18833485751696344</v>
      </c>
      <c r="D319" s="28">
        <f t="shared" si="17"/>
        <v>7.2037043309421733E-2</v>
      </c>
      <c r="E319" s="28">
        <f t="shared" si="17"/>
        <v>0.10694141489409503</v>
      </c>
      <c r="F319" s="28">
        <f t="shared" si="17"/>
        <v>0.35278609492843316</v>
      </c>
      <c r="G319" s="28">
        <f t="shared" si="17"/>
        <v>-9.4795759382236611E-2</v>
      </c>
      <c r="H319" s="28">
        <f t="shared" si="17"/>
        <v>-0.10915842478431159</v>
      </c>
      <c r="I319" s="28">
        <f t="shared" si="17"/>
        <v>-0.17764874904031558</v>
      </c>
      <c r="J319" s="28">
        <f t="shared" si="17"/>
        <v>0.17935261707992822</v>
      </c>
      <c r="K319" s="28">
        <f t="shared" si="17"/>
        <v>-0.36543563428625703</v>
      </c>
      <c r="L319" s="28">
        <f t="shared" si="17"/>
        <v>-9.2498475816285008E-2</v>
      </c>
      <c r="M319" s="28">
        <f t="shared" si="17"/>
        <v>-0.15650803865781882</v>
      </c>
      <c r="N319" s="28">
        <f t="shared" si="17"/>
        <v>0.73242638757176337</v>
      </c>
    </row>
    <row r="320" spans="1:14" x14ac:dyDescent="0.4">
      <c r="A320" s="1">
        <v>30926</v>
      </c>
      <c r="B320" s="28">
        <v>-0.46567470532448851</v>
      </c>
      <c r="C320" s="28">
        <f t="shared" si="17"/>
        <v>0.10117638757162695</v>
      </c>
      <c r="D320" s="28">
        <f t="shared" si="17"/>
        <v>0.18833485751696344</v>
      </c>
      <c r="E320" s="28">
        <f t="shared" si="17"/>
        <v>7.2037043309421733E-2</v>
      </c>
      <c r="F320" s="28">
        <f t="shared" si="17"/>
        <v>0.10694141489409503</v>
      </c>
      <c r="G320" s="28">
        <f t="shared" si="17"/>
        <v>0.35278609492843316</v>
      </c>
      <c r="H320" s="28">
        <f t="shared" si="17"/>
        <v>-9.4795759382236611E-2</v>
      </c>
      <c r="I320" s="28">
        <f t="shared" si="17"/>
        <v>-0.10915842478431159</v>
      </c>
      <c r="J320" s="28">
        <f t="shared" si="17"/>
        <v>-0.17764874904031558</v>
      </c>
      <c r="K320" s="28">
        <f t="shared" si="17"/>
        <v>0.17935261707992822</v>
      </c>
      <c r="L320" s="28">
        <f t="shared" si="17"/>
        <v>-0.36543563428625703</v>
      </c>
      <c r="M320" s="28">
        <f t="shared" si="17"/>
        <v>-9.2498475816285008E-2</v>
      </c>
      <c r="N320" s="28">
        <f t="shared" si="17"/>
        <v>-0.15650803865781882</v>
      </c>
    </row>
    <row r="321" spans="1:14" x14ac:dyDescent="0.4">
      <c r="A321" s="1">
        <v>30956</v>
      </c>
      <c r="B321" s="28">
        <v>-0.20624847581632366</v>
      </c>
      <c r="C321" s="28">
        <f t="shared" si="17"/>
        <v>-0.46567470532448851</v>
      </c>
      <c r="D321" s="28">
        <f t="shared" si="17"/>
        <v>0.10117638757162695</v>
      </c>
      <c r="E321" s="28">
        <f t="shared" si="17"/>
        <v>0.18833485751696344</v>
      </c>
      <c r="F321" s="28">
        <f t="shared" si="17"/>
        <v>7.2037043309421733E-2</v>
      </c>
      <c r="G321" s="28">
        <f t="shared" si="17"/>
        <v>0.10694141489409503</v>
      </c>
      <c r="H321" s="28">
        <f t="shared" si="17"/>
        <v>0.35278609492843316</v>
      </c>
      <c r="I321" s="28">
        <f t="shared" si="17"/>
        <v>-9.4795759382236611E-2</v>
      </c>
      <c r="J321" s="28">
        <f t="shared" si="17"/>
        <v>-0.10915842478431159</v>
      </c>
      <c r="K321" s="28">
        <f t="shared" si="17"/>
        <v>-0.17764874904031558</v>
      </c>
      <c r="L321" s="28">
        <f t="shared" si="17"/>
        <v>0.17935261707992822</v>
      </c>
      <c r="M321" s="28">
        <f t="shared" si="17"/>
        <v>-0.36543563428625703</v>
      </c>
      <c r="N321" s="28">
        <f t="shared" si="17"/>
        <v>-9.2498475816285008E-2</v>
      </c>
    </row>
    <row r="322" spans="1:14" x14ac:dyDescent="0.4">
      <c r="A322" s="1">
        <v>30987</v>
      </c>
      <c r="B322" s="28">
        <v>3.1647699047141487E-2</v>
      </c>
      <c r="C322" s="28">
        <f t="shared" si="17"/>
        <v>-0.20624847581632366</v>
      </c>
      <c r="D322" s="28">
        <f t="shared" si="17"/>
        <v>-0.46567470532448851</v>
      </c>
      <c r="E322" s="28">
        <f t="shared" si="17"/>
        <v>0.10117638757162695</v>
      </c>
      <c r="F322" s="28">
        <f t="shared" si="17"/>
        <v>0.18833485751696344</v>
      </c>
      <c r="G322" s="28">
        <f t="shared" si="17"/>
        <v>7.2037043309421733E-2</v>
      </c>
      <c r="H322" s="28">
        <f t="shared" si="17"/>
        <v>0.10694141489409503</v>
      </c>
      <c r="I322" s="28">
        <f t="shared" si="17"/>
        <v>0.35278609492843316</v>
      </c>
      <c r="J322" s="28">
        <f t="shared" si="17"/>
        <v>-9.4795759382236611E-2</v>
      </c>
      <c r="K322" s="28">
        <f t="shared" si="17"/>
        <v>-0.10915842478431159</v>
      </c>
      <c r="L322" s="28">
        <f t="shared" si="17"/>
        <v>-0.17764874904031558</v>
      </c>
      <c r="M322" s="28">
        <f t="shared" si="17"/>
        <v>0.17935261707992822</v>
      </c>
      <c r="N322" s="28">
        <f t="shared" si="17"/>
        <v>-0.36543563428625703</v>
      </c>
    </row>
    <row r="323" spans="1:14" x14ac:dyDescent="0.4">
      <c r="A323" s="1">
        <v>31017</v>
      </c>
      <c r="B323" s="28">
        <v>-1.523071625342709E-2</v>
      </c>
      <c r="C323" s="28">
        <f t="shared" si="17"/>
        <v>3.1647699047141487E-2</v>
      </c>
      <c r="D323" s="28">
        <f t="shared" si="17"/>
        <v>-0.20624847581632366</v>
      </c>
      <c r="E323" s="28">
        <f t="shared" si="17"/>
        <v>-0.46567470532448851</v>
      </c>
      <c r="F323" s="28">
        <f t="shared" si="17"/>
        <v>0.10117638757162695</v>
      </c>
      <c r="G323" s="28">
        <f t="shared" si="17"/>
        <v>0.18833485751696344</v>
      </c>
      <c r="H323" s="28">
        <f t="shared" si="17"/>
        <v>7.2037043309421733E-2</v>
      </c>
      <c r="I323" s="28">
        <f t="shared" si="17"/>
        <v>0.10694141489409503</v>
      </c>
      <c r="J323" s="28">
        <f t="shared" si="17"/>
        <v>0.35278609492843316</v>
      </c>
      <c r="K323" s="28">
        <f t="shared" si="17"/>
        <v>-9.4795759382236611E-2</v>
      </c>
      <c r="L323" s="28">
        <f t="shared" si="17"/>
        <v>-0.10915842478431159</v>
      </c>
      <c r="M323" s="28">
        <f t="shared" si="17"/>
        <v>-0.17764874904031558</v>
      </c>
      <c r="N323" s="28">
        <f t="shared" si="17"/>
        <v>0.17935261707992822</v>
      </c>
    </row>
    <row r="324" spans="1:14" x14ac:dyDescent="0.4">
      <c r="A324" s="1">
        <v>31048</v>
      </c>
      <c r="B324" s="28">
        <v>-0.32098208237363224</v>
      </c>
      <c r="C324" s="28">
        <f t="shared" si="17"/>
        <v>-1.523071625342709E-2</v>
      </c>
      <c r="D324" s="28">
        <f t="shared" si="17"/>
        <v>3.1647699047141487E-2</v>
      </c>
      <c r="E324" s="28">
        <f t="shared" si="17"/>
        <v>-0.20624847581632366</v>
      </c>
      <c r="F324" s="28">
        <f t="shared" si="17"/>
        <v>-0.46567470532448851</v>
      </c>
      <c r="G324" s="28">
        <f t="shared" si="17"/>
        <v>0.10117638757162695</v>
      </c>
      <c r="H324" s="28">
        <f t="shared" si="17"/>
        <v>0.18833485751696344</v>
      </c>
      <c r="I324" s="28">
        <f t="shared" si="17"/>
        <v>7.2037043309421733E-2</v>
      </c>
      <c r="J324" s="28">
        <f t="shared" si="17"/>
        <v>0.10694141489409503</v>
      </c>
      <c r="K324" s="28">
        <f t="shared" si="17"/>
        <v>0.35278609492843316</v>
      </c>
      <c r="L324" s="28">
        <f t="shared" si="17"/>
        <v>-9.4795759382236611E-2</v>
      </c>
      <c r="M324" s="28">
        <f t="shared" si="17"/>
        <v>-0.10915842478431159</v>
      </c>
      <c r="N324" s="28">
        <f t="shared" si="17"/>
        <v>-0.17764874904031558</v>
      </c>
    </row>
    <row r="325" spans="1:14" x14ac:dyDescent="0.4">
      <c r="A325" s="1">
        <v>31079</v>
      </c>
      <c r="B325" s="28">
        <v>-4.2908424784286581E-2</v>
      </c>
      <c r="C325" s="28">
        <f t="shared" si="17"/>
        <v>-0.32098208237363224</v>
      </c>
      <c r="D325" s="28">
        <f t="shared" si="17"/>
        <v>-1.523071625342709E-2</v>
      </c>
      <c r="E325" s="28">
        <f t="shared" si="17"/>
        <v>3.1647699047141487E-2</v>
      </c>
      <c r="F325" s="28">
        <f t="shared" si="17"/>
        <v>-0.20624847581632366</v>
      </c>
      <c r="G325" s="28">
        <f t="shared" si="17"/>
        <v>-0.46567470532448851</v>
      </c>
      <c r="H325" s="28">
        <f t="shared" si="17"/>
        <v>0.10117638757162695</v>
      </c>
      <c r="I325" s="28">
        <f t="shared" si="17"/>
        <v>0.18833485751696344</v>
      </c>
      <c r="J325" s="28">
        <f t="shared" si="17"/>
        <v>7.2037043309421733E-2</v>
      </c>
      <c r="K325" s="28">
        <f t="shared" si="17"/>
        <v>0.10694141489409503</v>
      </c>
      <c r="L325" s="28">
        <f t="shared" si="17"/>
        <v>0.35278609492843316</v>
      </c>
      <c r="M325" s="28">
        <f t="shared" si="17"/>
        <v>-9.4795759382236611E-2</v>
      </c>
      <c r="N325" s="28">
        <f t="shared" si="17"/>
        <v>-0.10915842478431159</v>
      </c>
    </row>
    <row r="326" spans="1:14" x14ac:dyDescent="0.4">
      <c r="A326" s="1">
        <v>31107</v>
      </c>
      <c r="B326" s="28">
        <v>0.56687090728445355</v>
      </c>
      <c r="C326" s="28">
        <f t="shared" si="17"/>
        <v>-4.2908424784286581E-2</v>
      </c>
      <c r="D326" s="28">
        <f t="shared" si="17"/>
        <v>-0.32098208237363224</v>
      </c>
      <c r="E326" s="28">
        <f t="shared" si="17"/>
        <v>-1.523071625342709E-2</v>
      </c>
      <c r="F326" s="28">
        <f t="shared" si="17"/>
        <v>3.1647699047141487E-2</v>
      </c>
      <c r="G326" s="28">
        <f t="shared" si="17"/>
        <v>-0.20624847581632366</v>
      </c>
      <c r="H326" s="28">
        <f t="shared" si="17"/>
        <v>-0.46567470532448851</v>
      </c>
      <c r="I326" s="28">
        <f t="shared" si="17"/>
        <v>0.10117638757162695</v>
      </c>
      <c r="J326" s="28">
        <f t="shared" si="17"/>
        <v>0.18833485751696344</v>
      </c>
      <c r="K326" s="28">
        <f t="shared" si="17"/>
        <v>7.2037043309421733E-2</v>
      </c>
      <c r="L326" s="28">
        <f t="shared" si="17"/>
        <v>0.10694141489409503</v>
      </c>
      <c r="M326" s="28">
        <f t="shared" si="17"/>
        <v>0.35278609492843316</v>
      </c>
      <c r="N326" s="28">
        <f t="shared" si="17"/>
        <v>-9.4795759382236611E-2</v>
      </c>
    </row>
    <row r="327" spans="1:14" x14ac:dyDescent="0.4">
      <c r="A327" s="1">
        <v>31138</v>
      </c>
      <c r="B327" s="28">
        <v>0.13653609492843088</v>
      </c>
      <c r="C327" s="28">
        <f t="shared" si="17"/>
        <v>0.56687090728445355</v>
      </c>
      <c r="D327" s="28">
        <f t="shared" si="17"/>
        <v>-4.2908424784286581E-2</v>
      </c>
      <c r="E327" s="28">
        <f t="shared" si="17"/>
        <v>-0.32098208237363224</v>
      </c>
      <c r="F327" s="28">
        <f t="shared" si="17"/>
        <v>-1.523071625342709E-2</v>
      </c>
      <c r="G327" s="28">
        <f t="shared" si="17"/>
        <v>3.1647699047141487E-2</v>
      </c>
      <c r="H327" s="28">
        <f t="shared" si="17"/>
        <v>-0.20624847581632366</v>
      </c>
      <c r="I327" s="28">
        <f t="shared" si="17"/>
        <v>-0.46567470532448851</v>
      </c>
      <c r="J327" s="28">
        <f t="shared" si="17"/>
        <v>0.10117638757162695</v>
      </c>
      <c r="K327" s="28">
        <f t="shared" si="17"/>
        <v>0.18833485751696344</v>
      </c>
      <c r="L327" s="28">
        <f t="shared" si="17"/>
        <v>7.2037043309421733E-2</v>
      </c>
      <c r="M327" s="28">
        <f t="shared" si="17"/>
        <v>0.10694141489409503</v>
      </c>
      <c r="N327" s="28">
        <f t="shared" si="17"/>
        <v>0.35278609492843316</v>
      </c>
    </row>
    <row r="328" spans="1:14" x14ac:dyDescent="0.4">
      <c r="A328" s="1">
        <v>31168</v>
      </c>
      <c r="B328" s="28">
        <v>0.11069141489400636</v>
      </c>
      <c r="C328" s="28">
        <f t="shared" si="17"/>
        <v>0.13653609492843088</v>
      </c>
      <c r="D328" s="28">
        <f t="shared" si="17"/>
        <v>0.56687090728445355</v>
      </c>
      <c r="E328" s="28">
        <f t="shared" si="17"/>
        <v>-4.2908424784286581E-2</v>
      </c>
      <c r="F328" s="28">
        <f t="shared" si="17"/>
        <v>-0.32098208237363224</v>
      </c>
      <c r="G328" s="28">
        <f t="shared" si="17"/>
        <v>-1.523071625342709E-2</v>
      </c>
      <c r="H328" s="28">
        <f t="shared" si="17"/>
        <v>3.1647699047141487E-2</v>
      </c>
      <c r="I328" s="28">
        <f t="shared" si="17"/>
        <v>-0.20624847581632366</v>
      </c>
      <c r="J328" s="28">
        <f t="shared" si="17"/>
        <v>-0.46567470532448851</v>
      </c>
      <c r="K328" s="28">
        <f t="shared" si="17"/>
        <v>0.10117638757162695</v>
      </c>
      <c r="L328" s="28">
        <f t="shared" si="17"/>
        <v>0.18833485751696344</v>
      </c>
      <c r="M328" s="28">
        <f t="shared" si="17"/>
        <v>7.2037043309421733E-2</v>
      </c>
      <c r="N328" s="28">
        <f t="shared" si="17"/>
        <v>0.10694141489409503</v>
      </c>
    </row>
    <row r="329" spans="1:14" x14ac:dyDescent="0.4">
      <c r="A329" s="1">
        <v>31199</v>
      </c>
      <c r="B329" s="28">
        <v>4.4953709975970924E-2</v>
      </c>
      <c r="C329" s="28">
        <f t="shared" si="17"/>
        <v>0.11069141489400636</v>
      </c>
      <c r="D329" s="28">
        <f t="shared" si="17"/>
        <v>0.13653609492843088</v>
      </c>
      <c r="E329" s="28">
        <f t="shared" si="17"/>
        <v>0.56687090728445355</v>
      </c>
      <c r="F329" s="28">
        <f t="shared" si="17"/>
        <v>-4.2908424784286581E-2</v>
      </c>
      <c r="G329" s="28">
        <f t="shared" si="17"/>
        <v>-0.32098208237363224</v>
      </c>
      <c r="H329" s="28">
        <f t="shared" si="17"/>
        <v>-1.523071625342709E-2</v>
      </c>
      <c r="I329" s="28">
        <f t="shared" si="17"/>
        <v>3.1647699047141487E-2</v>
      </c>
      <c r="J329" s="28">
        <f t="shared" si="17"/>
        <v>-0.20624847581632366</v>
      </c>
      <c r="K329" s="28">
        <f t="shared" si="17"/>
        <v>-0.46567470532448851</v>
      </c>
      <c r="L329" s="28">
        <f t="shared" si="17"/>
        <v>0.10117638757162695</v>
      </c>
      <c r="M329" s="28">
        <f t="shared" si="17"/>
        <v>0.18833485751696344</v>
      </c>
      <c r="N329" s="28">
        <f t="shared" si="17"/>
        <v>7.2037043309421733E-2</v>
      </c>
    </row>
    <row r="330" spans="1:14" x14ac:dyDescent="0.4">
      <c r="A330" s="1">
        <v>31229</v>
      </c>
      <c r="B330" s="28">
        <v>-0.12583180914970171</v>
      </c>
      <c r="C330" s="28">
        <f t="shared" si="17"/>
        <v>4.4953709975970924E-2</v>
      </c>
      <c r="D330" s="28">
        <f t="shared" si="17"/>
        <v>0.11069141489400636</v>
      </c>
      <c r="E330" s="28">
        <f t="shared" si="17"/>
        <v>0.13653609492843088</v>
      </c>
      <c r="F330" s="28">
        <f t="shared" si="17"/>
        <v>0.56687090728445355</v>
      </c>
      <c r="G330" s="28">
        <f t="shared" si="17"/>
        <v>-4.2908424784286581E-2</v>
      </c>
      <c r="H330" s="28">
        <f t="shared" si="17"/>
        <v>-0.32098208237363224</v>
      </c>
      <c r="I330" s="28">
        <f t="shared" si="17"/>
        <v>-1.523071625342709E-2</v>
      </c>
      <c r="J330" s="28">
        <f t="shared" si="17"/>
        <v>3.1647699047141487E-2</v>
      </c>
      <c r="K330" s="28">
        <f t="shared" si="17"/>
        <v>-0.20624847581632366</v>
      </c>
      <c r="L330" s="28">
        <f t="shared" si="17"/>
        <v>-0.46567470532448851</v>
      </c>
      <c r="M330" s="28">
        <f t="shared" si="17"/>
        <v>0.10117638757162695</v>
      </c>
      <c r="N330" s="28">
        <f t="shared" si="17"/>
        <v>0.18833485751696344</v>
      </c>
    </row>
    <row r="331" spans="1:14" x14ac:dyDescent="0.4">
      <c r="A331" s="1">
        <v>31260</v>
      </c>
      <c r="B331" s="28">
        <v>2.6593054238389868E-2</v>
      </c>
      <c r="C331" s="28">
        <f t="shared" ref="C331:N394" si="18">IF(B330=0,"",B330)</f>
        <v>-0.12583180914970171</v>
      </c>
      <c r="D331" s="28">
        <f t="shared" si="18"/>
        <v>4.4953709975970924E-2</v>
      </c>
      <c r="E331" s="28">
        <f t="shared" si="18"/>
        <v>0.11069141489400636</v>
      </c>
      <c r="F331" s="28">
        <f t="shared" si="18"/>
        <v>0.13653609492843088</v>
      </c>
      <c r="G331" s="28">
        <f t="shared" si="18"/>
        <v>0.56687090728445355</v>
      </c>
      <c r="H331" s="28">
        <f t="shared" si="18"/>
        <v>-4.2908424784286581E-2</v>
      </c>
      <c r="I331" s="28">
        <f t="shared" si="18"/>
        <v>-0.32098208237363224</v>
      </c>
      <c r="J331" s="28">
        <f t="shared" si="18"/>
        <v>-1.523071625342709E-2</v>
      </c>
      <c r="K331" s="28">
        <f t="shared" si="18"/>
        <v>3.1647699047141487E-2</v>
      </c>
      <c r="L331" s="28">
        <f t="shared" si="18"/>
        <v>-0.20624847581632366</v>
      </c>
      <c r="M331" s="28">
        <f t="shared" si="18"/>
        <v>-0.46567470532448851</v>
      </c>
      <c r="N331" s="28">
        <f t="shared" si="18"/>
        <v>0.10117638757162695</v>
      </c>
    </row>
    <row r="332" spans="1:14" x14ac:dyDescent="0.4">
      <c r="A332" s="1">
        <v>31291</v>
      </c>
      <c r="B332" s="28">
        <v>0.18307529467551831</v>
      </c>
      <c r="C332" s="28">
        <f t="shared" si="18"/>
        <v>2.6593054238389868E-2</v>
      </c>
      <c r="D332" s="28">
        <f t="shared" si="18"/>
        <v>-0.12583180914970171</v>
      </c>
      <c r="E332" s="28">
        <f t="shared" si="18"/>
        <v>4.4953709975970924E-2</v>
      </c>
      <c r="F332" s="28">
        <f t="shared" si="18"/>
        <v>0.11069141489400636</v>
      </c>
      <c r="G332" s="28">
        <f t="shared" si="18"/>
        <v>0.13653609492843088</v>
      </c>
      <c r="H332" s="28">
        <f t="shared" si="18"/>
        <v>0.56687090728445355</v>
      </c>
      <c r="I332" s="28">
        <f t="shared" si="18"/>
        <v>-4.2908424784286581E-2</v>
      </c>
      <c r="J332" s="28">
        <f t="shared" si="18"/>
        <v>-0.32098208237363224</v>
      </c>
      <c r="K332" s="28">
        <f t="shared" si="18"/>
        <v>-1.523071625342709E-2</v>
      </c>
      <c r="L332" s="28">
        <f t="shared" si="18"/>
        <v>3.1647699047141487E-2</v>
      </c>
      <c r="M332" s="28">
        <f t="shared" si="18"/>
        <v>-0.20624847581632366</v>
      </c>
      <c r="N332" s="28">
        <f t="shared" si="18"/>
        <v>-0.46567470532448851</v>
      </c>
    </row>
    <row r="333" spans="1:14" x14ac:dyDescent="0.4">
      <c r="A333" s="1">
        <v>31321</v>
      </c>
      <c r="B333" s="28">
        <v>-5.2081809149569835E-2</v>
      </c>
      <c r="C333" s="28">
        <f t="shared" si="18"/>
        <v>0.18307529467551831</v>
      </c>
      <c r="D333" s="28">
        <f t="shared" si="18"/>
        <v>2.6593054238389868E-2</v>
      </c>
      <c r="E333" s="28">
        <f t="shared" si="18"/>
        <v>-0.12583180914970171</v>
      </c>
      <c r="F333" s="28">
        <f t="shared" si="18"/>
        <v>4.4953709975970924E-2</v>
      </c>
      <c r="G333" s="28">
        <f t="shared" si="18"/>
        <v>0.11069141489400636</v>
      </c>
      <c r="H333" s="28">
        <f t="shared" si="18"/>
        <v>0.13653609492843088</v>
      </c>
      <c r="I333" s="28">
        <f t="shared" si="18"/>
        <v>0.56687090728445355</v>
      </c>
      <c r="J333" s="28">
        <f t="shared" si="18"/>
        <v>-4.2908424784286581E-2</v>
      </c>
      <c r="K333" s="28">
        <f t="shared" si="18"/>
        <v>-0.32098208237363224</v>
      </c>
      <c r="L333" s="28">
        <f t="shared" si="18"/>
        <v>-1.523071625342709E-2</v>
      </c>
      <c r="M333" s="28">
        <f t="shared" si="18"/>
        <v>3.1647699047141487E-2</v>
      </c>
      <c r="N333" s="28">
        <f t="shared" si="18"/>
        <v>-0.20624847581632366</v>
      </c>
    </row>
    <row r="334" spans="1:14" x14ac:dyDescent="0.4">
      <c r="A334" s="1">
        <v>31352</v>
      </c>
      <c r="B334" s="28">
        <v>8.7310323805240841E-3</v>
      </c>
      <c r="C334" s="28">
        <f t="shared" si="18"/>
        <v>-5.2081809149569835E-2</v>
      </c>
      <c r="D334" s="28">
        <f t="shared" si="18"/>
        <v>0.18307529467551831</v>
      </c>
      <c r="E334" s="28">
        <f t="shared" si="18"/>
        <v>2.6593054238389868E-2</v>
      </c>
      <c r="F334" s="28">
        <f t="shared" si="18"/>
        <v>-0.12583180914970171</v>
      </c>
      <c r="G334" s="28">
        <f t="shared" si="18"/>
        <v>4.4953709975970924E-2</v>
      </c>
      <c r="H334" s="28">
        <f t="shared" si="18"/>
        <v>0.11069141489400636</v>
      </c>
      <c r="I334" s="28">
        <f t="shared" si="18"/>
        <v>0.13653609492843088</v>
      </c>
      <c r="J334" s="28">
        <f t="shared" si="18"/>
        <v>0.56687090728445355</v>
      </c>
      <c r="K334" s="28">
        <f t="shared" si="18"/>
        <v>-4.2908424784286581E-2</v>
      </c>
      <c r="L334" s="28">
        <f t="shared" si="18"/>
        <v>-0.32098208237363224</v>
      </c>
      <c r="M334" s="28">
        <f t="shared" si="18"/>
        <v>-1.523071625342709E-2</v>
      </c>
      <c r="N334" s="28">
        <f t="shared" si="18"/>
        <v>3.1647699047141487E-2</v>
      </c>
    </row>
    <row r="335" spans="1:14" x14ac:dyDescent="0.4">
      <c r="A335" s="1">
        <v>31382</v>
      </c>
      <c r="B335" s="28">
        <v>5.6852617079925949E-2</v>
      </c>
      <c r="C335" s="28">
        <f t="shared" si="18"/>
        <v>8.7310323805240841E-3</v>
      </c>
      <c r="D335" s="28">
        <f t="shared" si="18"/>
        <v>-5.2081809149569835E-2</v>
      </c>
      <c r="E335" s="28">
        <f t="shared" si="18"/>
        <v>0.18307529467551831</v>
      </c>
      <c r="F335" s="28">
        <f t="shared" si="18"/>
        <v>2.6593054238389868E-2</v>
      </c>
      <c r="G335" s="28">
        <f t="shared" si="18"/>
        <v>-0.12583180914970171</v>
      </c>
      <c r="H335" s="28">
        <f t="shared" si="18"/>
        <v>4.4953709975970924E-2</v>
      </c>
      <c r="I335" s="28">
        <f t="shared" si="18"/>
        <v>0.11069141489400636</v>
      </c>
      <c r="J335" s="28">
        <f t="shared" si="18"/>
        <v>0.13653609492843088</v>
      </c>
      <c r="K335" s="28">
        <f t="shared" si="18"/>
        <v>0.56687090728445355</v>
      </c>
      <c r="L335" s="28">
        <f t="shared" si="18"/>
        <v>-4.2908424784286581E-2</v>
      </c>
      <c r="M335" s="28">
        <f t="shared" si="18"/>
        <v>-0.32098208237363224</v>
      </c>
      <c r="N335" s="28">
        <f t="shared" si="18"/>
        <v>-1.523071625342709E-2</v>
      </c>
    </row>
    <row r="336" spans="1:14" x14ac:dyDescent="0.4">
      <c r="A336" s="1">
        <v>31413</v>
      </c>
      <c r="B336" s="28">
        <v>-0.26139874904032467</v>
      </c>
      <c r="C336" s="28">
        <f t="shared" si="18"/>
        <v>5.6852617079925949E-2</v>
      </c>
      <c r="D336" s="28">
        <f t="shared" si="18"/>
        <v>8.7310323805240841E-3</v>
      </c>
      <c r="E336" s="28">
        <f t="shared" si="18"/>
        <v>-5.2081809149569835E-2</v>
      </c>
      <c r="F336" s="28">
        <f t="shared" si="18"/>
        <v>0.18307529467551831</v>
      </c>
      <c r="G336" s="28">
        <f t="shared" si="18"/>
        <v>2.6593054238389868E-2</v>
      </c>
      <c r="H336" s="28">
        <f t="shared" si="18"/>
        <v>-0.12583180914970171</v>
      </c>
      <c r="I336" s="28">
        <f t="shared" si="18"/>
        <v>4.4953709975970924E-2</v>
      </c>
      <c r="J336" s="28">
        <f t="shared" si="18"/>
        <v>0.11069141489400636</v>
      </c>
      <c r="K336" s="28">
        <f t="shared" si="18"/>
        <v>0.13653609492843088</v>
      </c>
      <c r="L336" s="28">
        <f t="shared" si="18"/>
        <v>0.56687090728445355</v>
      </c>
      <c r="M336" s="28">
        <f t="shared" si="18"/>
        <v>-4.2908424784286581E-2</v>
      </c>
      <c r="N336" s="28">
        <f t="shared" si="18"/>
        <v>-0.32098208237363224</v>
      </c>
    </row>
    <row r="337" spans="1:14" x14ac:dyDescent="0.4">
      <c r="A337" s="1">
        <v>31444</v>
      </c>
      <c r="B337" s="28">
        <v>-0.35540842478428658</v>
      </c>
      <c r="C337" s="28">
        <f t="shared" si="18"/>
        <v>-0.26139874904032467</v>
      </c>
      <c r="D337" s="28">
        <f t="shared" si="18"/>
        <v>5.6852617079925949E-2</v>
      </c>
      <c r="E337" s="28">
        <f t="shared" si="18"/>
        <v>8.7310323805240841E-3</v>
      </c>
      <c r="F337" s="28">
        <f t="shared" si="18"/>
        <v>-5.2081809149569835E-2</v>
      </c>
      <c r="G337" s="28">
        <f t="shared" si="18"/>
        <v>0.18307529467551831</v>
      </c>
      <c r="H337" s="28">
        <f t="shared" si="18"/>
        <v>2.6593054238389868E-2</v>
      </c>
      <c r="I337" s="28">
        <f t="shared" si="18"/>
        <v>-0.12583180914970171</v>
      </c>
      <c r="J337" s="28">
        <f t="shared" si="18"/>
        <v>4.4953709975970924E-2</v>
      </c>
      <c r="K337" s="28">
        <f t="shared" si="18"/>
        <v>0.11069141489400636</v>
      </c>
      <c r="L337" s="28">
        <f t="shared" si="18"/>
        <v>0.13653609492843088</v>
      </c>
      <c r="M337" s="28">
        <f t="shared" si="18"/>
        <v>0.56687090728445355</v>
      </c>
      <c r="N337" s="28">
        <f t="shared" si="18"/>
        <v>-4.2908424784286581E-2</v>
      </c>
    </row>
    <row r="338" spans="1:14" x14ac:dyDescent="0.4">
      <c r="A338" s="1">
        <v>31472</v>
      </c>
      <c r="B338" s="28">
        <v>-0.25812909271542139</v>
      </c>
      <c r="C338" s="28">
        <f t="shared" si="18"/>
        <v>-0.35540842478428658</v>
      </c>
      <c r="D338" s="28">
        <f t="shared" si="18"/>
        <v>-0.26139874904032467</v>
      </c>
      <c r="E338" s="28">
        <f t="shared" si="18"/>
        <v>5.6852617079925949E-2</v>
      </c>
      <c r="F338" s="28">
        <f t="shared" si="18"/>
        <v>8.7310323805240841E-3</v>
      </c>
      <c r="G338" s="28">
        <f t="shared" si="18"/>
        <v>-5.2081809149569835E-2</v>
      </c>
      <c r="H338" s="28">
        <f t="shared" si="18"/>
        <v>0.18307529467551831</v>
      </c>
      <c r="I338" s="28">
        <f t="shared" si="18"/>
        <v>2.6593054238389868E-2</v>
      </c>
      <c r="J338" s="28">
        <f t="shared" si="18"/>
        <v>-0.12583180914970171</v>
      </c>
      <c r="K338" s="28">
        <f t="shared" si="18"/>
        <v>4.4953709975970924E-2</v>
      </c>
      <c r="L338" s="28">
        <f t="shared" si="18"/>
        <v>0.11069141489400636</v>
      </c>
      <c r="M338" s="28">
        <f t="shared" si="18"/>
        <v>0.13653609492843088</v>
      </c>
      <c r="N338" s="28">
        <f t="shared" si="18"/>
        <v>0.56687090728445355</v>
      </c>
    </row>
    <row r="339" spans="1:14" x14ac:dyDescent="0.4">
      <c r="A339" s="1">
        <v>31503</v>
      </c>
      <c r="B339" s="28">
        <v>9.5702761595134689E-2</v>
      </c>
      <c r="C339" s="28">
        <f t="shared" si="18"/>
        <v>-0.25812909271542139</v>
      </c>
      <c r="D339" s="28">
        <f t="shared" si="18"/>
        <v>-0.35540842478428658</v>
      </c>
      <c r="E339" s="28">
        <f t="shared" si="18"/>
        <v>-0.26139874904032467</v>
      </c>
      <c r="F339" s="28">
        <f t="shared" si="18"/>
        <v>5.6852617079925949E-2</v>
      </c>
      <c r="G339" s="28">
        <f t="shared" si="18"/>
        <v>8.7310323805240841E-3</v>
      </c>
      <c r="H339" s="28">
        <f t="shared" si="18"/>
        <v>-5.2081809149569835E-2</v>
      </c>
      <c r="I339" s="28">
        <f t="shared" si="18"/>
        <v>0.18307529467551831</v>
      </c>
      <c r="J339" s="28">
        <f t="shared" si="18"/>
        <v>2.6593054238389868E-2</v>
      </c>
      <c r="K339" s="28">
        <f t="shared" si="18"/>
        <v>-0.12583180914970171</v>
      </c>
      <c r="L339" s="28">
        <f t="shared" si="18"/>
        <v>4.4953709975970924E-2</v>
      </c>
      <c r="M339" s="28">
        <f t="shared" si="18"/>
        <v>0.11069141489400636</v>
      </c>
      <c r="N339" s="28">
        <f t="shared" si="18"/>
        <v>0.13653609492843088</v>
      </c>
    </row>
    <row r="340" spans="1:14" x14ac:dyDescent="0.4">
      <c r="A340" s="1">
        <v>31533</v>
      </c>
      <c r="B340" s="28">
        <v>0.15652474822741169</v>
      </c>
      <c r="C340" s="28">
        <f t="shared" si="18"/>
        <v>9.5702761595134689E-2</v>
      </c>
      <c r="D340" s="28">
        <f t="shared" si="18"/>
        <v>-0.25812909271542139</v>
      </c>
      <c r="E340" s="28">
        <f t="shared" si="18"/>
        <v>-0.35540842478428658</v>
      </c>
      <c r="F340" s="28">
        <f t="shared" si="18"/>
        <v>-0.26139874904032467</v>
      </c>
      <c r="G340" s="28">
        <f t="shared" si="18"/>
        <v>5.6852617079925949E-2</v>
      </c>
      <c r="H340" s="28">
        <f t="shared" si="18"/>
        <v>8.7310323805240841E-3</v>
      </c>
      <c r="I340" s="28">
        <f t="shared" si="18"/>
        <v>-5.2081809149569835E-2</v>
      </c>
      <c r="J340" s="28">
        <f t="shared" si="18"/>
        <v>0.18307529467551831</v>
      </c>
      <c r="K340" s="28">
        <f t="shared" si="18"/>
        <v>2.6593054238389868E-2</v>
      </c>
      <c r="L340" s="28">
        <f t="shared" si="18"/>
        <v>-0.12583180914970171</v>
      </c>
      <c r="M340" s="28">
        <f t="shared" si="18"/>
        <v>4.4953709975970924E-2</v>
      </c>
      <c r="N340" s="28">
        <f t="shared" si="18"/>
        <v>0.11069141489400636</v>
      </c>
    </row>
    <row r="341" spans="1:14" x14ac:dyDescent="0.4">
      <c r="A341" s="1">
        <v>31564</v>
      </c>
      <c r="B341" s="28">
        <v>9.412037664270656E-2</v>
      </c>
      <c r="C341" s="28">
        <f t="shared" si="18"/>
        <v>0.15652474822741169</v>
      </c>
      <c r="D341" s="28">
        <f t="shared" si="18"/>
        <v>9.5702761595134689E-2</v>
      </c>
      <c r="E341" s="28">
        <f t="shared" si="18"/>
        <v>-0.25812909271542139</v>
      </c>
      <c r="F341" s="28">
        <f t="shared" si="18"/>
        <v>-0.35540842478428658</v>
      </c>
      <c r="G341" s="28">
        <f t="shared" si="18"/>
        <v>-0.26139874904032467</v>
      </c>
      <c r="H341" s="28">
        <f t="shared" si="18"/>
        <v>5.6852617079925949E-2</v>
      </c>
      <c r="I341" s="28">
        <f t="shared" si="18"/>
        <v>8.7310323805240841E-3</v>
      </c>
      <c r="J341" s="28">
        <f t="shared" si="18"/>
        <v>-5.2081809149569835E-2</v>
      </c>
      <c r="K341" s="28">
        <f t="shared" si="18"/>
        <v>0.18307529467551831</v>
      </c>
      <c r="L341" s="28">
        <f t="shared" si="18"/>
        <v>2.6593054238389868E-2</v>
      </c>
      <c r="M341" s="28">
        <f t="shared" si="18"/>
        <v>-0.12583180914970171</v>
      </c>
      <c r="N341" s="28">
        <f t="shared" si="18"/>
        <v>4.4953709975970924E-2</v>
      </c>
    </row>
    <row r="342" spans="1:14" x14ac:dyDescent="0.4">
      <c r="A342" s="1">
        <v>31594</v>
      </c>
      <c r="B342" s="28">
        <v>-1.2915142482938791E-2</v>
      </c>
      <c r="C342" s="28">
        <f t="shared" si="18"/>
        <v>9.412037664270656E-2</v>
      </c>
      <c r="D342" s="28">
        <f t="shared" si="18"/>
        <v>0.15652474822741169</v>
      </c>
      <c r="E342" s="28">
        <f t="shared" si="18"/>
        <v>9.5702761595134689E-2</v>
      </c>
      <c r="F342" s="28">
        <f t="shared" si="18"/>
        <v>-0.25812909271542139</v>
      </c>
      <c r="G342" s="28">
        <f t="shared" si="18"/>
        <v>-0.35540842478428658</v>
      </c>
      <c r="H342" s="28">
        <f t="shared" si="18"/>
        <v>-0.26139874904032467</v>
      </c>
      <c r="I342" s="28">
        <f t="shared" si="18"/>
        <v>5.6852617079925949E-2</v>
      </c>
      <c r="J342" s="28">
        <f t="shared" si="18"/>
        <v>8.7310323805240841E-3</v>
      </c>
      <c r="K342" s="28">
        <f t="shared" si="18"/>
        <v>-5.2081809149569835E-2</v>
      </c>
      <c r="L342" s="28">
        <f t="shared" si="18"/>
        <v>0.18307529467551831</v>
      </c>
      <c r="M342" s="28">
        <f t="shared" si="18"/>
        <v>2.6593054238389868E-2</v>
      </c>
      <c r="N342" s="28">
        <f t="shared" si="18"/>
        <v>-0.12583180914970171</v>
      </c>
    </row>
    <row r="343" spans="1:14" x14ac:dyDescent="0.4">
      <c r="A343" s="1">
        <v>31625</v>
      </c>
      <c r="B343" s="28">
        <v>-5.0490279094958623E-2</v>
      </c>
      <c r="C343" s="28">
        <f t="shared" si="18"/>
        <v>-1.2915142482938791E-2</v>
      </c>
      <c r="D343" s="28">
        <f t="shared" si="18"/>
        <v>9.412037664270656E-2</v>
      </c>
      <c r="E343" s="28">
        <f t="shared" si="18"/>
        <v>0.15652474822741169</v>
      </c>
      <c r="F343" s="28">
        <f t="shared" si="18"/>
        <v>9.5702761595134689E-2</v>
      </c>
      <c r="G343" s="28">
        <f t="shared" si="18"/>
        <v>-0.25812909271542139</v>
      </c>
      <c r="H343" s="28">
        <f t="shared" si="18"/>
        <v>-0.35540842478428658</v>
      </c>
      <c r="I343" s="28">
        <f t="shared" si="18"/>
        <v>-0.26139874904032467</v>
      </c>
      <c r="J343" s="28">
        <f t="shared" si="18"/>
        <v>5.6852617079925949E-2</v>
      </c>
      <c r="K343" s="28">
        <f t="shared" si="18"/>
        <v>8.7310323805240841E-3</v>
      </c>
      <c r="L343" s="28">
        <f t="shared" si="18"/>
        <v>-5.2081809149569835E-2</v>
      </c>
      <c r="M343" s="28">
        <f t="shared" si="18"/>
        <v>0.18307529467551831</v>
      </c>
      <c r="N343" s="28">
        <f t="shared" si="18"/>
        <v>2.6593054238389868E-2</v>
      </c>
    </row>
    <row r="344" spans="1:14" x14ac:dyDescent="0.4">
      <c r="A344" s="1">
        <v>31656</v>
      </c>
      <c r="B344" s="28">
        <v>0.56474196134223575</v>
      </c>
      <c r="C344" s="28">
        <f t="shared" si="18"/>
        <v>-5.0490279094958623E-2</v>
      </c>
      <c r="D344" s="28">
        <f t="shared" si="18"/>
        <v>-1.2915142482938791E-2</v>
      </c>
      <c r="E344" s="28">
        <f t="shared" si="18"/>
        <v>9.412037664270656E-2</v>
      </c>
      <c r="F344" s="28">
        <f t="shared" si="18"/>
        <v>0.15652474822741169</v>
      </c>
      <c r="G344" s="28">
        <f t="shared" si="18"/>
        <v>9.5702761595134689E-2</v>
      </c>
      <c r="H344" s="28">
        <f t="shared" si="18"/>
        <v>-0.25812909271542139</v>
      </c>
      <c r="I344" s="28">
        <f t="shared" si="18"/>
        <v>-0.35540842478428658</v>
      </c>
      <c r="J344" s="28">
        <f t="shared" si="18"/>
        <v>-0.26139874904032467</v>
      </c>
      <c r="K344" s="28">
        <f t="shared" si="18"/>
        <v>5.6852617079925949E-2</v>
      </c>
      <c r="L344" s="28">
        <f t="shared" si="18"/>
        <v>8.7310323805240841E-3</v>
      </c>
      <c r="M344" s="28">
        <f t="shared" si="18"/>
        <v>-5.2081809149569835E-2</v>
      </c>
      <c r="N344" s="28">
        <f t="shared" si="18"/>
        <v>0.18307529467551831</v>
      </c>
    </row>
    <row r="345" spans="1:14" x14ac:dyDescent="0.4">
      <c r="A345" s="1">
        <v>31686</v>
      </c>
      <c r="B345" s="28">
        <v>-0.11749847581626227</v>
      </c>
      <c r="C345" s="28">
        <f t="shared" si="18"/>
        <v>0.56474196134223575</v>
      </c>
      <c r="D345" s="28">
        <f t="shared" si="18"/>
        <v>-5.0490279094958623E-2</v>
      </c>
      <c r="E345" s="28">
        <f t="shared" si="18"/>
        <v>-1.2915142482938791E-2</v>
      </c>
      <c r="F345" s="28">
        <f t="shared" si="18"/>
        <v>9.412037664270656E-2</v>
      </c>
      <c r="G345" s="28">
        <f t="shared" si="18"/>
        <v>0.15652474822741169</v>
      </c>
      <c r="H345" s="28">
        <f t="shared" si="18"/>
        <v>9.5702761595134689E-2</v>
      </c>
      <c r="I345" s="28">
        <f t="shared" si="18"/>
        <v>-0.25812909271542139</v>
      </c>
      <c r="J345" s="28">
        <f t="shared" si="18"/>
        <v>-0.35540842478428658</v>
      </c>
      <c r="K345" s="28">
        <f t="shared" si="18"/>
        <v>-0.26139874904032467</v>
      </c>
      <c r="L345" s="28">
        <f t="shared" si="18"/>
        <v>5.6852617079925949E-2</v>
      </c>
      <c r="M345" s="28">
        <f t="shared" si="18"/>
        <v>8.7310323805240841E-3</v>
      </c>
      <c r="N345" s="28">
        <f t="shared" si="18"/>
        <v>-5.2081809149569835E-2</v>
      </c>
    </row>
    <row r="346" spans="1:14" x14ac:dyDescent="0.4">
      <c r="A346" s="1">
        <v>31717</v>
      </c>
      <c r="B346" s="28">
        <v>-3.0435634286163804E-2</v>
      </c>
      <c r="C346" s="28">
        <f t="shared" si="18"/>
        <v>-0.11749847581626227</v>
      </c>
      <c r="D346" s="28">
        <f t="shared" si="18"/>
        <v>0.56474196134223575</v>
      </c>
      <c r="E346" s="28">
        <f t="shared" si="18"/>
        <v>-5.0490279094958623E-2</v>
      </c>
      <c r="F346" s="28">
        <f t="shared" si="18"/>
        <v>-1.2915142482938791E-2</v>
      </c>
      <c r="G346" s="28">
        <f t="shared" si="18"/>
        <v>9.412037664270656E-2</v>
      </c>
      <c r="H346" s="28">
        <f t="shared" si="18"/>
        <v>0.15652474822741169</v>
      </c>
      <c r="I346" s="28">
        <f t="shared" si="18"/>
        <v>9.5702761595134689E-2</v>
      </c>
      <c r="J346" s="28">
        <f t="shared" si="18"/>
        <v>-0.25812909271542139</v>
      </c>
      <c r="K346" s="28">
        <f t="shared" si="18"/>
        <v>-0.35540842478428658</v>
      </c>
      <c r="L346" s="28">
        <f t="shared" si="18"/>
        <v>-0.26139874904032467</v>
      </c>
      <c r="M346" s="28">
        <f t="shared" si="18"/>
        <v>5.6852617079925949E-2</v>
      </c>
      <c r="N346" s="28">
        <f t="shared" si="18"/>
        <v>8.7310323805240841E-3</v>
      </c>
    </row>
    <row r="347" spans="1:14" x14ac:dyDescent="0.4">
      <c r="A347" s="1">
        <v>31747</v>
      </c>
      <c r="B347" s="28">
        <v>-9.356404958685971E-2</v>
      </c>
      <c r="C347" s="28">
        <f t="shared" si="18"/>
        <v>-3.0435634286163804E-2</v>
      </c>
      <c r="D347" s="28">
        <f t="shared" si="18"/>
        <v>-0.11749847581626227</v>
      </c>
      <c r="E347" s="28">
        <f t="shared" si="18"/>
        <v>0.56474196134223575</v>
      </c>
      <c r="F347" s="28">
        <f t="shared" si="18"/>
        <v>-5.0490279094958623E-2</v>
      </c>
      <c r="G347" s="28">
        <f t="shared" si="18"/>
        <v>-1.2915142482938791E-2</v>
      </c>
      <c r="H347" s="28">
        <f t="shared" si="18"/>
        <v>9.412037664270656E-2</v>
      </c>
      <c r="I347" s="28">
        <f t="shared" si="18"/>
        <v>0.15652474822741169</v>
      </c>
      <c r="J347" s="28">
        <f t="shared" si="18"/>
        <v>9.5702761595134689E-2</v>
      </c>
      <c r="K347" s="28">
        <f t="shared" si="18"/>
        <v>-0.25812909271542139</v>
      </c>
      <c r="L347" s="28">
        <f t="shared" si="18"/>
        <v>-0.35540842478428658</v>
      </c>
      <c r="M347" s="28">
        <f t="shared" si="18"/>
        <v>-0.26139874904032467</v>
      </c>
      <c r="N347" s="28">
        <f t="shared" si="18"/>
        <v>5.6852617079925949E-2</v>
      </c>
    </row>
    <row r="348" spans="1:14" x14ac:dyDescent="0.4">
      <c r="A348" s="1">
        <v>31778</v>
      </c>
      <c r="B348" s="28">
        <v>-5.6815415706978456E-2</v>
      </c>
      <c r="C348" s="28">
        <f t="shared" si="18"/>
        <v>-9.356404958685971E-2</v>
      </c>
      <c r="D348" s="28">
        <f t="shared" si="18"/>
        <v>-3.0435634286163804E-2</v>
      </c>
      <c r="E348" s="28">
        <f t="shared" si="18"/>
        <v>-0.11749847581626227</v>
      </c>
      <c r="F348" s="28">
        <f t="shared" si="18"/>
        <v>0.56474196134223575</v>
      </c>
      <c r="G348" s="28">
        <f t="shared" si="18"/>
        <v>-5.0490279094958623E-2</v>
      </c>
      <c r="H348" s="28">
        <f t="shared" si="18"/>
        <v>-1.2915142482938791E-2</v>
      </c>
      <c r="I348" s="28">
        <f t="shared" si="18"/>
        <v>9.412037664270656E-2</v>
      </c>
      <c r="J348" s="28">
        <f t="shared" si="18"/>
        <v>0.15652474822741169</v>
      </c>
      <c r="K348" s="28">
        <f t="shared" si="18"/>
        <v>9.5702761595134689E-2</v>
      </c>
      <c r="L348" s="28">
        <f t="shared" si="18"/>
        <v>-0.25812909271542139</v>
      </c>
      <c r="M348" s="28">
        <f t="shared" si="18"/>
        <v>-0.35540842478428658</v>
      </c>
      <c r="N348" s="28">
        <f t="shared" si="18"/>
        <v>-0.26139874904032467</v>
      </c>
    </row>
    <row r="349" spans="1:14" x14ac:dyDescent="0.4">
      <c r="A349" s="1">
        <v>31809</v>
      </c>
      <c r="B349" s="28">
        <v>-0.38915842478434115</v>
      </c>
      <c r="C349" s="28">
        <f t="shared" si="18"/>
        <v>-5.6815415706978456E-2</v>
      </c>
      <c r="D349" s="28">
        <f t="shared" si="18"/>
        <v>-9.356404958685971E-2</v>
      </c>
      <c r="E349" s="28">
        <f t="shared" si="18"/>
        <v>-3.0435634286163804E-2</v>
      </c>
      <c r="F349" s="28">
        <f t="shared" si="18"/>
        <v>-0.11749847581626227</v>
      </c>
      <c r="G349" s="28">
        <f t="shared" si="18"/>
        <v>0.56474196134223575</v>
      </c>
      <c r="H349" s="28">
        <f t="shared" si="18"/>
        <v>-5.0490279094958623E-2</v>
      </c>
      <c r="I349" s="28">
        <f t="shared" si="18"/>
        <v>-1.2915142482938791E-2</v>
      </c>
      <c r="J349" s="28">
        <f t="shared" si="18"/>
        <v>9.412037664270656E-2</v>
      </c>
      <c r="K349" s="28">
        <f t="shared" si="18"/>
        <v>0.15652474822741169</v>
      </c>
      <c r="L349" s="28">
        <f t="shared" si="18"/>
        <v>9.5702761595134689E-2</v>
      </c>
      <c r="M349" s="28">
        <f t="shared" si="18"/>
        <v>-0.25812909271542139</v>
      </c>
      <c r="N349" s="28">
        <f t="shared" si="18"/>
        <v>-0.35540842478428658</v>
      </c>
    </row>
    <row r="350" spans="1:14" x14ac:dyDescent="0.4">
      <c r="A350" s="1">
        <v>31837</v>
      </c>
      <c r="B350" s="28">
        <v>-0.28562909271551007</v>
      </c>
      <c r="C350" s="28">
        <f t="shared" si="18"/>
        <v>-0.38915842478434115</v>
      </c>
      <c r="D350" s="28">
        <f t="shared" si="18"/>
        <v>-5.6815415706978456E-2</v>
      </c>
      <c r="E350" s="28">
        <f t="shared" si="18"/>
        <v>-9.356404958685971E-2</v>
      </c>
      <c r="F350" s="28">
        <f t="shared" si="18"/>
        <v>-3.0435634286163804E-2</v>
      </c>
      <c r="G350" s="28">
        <f t="shared" si="18"/>
        <v>-0.11749847581626227</v>
      </c>
      <c r="H350" s="28">
        <f t="shared" si="18"/>
        <v>0.56474196134223575</v>
      </c>
      <c r="I350" s="28">
        <f t="shared" si="18"/>
        <v>-5.0490279094958623E-2</v>
      </c>
      <c r="J350" s="28">
        <f t="shared" si="18"/>
        <v>-1.2915142482938791E-2</v>
      </c>
      <c r="K350" s="28">
        <f t="shared" si="18"/>
        <v>9.412037664270656E-2</v>
      </c>
      <c r="L350" s="28">
        <f t="shared" si="18"/>
        <v>0.15652474822741169</v>
      </c>
      <c r="M350" s="28">
        <f t="shared" si="18"/>
        <v>9.5702761595134689E-2</v>
      </c>
      <c r="N350" s="28">
        <f t="shared" si="18"/>
        <v>-0.25812909271542139</v>
      </c>
    </row>
    <row r="351" spans="1:14" x14ac:dyDescent="0.4">
      <c r="A351" s="1">
        <v>31868</v>
      </c>
      <c r="B351" s="28">
        <v>-9.9297238404915333E-2</v>
      </c>
      <c r="C351" s="28">
        <f t="shared" si="18"/>
        <v>-0.28562909271551007</v>
      </c>
      <c r="D351" s="28">
        <f t="shared" si="18"/>
        <v>-0.38915842478434115</v>
      </c>
      <c r="E351" s="28">
        <f t="shared" si="18"/>
        <v>-5.6815415706978456E-2</v>
      </c>
      <c r="F351" s="28">
        <f t="shared" si="18"/>
        <v>-9.356404958685971E-2</v>
      </c>
      <c r="G351" s="28">
        <f t="shared" si="18"/>
        <v>-3.0435634286163804E-2</v>
      </c>
      <c r="H351" s="28">
        <f t="shared" si="18"/>
        <v>-0.11749847581626227</v>
      </c>
      <c r="I351" s="28">
        <f t="shared" si="18"/>
        <v>0.56474196134223575</v>
      </c>
      <c r="J351" s="28">
        <f t="shared" si="18"/>
        <v>-5.0490279094958623E-2</v>
      </c>
      <c r="K351" s="28">
        <f t="shared" si="18"/>
        <v>-1.2915142482938791E-2</v>
      </c>
      <c r="L351" s="28">
        <f t="shared" si="18"/>
        <v>9.412037664270656E-2</v>
      </c>
      <c r="M351" s="28">
        <f t="shared" si="18"/>
        <v>0.15652474822741169</v>
      </c>
      <c r="N351" s="28">
        <f t="shared" si="18"/>
        <v>9.5702761595134689E-2</v>
      </c>
    </row>
    <row r="352" spans="1:14" x14ac:dyDescent="0.4">
      <c r="A352" s="1">
        <v>31898</v>
      </c>
      <c r="B352" s="28">
        <v>9.6941414894047284E-2</v>
      </c>
      <c r="C352" s="28">
        <f t="shared" si="18"/>
        <v>-9.9297238404915333E-2</v>
      </c>
      <c r="D352" s="28">
        <f t="shared" si="18"/>
        <v>-0.28562909271551007</v>
      </c>
      <c r="E352" s="28">
        <f t="shared" si="18"/>
        <v>-0.38915842478434115</v>
      </c>
      <c r="F352" s="28">
        <f t="shared" ref="D352:P367" si="19">IF(E351=0,"",E351)</f>
        <v>-5.6815415706978456E-2</v>
      </c>
      <c r="G352" s="28">
        <f t="shared" si="19"/>
        <v>-9.356404958685971E-2</v>
      </c>
      <c r="H352" s="28">
        <f t="shared" si="19"/>
        <v>-3.0435634286163804E-2</v>
      </c>
      <c r="I352" s="28">
        <f t="shared" si="19"/>
        <v>-0.11749847581626227</v>
      </c>
      <c r="J352" s="28">
        <f t="shared" si="19"/>
        <v>0.56474196134223575</v>
      </c>
      <c r="K352" s="28">
        <f t="shared" si="19"/>
        <v>-5.0490279094958623E-2</v>
      </c>
      <c r="L352" s="28">
        <f t="shared" si="19"/>
        <v>-1.2915142482938791E-2</v>
      </c>
      <c r="M352" s="28">
        <f t="shared" si="19"/>
        <v>9.412037664270656E-2</v>
      </c>
      <c r="N352" s="28">
        <f t="shared" si="19"/>
        <v>0.15652474822741169</v>
      </c>
    </row>
    <row r="353" spans="1:14" x14ac:dyDescent="0.4">
      <c r="A353" s="1">
        <v>31929</v>
      </c>
      <c r="B353" s="28">
        <v>5.4120376642799783E-2</v>
      </c>
      <c r="C353" s="28">
        <f t="shared" ref="C353:N416" si="20">IF(B352=0,"",B352)</f>
        <v>9.6941414894047284E-2</v>
      </c>
      <c r="D353" s="28">
        <f t="shared" si="19"/>
        <v>-9.9297238404915333E-2</v>
      </c>
      <c r="E353" s="28">
        <f t="shared" si="19"/>
        <v>-0.28562909271551007</v>
      </c>
      <c r="F353" s="28">
        <f t="shared" si="19"/>
        <v>-0.38915842478434115</v>
      </c>
      <c r="G353" s="28">
        <f t="shared" si="19"/>
        <v>-5.6815415706978456E-2</v>
      </c>
      <c r="H353" s="28">
        <f t="shared" si="19"/>
        <v>-9.356404958685971E-2</v>
      </c>
      <c r="I353" s="28">
        <f t="shared" si="19"/>
        <v>-3.0435634286163804E-2</v>
      </c>
      <c r="J353" s="28">
        <f t="shared" si="19"/>
        <v>-0.11749847581626227</v>
      </c>
      <c r="K353" s="28">
        <f t="shared" si="19"/>
        <v>0.56474196134223575</v>
      </c>
      <c r="L353" s="28">
        <f t="shared" si="19"/>
        <v>-5.0490279094958623E-2</v>
      </c>
      <c r="M353" s="28">
        <f t="shared" si="19"/>
        <v>-1.2915142482938791E-2</v>
      </c>
      <c r="N353" s="28">
        <f t="shared" si="19"/>
        <v>9.412037664270656E-2</v>
      </c>
    </row>
    <row r="354" spans="1:14" x14ac:dyDescent="0.4">
      <c r="A354" s="1">
        <v>31959</v>
      </c>
      <c r="B354" s="28">
        <v>-0.25166514248297744</v>
      </c>
      <c r="C354" s="28">
        <f t="shared" si="20"/>
        <v>5.4120376642799783E-2</v>
      </c>
      <c r="D354" s="28">
        <f t="shared" si="19"/>
        <v>9.6941414894047284E-2</v>
      </c>
      <c r="E354" s="28">
        <f t="shared" si="19"/>
        <v>-9.9297238404915333E-2</v>
      </c>
      <c r="F354" s="28">
        <f t="shared" si="19"/>
        <v>-0.28562909271551007</v>
      </c>
      <c r="G354" s="28">
        <f t="shared" si="19"/>
        <v>-0.38915842478434115</v>
      </c>
      <c r="H354" s="28">
        <f t="shared" si="19"/>
        <v>-5.6815415706978456E-2</v>
      </c>
      <c r="I354" s="28">
        <f t="shared" si="19"/>
        <v>-9.356404958685971E-2</v>
      </c>
      <c r="J354" s="28">
        <f t="shared" si="19"/>
        <v>-3.0435634286163804E-2</v>
      </c>
      <c r="K354" s="28">
        <f t="shared" si="19"/>
        <v>-0.11749847581626227</v>
      </c>
      <c r="L354" s="28">
        <f t="shared" si="19"/>
        <v>0.56474196134223575</v>
      </c>
      <c r="M354" s="28">
        <f t="shared" si="19"/>
        <v>-5.0490279094958623E-2</v>
      </c>
      <c r="N354" s="28">
        <f t="shared" si="19"/>
        <v>-1.2915142482938791E-2</v>
      </c>
    </row>
    <row r="355" spans="1:14" x14ac:dyDescent="0.4">
      <c r="A355" s="1">
        <v>31990</v>
      </c>
      <c r="B355" s="28">
        <v>0.24034305423845126</v>
      </c>
      <c r="C355" s="28">
        <f t="shared" si="20"/>
        <v>-0.25166514248297744</v>
      </c>
      <c r="D355" s="28">
        <f t="shared" si="19"/>
        <v>5.4120376642799783E-2</v>
      </c>
      <c r="E355" s="28">
        <f t="shared" si="19"/>
        <v>9.6941414894047284E-2</v>
      </c>
      <c r="F355" s="28">
        <f t="shared" si="19"/>
        <v>-9.9297238404915333E-2</v>
      </c>
      <c r="G355" s="28">
        <f t="shared" si="19"/>
        <v>-0.28562909271551007</v>
      </c>
      <c r="H355" s="28">
        <f t="shared" si="19"/>
        <v>-0.38915842478434115</v>
      </c>
      <c r="I355" s="28">
        <f t="shared" si="19"/>
        <v>-5.6815415706978456E-2</v>
      </c>
      <c r="J355" s="28">
        <f t="shared" si="19"/>
        <v>-9.356404958685971E-2</v>
      </c>
      <c r="K355" s="28">
        <f t="shared" si="19"/>
        <v>-3.0435634286163804E-2</v>
      </c>
      <c r="L355" s="28">
        <f t="shared" si="19"/>
        <v>-0.11749847581626227</v>
      </c>
      <c r="M355" s="28">
        <f t="shared" si="19"/>
        <v>0.56474196134223575</v>
      </c>
      <c r="N355" s="28">
        <f t="shared" si="19"/>
        <v>-5.0490279094958623E-2</v>
      </c>
    </row>
    <row r="356" spans="1:14" x14ac:dyDescent="0.4">
      <c r="A356" s="1">
        <v>32021</v>
      </c>
      <c r="B356" s="28">
        <v>0.13265862800881223</v>
      </c>
      <c r="C356" s="28">
        <f t="shared" si="20"/>
        <v>0.24034305423845126</v>
      </c>
      <c r="D356" s="28">
        <f t="shared" si="19"/>
        <v>-0.25166514248297744</v>
      </c>
      <c r="E356" s="28">
        <f t="shared" si="19"/>
        <v>5.4120376642799783E-2</v>
      </c>
      <c r="F356" s="28">
        <f t="shared" si="19"/>
        <v>9.6941414894047284E-2</v>
      </c>
      <c r="G356" s="28">
        <f t="shared" si="19"/>
        <v>-9.9297238404915333E-2</v>
      </c>
      <c r="H356" s="28">
        <f t="shared" si="19"/>
        <v>-0.28562909271551007</v>
      </c>
      <c r="I356" s="28">
        <f t="shared" si="19"/>
        <v>-0.38915842478434115</v>
      </c>
      <c r="J356" s="28">
        <f t="shared" si="19"/>
        <v>-5.6815415706978456E-2</v>
      </c>
      <c r="K356" s="28">
        <f t="shared" si="19"/>
        <v>-9.356404958685971E-2</v>
      </c>
      <c r="L356" s="28">
        <f t="shared" si="19"/>
        <v>-3.0435634286163804E-2</v>
      </c>
      <c r="M356" s="28">
        <f t="shared" si="19"/>
        <v>-0.11749847581626227</v>
      </c>
      <c r="N356" s="28">
        <f t="shared" si="19"/>
        <v>0.56474196134223575</v>
      </c>
    </row>
    <row r="357" spans="1:14" x14ac:dyDescent="0.4">
      <c r="A357" s="1">
        <v>32051</v>
      </c>
      <c r="B357" s="28">
        <v>-5.9998475816314567E-2</v>
      </c>
      <c r="C357" s="28">
        <f t="shared" si="20"/>
        <v>0.13265862800881223</v>
      </c>
      <c r="D357" s="28">
        <f t="shared" si="19"/>
        <v>0.24034305423845126</v>
      </c>
      <c r="E357" s="28">
        <f t="shared" si="19"/>
        <v>-0.25166514248297744</v>
      </c>
      <c r="F357" s="28">
        <f t="shared" si="19"/>
        <v>5.4120376642799783E-2</v>
      </c>
      <c r="G357" s="28">
        <f t="shared" si="19"/>
        <v>9.6941414894047284E-2</v>
      </c>
      <c r="H357" s="28">
        <f t="shared" si="19"/>
        <v>-9.9297238404915333E-2</v>
      </c>
      <c r="I357" s="28">
        <f t="shared" si="19"/>
        <v>-0.28562909271551007</v>
      </c>
      <c r="J357" s="28">
        <f t="shared" si="19"/>
        <v>-0.38915842478434115</v>
      </c>
      <c r="K357" s="28">
        <f t="shared" si="19"/>
        <v>-5.6815415706978456E-2</v>
      </c>
      <c r="L357" s="28">
        <f t="shared" si="19"/>
        <v>-9.356404958685971E-2</v>
      </c>
      <c r="M357" s="28">
        <f t="shared" si="19"/>
        <v>-3.0435634286163804E-2</v>
      </c>
      <c r="N357" s="28">
        <f t="shared" si="19"/>
        <v>-0.11749847581626227</v>
      </c>
    </row>
    <row r="358" spans="1:14" x14ac:dyDescent="0.4">
      <c r="A358" s="1">
        <v>32082</v>
      </c>
      <c r="B358" s="28">
        <v>-9.2935634286220647E-2</v>
      </c>
      <c r="C358" s="28">
        <f t="shared" si="20"/>
        <v>-5.9998475816314567E-2</v>
      </c>
      <c r="D358" s="28">
        <f t="shared" si="19"/>
        <v>0.13265862800881223</v>
      </c>
      <c r="E358" s="28">
        <f t="shared" si="19"/>
        <v>0.24034305423845126</v>
      </c>
      <c r="F358" s="28">
        <f t="shared" si="19"/>
        <v>-0.25166514248297744</v>
      </c>
      <c r="G358" s="28">
        <f t="shared" si="19"/>
        <v>5.4120376642799783E-2</v>
      </c>
      <c r="H358" s="28">
        <f t="shared" si="19"/>
        <v>9.6941414894047284E-2</v>
      </c>
      <c r="I358" s="28">
        <f t="shared" si="19"/>
        <v>-9.9297238404915333E-2</v>
      </c>
      <c r="J358" s="28">
        <f t="shared" si="19"/>
        <v>-0.28562909271551007</v>
      </c>
      <c r="K358" s="28">
        <f t="shared" si="19"/>
        <v>-0.38915842478434115</v>
      </c>
      <c r="L358" s="28">
        <f t="shared" si="19"/>
        <v>-5.6815415706978456E-2</v>
      </c>
      <c r="M358" s="28">
        <f t="shared" si="19"/>
        <v>-9.356404958685971E-2</v>
      </c>
      <c r="N358" s="28">
        <f t="shared" si="19"/>
        <v>-3.0435634286163804E-2</v>
      </c>
    </row>
    <row r="359" spans="1:14" x14ac:dyDescent="0.4">
      <c r="A359" s="1">
        <v>32112</v>
      </c>
      <c r="B359" s="28">
        <v>-0.31148071625341345</v>
      </c>
      <c r="C359" s="28">
        <f t="shared" si="20"/>
        <v>-9.2935634286220647E-2</v>
      </c>
      <c r="D359" s="28">
        <f t="shared" si="19"/>
        <v>-5.9998475816314567E-2</v>
      </c>
      <c r="E359" s="28">
        <f t="shared" si="19"/>
        <v>0.13265862800881223</v>
      </c>
      <c r="F359" s="28">
        <f t="shared" si="19"/>
        <v>0.24034305423845126</v>
      </c>
      <c r="G359" s="28">
        <f t="shared" si="19"/>
        <v>-0.25166514248297744</v>
      </c>
      <c r="H359" s="28">
        <f t="shared" si="19"/>
        <v>5.4120376642799783E-2</v>
      </c>
      <c r="I359" s="28">
        <f t="shared" si="19"/>
        <v>9.6941414894047284E-2</v>
      </c>
      <c r="J359" s="28">
        <f t="shared" si="19"/>
        <v>-9.9297238404915333E-2</v>
      </c>
      <c r="K359" s="28">
        <f t="shared" si="19"/>
        <v>-0.28562909271551007</v>
      </c>
      <c r="L359" s="28">
        <f t="shared" si="19"/>
        <v>-0.38915842478434115</v>
      </c>
      <c r="M359" s="28">
        <f t="shared" si="19"/>
        <v>-5.6815415706978456E-2</v>
      </c>
      <c r="N359" s="28">
        <f t="shared" si="19"/>
        <v>-9.356404958685971E-2</v>
      </c>
    </row>
    <row r="360" spans="1:14" x14ac:dyDescent="0.4">
      <c r="A360" s="1">
        <v>32143</v>
      </c>
      <c r="B360" s="28">
        <v>-1.3482082373741378E-2</v>
      </c>
      <c r="C360" s="28">
        <f t="shared" si="20"/>
        <v>-0.31148071625341345</v>
      </c>
      <c r="D360" s="28">
        <f t="shared" si="19"/>
        <v>-9.2935634286220647E-2</v>
      </c>
      <c r="E360" s="28">
        <f t="shared" si="19"/>
        <v>-5.9998475816314567E-2</v>
      </c>
      <c r="F360" s="28">
        <f t="shared" si="19"/>
        <v>0.13265862800881223</v>
      </c>
      <c r="G360" s="28">
        <f t="shared" si="19"/>
        <v>0.24034305423845126</v>
      </c>
      <c r="H360" s="28">
        <f t="shared" si="19"/>
        <v>-0.25166514248297744</v>
      </c>
      <c r="I360" s="28">
        <f t="shared" si="19"/>
        <v>5.4120376642799783E-2</v>
      </c>
      <c r="J360" s="28">
        <f t="shared" si="19"/>
        <v>9.6941414894047284E-2</v>
      </c>
      <c r="K360" s="28">
        <f t="shared" si="19"/>
        <v>-9.9297238404915333E-2</v>
      </c>
      <c r="L360" s="28">
        <f t="shared" si="19"/>
        <v>-0.28562909271551007</v>
      </c>
      <c r="M360" s="28">
        <f t="shared" si="19"/>
        <v>-0.38915842478434115</v>
      </c>
      <c r="N360" s="28">
        <f t="shared" si="19"/>
        <v>-5.6815415706978456E-2</v>
      </c>
    </row>
    <row r="361" spans="1:14" x14ac:dyDescent="0.4">
      <c r="A361" s="1">
        <v>32174</v>
      </c>
      <c r="B361" s="28">
        <v>0.43459157521567704</v>
      </c>
      <c r="C361" s="28">
        <f t="shared" si="20"/>
        <v>-1.3482082373741378E-2</v>
      </c>
      <c r="D361" s="28">
        <f t="shared" si="19"/>
        <v>-0.31148071625341345</v>
      </c>
      <c r="E361" s="28">
        <f t="shared" si="19"/>
        <v>-9.2935634286220647E-2</v>
      </c>
      <c r="F361" s="28">
        <f t="shared" si="19"/>
        <v>-5.9998475816314567E-2</v>
      </c>
      <c r="G361" s="28">
        <f t="shared" si="19"/>
        <v>0.13265862800881223</v>
      </c>
      <c r="H361" s="28">
        <f t="shared" si="19"/>
        <v>0.24034305423845126</v>
      </c>
      <c r="I361" s="28">
        <f t="shared" si="19"/>
        <v>-0.25166514248297744</v>
      </c>
      <c r="J361" s="28">
        <f t="shared" si="19"/>
        <v>5.4120376642799783E-2</v>
      </c>
      <c r="K361" s="28">
        <f t="shared" si="19"/>
        <v>9.6941414894047284E-2</v>
      </c>
      <c r="L361" s="28">
        <f t="shared" si="19"/>
        <v>-9.9297238404915333E-2</v>
      </c>
      <c r="M361" s="28">
        <f t="shared" si="19"/>
        <v>-0.28562909271551007</v>
      </c>
      <c r="N361" s="28">
        <f t="shared" si="19"/>
        <v>-0.38915842478434115</v>
      </c>
    </row>
    <row r="362" spans="1:14" x14ac:dyDescent="0.4">
      <c r="A362" s="1">
        <v>32203</v>
      </c>
      <c r="B362" s="28">
        <v>5.4370907284521763E-2</v>
      </c>
      <c r="C362" s="28">
        <f t="shared" si="20"/>
        <v>0.43459157521567704</v>
      </c>
      <c r="D362" s="28">
        <f t="shared" si="19"/>
        <v>-1.3482082373741378E-2</v>
      </c>
      <c r="E362" s="28">
        <f t="shared" si="19"/>
        <v>-0.31148071625341345</v>
      </c>
      <c r="F362" s="28">
        <f t="shared" si="19"/>
        <v>-9.2935634286220647E-2</v>
      </c>
      <c r="G362" s="28">
        <f t="shared" si="19"/>
        <v>-5.9998475816314567E-2</v>
      </c>
      <c r="H362" s="28">
        <f t="shared" si="19"/>
        <v>0.13265862800881223</v>
      </c>
      <c r="I362" s="28">
        <f t="shared" si="19"/>
        <v>0.24034305423845126</v>
      </c>
      <c r="J362" s="28">
        <f t="shared" si="19"/>
        <v>-0.25166514248297744</v>
      </c>
      <c r="K362" s="28">
        <f t="shared" si="19"/>
        <v>5.4120376642799783E-2</v>
      </c>
      <c r="L362" s="28">
        <f t="shared" si="19"/>
        <v>9.6941414894047284E-2</v>
      </c>
      <c r="M362" s="28">
        <f t="shared" si="19"/>
        <v>-9.9297238404915333E-2</v>
      </c>
      <c r="N362" s="28">
        <f t="shared" si="19"/>
        <v>-0.28562909271551007</v>
      </c>
    </row>
    <row r="363" spans="1:14" x14ac:dyDescent="0.4">
      <c r="A363" s="1">
        <v>32234</v>
      </c>
      <c r="B363" s="28">
        <v>8.6194282617384488E-3</v>
      </c>
      <c r="C363" s="28">
        <f t="shared" si="20"/>
        <v>5.4370907284521763E-2</v>
      </c>
      <c r="D363" s="28">
        <f t="shared" si="19"/>
        <v>0.43459157521567704</v>
      </c>
      <c r="E363" s="28">
        <f t="shared" si="19"/>
        <v>-1.3482082373741378E-2</v>
      </c>
      <c r="F363" s="28">
        <f t="shared" si="19"/>
        <v>-0.31148071625341345</v>
      </c>
      <c r="G363" s="28">
        <f t="shared" si="19"/>
        <v>-9.2935634286220647E-2</v>
      </c>
      <c r="H363" s="28">
        <f t="shared" si="19"/>
        <v>-5.9998475816314567E-2</v>
      </c>
      <c r="I363" s="28">
        <f t="shared" si="19"/>
        <v>0.13265862800881223</v>
      </c>
      <c r="J363" s="28">
        <f t="shared" si="19"/>
        <v>0.24034305423845126</v>
      </c>
      <c r="K363" s="28">
        <f t="shared" si="19"/>
        <v>-0.25166514248297744</v>
      </c>
      <c r="L363" s="28">
        <f t="shared" si="19"/>
        <v>5.4120376642799783E-2</v>
      </c>
      <c r="M363" s="28">
        <f t="shared" si="19"/>
        <v>9.6941414894047284E-2</v>
      </c>
      <c r="N363" s="28">
        <f t="shared" si="19"/>
        <v>-9.9297238404915333E-2</v>
      </c>
    </row>
    <row r="364" spans="1:14" x14ac:dyDescent="0.4">
      <c r="A364" s="1">
        <v>32264</v>
      </c>
      <c r="B364" s="28">
        <v>-5.3475251772624688E-2</v>
      </c>
      <c r="C364" s="28">
        <f t="shared" si="20"/>
        <v>8.6194282617384488E-3</v>
      </c>
      <c r="D364" s="28">
        <f t="shared" si="19"/>
        <v>5.4370907284521763E-2</v>
      </c>
      <c r="E364" s="28">
        <f t="shared" si="19"/>
        <v>0.43459157521567704</v>
      </c>
      <c r="F364" s="28">
        <f t="shared" si="19"/>
        <v>-1.3482082373741378E-2</v>
      </c>
      <c r="G364" s="28">
        <f t="shared" si="19"/>
        <v>-0.31148071625341345</v>
      </c>
      <c r="H364" s="28">
        <f t="shared" si="19"/>
        <v>-9.2935634286220647E-2</v>
      </c>
      <c r="I364" s="28">
        <f t="shared" si="19"/>
        <v>-5.9998475816314567E-2</v>
      </c>
      <c r="J364" s="28">
        <f t="shared" si="19"/>
        <v>0.13265862800881223</v>
      </c>
      <c r="K364" s="28">
        <f t="shared" si="19"/>
        <v>0.24034305423845126</v>
      </c>
      <c r="L364" s="28">
        <f t="shared" si="19"/>
        <v>-0.25166514248297744</v>
      </c>
      <c r="M364" s="28">
        <f t="shared" si="19"/>
        <v>5.4120376642799783E-2</v>
      </c>
      <c r="N364" s="28">
        <f t="shared" si="19"/>
        <v>9.6941414894047284E-2</v>
      </c>
    </row>
    <row r="365" spans="1:14" x14ac:dyDescent="0.4">
      <c r="A365" s="1">
        <v>32295</v>
      </c>
      <c r="B365" s="28">
        <v>5.5787043309408091E-2</v>
      </c>
      <c r="C365" s="28">
        <f t="shared" si="20"/>
        <v>-5.3475251772624688E-2</v>
      </c>
      <c r="D365" s="28">
        <f t="shared" si="19"/>
        <v>8.6194282617384488E-3</v>
      </c>
      <c r="E365" s="28">
        <f t="shared" si="19"/>
        <v>5.4370907284521763E-2</v>
      </c>
      <c r="F365" s="28">
        <f t="shared" si="19"/>
        <v>0.43459157521567704</v>
      </c>
      <c r="G365" s="28">
        <f t="shared" si="19"/>
        <v>-1.3482082373741378E-2</v>
      </c>
      <c r="H365" s="28">
        <f t="shared" si="19"/>
        <v>-0.31148071625341345</v>
      </c>
      <c r="I365" s="28">
        <f t="shared" si="19"/>
        <v>-9.2935634286220647E-2</v>
      </c>
      <c r="J365" s="28">
        <f t="shared" si="19"/>
        <v>-5.9998475816314567E-2</v>
      </c>
      <c r="K365" s="28">
        <f t="shared" si="19"/>
        <v>0.13265862800881223</v>
      </c>
      <c r="L365" s="28">
        <f t="shared" si="19"/>
        <v>0.24034305423845126</v>
      </c>
      <c r="M365" s="28">
        <f t="shared" si="19"/>
        <v>-0.25166514248297744</v>
      </c>
      <c r="N365" s="28">
        <f t="shared" si="19"/>
        <v>5.4120376642799783E-2</v>
      </c>
    </row>
    <row r="366" spans="1:14" x14ac:dyDescent="0.4">
      <c r="A366" s="1">
        <v>32325</v>
      </c>
      <c r="B366" s="28">
        <v>7.0001524183737729E-2</v>
      </c>
      <c r="C366" s="28">
        <f t="shared" si="20"/>
        <v>5.5787043309408091E-2</v>
      </c>
      <c r="D366" s="28">
        <f t="shared" si="19"/>
        <v>-5.3475251772624688E-2</v>
      </c>
      <c r="E366" s="28">
        <f t="shared" si="19"/>
        <v>8.6194282617384488E-3</v>
      </c>
      <c r="F366" s="28">
        <f t="shared" si="19"/>
        <v>5.4370907284521763E-2</v>
      </c>
      <c r="G366" s="28">
        <f t="shared" si="19"/>
        <v>0.43459157521567704</v>
      </c>
      <c r="H366" s="28">
        <f t="shared" si="19"/>
        <v>-1.3482082373741378E-2</v>
      </c>
      <c r="I366" s="28">
        <f t="shared" si="19"/>
        <v>-0.31148071625341345</v>
      </c>
      <c r="J366" s="28">
        <f t="shared" si="19"/>
        <v>-9.2935634286220647E-2</v>
      </c>
      <c r="K366" s="28">
        <f t="shared" si="19"/>
        <v>-5.9998475816314567E-2</v>
      </c>
      <c r="L366" s="28">
        <f t="shared" si="19"/>
        <v>0.13265862800881223</v>
      </c>
      <c r="M366" s="28">
        <f t="shared" si="19"/>
        <v>0.24034305423845126</v>
      </c>
      <c r="N366" s="28">
        <f t="shared" si="19"/>
        <v>-0.25166514248297744</v>
      </c>
    </row>
    <row r="367" spans="1:14" x14ac:dyDescent="0.4">
      <c r="A367" s="1">
        <v>32356</v>
      </c>
      <c r="B367" s="28">
        <v>0.10492638757176564</v>
      </c>
      <c r="C367" s="28">
        <f t="shared" si="20"/>
        <v>7.0001524183737729E-2</v>
      </c>
      <c r="D367" s="28">
        <f t="shared" si="19"/>
        <v>5.5787043309408091E-2</v>
      </c>
      <c r="E367" s="28">
        <f t="shared" si="19"/>
        <v>-5.3475251772624688E-2</v>
      </c>
      <c r="F367" s="28">
        <f t="shared" si="19"/>
        <v>8.6194282617384488E-3</v>
      </c>
      <c r="G367" s="28">
        <f t="shared" si="19"/>
        <v>5.4370907284521763E-2</v>
      </c>
      <c r="H367" s="28">
        <f t="shared" si="19"/>
        <v>0.43459157521567704</v>
      </c>
      <c r="I367" s="28">
        <f t="shared" si="19"/>
        <v>-1.3482082373741378E-2</v>
      </c>
      <c r="J367" s="28">
        <f t="shared" si="19"/>
        <v>-0.31148071625341345</v>
      </c>
      <c r="K367" s="28">
        <f t="shared" si="19"/>
        <v>-9.2935634286220647E-2</v>
      </c>
      <c r="L367" s="28">
        <f t="shared" si="19"/>
        <v>-5.9998475816314567E-2</v>
      </c>
      <c r="M367" s="28">
        <f t="shared" si="19"/>
        <v>0.13265862800881223</v>
      </c>
      <c r="N367" s="28">
        <f t="shared" si="19"/>
        <v>0.24034305423845126</v>
      </c>
    </row>
    <row r="368" spans="1:14" x14ac:dyDescent="0.4">
      <c r="A368" s="1">
        <v>32387</v>
      </c>
      <c r="B368" s="28">
        <v>8.2658628008857704E-2</v>
      </c>
      <c r="C368" s="28">
        <f t="shared" si="20"/>
        <v>0.10492638757176564</v>
      </c>
      <c r="D368" s="28">
        <f t="shared" si="20"/>
        <v>7.0001524183737729E-2</v>
      </c>
      <c r="E368" s="28">
        <f t="shared" si="20"/>
        <v>5.5787043309408091E-2</v>
      </c>
      <c r="F368" s="28">
        <f t="shared" si="20"/>
        <v>-5.3475251772624688E-2</v>
      </c>
      <c r="G368" s="28">
        <f t="shared" si="20"/>
        <v>8.6194282617384488E-3</v>
      </c>
      <c r="H368" s="28">
        <f t="shared" si="20"/>
        <v>5.4370907284521763E-2</v>
      </c>
      <c r="I368" s="28">
        <f t="shared" si="20"/>
        <v>0.43459157521567704</v>
      </c>
      <c r="J368" s="28">
        <f t="shared" si="20"/>
        <v>-1.3482082373741378E-2</v>
      </c>
      <c r="K368" s="28">
        <f t="shared" si="20"/>
        <v>-0.31148071625341345</v>
      </c>
      <c r="L368" s="28">
        <f t="shared" si="20"/>
        <v>-9.2935634286220647E-2</v>
      </c>
      <c r="M368" s="28">
        <f t="shared" si="20"/>
        <v>-5.9998475816314567E-2</v>
      </c>
      <c r="N368" s="28">
        <f t="shared" si="20"/>
        <v>0.13265862800881223</v>
      </c>
    </row>
    <row r="369" spans="1:14" x14ac:dyDescent="0.4">
      <c r="A369" s="1">
        <v>32417</v>
      </c>
      <c r="B369" s="28">
        <v>0.21833485751704984</v>
      </c>
      <c r="C369" s="28">
        <f t="shared" si="20"/>
        <v>8.2658628008857704E-2</v>
      </c>
      <c r="D369" s="28">
        <f t="shared" si="20"/>
        <v>0.10492638757176564</v>
      </c>
      <c r="E369" s="28">
        <f t="shared" si="20"/>
        <v>7.0001524183737729E-2</v>
      </c>
      <c r="F369" s="28">
        <f t="shared" si="20"/>
        <v>5.5787043309408091E-2</v>
      </c>
      <c r="G369" s="28">
        <f t="shared" si="20"/>
        <v>-5.3475251772624688E-2</v>
      </c>
      <c r="H369" s="28">
        <f t="shared" si="20"/>
        <v>8.6194282617384488E-3</v>
      </c>
      <c r="I369" s="28">
        <f t="shared" si="20"/>
        <v>5.4370907284521763E-2</v>
      </c>
      <c r="J369" s="28">
        <f t="shared" si="20"/>
        <v>0.43459157521567704</v>
      </c>
      <c r="K369" s="28">
        <f t="shared" si="20"/>
        <v>-1.3482082373741378E-2</v>
      </c>
      <c r="L369" s="28">
        <f t="shared" si="20"/>
        <v>-0.31148071625341345</v>
      </c>
      <c r="M369" s="28">
        <f t="shared" si="20"/>
        <v>-9.2935634286220647E-2</v>
      </c>
      <c r="N369" s="28">
        <f t="shared" si="20"/>
        <v>-5.9998475816314567E-2</v>
      </c>
    </row>
    <row r="370" spans="1:14" x14ac:dyDescent="0.4">
      <c r="A370" s="1">
        <v>32448</v>
      </c>
      <c r="B370" s="28">
        <v>-3.7689676194645472E-3</v>
      </c>
      <c r="C370" s="28">
        <f t="shared" si="20"/>
        <v>0.21833485751704984</v>
      </c>
      <c r="D370" s="28">
        <f t="shared" si="20"/>
        <v>8.2658628008857704E-2</v>
      </c>
      <c r="E370" s="28">
        <f t="shared" si="20"/>
        <v>0.10492638757176564</v>
      </c>
      <c r="F370" s="28">
        <f t="shared" si="20"/>
        <v>7.0001524183737729E-2</v>
      </c>
      <c r="G370" s="28">
        <f t="shared" si="20"/>
        <v>5.5787043309408091E-2</v>
      </c>
      <c r="H370" s="28">
        <f t="shared" si="20"/>
        <v>-5.3475251772624688E-2</v>
      </c>
      <c r="I370" s="28">
        <f t="shared" si="20"/>
        <v>8.6194282617384488E-3</v>
      </c>
      <c r="J370" s="28">
        <f t="shared" si="20"/>
        <v>5.4370907284521763E-2</v>
      </c>
      <c r="K370" s="28">
        <f t="shared" si="20"/>
        <v>0.43459157521567704</v>
      </c>
      <c r="L370" s="28">
        <f t="shared" si="20"/>
        <v>-1.3482082373741378E-2</v>
      </c>
      <c r="M370" s="28">
        <f t="shared" si="20"/>
        <v>-0.31148071625341345</v>
      </c>
      <c r="N370" s="28">
        <f t="shared" si="20"/>
        <v>-9.2935634286220647E-2</v>
      </c>
    </row>
    <row r="371" spans="1:14" x14ac:dyDescent="0.4">
      <c r="A371" s="1">
        <v>32478</v>
      </c>
      <c r="B371" s="28">
        <v>-1.3147382920124073E-2</v>
      </c>
      <c r="C371" s="28">
        <f t="shared" si="20"/>
        <v>-3.7689676194645472E-3</v>
      </c>
      <c r="D371" s="28">
        <f t="shared" si="20"/>
        <v>0.21833485751704984</v>
      </c>
      <c r="E371" s="28">
        <f t="shared" si="20"/>
        <v>8.2658628008857704E-2</v>
      </c>
      <c r="F371" s="28">
        <f t="shared" si="20"/>
        <v>0.10492638757176564</v>
      </c>
      <c r="G371" s="28">
        <f t="shared" si="20"/>
        <v>7.0001524183737729E-2</v>
      </c>
      <c r="H371" s="28">
        <f t="shared" si="20"/>
        <v>5.5787043309408091E-2</v>
      </c>
      <c r="I371" s="28">
        <f t="shared" si="20"/>
        <v>-5.3475251772624688E-2</v>
      </c>
      <c r="J371" s="28">
        <f t="shared" si="20"/>
        <v>8.6194282617384488E-3</v>
      </c>
      <c r="K371" s="28">
        <f t="shared" si="20"/>
        <v>5.4370907284521763E-2</v>
      </c>
      <c r="L371" s="28">
        <f t="shared" si="20"/>
        <v>0.43459157521567704</v>
      </c>
      <c r="M371" s="28">
        <f t="shared" si="20"/>
        <v>-1.3482082373741378E-2</v>
      </c>
      <c r="N371" s="28">
        <f t="shared" si="20"/>
        <v>-0.31148071625341345</v>
      </c>
    </row>
    <row r="372" spans="1:14" x14ac:dyDescent="0.4">
      <c r="A372" s="1">
        <v>32509</v>
      </c>
      <c r="B372" s="28">
        <v>0.34193458429302837</v>
      </c>
      <c r="C372" s="28">
        <f t="shared" si="20"/>
        <v>-1.3147382920124073E-2</v>
      </c>
      <c r="D372" s="28">
        <f t="shared" si="20"/>
        <v>-3.7689676194645472E-3</v>
      </c>
      <c r="E372" s="28">
        <f t="shared" si="20"/>
        <v>0.21833485751704984</v>
      </c>
      <c r="F372" s="28">
        <f t="shared" si="20"/>
        <v>8.2658628008857704E-2</v>
      </c>
      <c r="G372" s="28">
        <f t="shared" si="20"/>
        <v>0.10492638757176564</v>
      </c>
      <c r="H372" s="28">
        <f t="shared" si="20"/>
        <v>7.0001524183737729E-2</v>
      </c>
      <c r="I372" s="28">
        <f t="shared" si="20"/>
        <v>5.5787043309408091E-2</v>
      </c>
      <c r="J372" s="28">
        <f t="shared" si="20"/>
        <v>-5.3475251772624688E-2</v>
      </c>
      <c r="K372" s="28">
        <f t="shared" si="20"/>
        <v>8.6194282617384488E-3</v>
      </c>
      <c r="L372" s="28">
        <f t="shared" si="20"/>
        <v>5.4370907284521763E-2</v>
      </c>
      <c r="M372" s="28">
        <f t="shared" si="20"/>
        <v>0.43459157521567704</v>
      </c>
      <c r="N372" s="28">
        <f t="shared" si="20"/>
        <v>-1.3482082373741378E-2</v>
      </c>
    </row>
    <row r="373" spans="1:14" x14ac:dyDescent="0.4">
      <c r="A373" s="1">
        <v>32540</v>
      </c>
      <c r="B373" s="28">
        <v>-9.8325091450988111E-2</v>
      </c>
      <c r="C373" s="28">
        <f t="shared" si="20"/>
        <v>0.34193458429302837</v>
      </c>
      <c r="D373" s="28">
        <f t="shared" si="20"/>
        <v>-1.3147382920124073E-2</v>
      </c>
      <c r="E373" s="28">
        <f t="shared" si="20"/>
        <v>-3.7689676194645472E-3</v>
      </c>
      <c r="F373" s="28">
        <f t="shared" si="20"/>
        <v>0.21833485751704984</v>
      </c>
      <c r="G373" s="28">
        <f t="shared" si="20"/>
        <v>8.2658628008857704E-2</v>
      </c>
      <c r="H373" s="28">
        <f t="shared" si="20"/>
        <v>0.10492638757176564</v>
      </c>
      <c r="I373" s="28">
        <f t="shared" si="20"/>
        <v>7.0001524183737729E-2</v>
      </c>
      <c r="J373" s="28">
        <f t="shared" si="20"/>
        <v>5.5787043309408091E-2</v>
      </c>
      <c r="K373" s="28">
        <f t="shared" si="20"/>
        <v>-5.3475251772624688E-2</v>
      </c>
      <c r="L373" s="28">
        <f t="shared" si="20"/>
        <v>8.6194282617384488E-3</v>
      </c>
      <c r="M373" s="28">
        <f t="shared" si="20"/>
        <v>5.4370907284521763E-2</v>
      </c>
      <c r="N373" s="28">
        <f t="shared" si="20"/>
        <v>0.43459157521567704</v>
      </c>
    </row>
    <row r="374" spans="1:14" x14ac:dyDescent="0.4">
      <c r="A374" s="1">
        <v>32568</v>
      </c>
      <c r="B374" s="28">
        <v>-0.26312909271547369</v>
      </c>
      <c r="C374" s="28">
        <f t="shared" si="20"/>
        <v>-9.8325091450988111E-2</v>
      </c>
      <c r="D374" s="28">
        <f t="shared" si="20"/>
        <v>0.34193458429302837</v>
      </c>
      <c r="E374" s="28">
        <f t="shared" si="20"/>
        <v>-1.3147382920124073E-2</v>
      </c>
      <c r="F374" s="28">
        <f t="shared" si="20"/>
        <v>-3.7689676194645472E-3</v>
      </c>
      <c r="G374" s="28">
        <f t="shared" si="20"/>
        <v>0.21833485751704984</v>
      </c>
      <c r="H374" s="28">
        <f t="shared" si="20"/>
        <v>8.2658628008857704E-2</v>
      </c>
      <c r="I374" s="28">
        <f t="shared" si="20"/>
        <v>0.10492638757176564</v>
      </c>
      <c r="J374" s="28">
        <f t="shared" si="20"/>
        <v>7.0001524183737729E-2</v>
      </c>
      <c r="K374" s="28">
        <f t="shared" si="20"/>
        <v>5.5787043309408091E-2</v>
      </c>
      <c r="L374" s="28">
        <f t="shared" si="20"/>
        <v>-5.3475251772624688E-2</v>
      </c>
      <c r="M374" s="28">
        <f t="shared" si="20"/>
        <v>8.6194282617384488E-3</v>
      </c>
      <c r="N374" s="28">
        <f t="shared" si="20"/>
        <v>5.4370907284521763E-2</v>
      </c>
    </row>
    <row r="375" spans="1:14" x14ac:dyDescent="0.4">
      <c r="A375" s="1">
        <v>32599</v>
      </c>
      <c r="B375" s="28">
        <v>0.16986942826179074</v>
      </c>
      <c r="C375" s="28">
        <f t="shared" si="20"/>
        <v>-0.26312909271547369</v>
      </c>
      <c r="D375" s="28">
        <f t="shared" si="20"/>
        <v>-9.8325091450988111E-2</v>
      </c>
      <c r="E375" s="28">
        <f t="shared" si="20"/>
        <v>0.34193458429302837</v>
      </c>
      <c r="F375" s="28">
        <f t="shared" si="20"/>
        <v>-1.3147382920124073E-2</v>
      </c>
      <c r="G375" s="28">
        <f t="shared" si="20"/>
        <v>-3.7689676194645472E-3</v>
      </c>
      <c r="H375" s="28">
        <f t="shared" si="20"/>
        <v>0.21833485751704984</v>
      </c>
      <c r="I375" s="28">
        <f t="shared" si="20"/>
        <v>8.2658628008857704E-2</v>
      </c>
      <c r="J375" s="28">
        <f t="shared" si="20"/>
        <v>0.10492638757176564</v>
      </c>
      <c r="K375" s="28">
        <f t="shared" si="20"/>
        <v>7.0001524183737729E-2</v>
      </c>
      <c r="L375" s="28">
        <f t="shared" si="20"/>
        <v>5.5787043309408091E-2</v>
      </c>
      <c r="M375" s="28">
        <f t="shared" si="20"/>
        <v>-5.3475251772624688E-2</v>
      </c>
      <c r="N375" s="28">
        <f t="shared" si="20"/>
        <v>8.6194282617384488E-3</v>
      </c>
    </row>
    <row r="376" spans="1:14" x14ac:dyDescent="0.4">
      <c r="A376" s="1">
        <v>32629</v>
      </c>
      <c r="B376" s="28">
        <v>-0.17055858510587996</v>
      </c>
      <c r="C376" s="28">
        <f t="shared" si="20"/>
        <v>0.16986942826179074</v>
      </c>
      <c r="D376" s="28">
        <f t="shared" si="20"/>
        <v>-0.26312909271547369</v>
      </c>
      <c r="E376" s="28">
        <f t="shared" si="20"/>
        <v>-9.8325091450988111E-2</v>
      </c>
      <c r="F376" s="28">
        <f t="shared" si="20"/>
        <v>0.34193458429302837</v>
      </c>
      <c r="G376" s="28">
        <f t="shared" si="20"/>
        <v>-1.3147382920124073E-2</v>
      </c>
      <c r="H376" s="28">
        <f t="shared" si="20"/>
        <v>-3.7689676194645472E-3</v>
      </c>
      <c r="I376" s="28">
        <f t="shared" si="20"/>
        <v>0.21833485751704984</v>
      </c>
      <c r="J376" s="28">
        <f t="shared" si="20"/>
        <v>8.2658628008857704E-2</v>
      </c>
      <c r="K376" s="28">
        <f t="shared" si="20"/>
        <v>0.10492638757176564</v>
      </c>
      <c r="L376" s="28">
        <f t="shared" si="20"/>
        <v>7.0001524183737729E-2</v>
      </c>
      <c r="M376" s="28">
        <f t="shared" si="20"/>
        <v>5.5787043309408091E-2</v>
      </c>
      <c r="N376" s="28">
        <f t="shared" si="20"/>
        <v>-5.3475251772624688E-2</v>
      </c>
    </row>
    <row r="377" spans="1:14" x14ac:dyDescent="0.4">
      <c r="A377" s="1">
        <v>32660</v>
      </c>
      <c r="B377" s="28">
        <v>-9.8379623357232049E-2</v>
      </c>
      <c r="C377" s="28">
        <f t="shared" si="20"/>
        <v>-0.17055858510587996</v>
      </c>
      <c r="D377" s="28">
        <f t="shared" si="20"/>
        <v>0.16986942826179074</v>
      </c>
      <c r="E377" s="28">
        <f t="shared" si="20"/>
        <v>-0.26312909271547369</v>
      </c>
      <c r="F377" s="28">
        <f t="shared" si="20"/>
        <v>-9.8325091450988111E-2</v>
      </c>
      <c r="G377" s="28">
        <f t="shared" si="20"/>
        <v>0.34193458429302837</v>
      </c>
      <c r="H377" s="28">
        <f t="shared" si="20"/>
        <v>-1.3147382920124073E-2</v>
      </c>
      <c r="I377" s="28">
        <f t="shared" si="20"/>
        <v>-3.7689676194645472E-3</v>
      </c>
      <c r="J377" s="28">
        <f t="shared" si="20"/>
        <v>0.21833485751704984</v>
      </c>
      <c r="K377" s="28">
        <f t="shared" si="20"/>
        <v>8.2658628008857704E-2</v>
      </c>
      <c r="L377" s="28">
        <f t="shared" si="20"/>
        <v>0.10492638757176564</v>
      </c>
      <c r="M377" s="28">
        <f t="shared" si="20"/>
        <v>7.0001524183737729E-2</v>
      </c>
      <c r="N377" s="28">
        <f t="shared" si="20"/>
        <v>5.5787043309408091E-2</v>
      </c>
    </row>
    <row r="378" spans="1:14" x14ac:dyDescent="0.4">
      <c r="A378" s="1">
        <v>32690</v>
      </c>
      <c r="B378" s="28">
        <v>0.22541819085029147</v>
      </c>
      <c r="C378" s="28">
        <f t="shared" si="20"/>
        <v>-9.8379623357232049E-2</v>
      </c>
      <c r="D378" s="28">
        <f t="shared" si="20"/>
        <v>-0.17055858510587996</v>
      </c>
      <c r="E378" s="28">
        <f t="shared" si="20"/>
        <v>0.16986942826179074</v>
      </c>
      <c r="F378" s="28">
        <f t="shared" si="20"/>
        <v>-0.26312909271547369</v>
      </c>
      <c r="G378" s="28">
        <f t="shared" si="20"/>
        <v>-9.8325091450988111E-2</v>
      </c>
      <c r="H378" s="28">
        <f t="shared" si="20"/>
        <v>0.34193458429302837</v>
      </c>
      <c r="I378" s="28">
        <f t="shared" si="20"/>
        <v>-1.3147382920124073E-2</v>
      </c>
      <c r="J378" s="28">
        <f t="shared" si="20"/>
        <v>-3.7689676194645472E-3</v>
      </c>
      <c r="K378" s="28">
        <f t="shared" si="20"/>
        <v>0.21833485751704984</v>
      </c>
      <c r="L378" s="28">
        <f t="shared" si="20"/>
        <v>8.2658628008857704E-2</v>
      </c>
      <c r="M378" s="28">
        <f t="shared" si="20"/>
        <v>0.10492638757176564</v>
      </c>
      <c r="N378" s="28">
        <f t="shared" si="20"/>
        <v>7.0001524183737729E-2</v>
      </c>
    </row>
    <row r="379" spans="1:14" x14ac:dyDescent="0.4">
      <c r="A379" s="1">
        <v>32721</v>
      </c>
      <c r="B379" s="28">
        <v>2.7843054238303466E-2</v>
      </c>
      <c r="C379" s="28">
        <f t="shared" si="20"/>
        <v>0.22541819085029147</v>
      </c>
      <c r="D379" s="28">
        <f t="shared" si="20"/>
        <v>-9.8379623357232049E-2</v>
      </c>
      <c r="E379" s="28">
        <f t="shared" si="20"/>
        <v>-0.17055858510587996</v>
      </c>
      <c r="F379" s="28">
        <f t="shared" si="20"/>
        <v>0.16986942826179074</v>
      </c>
      <c r="G379" s="28">
        <f t="shared" si="20"/>
        <v>-0.26312909271547369</v>
      </c>
      <c r="H379" s="28">
        <f t="shared" si="20"/>
        <v>-9.8325091450988111E-2</v>
      </c>
      <c r="I379" s="28">
        <f t="shared" si="20"/>
        <v>0.34193458429302837</v>
      </c>
      <c r="J379" s="28">
        <f t="shared" si="20"/>
        <v>-1.3147382920124073E-2</v>
      </c>
      <c r="K379" s="28">
        <f t="shared" si="20"/>
        <v>-3.7689676194645472E-3</v>
      </c>
      <c r="L379" s="28">
        <f t="shared" si="20"/>
        <v>0.21833485751704984</v>
      </c>
      <c r="M379" s="28">
        <f t="shared" si="20"/>
        <v>8.2658628008857704E-2</v>
      </c>
      <c r="N379" s="28">
        <f t="shared" si="20"/>
        <v>0.10492638757176564</v>
      </c>
    </row>
    <row r="380" spans="1:14" x14ac:dyDescent="0.4">
      <c r="A380" s="1">
        <v>32752</v>
      </c>
      <c r="B380" s="28">
        <v>-0.17650803865780063</v>
      </c>
      <c r="C380" s="28">
        <f t="shared" si="20"/>
        <v>2.7843054238303466E-2</v>
      </c>
      <c r="D380" s="28">
        <f t="shared" si="20"/>
        <v>0.22541819085029147</v>
      </c>
      <c r="E380" s="28">
        <f t="shared" si="20"/>
        <v>-9.8379623357232049E-2</v>
      </c>
      <c r="F380" s="28">
        <f t="shared" si="20"/>
        <v>-0.17055858510587996</v>
      </c>
      <c r="G380" s="28">
        <f t="shared" si="20"/>
        <v>0.16986942826179074</v>
      </c>
      <c r="H380" s="28">
        <f t="shared" si="20"/>
        <v>-0.26312909271547369</v>
      </c>
      <c r="I380" s="28">
        <f t="shared" si="20"/>
        <v>-9.8325091450988111E-2</v>
      </c>
      <c r="J380" s="28">
        <f t="shared" si="20"/>
        <v>0.34193458429302837</v>
      </c>
      <c r="K380" s="28">
        <f t="shared" si="20"/>
        <v>-1.3147382920124073E-2</v>
      </c>
      <c r="L380" s="28">
        <f t="shared" si="20"/>
        <v>-3.7689676194645472E-3</v>
      </c>
      <c r="M380" s="28">
        <f t="shared" si="20"/>
        <v>0.21833485751704984</v>
      </c>
      <c r="N380" s="28">
        <f t="shared" si="20"/>
        <v>8.2658628008857704E-2</v>
      </c>
    </row>
    <row r="381" spans="1:14" x14ac:dyDescent="0.4">
      <c r="A381" s="1">
        <v>32782</v>
      </c>
      <c r="B381" s="28">
        <v>2.2918190850418796E-2</v>
      </c>
      <c r="C381" s="28">
        <f t="shared" si="20"/>
        <v>-0.17650803865780063</v>
      </c>
      <c r="D381" s="28">
        <f t="shared" si="20"/>
        <v>2.7843054238303466E-2</v>
      </c>
      <c r="E381" s="28">
        <f t="shared" si="20"/>
        <v>0.22541819085029147</v>
      </c>
      <c r="F381" s="28">
        <f t="shared" si="20"/>
        <v>-9.8379623357232049E-2</v>
      </c>
      <c r="G381" s="28">
        <f t="shared" si="20"/>
        <v>-0.17055858510587996</v>
      </c>
      <c r="H381" s="28">
        <f t="shared" si="20"/>
        <v>0.16986942826179074</v>
      </c>
      <c r="I381" s="28">
        <f t="shared" si="20"/>
        <v>-0.26312909271547369</v>
      </c>
      <c r="J381" s="28">
        <f t="shared" si="20"/>
        <v>-9.8325091450988111E-2</v>
      </c>
      <c r="K381" s="28">
        <f t="shared" si="20"/>
        <v>0.34193458429302837</v>
      </c>
      <c r="L381" s="28">
        <f t="shared" si="20"/>
        <v>-1.3147382920124073E-2</v>
      </c>
      <c r="M381" s="28">
        <f t="shared" si="20"/>
        <v>-3.7689676194645472E-3</v>
      </c>
      <c r="N381" s="28">
        <f t="shared" si="20"/>
        <v>0.21833485751704984</v>
      </c>
    </row>
    <row r="382" spans="1:14" x14ac:dyDescent="0.4">
      <c r="A382" s="1">
        <v>32813</v>
      </c>
      <c r="B382" s="28">
        <v>-3.7102300952881251E-2</v>
      </c>
      <c r="C382" s="28">
        <f t="shared" si="20"/>
        <v>2.2918190850418796E-2</v>
      </c>
      <c r="D382" s="28">
        <f t="shared" si="20"/>
        <v>-0.17650803865780063</v>
      </c>
      <c r="E382" s="28">
        <f t="shared" si="20"/>
        <v>2.7843054238303466E-2</v>
      </c>
      <c r="F382" s="28">
        <f t="shared" si="20"/>
        <v>0.22541819085029147</v>
      </c>
      <c r="G382" s="28">
        <f t="shared" si="20"/>
        <v>-9.8379623357232049E-2</v>
      </c>
      <c r="H382" s="28">
        <f t="shared" si="20"/>
        <v>-0.17055858510587996</v>
      </c>
      <c r="I382" s="28">
        <f t="shared" si="20"/>
        <v>0.16986942826179074</v>
      </c>
      <c r="J382" s="28">
        <f t="shared" si="20"/>
        <v>-0.26312909271547369</v>
      </c>
      <c r="K382" s="28">
        <f t="shared" si="20"/>
        <v>-9.8325091450988111E-2</v>
      </c>
      <c r="L382" s="28">
        <f t="shared" si="20"/>
        <v>0.34193458429302837</v>
      </c>
      <c r="M382" s="28">
        <f t="shared" si="20"/>
        <v>-1.3147382920124073E-2</v>
      </c>
      <c r="N382" s="28">
        <f t="shared" si="20"/>
        <v>-3.7689676194645472E-3</v>
      </c>
    </row>
    <row r="383" spans="1:14" x14ac:dyDescent="0.4">
      <c r="A383" s="1">
        <v>32843</v>
      </c>
      <c r="B383" s="28">
        <v>-8.9397382920139989E-2</v>
      </c>
      <c r="C383" s="28">
        <f t="shared" si="20"/>
        <v>-3.7102300952881251E-2</v>
      </c>
      <c r="D383" s="28">
        <f t="shared" si="20"/>
        <v>2.2918190850418796E-2</v>
      </c>
      <c r="E383" s="28">
        <f t="shared" si="20"/>
        <v>-0.17650803865780063</v>
      </c>
      <c r="F383" s="28">
        <f t="shared" si="20"/>
        <v>2.7843054238303466E-2</v>
      </c>
      <c r="G383" s="28">
        <f t="shared" si="20"/>
        <v>0.22541819085029147</v>
      </c>
      <c r="H383" s="28">
        <f t="shared" si="20"/>
        <v>-9.8379623357232049E-2</v>
      </c>
      <c r="I383" s="28">
        <f t="shared" si="20"/>
        <v>-0.17055858510587996</v>
      </c>
      <c r="J383" s="28">
        <f t="shared" si="20"/>
        <v>0.16986942826179074</v>
      </c>
      <c r="K383" s="28">
        <f t="shared" si="20"/>
        <v>-0.26312909271547369</v>
      </c>
      <c r="L383" s="28">
        <f t="shared" si="20"/>
        <v>-9.8325091450988111E-2</v>
      </c>
      <c r="M383" s="28">
        <f t="shared" si="20"/>
        <v>0.34193458429302837</v>
      </c>
      <c r="N383" s="28">
        <f t="shared" si="20"/>
        <v>-1.3147382920124073E-2</v>
      </c>
    </row>
    <row r="384" spans="1:14" x14ac:dyDescent="0.4">
      <c r="A384" s="1">
        <v>32874</v>
      </c>
      <c r="B384" s="28">
        <v>1.985125095973217E-2</v>
      </c>
      <c r="C384" s="28">
        <f t="shared" si="20"/>
        <v>-8.9397382920139989E-2</v>
      </c>
      <c r="D384" s="28">
        <f t="shared" si="20"/>
        <v>-3.7102300952881251E-2</v>
      </c>
      <c r="E384" s="28">
        <f t="shared" si="20"/>
        <v>2.2918190850418796E-2</v>
      </c>
      <c r="F384" s="28">
        <f t="shared" si="20"/>
        <v>-0.17650803865780063</v>
      </c>
      <c r="G384" s="28">
        <f t="shared" si="20"/>
        <v>2.7843054238303466E-2</v>
      </c>
      <c r="H384" s="28">
        <f t="shared" si="20"/>
        <v>0.22541819085029147</v>
      </c>
      <c r="I384" s="28">
        <f t="shared" si="20"/>
        <v>-9.8379623357232049E-2</v>
      </c>
      <c r="J384" s="28">
        <f t="shared" si="20"/>
        <v>-0.17055858510587996</v>
      </c>
      <c r="K384" s="28">
        <f t="shared" si="20"/>
        <v>0.16986942826179074</v>
      </c>
      <c r="L384" s="28">
        <f t="shared" si="20"/>
        <v>-0.26312909271547369</v>
      </c>
      <c r="M384" s="28">
        <f t="shared" si="20"/>
        <v>-9.8325091450988111E-2</v>
      </c>
      <c r="N384" s="28">
        <f t="shared" si="20"/>
        <v>0.34193458429302837</v>
      </c>
    </row>
    <row r="385" spans="1:14" x14ac:dyDescent="0.4">
      <c r="A385" s="1">
        <v>32905</v>
      </c>
      <c r="B385" s="28">
        <v>0.33500824188229217</v>
      </c>
      <c r="C385" s="28">
        <f t="shared" si="20"/>
        <v>1.985125095973217E-2</v>
      </c>
      <c r="D385" s="28">
        <f t="shared" si="20"/>
        <v>-8.9397382920139989E-2</v>
      </c>
      <c r="E385" s="28">
        <f t="shared" si="20"/>
        <v>-3.7102300952881251E-2</v>
      </c>
      <c r="F385" s="28">
        <f t="shared" si="20"/>
        <v>2.2918190850418796E-2</v>
      </c>
      <c r="G385" s="28">
        <f t="shared" si="20"/>
        <v>-0.17650803865780063</v>
      </c>
      <c r="H385" s="28">
        <f t="shared" si="20"/>
        <v>2.7843054238303466E-2</v>
      </c>
      <c r="I385" s="28">
        <f t="shared" si="20"/>
        <v>0.22541819085029147</v>
      </c>
      <c r="J385" s="28">
        <f t="shared" si="20"/>
        <v>-9.8379623357232049E-2</v>
      </c>
      <c r="K385" s="28">
        <f t="shared" si="20"/>
        <v>-0.17055858510587996</v>
      </c>
      <c r="L385" s="28">
        <f t="shared" si="20"/>
        <v>0.16986942826179074</v>
      </c>
      <c r="M385" s="28">
        <f t="shared" si="20"/>
        <v>-0.26312909271547369</v>
      </c>
      <c r="N385" s="28">
        <f t="shared" si="20"/>
        <v>-9.8325091450988111E-2</v>
      </c>
    </row>
    <row r="386" spans="1:14" x14ac:dyDescent="0.4">
      <c r="A386" s="1">
        <v>32933</v>
      </c>
      <c r="B386" s="28">
        <v>0.23728757395110733</v>
      </c>
      <c r="C386" s="28">
        <f t="shared" si="20"/>
        <v>0.33500824188229217</v>
      </c>
      <c r="D386" s="28">
        <f t="shared" si="20"/>
        <v>1.985125095973217E-2</v>
      </c>
      <c r="E386" s="28">
        <f t="shared" si="20"/>
        <v>-8.9397382920139989E-2</v>
      </c>
      <c r="F386" s="28">
        <f t="shared" si="20"/>
        <v>-3.7102300952881251E-2</v>
      </c>
      <c r="G386" s="28">
        <f t="shared" si="20"/>
        <v>2.2918190850418796E-2</v>
      </c>
      <c r="H386" s="28">
        <f t="shared" si="20"/>
        <v>-0.17650803865780063</v>
      </c>
      <c r="I386" s="28">
        <f t="shared" si="20"/>
        <v>2.7843054238303466E-2</v>
      </c>
      <c r="J386" s="28">
        <f t="shared" si="20"/>
        <v>0.22541819085029147</v>
      </c>
      <c r="K386" s="28">
        <f t="shared" si="20"/>
        <v>-9.8379623357232049E-2</v>
      </c>
      <c r="L386" s="28">
        <f t="shared" si="20"/>
        <v>-0.17055858510587996</v>
      </c>
      <c r="M386" s="28">
        <f t="shared" si="20"/>
        <v>0.16986942826179074</v>
      </c>
      <c r="N386" s="28">
        <f t="shared" si="20"/>
        <v>-0.26312909271547369</v>
      </c>
    </row>
    <row r="387" spans="1:14" x14ac:dyDescent="0.4">
      <c r="A387" s="1">
        <v>32964</v>
      </c>
      <c r="B387" s="28">
        <v>-0.2559639050715532</v>
      </c>
      <c r="C387" s="28">
        <f t="shared" si="20"/>
        <v>0.23728757395110733</v>
      </c>
      <c r="D387" s="28">
        <f t="shared" si="20"/>
        <v>0.33500824188229217</v>
      </c>
      <c r="E387" s="28">
        <f t="shared" si="20"/>
        <v>1.985125095973217E-2</v>
      </c>
      <c r="F387" s="28">
        <f t="shared" si="20"/>
        <v>-8.9397382920139989E-2</v>
      </c>
      <c r="G387" s="28">
        <f t="shared" si="20"/>
        <v>-3.7102300952881251E-2</v>
      </c>
      <c r="H387" s="28">
        <f t="shared" si="20"/>
        <v>2.2918190850418796E-2</v>
      </c>
      <c r="I387" s="28">
        <f t="shared" si="20"/>
        <v>-0.17650803865780063</v>
      </c>
      <c r="J387" s="28">
        <f t="shared" si="20"/>
        <v>2.7843054238303466E-2</v>
      </c>
      <c r="K387" s="28">
        <f t="shared" si="20"/>
        <v>0.22541819085029147</v>
      </c>
      <c r="L387" s="28">
        <f t="shared" si="20"/>
        <v>-9.8379623357232049E-2</v>
      </c>
      <c r="M387" s="28">
        <f t="shared" si="20"/>
        <v>-0.17055858510587996</v>
      </c>
      <c r="N387" s="28">
        <f t="shared" si="20"/>
        <v>0.16986942826179074</v>
      </c>
    </row>
    <row r="388" spans="1:14" x14ac:dyDescent="0.4">
      <c r="A388" s="1">
        <v>32994</v>
      </c>
      <c r="B388" s="28">
        <v>9.777474822737986E-2</v>
      </c>
      <c r="C388" s="28">
        <f t="shared" ref="C388:N451" si="21">IF(B387=0,"",B387)</f>
        <v>-0.2559639050715532</v>
      </c>
      <c r="D388" s="28">
        <f t="shared" si="21"/>
        <v>0.23728757395110733</v>
      </c>
      <c r="E388" s="28">
        <f t="shared" si="21"/>
        <v>0.33500824188229217</v>
      </c>
      <c r="F388" s="28">
        <f t="shared" si="21"/>
        <v>1.985125095973217E-2</v>
      </c>
      <c r="G388" s="28">
        <f t="shared" si="21"/>
        <v>-8.9397382920139989E-2</v>
      </c>
      <c r="H388" s="28">
        <f t="shared" si="21"/>
        <v>-3.7102300952881251E-2</v>
      </c>
      <c r="I388" s="28">
        <f t="shared" si="21"/>
        <v>2.2918190850418796E-2</v>
      </c>
      <c r="J388" s="28">
        <f t="shared" si="21"/>
        <v>-0.17650803865780063</v>
      </c>
      <c r="K388" s="28">
        <f t="shared" si="21"/>
        <v>2.7843054238303466E-2</v>
      </c>
      <c r="L388" s="28">
        <f t="shared" si="21"/>
        <v>0.22541819085029147</v>
      </c>
      <c r="M388" s="28">
        <f t="shared" si="21"/>
        <v>-9.8379623357232049E-2</v>
      </c>
      <c r="N388" s="28">
        <f t="shared" si="21"/>
        <v>-0.17055858510587996</v>
      </c>
    </row>
    <row r="389" spans="1:14" x14ac:dyDescent="0.4">
      <c r="A389" s="1">
        <v>33025</v>
      </c>
      <c r="B389" s="28">
        <v>-0.24379629002396541</v>
      </c>
      <c r="C389" s="28">
        <f t="shared" si="21"/>
        <v>9.777474822737986E-2</v>
      </c>
      <c r="D389" s="28">
        <f t="shared" si="21"/>
        <v>-0.2559639050715532</v>
      </c>
      <c r="E389" s="28">
        <f t="shared" si="21"/>
        <v>0.23728757395110733</v>
      </c>
      <c r="F389" s="28">
        <f t="shared" si="21"/>
        <v>0.33500824188229217</v>
      </c>
      <c r="G389" s="28">
        <f t="shared" si="21"/>
        <v>1.985125095973217E-2</v>
      </c>
      <c r="H389" s="28">
        <f t="shared" si="21"/>
        <v>-8.9397382920139989E-2</v>
      </c>
      <c r="I389" s="28">
        <f t="shared" si="21"/>
        <v>-3.7102300952881251E-2</v>
      </c>
      <c r="J389" s="28">
        <f t="shared" si="21"/>
        <v>2.2918190850418796E-2</v>
      </c>
      <c r="K389" s="28">
        <f t="shared" si="21"/>
        <v>-0.17650803865780063</v>
      </c>
      <c r="L389" s="28">
        <f t="shared" si="21"/>
        <v>2.7843054238303466E-2</v>
      </c>
      <c r="M389" s="28">
        <f t="shared" si="21"/>
        <v>0.22541819085029147</v>
      </c>
      <c r="N389" s="28">
        <f t="shared" si="21"/>
        <v>-9.8379623357232049E-2</v>
      </c>
    </row>
    <row r="390" spans="1:14" x14ac:dyDescent="0.4">
      <c r="A390" s="1">
        <v>33055</v>
      </c>
      <c r="B390" s="28">
        <v>-0.14791514248298654</v>
      </c>
      <c r="C390" s="28">
        <f t="shared" si="21"/>
        <v>-0.24379629002396541</v>
      </c>
      <c r="D390" s="28">
        <f t="shared" si="21"/>
        <v>9.777474822737986E-2</v>
      </c>
      <c r="E390" s="28">
        <f t="shared" si="21"/>
        <v>-0.2559639050715532</v>
      </c>
      <c r="F390" s="28">
        <f t="shared" si="21"/>
        <v>0.23728757395110733</v>
      </c>
      <c r="G390" s="28">
        <f t="shared" si="21"/>
        <v>0.33500824188229217</v>
      </c>
      <c r="H390" s="28">
        <f t="shared" si="21"/>
        <v>1.985125095973217E-2</v>
      </c>
      <c r="I390" s="28">
        <f t="shared" si="21"/>
        <v>-8.9397382920139989E-2</v>
      </c>
      <c r="J390" s="28">
        <f t="shared" si="21"/>
        <v>-3.7102300952881251E-2</v>
      </c>
      <c r="K390" s="28">
        <f t="shared" si="21"/>
        <v>2.2918190850418796E-2</v>
      </c>
      <c r="L390" s="28">
        <f t="shared" si="21"/>
        <v>-0.17650803865780063</v>
      </c>
      <c r="M390" s="28">
        <f t="shared" si="21"/>
        <v>2.7843054238303466E-2</v>
      </c>
      <c r="N390" s="28">
        <f t="shared" si="21"/>
        <v>0.22541819085029147</v>
      </c>
    </row>
    <row r="391" spans="1:14" x14ac:dyDescent="0.4">
      <c r="A391" s="1">
        <v>33086</v>
      </c>
      <c r="B391" s="28">
        <v>2.0097209050504716E-3</v>
      </c>
      <c r="C391" s="28">
        <f t="shared" si="21"/>
        <v>-0.14791514248298654</v>
      </c>
      <c r="D391" s="28">
        <f t="shared" si="21"/>
        <v>-0.24379629002396541</v>
      </c>
      <c r="E391" s="28">
        <f t="shared" si="21"/>
        <v>9.777474822737986E-2</v>
      </c>
      <c r="F391" s="28">
        <f t="shared" si="21"/>
        <v>-0.2559639050715532</v>
      </c>
      <c r="G391" s="28">
        <f t="shared" si="21"/>
        <v>0.23728757395110733</v>
      </c>
      <c r="H391" s="28">
        <f t="shared" si="21"/>
        <v>0.33500824188229217</v>
      </c>
      <c r="I391" s="28">
        <f t="shared" si="21"/>
        <v>1.985125095973217E-2</v>
      </c>
      <c r="J391" s="28">
        <f t="shared" si="21"/>
        <v>-8.9397382920139989E-2</v>
      </c>
      <c r="K391" s="28">
        <f t="shared" si="21"/>
        <v>-3.7102300952881251E-2</v>
      </c>
      <c r="L391" s="28">
        <f t="shared" si="21"/>
        <v>2.2918190850418796E-2</v>
      </c>
      <c r="M391" s="28">
        <f t="shared" si="21"/>
        <v>-0.17650803865780063</v>
      </c>
      <c r="N391" s="28">
        <f t="shared" si="21"/>
        <v>2.7843054238303466E-2</v>
      </c>
    </row>
    <row r="392" spans="1:14" x14ac:dyDescent="0.4">
      <c r="A392" s="1">
        <v>33117</v>
      </c>
      <c r="B392" s="28">
        <v>-0.27150803865777107</v>
      </c>
      <c r="C392" s="28">
        <f t="shared" si="21"/>
        <v>2.0097209050504716E-3</v>
      </c>
      <c r="D392" s="28">
        <f t="shared" si="21"/>
        <v>-0.14791514248298654</v>
      </c>
      <c r="E392" s="28">
        <f t="shared" si="21"/>
        <v>-0.24379629002396541</v>
      </c>
      <c r="F392" s="28">
        <f t="shared" si="21"/>
        <v>9.777474822737986E-2</v>
      </c>
      <c r="G392" s="28">
        <f t="shared" si="21"/>
        <v>-0.2559639050715532</v>
      </c>
      <c r="H392" s="28">
        <f t="shared" si="21"/>
        <v>0.23728757395110733</v>
      </c>
      <c r="I392" s="28">
        <f t="shared" si="21"/>
        <v>0.33500824188229217</v>
      </c>
      <c r="J392" s="28">
        <f t="shared" si="21"/>
        <v>1.985125095973217E-2</v>
      </c>
      <c r="K392" s="28">
        <f t="shared" si="21"/>
        <v>-8.9397382920139989E-2</v>
      </c>
      <c r="L392" s="28">
        <f t="shared" si="21"/>
        <v>-3.7102300952881251E-2</v>
      </c>
      <c r="M392" s="28">
        <f t="shared" si="21"/>
        <v>2.2918190850418796E-2</v>
      </c>
      <c r="N392" s="28">
        <f t="shared" si="21"/>
        <v>-0.17650803865780063</v>
      </c>
    </row>
    <row r="393" spans="1:14" x14ac:dyDescent="0.4">
      <c r="A393" s="1">
        <v>33147</v>
      </c>
      <c r="B393" s="28">
        <v>-0.10291514248302747</v>
      </c>
      <c r="C393" s="28">
        <f t="shared" si="21"/>
        <v>-0.27150803865777107</v>
      </c>
      <c r="D393" s="28">
        <f t="shared" si="21"/>
        <v>2.0097209050504716E-3</v>
      </c>
      <c r="E393" s="28">
        <f t="shared" si="21"/>
        <v>-0.14791514248298654</v>
      </c>
      <c r="F393" s="28">
        <f t="shared" si="21"/>
        <v>-0.24379629002396541</v>
      </c>
      <c r="G393" s="28">
        <f t="shared" si="21"/>
        <v>9.777474822737986E-2</v>
      </c>
      <c r="H393" s="28">
        <f t="shared" si="21"/>
        <v>-0.2559639050715532</v>
      </c>
      <c r="I393" s="28">
        <f t="shared" si="21"/>
        <v>0.23728757395110733</v>
      </c>
      <c r="J393" s="28">
        <f t="shared" si="21"/>
        <v>0.33500824188229217</v>
      </c>
      <c r="K393" s="28">
        <f t="shared" si="21"/>
        <v>1.985125095973217E-2</v>
      </c>
      <c r="L393" s="28">
        <f t="shared" si="21"/>
        <v>-8.9397382920139989E-2</v>
      </c>
      <c r="M393" s="28">
        <f t="shared" si="21"/>
        <v>-3.7102300952881251E-2</v>
      </c>
      <c r="N393" s="28">
        <f t="shared" si="21"/>
        <v>2.2918190850418796E-2</v>
      </c>
    </row>
    <row r="394" spans="1:14" x14ac:dyDescent="0.4">
      <c r="A394" s="1">
        <v>33178</v>
      </c>
      <c r="B394" s="28">
        <v>8.0814365713706593E-2</v>
      </c>
      <c r="C394" s="28">
        <f t="shared" si="21"/>
        <v>-0.10291514248302747</v>
      </c>
      <c r="D394" s="28">
        <f t="shared" si="21"/>
        <v>-0.27150803865777107</v>
      </c>
      <c r="E394" s="28">
        <f t="shared" si="21"/>
        <v>2.0097209050504716E-3</v>
      </c>
      <c r="F394" s="28">
        <f t="shared" si="21"/>
        <v>-0.14791514248298654</v>
      </c>
      <c r="G394" s="28">
        <f t="shared" si="21"/>
        <v>-0.24379629002396541</v>
      </c>
      <c r="H394" s="28">
        <f t="shared" si="21"/>
        <v>9.777474822737986E-2</v>
      </c>
      <c r="I394" s="28">
        <f t="shared" si="21"/>
        <v>-0.2559639050715532</v>
      </c>
      <c r="J394" s="28">
        <f t="shared" si="21"/>
        <v>0.23728757395110733</v>
      </c>
      <c r="K394" s="28">
        <f t="shared" si="21"/>
        <v>0.33500824188229217</v>
      </c>
      <c r="L394" s="28">
        <f t="shared" si="21"/>
        <v>1.985125095973217E-2</v>
      </c>
      <c r="M394" s="28">
        <f t="shared" si="21"/>
        <v>-8.9397382920139989E-2</v>
      </c>
      <c r="N394" s="28">
        <f t="shared" si="21"/>
        <v>-3.7102300952881251E-2</v>
      </c>
    </row>
    <row r="395" spans="1:14" x14ac:dyDescent="0.4">
      <c r="A395" s="1">
        <v>33208</v>
      </c>
      <c r="B395" s="28">
        <v>0.1222692837465047</v>
      </c>
      <c r="C395" s="28">
        <f t="shared" si="21"/>
        <v>8.0814365713706593E-2</v>
      </c>
      <c r="D395" s="28">
        <f t="shared" si="21"/>
        <v>-0.10291514248302747</v>
      </c>
      <c r="E395" s="28">
        <f t="shared" si="21"/>
        <v>-0.27150803865777107</v>
      </c>
      <c r="F395" s="28">
        <f t="shared" si="21"/>
        <v>2.0097209050504716E-3</v>
      </c>
      <c r="G395" s="28">
        <f t="shared" si="21"/>
        <v>-0.14791514248298654</v>
      </c>
      <c r="H395" s="28">
        <f t="shared" si="21"/>
        <v>-0.24379629002396541</v>
      </c>
      <c r="I395" s="28">
        <f t="shared" si="21"/>
        <v>9.777474822737986E-2</v>
      </c>
      <c r="J395" s="28">
        <f t="shared" si="21"/>
        <v>-0.2559639050715532</v>
      </c>
      <c r="K395" s="28">
        <f t="shared" si="21"/>
        <v>0.23728757395110733</v>
      </c>
      <c r="L395" s="28">
        <f t="shared" si="21"/>
        <v>0.33500824188229217</v>
      </c>
      <c r="M395" s="28">
        <f t="shared" si="21"/>
        <v>1.985125095973217E-2</v>
      </c>
      <c r="N395" s="28">
        <f t="shared" si="21"/>
        <v>-8.9397382920139989E-2</v>
      </c>
    </row>
    <row r="396" spans="1:14" x14ac:dyDescent="0.4">
      <c r="A396" s="1">
        <v>33239</v>
      </c>
      <c r="B396" s="28">
        <v>-0.4547320823736527</v>
      </c>
      <c r="C396" s="28">
        <f t="shared" si="21"/>
        <v>0.1222692837465047</v>
      </c>
      <c r="D396" s="28">
        <f t="shared" si="21"/>
        <v>8.0814365713706593E-2</v>
      </c>
      <c r="E396" s="28">
        <f t="shared" si="21"/>
        <v>-0.10291514248302747</v>
      </c>
      <c r="F396" s="28">
        <f t="shared" si="21"/>
        <v>-0.27150803865777107</v>
      </c>
      <c r="G396" s="28">
        <f t="shared" si="21"/>
        <v>2.0097209050504716E-3</v>
      </c>
      <c r="H396" s="28">
        <f t="shared" si="21"/>
        <v>-0.14791514248298654</v>
      </c>
      <c r="I396" s="28">
        <f t="shared" si="21"/>
        <v>-0.24379629002396541</v>
      </c>
      <c r="J396" s="28">
        <f t="shared" si="21"/>
        <v>9.777474822737986E-2</v>
      </c>
      <c r="K396" s="28">
        <f t="shared" si="21"/>
        <v>-0.2559639050715532</v>
      </c>
      <c r="L396" s="28">
        <f t="shared" si="21"/>
        <v>0.23728757395110733</v>
      </c>
      <c r="M396" s="28">
        <f t="shared" si="21"/>
        <v>0.33500824188229217</v>
      </c>
      <c r="N396" s="28">
        <f t="shared" si="21"/>
        <v>1.985125095973217E-2</v>
      </c>
    </row>
    <row r="397" spans="1:14" x14ac:dyDescent="0.4">
      <c r="A397" s="1">
        <v>33270</v>
      </c>
      <c r="B397" s="28">
        <v>-0.16249175811776695</v>
      </c>
      <c r="C397" s="28">
        <f t="shared" si="21"/>
        <v>-0.4547320823736527</v>
      </c>
      <c r="D397" s="28">
        <f t="shared" si="21"/>
        <v>0.1222692837465047</v>
      </c>
      <c r="E397" s="28">
        <f t="shared" si="21"/>
        <v>8.0814365713706593E-2</v>
      </c>
      <c r="F397" s="28">
        <f t="shared" si="21"/>
        <v>-0.10291514248302747</v>
      </c>
      <c r="G397" s="28">
        <f t="shared" si="21"/>
        <v>-0.27150803865777107</v>
      </c>
      <c r="H397" s="28">
        <f t="shared" si="21"/>
        <v>2.0097209050504716E-3</v>
      </c>
      <c r="I397" s="28">
        <f t="shared" si="21"/>
        <v>-0.14791514248298654</v>
      </c>
      <c r="J397" s="28">
        <f t="shared" si="21"/>
        <v>-0.24379629002396541</v>
      </c>
      <c r="K397" s="28">
        <f t="shared" si="21"/>
        <v>9.777474822737986E-2</v>
      </c>
      <c r="L397" s="28">
        <f t="shared" si="21"/>
        <v>-0.2559639050715532</v>
      </c>
      <c r="M397" s="28">
        <f t="shared" si="21"/>
        <v>0.23728757395110733</v>
      </c>
      <c r="N397" s="28">
        <f t="shared" si="21"/>
        <v>0.33500824188229217</v>
      </c>
    </row>
    <row r="398" spans="1:14" x14ac:dyDescent="0.4">
      <c r="A398" s="1">
        <v>33298</v>
      </c>
      <c r="B398" s="28">
        <v>0.47395424061778613</v>
      </c>
      <c r="C398" s="28">
        <f t="shared" si="21"/>
        <v>-0.16249175811776695</v>
      </c>
      <c r="D398" s="28">
        <f t="shared" si="21"/>
        <v>-0.4547320823736527</v>
      </c>
      <c r="E398" s="28">
        <f t="shared" si="21"/>
        <v>0.1222692837465047</v>
      </c>
      <c r="F398" s="28">
        <f t="shared" si="21"/>
        <v>8.0814365713706593E-2</v>
      </c>
      <c r="G398" s="28">
        <f t="shared" si="21"/>
        <v>-0.10291514248302747</v>
      </c>
      <c r="H398" s="28">
        <f t="shared" si="21"/>
        <v>-0.27150803865777107</v>
      </c>
      <c r="I398" s="28">
        <f t="shared" si="21"/>
        <v>2.0097209050504716E-3</v>
      </c>
      <c r="J398" s="28">
        <f t="shared" si="21"/>
        <v>-0.14791514248298654</v>
      </c>
      <c r="K398" s="28">
        <f t="shared" si="21"/>
        <v>-0.24379629002396541</v>
      </c>
      <c r="L398" s="28">
        <f t="shared" si="21"/>
        <v>9.777474822737986E-2</v>
      </c>
      <c r="M398" s="28">
        <f t="shared" si="21"/>
        <v>-0.2559639050715532</v>
      </c>
      <c r="N398" s="28">
        <f t="shared" si="21"/>
        <v>0.23728757395110733</v>
      </c>
    </row>
    <row r="399" spans="1:14" x14ac:dyDescent="0.4">
      <c r="A399" s="1">
        <v>33329</v>
      </c>
      <c r="B399" s="28">
        <v>0.60570276159512559</v>
      </c>
      <c r="C399" s="28">
        <f t="shared" si="21"/>
        <v>0.47395424061778613</v>
      </c>
      <c r="D399" s="28">
        <f t="shared" si="21"/>
        <v>-0.16249175811776695</v>
      </c>
      <c r="E399" s="28">
        <f t="shared" si="21"/>
        <v>-0.4547320823736527</v>
      </c>
      <c r="F399" s="28">
        <f t="shared" si="21"/>
        <v>0.1222692837465047</v>
      </c>
      <c r="G399" s="28">
        <f t="shared" si="21"/>
        <v>8.0814365713706593E-2</v>
      </c>
      <c r="H399" s="28">
        <f t="shared" si="21"/>
        <v>-0.10291514248302747</v>
      </c>
      <c r="I399" s="28">
        <f t="shared" si="21"/>
        <v>-0.27150803865777107</v>
      </c>
      <c r="J399" s="28">
        <f t="shared" si="21"/>
        <v>2.0097209050504716E-3</v>
      </c>
      <c r="K399" s="28">
        <f t="shared" si="21"/>
        <v>-0.14791514248298654</v>
      </c>
      <c r="L399" s="28">
        <f t="shared" si="21"/>
        <v>-0.24379629002396541</v>
      </c>
      <c r="M399" s="28">
        <f t="shared" si="21"/>
        <v>9.777474822737986E-2</v>
      </c>
      <c r="N399" s="28">
        <f t="shared" si="21"/>
        <v>-0.2559639050715532</v>
      </c>
    </row>
    <row r="400" spans="1:14" x14ac:dyDescent="0.4">
      <c r="A400" s="1">
        <v>33359</v>
      </c>
      <c r="B400" s="28">
        <v>0.77152474822742079</v>
      </c>
      <c r="C400" s="28">
        <f t="shared" si="21"/>
        <v>0.60570276159512559</v>
      </c>
      <c r="D400" s="28">
        <f t="shared" si="21"/>
        <v>0.47395424061778613</v>
      </c>
      <c r="E400" s="28">
        <f t="shared" si="21"/>
        <v>-0.16249175811776695</v>
      </c>
      <c r="F400" s="28">
        <f t="shared" si="21"/>
        <v>-0.4547320823736527</v>
      </c>
      <c r="G400" s="28">
        <f t="shared" si="21"/>
        <v>0.1222692837465047</v>
      </c>
      <c r="H400" s="28">
        <f t="shared" si="21"/>
        <v>8.0814365713706593E-2</v>
      </c>
      <c r="I400" s="28">
        <f t="shared" si="21"/>
        <v>-0.10291514248302747</v>
      </c>
      <c r="J400" s="28">
        <f t="shared" si="21"/>
        <v>-0.27150803865777107</v>
      </c>
      <c r="K400" s="28">
        <f t="shared" si="21"/>
        <v>2.0097209050504716E-3</v>
      </c>
      <c r="L400" s="28">
        <f t="shared" si="21"/>
        <v>-0.14791514248298654</v>
      </c>
      <c r="M400" s="28">
        <f t="shared" si="21"/>
        <v>-0.24379629002396541</v>
      </c>
      <c r="N400" s="28">
        <f t="shared" si="21"/>
        <v>9.777474822737986E-2</v>
      </c>
    </row>
    <row r="401" spans="1:14" x14ac:dyDescent="0.4">
      <c r="A401" s="1">
        <v>33390</v>
      </c>
      <c r="B401" s="28">
        <v>0.32328704330939217</v>
      </c>
      <c r="C401" s="28">
        <f t="shared" si="21"/>
        <v>0.77152474822742079</v>
      </c>
      <c r="D401" s="28">
        <f t="shared" si="21"/>
        <v>0.60570276159512559</v>
      </c>
      <c r="E401" s="28">
        <f t="shared" si="21"/>
        <v>0.47395424061778613</v>
      </c>
      <c r="F401" s="28">
        <f t="shared" si="21"/>
        <v>-0.16249175811776695</v>
      </c>
      <c r="G401" s="28">
        <f t="shared" si="21"/>
        <v>-0.4547320823736527</v>
      </c>
      <c r="H401" s="28">
        <f t="shared" si="21"/>
        <v>0.1222692837465047</v>
      </c>
      <c r="I401" s="28">
        <f t="shared" si="21"/>
        <v>8.0814365713706593E-2</v>
      </c>
      <c r="J401" s="28">
        <f t="shared" si="21"/>
        <v>-0.10291514248302747</v>
      </c>
      <c r="K401" s="28">
        <f t="shared" si="21"/>
        <v>-0.27150803865777107</v>
      </c>
      <c r="L401" s="28">
        <f t="shared" si="21"/>
        <v>2.0097209050504716E-3</v>
      </c>
      <c r="M401" s="28">
        <f t="shared" si="21"/>
        <v>-0.14791514248298654</v>
      </c>
      <c r="N401" s="28">
        <f t="shared" si="21"/>
        <v>-0.24379629002396541</v>
      </c>
    </row>
    <row r="402" spans="1:14" x14ac:dyDescent="0.4">
      <c r="A402" s="1">
        <v>33420</v>
      </c>
      <c r="B402" s="28">
        <v>-0.20166514248296608</v>
      </c>
      <c r="C402" s="28">
        <f t="shared" si="21"/>
        <v>0.32328704330939217</v>
      </c>
      <c r="D402" s="28">
        <f t="shared" si="21"/>
        <v>0.77152474822742079</v>
      </c>
      <c r="E402" s="28">
        <f t="shared" si="21"/>
        <v>0.60570276159512559</v>
      </c>
      <c r="F402" s="28">
        <f t="shared" si="21"/>
        <v>0.47395424061778613</v>
      </c>
      <c r="G402" s="28">
        <f t="shared" si="21"/>
        <v>-0.16249175811776695</v>
      </c>
      <c r="H402" s="28">
        <f t="shared" si="21"/>
        <v>-0.4547320823736527</v>
      </c>
      <c r="I402" s="28">
        <f t="shared" si="21"/>
        <v>0.1222692837465047</v>
      </c>
      <c r="J402" s="28">
        <f t="shared" si="21"/>
        <v>8.0814365713706593E-2</v>
      </c>
      <c r="K402" s="28">
        <f t="shared" si="21"/>
        <v>-0.10291514248302747</v>
      </c>
      <c r="L402" s="28">
        <f t="shared" si="21"/>
        <v>-0.27150803865777107</v>
      </c>
      <c r="M402" s="28">
        <f t="shared" si="21"/>
        <v>2.0097209050504716E-3</v>
      </c>
      <c r="N402" s="28">
        <f t="shared" si="21"/>
        <v>-0.14791514248298654</v>
      </c>
    </row>
    <row r="403" spans="1:14" x14ac:dyDescent="0.4">
      <c r="A403" s="1">
        <v>33451</v>
      </c>
      <c r="B403" s="28">
        <v>-0.31715694576166698</v>
      </c>
      <c r="C403" s="28">
        <f t="shared" si="21"/>
        <v>-0.20166514248296608</v>
      </c>
      <c r="D403" s="28">
        <f t="shared" si="21"/>
        <v>0.32328704330939217</v>
      </c>
      <c r="E403" s="28">
        <f t="shared" si="21"/>
        <v>0.77152474822742079</v>
      </c>
      <c r="F403" s="28">
        <f t="shared" si="21"/>
        <v>0.60570276159512559</v>
      </c>
      <c r="G403" s="28">
        <f t="shared" si="21"/>
        <v>0.47395424061778613</v>
      </c>
      <c r="H403" s="28">
        <f t="shared" si="21"/>
        <v>-0.16249175811776695</v>
      </c>
      <c r="I403" s="28">
        <f t="shared" si="21"/>
        <v>-0.4547320823736527</v>
      </c>
      <c r="J403" s="28">
        <f t="shared" si="21"/>
        <v>0.1222692837465047</v>
      </c>
      <c r="K403" s="28">
        <f t="shared" si="21"/>
        <v>8.0814365713706593E-2</v>
      </c>
      <c r="L403" s="28">
        <f t="shared" si="21"/>
        <v>-0.10291514248302747</v>
      </c>
      <c r="M403" s="28">
        <f t="shared" si="21"/>
        <v>-0.27150803865777107</v>
      </c>
      <c r="N403" s="28">
        <f t="shared" si="21"/>
        <v>2.0097209050504716E-3</v>
      </c>
    </row>
    <row r="404" spans="1:14" x14ac:dyDescent="0.4">
      <c r="A404" s="1">
        <v>33482</v>
      </c>
      <c r="B404" s="28">
        <v>-0.45025803865780745</v>
      </c>
      <c r="C404" s="28">
        <f t="shared" si="21"/>
        <v>-0.31715694576166698</v>
      </c>
      <c r="D404" s="28">
        <f t="shared" si="21"/>
        <v>-0.20166514248296608</v>
      </c>
      <c r="E404" s="28">
        <f t="shared" si="21"/>
        <v>0.32328704330939217</v>
      </c>
      <c r="F404" s="28">
        <f t="shared" si="21"/>
        <v>0.77152474822742079</v>
      </c>
      <c r="G404" s="28">
        <f t="shared" si="21"/>
        <v>0.60570276159512559</v>
      </c>
      <c r="H404" s="28">
        <f t="shared" si="21"/>
        <v>0.47395424061778613</v>
      </c>
      <c r="I404" s="28">
        <f t="shared" si="21"/>
        <v>-0.16249175811776695</v>
      </c>
      <c r="J404" s="28">
        <f t="shared" si="21"/>
        <v>-0.4547320823736527</v>
      </c>
      <c r="K404" s="28">
        <f t="shared" si="21"/>
        <v>0.1222692837465047</v>
      </c>
      <c r="L404" s="28">
        <f t="shared" si="21"/>
        <v>8.0814365713706593E-2</v>
      </c>
      <c r="M404" s="28">
        <f t="shared" si="21"/>
        <v>-0.10291514248302747</v>
      </c>
      <c r="N404" s="28">
        <f t="shared" si="21"/>
        <v>-0.27150803865777107</v>
      </c>
    </row>
    <row r="405" spans="1:14" x14ac:dyDescent="0.4">
      <c r="A405" s="1">
        <v>33512</v>
      </c>
      <c r="B405" s="28">
        <v>-0.31749847581630775</v>
      </c>
      <c r="C405" s="28">
        <f t="shared" si="21"/>
        <v>-0.45025803865780745</v>
      </c>
      <c r="D405" s="28">
        <f t="shared" si="21"/>
        <v>-0.31715694576166698</v>
      </c>
      <c r="E405" s="28">
        <f t="shared" si="21"/>
        <v>-0.20166514248296608</v>
      </c>
      <c r="F405" s="28">
        <f t="shared" si="21"/>
        <v>0.32328704330939217</v>
      </c>
      <c r="G405" s="28">
        <f t="shared" si="21"/>
        <v>0.77152474822742079</v>
      </c>
      <c r="H405" s="28">
        <f t="shared" si="21"/>
        <v>0.60570276159512559</v>
      </c>
      <c r="I405" s="28">
        <f t="shared" si="21"/>
        <v>0.47395424061778613</v>
      </c>
      <c r="J405" s="28">
        <f t="shared" si="21"/>
        <v>-0.16249175811776695</v>
      </c>
      <c r="K405" s="28">
        <f t="shared" si="21"/>
        <v>-0.4547320823736527</v>
      </c>
      <c r="L405" s="28">
        <f t="shared" si="21"/>
        <v>0.1222692837465047</v>
      </c>
      <c r="M405" s="28">
        <f t="shared" si="21"/>
        <v>8.0814365713706593E-2</v>
      </c>
      <c r="N405" s="28">
        <f t="shared" si="21"/>
        <v>-0.10291514248302747</v>
      </c>
    </row>
    <row r="406" spans="1:14" x14ac:dyDescent="0.4">
      <c r="A406" s="1">
        <v>33543</v>
      </c>
      <c r="B406" s="28">
        <v>-8.9185634286195636E-2</v>
      </c>
      <c r="C406" s="28">
        <f t="shared" si="21"/>
        <v>-0.31749847581630775</v>
      </c>
      <c r="D406" s="28">
        <f t="shared" si="21"/>
        <v>-0.45025803865780745</v>
      </c>
      <c r="E406" s="28">
        <f t="shared" si="21"/>
        <v>-0.31715694576166698</v>
      </c>
      <c r="F406" s="28">
        <f t="shared" si="21"/>
        <v>-0.20166514248296608</v>
      </c>
      <c r="G406" s="28">
        <f t="shared" si="21"/>
        <v>0.32328704330939217</v>
      </c>
      <c r="H406" s="28">
        <f t="shared" si="21"/>
        <v>0.77152474822742079</v>
      </c>
      <c r="I406" s="28">
        <f t="shared" si="21"/>
        <v>0.60570276159512559</v>
      </c>
      <c r="J406" s="28">
        <f t="shared" si="21"/>
        <v>0.47395424061778613</v>
      </c>
      <c r="K406" s="28">
        <f t="shared" si="21"/>
        <v>-0.16249175811776695</v>
      </c>
      <c r="L406" s="28">
        <f t="shared" si="21"/>
        <v>-0.4547320823736527</v>
      </c>
      <c r="M406" s="28">
        <f t="shared" si="21"/>
        <v>0.1222692837465047</v>
      </c>
      <c r="N406" s="28">
        <f t="shared" si="21"/>
        <v>8.0814365713706593E-2</v>
      </c>
    </row>
    <row r="407" spans="1:14" x14ac:dyDescent="0.4">
      <c r="A407" s="1">
        <v>33573</v>
      </c>
      <c r="B407" s="28">
        <v>-6.8564049586711917E-2</v>
      </c>
      <c r="C407" s="28">
        <f t="shared" si="21"/>
        <v>-8.9185634286195636E-2</v>
      </c>
      <c r="D407" s="28">
        <f t="shared" si="21"/>
        <v>-0.31749847581630775</v>
      </c>
      <c r="E407" s="28">
        <f t="shared" si="21"/>
        <v>-0.45025803865780745</v>
      </c>
      <c r="F407" s="28">
        <f t="shared" si="21"/>
        <v>-0.31715694576166698</v>
      </c>
      <c r="G407" s="28">
        <f t="shared" si="21"/>
        <v>-0.20166514248296608</v>
      </c>
      <c r="H407" s="28">
        <f t="shared" si="21"/>
        <v>0.32328704330939217</v>
      </c>
      <c r="I407" s="28">
        <f t="shared" si="21"/>
        <v>0.77152474822742079</v>
      </c>
      <c r="J407" s="28">
        <f t="shared" si="21"/>
        <v>0.60570276159512559</v>
      </c>
      <c r="K407" s="28">
        <f t="shared" si="21"/>
        <v>0.47395424061778613</v>
      </c>
      <c r="L407" s="28">
        <f t="shared" si="21"/>
        <v>-0.16249175811776695</v>
      </c>
      <c r="M407" s="28">
        <f t="shared" si="21"/>
        <v>-0.4547320823736527</v>
      </c>
      <c r="N407" s="28">
        <f t="shared" si="21"/>
        <v>0.1222692837465047</v>
      </c>
    </row>
    <row r="408" spans="1:14" x14ac:dyDescent="0.4">
      <c r="A408" s="1">
        <v>33604</v>
      </c>
      <c r="B408" s="28">
        <v>-9.2648749040336043E-2</v>
      </c>
      <c r="C408" s="28">
        <f t="shared" si="21"/>
        <v>-6.8564049586711917E-2</v>
      </c>
      <c r="D408" s="28">
        <f t="shared" si="21"/>
        <v>-8.9185634286195636E-2</v>
      </c>
      <c r="E408" s="28">
        <f t="shared" si="21"/>
        <v>-0.31749847581630775</v>
      </c>
      <c r="F408" s="28">
        <f t="shared" si="21"/>
        <v>-0.45025803865780745</v>
      </c>
      <c r="G408" s="28">
        <f t="shared" si="21"/>
        <v>-0.31715694576166698</v>
      </c>
      <c r="H408" s="28">
        <f t="shared" si="21"/>
        <v>-0.20166514248296608</v>
      </c>
      <c r="I408" s="28">
        <f t="shared" si="21"/>
        <v>0.32328704330939217</v>
      </c>
      <c r="J408" s="28">
        <f t="shared" si="21"/>
        <v>0.77152474822742079</v>
      </c>
      <c r="K408" s="28">
        <f t="shared" si="21"/>
        <v>0.60570276159512559</v>
      </c>
      <c r="L408" s="28">
        <f t="shared" si="21"/>
        <v>0.47395424061778613</v>
      </c>
      <c r="M408" s="28">
        <f t="shared" si="21"/>
        <v>-0.16249175811776695</v>
      </c>
      <c r="N408" s="28">
        <f t="shared" si="21"/>
        <v>-0.4547320823736527</v>
      </c>
    </row>
    <row r="409" spans="1:14" x14ac:dyDescent="0.4">
      <c r="A409" s="1">
        <v>33635</v>
      </c>
      <c r="B409" s="28">
        <v>-7.4575091450924447E-2</v>
      </c>
      <c r="C409" s="28">
        <f t="shared" si="21"/>
        <v>-9.2648749040336043E-2</v>
      </c>
      <c r="D409" s="28">
        <f t="shared" si="21"/>
        <v>-6.8564049586711917E-2</v>
      </c>
      <c r="E409" s="28">
        <f t="shared" si="21"/>
        <v>-8.9185634286195636E-2</v>
      </c>
      <c r="F409" s="28">
        <f t="shared" ref="D409:P424" si="22">IF(E408=0,"",E408)</f>
        <v>-0.31749847581630775</v>
      </c>
      <c r="G409" s="28">
        <f t="shared" si="22"/>
        <v>-0.45025803865780745</v>
      </c>
      <c r="H409" s="28">
        <f t="shared" si="22"/>
        <v>-0.31715694576166698</v>
      </c>
      <c r="I409" s="28">
        <f t="shared" si="22"/>
        <v>-0.20166514248296608</v>
      </c>
      <c r="J409" s="28">
        <f t="shared" si="22"/>
        <v>0.32328704330939217</v>
      </c>
      <c r="K409" s="28">
        <f t="shared" si="22"/>
        <v>0.77152474822742079</v>
      </c>
      <c r="L409" s="28">
        <f t="shared" si="22"/>
        <v>0.60570276159512559</v>
      </c>
      <c r="M409" s="28">
        <f t="shared" si="22"/>
        <v>0.47395424061778613</v>
      </c>
      <c r="N409" s="28">
        <f t="shared" si="22"/>
        <v>-0.16249175811776695</v>
      </c>
    </row>
    <row r="410" spans="1:14" x14ac:dyDescent="0.4">
      <c r="A410" s="1">
        <v>33664</v>
      </c>
      <c r="B410" s="28">
        <v>0.26020424061778158</v>
      </c>
      <c r="C410" s="28">
        <f t="shared" ref="C410:N473" si="23">IF(B409=0,"",B409)</f>
        <v>-7.4575091450924447E-2</v>
      </c>
      <c r="D410" s="28">
        <f t="shared" si="22"/>
        <v>-9.2648749040336043E-2</v>
      </c>
      <c r="E410" s="28">
        <f t="shared" si="22"/>
        <v>-6.8564049586711917E-2</v>
      </c>
      <c r="F410" s="28">
        <f t="shared" si="22"/>
        <v>-8.9185634286195636E-2</v>
      </c>
      <c r="G410" s="28">
        <f t="shared" si="22"/>
        <v>-0.31749847581630775</v>
      </c>
      <c r="H410" s="28">
        <f t="shared" si="22"/>
        <v>-0.45025803865780745</v>
      </c>
      <c r="I410" s="28">
        <f t="shared" si="22"/>
        <v>-0.31715694576166698</v>
      </c>
      <c r="J410" s="28">
        <f t="shared" si="22"/>
        <v>-0.20166514248296608</v>
      </c>
      <c r="K410" s="28">
        <f t="shared" si="22"/>
        <v>0.32328704330939217</v>
      </c>
      <c r="L410" s="28">
        <f t="shared" si="22"/>
        <v>0.77152474822742079</v>
      </c>
      <c r="M410" s="28">
        <f t="shared" si="22"/>
        <v>0.60570276159512559</v>
      </c>
      <c r="N410" s="28">
        <f t="shared" si="22"/>
        <v>0.47395424061778613</v>
      </c>
    </row>
    <row r="411" spans="1:14" x14ac:dyDescent="0.4">
      <c r="A411" s="1">
        <v>33695</v>
      </c>
      <c r="B411" s="28">
        <v>0.30278609492842179</v>
      </c>
      <c r="C411" s="28">
        <f t="shared" si="23"/>
        <v>0.26020424061778158</v>
      </c>
      <c r="D411" s="28">
        <f t="shared" si="22"/>
        <v>-7.4575091450924447E-2</v>
      </c>
      <c r="E411" s="28">
        <f t="shared" si="22"/>
        <v>-9.2648749040336043E-2</v>
      </c>
      <c r="F411" s="28">
        <f t="shared" si="22"/>
        <v>-6.8564049586711917E-2</v>
      </c>
      <c r="G411" s="28">
        <f t="shared" si="22"/>
        <v>-8.9185634286195636E-2</v>
      </c>
      <c r="H411" s="28">
        <f t="shared" si="22"/>
        <v>-0.31749847581630775</v>
      </c>
      <c r="I411" s="28">
        <f t="shared" si="22"/>
        <v>-0.45025803865780745</v>
      </c>
      <c r="J411" s="28">
        <f t="shared" si="22"/>
        <v>-0.31715694576166698</v>
      </c>
      <c r="K411" s="28">
        <f t="shared" si="22"/>
        <v>-0.20166514248296608</v>
      </c>
      <c r="L411" s="28">
        <f t="shared" si="22"/>
        <v>0.32328704330939217</v>
      </c>
      <c r="M411" s="28">
        <f t="shared" si="22"/>
        <v>0.77152474822742079</v>
      </c>
      <c r="N411" s="28">
        <f t="shared" si="22"/>
        <v>0.60570276159512559</v>
      </c>
    </row>
    <row r="412" spans="1:14" x14ac:dyDescent="0.4">
      <c r="A412" s="1">
        <v>33725</v>
      </c>
      <c r="B412" s="28">
        <v>0.25694141489412914</v>
      </c>
      <c r="C412" s="28">
        <f t="shared" si="23"/>
        <v>0.30278609492842179</v>
      </c>
      <c r="D412" s="28">
        <f t="shared" si="22"/>
        <v>0.26020424061778158</v>
      </c>
      <c r="E412" s="28">
        <f t="shared" si="22"/>
        <v>-7.4575091450924447E-2</v>
      </c>
      <c r="F412" s="28">
        <f t="shared" si="22"/>
        <v>-9.2648749040336043E-2</v>
      </c>
      <c r="G412" s="28">
        <f t="shared" si="22"/>
        <v>-6.8564049586711917E-2</v>
      </c>
      <c r="H412" s="28">
        <f t="shared" si="22"/>
        <v>-8.9185634286195636E-2</v>
      </c>
      <c r="I412" s="28">
        <f t="shared" si="22"/>
        <v>-0.31749847581630775</v>
      </c>
      <c r="J412" s="28">
        <f t="shared" si="22"/>
        <v>-0.45025803865780745</v>
      </c>
      <c r="K412" s="28">
        <f t="shared" si="22"/>
        <v>-0.31715694576166698</v>
      </c>
      <c r="L412" s="28">
        <f t="shared" si="22"/>
        <v>-0.20166514248296608</v>
      </c>
      <c r="M412" s="28">
        <f t="shared" si="22"/>
        <v>0.32328704330939217</v>
      </c>
      <c r="N412" s="28">
        <f t="shared" si="22"/>
        <v>0.77152474822742079</v>
      </c>
    </row>
    <row r="413" spans="1:14" x14ac:dyDescent="0.4">
      <c r="A413" s="1">
        <v>33756</v>
      </c>
      <c r="B413" s="28">
        <v>0.53537037664267473</v>
      </c>
      <c r="C413" s="28">
        <f t="shared" si="23"/>
        <v>0.25694141489412914</v>
      </c>
      <c r="D413" s="28">
        <f t="shared" si="22"/>
        <v>0.30278609492842179</v>
      </c>
      <c r="E413" s="28">
        <f t="shared" si="22"/>
        <v>0.26020424061778158</v>
      </c>
      <c r="F413" s="28">
        <f t="shared" si="22"/>
        <v>-7.4575091450924447E-2</v>
      </c>
      <c r="G413" s="28">
        <f t="shared" si="22"/>
        <v>-9.2648749040336043E-2</v>
      </c>
      <c r="H413" s="28">
        <f t="shared" si="22"/>
        <v>-6.8564049586711917E-2</v>
      </c>
      <c r="I413" s="28">
        <f t="shared" si="22"/>
        <v>-8.9185634286195636E-2</v>
      </c>
      <c r="J413" s="28">
        <f t="shared" si="22"/>
        <v>-0.31749847581630775</v>
      </c>
      <c r="K413" s="28">
        <f t="shared" si="22"/>
        <v>-0.45025803865780745</v>
      </c>
      <c r="L413" s="28">
        <f t="shared" si="22"/>
        <v>-0.31715694576166698</v>
      </c>
      <c r="M413" s="28">
        <f t="shared" si="22"/>
        <v>-0.20166514248296608</v>
      </c>
      <c r="N413" s="28">
        <f t="shared" si="22"/>
        <v>0.32328704330939217</v>
      </c>
    </row>
    <row r="414" spans="1:14" x14ac:dyDescent="0.4">
      <c r="A414" s="1">
        <v>33786</v>
      </c>
      <c r="B414" s="28">
        <v>-0.11083180914965851</v>
      </c>
      <c r="C414" s="28">
        <f t="shared" si="23"/>
        <v>0.53537037664267473</v>
      </c>
      <c r="D414" s="28">
        <f t="shared" si="22"/>
        <v>0.25694141489412914</v>
      </c>
      <c r="E414" s="28">
        <f t="shared" si="22"/>
        <v>0.30278609492842179</v>
      </c>
      <c r="F414" s="28">
        <f t="shared" si="22"/>
        <v>0.26020424061778158</v>
      </c>
      <c r="G414" s="28">
        <f t="shared" si="22"/>
        <v>-7.4575091450924447E-2</v>
      </c>
      <c r="H414" s="28">
        <f t="shared" si="22"/>
        <v>-9.2648749040336043E-2</v>
      </c>
      <c r="I414" s="28">
        <f t="shared" si="22"/>
        <v>-6.8564049586711917E-2</v>
      </c>
      <c r="J414" s="28">
        <f t="shared" si="22"/>
        <v>-8.9185634286195636E-2</v>
      </c>
      <c r="K414" s="28">
        <f t="shared" si="22"/>
        <v>-0.31749847581630775</v>
      </c>
      <c r="L414" s="28">
        <f t="shared" si="22"/>
        <v>-0.45025803865780745</v>
      </c>
      <c r="M414" s="28">
        <f t="shared" si="22"/>
        <v>-0.31715694576166698</v>
      </c>
      <c r="N414" s="28">
        <f t="shared" si="22"/>
        <v>-0.20166514248296608</v>
      </c>
    </row>
    <row r="415" spans="1:14" x14ac:dyDescent="0.4">
      <c r="A415" s="1">
        <v>33817</v>
      </c>
      <c r="B415" s="28">
        <v>-4.1323612428357137E-2</v>
      </c>
      <c r="C415" s="28">
        <f t="shared" si="23"/>
        <v>-0.11083180914965851</v>
      </c>
      <c r="D415" s="28">
        <f t="shared" si="22"/>
        <v>0.53537037664267473</v>
      </c>
      <c r="E415" s="28">
        <f t="shared" si="22"/>
        <v>0.25694141489412914</v>
      </c>
      <c r="F415" s="28">
        <f t="shared" si="22"/>
        <v>0.30278609492842179</v>
      </c>
      <c r="G415" s="28">
        <f t="shared" si="22"/>
        <v>0.26020424061778158</v>
      </c>
      <c r="H415" s="28">
        <f t="shared" si="22"/>
        <v>-7.4575091450924447E-2</v>
      </c>
      <c r="I415" s="28">
        <f t="shared" si="22"/>
        <v>-9.2648749040336043E-2</v>
      </c>
      <c r="J415" s="28">
        <f t="shared" si="22"/>
        <v>-6.8564049586711917E-2</v>
      </c>
      <c r="K415" s="28">
        <f t="shared" si="22"/>
        <v>-8.9185634286195636E-2</v>
      </c>
      <c r="L415" s="28">
        <f t="shared" si="22"/>
        <v>-0.31749847581630775</v>
      </c>
      <c r="M415" s="28">
        <f t="shared" si="22"/>
        <v>-0.45025803865780745</v>
      </c>
      <c r="N415" s="28">
        <f t="shared" si="22"/>
        <v>-0.31715694576166698</v>
      </c>
    </row>
    <row r="416" spans="1:14" x14ac:dyDescent="0.4">
      <c r="A416" s="1">
        <v>33848</v>
      </c>
      <c r="B416" s="28">
        <v>-0.2794247053245158</v>
      </c>
      <c r="C416" s="28">
        <f t="shared" si="23"/>
        <v>-4.1323612428357137E-2</v>
      </c>
      <c r="D416" s="28">
        <f t="shared" si="22"/>
        <v>-0.11083180914965851</v>
      </c>
      <c r="E416" s="28">
        <f t="shared" si="22"/>
        <v>0.53537037664267473</v>
      </c>
      <c r="F416" s="28">
        <f t="shared" si="22"/>
        <v>0.25694141489412914</v>
      </c>
      <c r="G416" s="28">
        <f t="shared" si="22"/>
        <v>0.30278609492842179</v>
      </c>
      <c r="H416" s="28">
        <f t="shared" si="22"/>
        <v>0.26020424061778158</v>
      </c>
      <c r="I416" s="28">
        <f t="shared" si="22"/>
        <v>-7.4575091450924447E-2</v>
      </c>
      <c r="J416" s="28">
        <f t="shared" si="22"/>
        <v>-9.2648749040336043E-2</v>
      </c>
      <c r="K416" s="28">
        <f t="shared" si="22"/>
        <v>-6.8564049586711917E-2</v>
      </c>
      <c r="L416" s="28">
        <f t="shared" si="22"/>
        <v>-8.9185634286195636E-2</v>
      </c>
      <c r="M416" s="28">
        <f t="shared" si="22"/>
        <v>-0.31749847581630775</v>
      </c>
      <c r="N416" s="28">
        <f t="shared" si="22"/>
        <v>-0.45025803865780745</v>
      </c>
    </row>
    <row r="417" spans="1:14" x14ac:dyDescent="0.4">
      <c r="A417" s="1">
        <v>33878</v>
      </c>
      <c r="B417" s="28">
        <v>0.10666819085037105</v>
      </c>
      <c r="C417" s="28">
        <f t="shared" si="23"/>
        <v>-0.2794247053245158</v>
      </c>
      <c r="D417" s="28">
        <f t="shared" si="22"/>
        <v>-4.1323612428357137E-2</v>
      </c>
      <c r="E417" s="28">
        <f t="shared" si="22"/>
        <v>-0.11083180914965851</v>
      </c>
      <c r="F417" s="28">
        <f t="shared" si="22"/>
        <v>0.53537037664267473</v>
      </c>
      <c r="G417" s="28">
        <f t="shared" si="22"/>
        <v>0.25694141489412914</v>
      </c>
      <c r="H417" s="28">
        <f t="shared" si="22"/>
        <v>0.30278609492842179</v>
      </c>
      <c r="I417" s="28">
        <f t="shared" si="22"/>
        <v>0.26020424061778158</v>
      </c>
      <c r="J417" s="28">
        <f t="shared" si="22"/>
        <v>-7.4575091450924447E-2</v>
      </c>
      <c r="K417" s="28">
        <f t="shared" si="22"/>
        <v>-9.2648749040336043E-2</v>
      </c>
      <c r="L417" s="28">
        <f t="shared" si="22"/>
        <v>-6.8564049586711917E-2</v>
      </c>
      <c r="M417" s="28">
        <f t="shared" si="22"/>
        <v>-8.9185634286195636E-2</v>
      </c>
      <c r="N417" s="28">
        <f t="shared" si="22"/>
        <v>-0.31749847581630775</v>
      </c>
    </row>
    <row r="418" spans="1:14" x14ac:dyDescent="0.4">
      <c r="A418" s="1">
        <v>33909</v>
      </c>
      <c r="B418" s="28">
        <v>-0.3575189676195123</v>
      </c>
      <c r="C418" s="28">
        <f t="shared" si="23"/>
        <v>0.10666819085037105</v>
      </c>
      <c r="D418" s="28">
        <f t="shared" si="22"/>
        <v>-0.2794247053245158</v>
      </c>
      <c r="E418" s="28">
        <f t="shared" si="22"/>
        <v>-4.1323612428357137E-2</v>
      </c>
      <c r="F418" s="28">
        <f t="shared" si="22"/>
        <v>-0.11083180914965851</v>
      </c>
      <c r="G418" s="28">
        <f t="shared" si="22"/>
        <v>0.53537037664267473</v>
      </c>
      <c r="H418" s="28">
        <f t="shared" si="22"/>
        <v>0.25694141489412914</v>
      </c>
      <c r="I418" s="28">
        <f t="shared" si="22"/>
        <v>0.30278609492842179</v>
      </c>
      <c r="J418" s="28">
        <f t="shared" si="22"/>
        <v>0.26020424061778158</v>
      </c>
      <c r="K418" s="28">
        <f t="shared" si="22"/>
        <v>-7.4575091450924447E-2</v>
      </c>
      <c r="L418" s="28">
        <f t="shared" si="22"/>
        <v>-9.2648749040336043E-2</v>
      </c>
      <c r="M418" s="28">
        <f t="shared" si="22"/>
        <v>-6.8564049586711917E-2</v>
      </c>
      <c r="N418" s="28">
        <f t="shared" si="22"/>
        <v>-8.9185634286195636E-2</v>
      </c>
    </row>
    <row r="419" spans="1:14" x14ac:dyDescent="0.4">
      <c r="A419" s="1">
        <v>33939</v>
      </c>
      <c r="B419" s="28">
        <v>-0.32189738292009906</v>
      </c>
      <c r="C419" s="28">
        <f t="shared" si="23"/>
        <v>-0.3575189676195123</v>
      </c>
      <c r="D419" s="28">
        <f t="shared" si="22"/>
        <v>0.10666819085037105</v>
      </c>
      <c r="E419" s="28">
        <f t="shared" si="22"/>
        <v>-0.2794247053245158</v>
      </c>
      <c r="F419" s="28">
        <f t="shared" si="22"/>
        <v>-4.1323612428357137E-2</v>
      </c>
      <c r="G419" s="28">
        <f t="shared" si="22"/>
        <v>-0.11083180914965851</v>
      </c>
      <c r="H419" s="28">
        <f t="shared" si="22"/>
        <v>0.53537037664267473</v>
      </c>
      <c r="I419" s="28">
        <f t="shared" si="22"/>
        <v>0.25694141489412914</v>
      </c>
      <c r="J419" s="28">
        <f t="shared" si="22"/>
        <v>0.30278609492842179</v>
      </c>
      <c r="K419" s="28">
        <f t="shared" si="22"/>
        <v>0.26020424061778158</v>
      </c>
      <c r="L419" s="28">
        <f t="shared" si="22"/>
        <v>-7.4575091450924447E-2</v>
      </c>
      <c r="M419" s="28">
        <f t="shared" si="22"/>
        <v>-9.2648749040336043E-2</v>
      </c>
      <c r="N419" s="28">
        <f t="shared" si="22"/>
        <v>-6.8564049586711917E-2</v>
      </c>
    </row>
    <row r="420" spans="1:14" x14ac:dyDescent="0.4">
      <c r="A420" s="1">
        <v>33970</v>
      </c>
      <c r="B420" s="28">
        <v>-5.9820823736913553E-3</v>
      </c>
      <c r="C420" s="28">
        <f t="shared" si="23"/>
        <v>-0.32189738292009906</v>
      </c>
      <c r="D420" s="28">
        <f t="shared" si="22"/>
        <v>-0.3575189676195123</v>
      </c>
      <c r="E420" s="28">
        <f t="shared" si="22"/>
        <v>0.10666819085037105</v>
      </c>
      <c r="F420" s="28">
        <f t="shared" si="22"/>
        <v>-0.2794247053245158</v>
      </c>
      <c r="G420" s="28">
        <f t="shared" si="22"/>
        <v>-4.1323612428357137E-2</v>
      </c>
      <c r="H420" s="28">
        <f t="shared" si="22"/>
        <v>-0.11083180914965851</v>
      </c>
      <c r="I420" s="28">
        <f t="shared" si="22"/>
        <v>0.53537037664267473</v>
      </c>
      <c r="J420" s="28">
        <f t="shared" si="22"/>
        <v>0.25694141489412914</v>
      </c>
      <c r="K420" s="28">
        <f t="shared" si="22"/>
        <v>0.30278609492842179</v>
      </c>
      <c r="L420" s="28">
        <f t="shared" si="22"/>
        <v>0.26020424061778158</v>
      </c>
      <c r="M420" s="28">
        <f t="shared" si="22"/>
        <v>-7.4575091450924447E-2</v>
      </c>
      <c r="N420" s="28">
        <f t="shared" si="22"/>
        <v>-9.2648749040336043E-2</v>
      </c>
    </row>
    <row r="421" spans="1:14" x14ac:dyDescent="0.4">
      <c r="A421" s="1">
        <v>34001</v>
      </c>
      <c r="B421" s="28">
        <v>-0.21582509145099493</v>
      </c>
      <c r="C421" s="28">
        <f t="shared" si="23"/>
        <v>-5.9820823736913553E-3</v>
      </c>
      <c r="D421" s="28">
        <f t="shared" si="22"/>
        <v>-0.32189738292009906</v>
      </c>
      <c r="E421" s="28">
        <f t="shared" si="22"/>
        <v>-0.3575189676195123</v>
      </c>
      <c r="F421" s="28">
        <f t="shared" si="22"/>
        <v>0.10666819085037105</v>
      </c>
      <c r="G421" s="28">
        <f t="shared" si="22"/>
        <v>-0.2794247053245158</v>
      </c>
      <c r="H421" s="28">
        <f t="shared" si="22"/>
        <v>-4.1323612428357137E-2</v>
      </c>
      <c r="I421" s="28">
        <f t="shared" si="22"/>
        <v>-0.11083180914965851</v>
      </c>
      <c r="J421" s="28">
        <f t="shared" si="22"/>
        <v>0.53537037664267473</v>
      </c>
      <c r="K421" s="28">
        <f t="shared" si="22"/>
        <v>0.25694141489412914</v>
      </c>
      <c r="L421" s="28">
        <f t="shared" si="22"/>
        <v>0.30278609492842179</v>
      </c>
      <c r="M421" s="28">
        <f t="shared" si="22"/>
        <v>0.26020424061778158</v>
      </c>
      <c r="N421" s="28">
        <f t="shared" si="22"/>
        <v>-7.4575091450924447E-2</v>
      </c>
    </row>
    <row r="422" spans="1:14" x14ac:dyDescent="0.4">
      <c r="A422" s="1">
        <v>34029</v>
      </c>
      <c r="B422" s="28">
        <v>0.26603757395105276</v>
      </c>
      <c r="C422" s="28">
        <f t="shared" si="23"/>
        <v>-0.21582509145099493</v>
      </c>
      <c r="D422" s="28">
        <f t="shared" si="22"/>
        <v>-5.9820823736913553E-3</v>
      </c>
      <c r="E422" s="28">
        <f t="shared" si="22"/>
        <v>-0.32189738292009906</v>
      </c>
      <c r="F422" s="28">
        <f t="shared" si="22"/>
        <v>-0.3575189676195123</v>
      </c>
      <c r="G422" s="28">
        <f t="shared" si="22"/>
        <v>0.10666819085037105</v>
      </c>
      <c r="H422" s="28">
        <f t="shared" si="22"/>
        <v>-0.2794247053245158</v>
      </c>
      <c r="I422" s="28">
        <f t="shared" si="22"/>
        <v>-4.1323612428357137E-2</v>
      </c>
      <c r="J422" s="28">
        <f t="shared" si="22"/>
        <v>-0.11083180914965851</v>
      </c>
      <c r="K422" s="28">
        <f t="shared" si="22"/>
        <v>0.53537037664267473</v>
      </c>
      <c r="L422" s="28">
        <f t="shared" si="22"/>
        <v>0.25694141489412914</v>
      </c>
      <c r="M422" s="28">
        <f t="shared" si="22"/>
        <v>0.30278609492842179</v>
      </c>
      <c r="N422" s="28">
        <f t="shared" si="22"/>
        <v>0.26020424061778158</v>
      </c>
    </row>
    <row r="423" spans="1:14" x14ac:dyDescent="0.4">
      <c r="A423" s="1">
        <v>34060</v>
      </c>
      <c r="B423" s="28">
        <v>7.3619428261736175E-2</v>
      </c>
      <c r="C423" s="28">
        <f t="shared" si="23"/>
        <v>0.26603757395105276</v>
      </c>
      <c r="D423" s="28">
        <f t="shared" si="22"/>
        <v>-0.21582509145099493</v>
      </c>
      <c r="E423" s="28">
        <f t="shared" si="22"/>
        <v>-5.9820823736913553E-3</v>
      </c>
      <c r="F423" s="28">
        <f t="shared" si="22"/>
        <v>-0.32189738292009906</v>
      </c>
      <c r="G423" s="28">
        <f t="shared" si="22"/>
        <v>-0.3575189676195123</v>
      </c>
      <c r="H423" s="28">
        <f t="shared" si="22"/>
        <v>0.10666819085037105</v>
      </c>
      <c r="I423" s="28">
        <f t="shared" si="22"/>
        <v>-0.2794247053245158</v>
      </c>
      <c r="J423" s="28">
        <f t="shared" si="22"/>
        <v>-4.1323612428357137E-2</v>
      </c>
      <c r="K423" s="28">
        <f t="shared" si="22"/>
        <v>-0.11083180914965851</v>
      </c>
      <c r="L423" s="28">
        <f t="shared" si="22"/>
        <v>0.53537037664267473</v>
      </c>
      <c r="M423" s="28">
        <f t="shared" si="22"/>
        <v>0.25694141489412914</v>
      </c>
      <c r="N423" s="28">
        <f t="shared" si="22"/>
        <v>0.30278609492842179</v>
      </c>
    </row>
    <row r="424" spans="1:14" x14ac:dyDescent="0.4">
      <c r="A424" s="1">
        <v>34090</v>
      </c>
      <c r="B424" s="28">
        <v>0.32319141489404046</v>
      </c>
      <c r="C424" s="28">
        <f t="shared" si="23"/>
        <v>7.3619428261736175E-2</v>
      </c>
      <c r="D424" s="28">
        <f t="shared" si="22"/>
        <v>0.26603757395105276</v>
      </c>
      <c r="E424" s="28">
        <f t="shared" si="22"/>
        <v>-0.21582509145099493</v>
      </c>
      <c r="F424" s="28">
        <f t="shared" si="22"/>
        <v>-5.9820823736913553E-3</v>
      </c>
      <c r="G424" s="28">
        <f t="shared" si="22"/>
        <v>-0.32189738292009906</v>
      </c>
      <c r="H424" s="28">
        <f t="shared" si="22"/>
        <v>-0.3575189676195123</v>
      </c>
      <c r="I424" s="28">
        <f t="shared" si="22"/>
        <v>0.10666819085037105</v>
      </c>
      <c r="J424" s="28">
        <f t="shared" si="22"/>
        <v>-0.2794247053245158</v>
      </c>
      <c r="K424" s="28">
        <f t="shared" si="22"/>
        <v>-4.1323612428357137E-2</v>
      </c>
      <c r="L424" s="28">
        <f t="shared" si="22"/>
        <v>-0.11083180914965851</v>
      </c>
      <c r="M424" s="28">
        <f t="shared" si="22"/>
        <v>0.53537037664267473</v>
      </c>
      <c r="N424" s="28">
        <f t="shared" si="22"/>
        <v>0.25694141489412914</v>
      </c>
    </row>
    <row r="425" spans="1:14" x14ac:dyDescent="0.4">
      <c r="A425" s="1">
        <v>34121</v>
      </c>
      <c r="B425" s="28">
        <v>0.25828704330939445</v>
      </c>
      <c r="C425" s="28">
        <f t="shared" si="23"/>
        <v>0.32319141489404046</v>
      </c>
      <c r="D425" s="28">
        <f t="shared" si="23"/>
        <v>7.3619428261736175E-2</v>
      </c>
      <c r="E425" s="28">
        <f t="shared" si="23"/>
        <v>0.26603757395105276</v>
      </c>
      <c r="F425" s="28">
        <f t="shared" si="23"/>
        <v>-0.21582509145099493</v>
      </c>
      <c r="G425" s="28">
        <f t="shared" si="23"/>
        <v>-5.9820823736913553E-3</v>
      </c>
      <c r="H425" s="28">
        <f t="shared" si="23"/>
        <v>-0.32189738292009906</v>
      </c>
      <c r="I425" s="28">
        <f t="shared" si="23"/>
        <v>-0.3575189676195123</v>
      </c>
      <c r="J425" s="28">
        <f t="shared" si="23"/>
        <v>0.10666819085037105</v>
      </c>
      <c r="K425" s="28">
        <f t="shared" si="23"/>
        <v>-0.2794247053245158</v>
      </c>
      <c r="L425" s="28">
        <f t="shared" si="23"/>
        <v>-4.1323612428357137E-2</v>
      </c>
      <c r="M425" s="28">
        <f t="shared" si="23"/>
        <v>-0.11083180914965851</v>
      </c>
      <c r="N425" s="28">
        <f t="shared" si="23"/>
        <v>0.53537037664267473</v>
      </c>
    </row>
    <row r="426" spans="1:14" x14ac:dyDescent="0.4">
      <c r="A426" s="1">
        <v>34151</v>
      </c>
      <c r="B426" s="28">
        <v>-0.26916514248296153</v>
      </c>
      <c r="C426" s="28">
        <f t="shared" si="23"/>
        <v>0.25828704330939445</v>
      </c>
      <c r="D426" s="28">
        <f t="shared" si="23"/>
        <v>0.32319141489404046</v>
      </c>
      <c r="E426" s="28">
        <f t="shared" si="23"/>
        <v>7.3619428261736175E-2</v>
      </c>
      <c r="F426" s="28">
        <f t="shared" si="23"/>
        <v>0.26603757395105276</v>
      </c>
      <c r="G426" s="28">
        <f t="shared" si="23"/>
        <v>-0.21582509145099493</v>
      </c>
      <c r="H426" s="28">
        <f t="shared" si="23"/>
        <v>-5.9820823736913553E-3</v>
      </c>
      <c r="I426" s="28">
        <f t="shared" si="23"/>
        <v>-0.32189738292009906</v>
      </c>
      <c r="J426" s="28">
        <f t="shared" si="23"/>
        <v>-0.3575189676195123</v>
      </c>
      <c r="K426" s="28">
        <f t="shared" si="23"/>
        <v>0.10666819085037105</v>
      </c>
      <c r="L426" s="28">
        <f t="shared" si="23"/>
        <v>-0.2794247053245158</v>
      </c>
      <c r="M426" s="28">
        <f t="shared" si="23"/>
        <v>-4.1323612428357137E-2</v>
      </c>
      <c r="N426" s="28">
        <f t="shared" si="23"/>
        <v>-0.11083180914965851</v>
      </c>
    </row>
    <row r="427" spans="1:14" x14ac:dyDescent="0.4">
      <c r="A427" s="1">
        <v>34182</v>
      </c>
      <c r="B427" s="28">
        <v>-0.32340694576163287</v>
      </c>
      <c r="C427" s="28">
        <f t="shared" si="23"/>
        <v>-0.26916514248296153</v>
      </c>
      <c r="D427" s="28">
        <f t="shared" si="23"/>
        <v>0.25828704330939445</v>
      </c>
      <c r="E427" s="28">
        <f t="shared" si="23"/>
        <v>0.32319141489404046</v>
      </c>
      <c r="F427" s="28">
        <f t="shared" si="23"/>
        <v>7.3619428261736175E-2</v>
      </c>
      <c r="G427" s="28">
        <f t="shared" si="23"/>
        <v>0.26603757395105276</v>
      </c>
      <c r="H427" s="28">
        <f t="shared" si="23"/>
        <v>-0.21582509145099493</v>
      </c>
      <c r="I427" s="28">
        <f t="shared" si="23"/>
        <v>-5.9820823736913553E-3</v>
      </c>
      <c r="J427" s="28">
        <f t="shared" si="23"/>
        <v>-0.32189738292009906</v>
      </c>
      <c r="K427" s="28">
        <f t="shared" si="23"/>
        <v>-0.3575189676195123</v>
      </c>
      <c r="L427" s="28">
        <f t="shared" si="23"/>
        <v>0.10666819085037105</v>
      </c>
      <c r="M427" s="28">
        <f t="shared" si="23"/>
        <v>-0.2794247053245158</v>
      </c>
      <c r="N427" s="28">
        <f t="shared" si="23"/>
        <v>-4.1323612428357137E-2</v>
      </c>
    </row>
    <row r="428" spans="1:14" x14ac:dyDescent="0.4">
      <c r="A428" s="1">
        <v>34213</v>
      </c>
      <c r="B428" s="28">
        <v>-0.49775803865782109</v>
      </c>
      <c r="C428" s="28">
        <f t="shared" si="23"/>
        <v>-0.32340694576163287</v>
      </c>
      <c r="D428" s="28">
        <f t="shared" si="23"/>
        <v>-0.26916514248296153</v>
      </c>
      <c r="E428" s="28">
        <f t="shared" si="23"/>
        <v>0.25828704330939445</v>
      </c>
      <c r="F428" s="28">
        <f t="shared" si="23"/>
        <v>0.32319141489404046</v>
      </c>
      <c r="G428" s="28">
        <f t="shared" si="23"/>
        <v>7.3619428261736175E-2</v>
      </c>
      <c r="H428" s="28">
        <f t="shared" si="23"/>
        <v>0.26603757395105276</v>
      </c>
      <c r="I428" s="28">
        <f t="shared" si="23"/>
        <v>-0.21582509145099493</v>
      </c>
      <c r="J428" s="28">
        <f t="shared" si="23"/>
        <v>-5.9820823736913553E-3</v>
      </c>
      <c r="K428" s="28">
        <f t="shared" si="23"/>
        <v>-0.32189738292009906</v>
      </c>
      <c r="L428" s="28">
        <f t="shared" si="23"/>
        <v>-0.3575189676195123</v>
      </c>
      <c r="M428" s="28">
        <f t="shared" si="23"/>
        <v>0.10666819085037105</v>
      </c>
      <c r="N428" s="28">
        <f t="shared" si="23"/>
        <v>-0.2794247053245158</v>
      </c>
    </row>
    <row r="429" spans="1:14" x14ac:dyDescent="0.4">
      <c r="A429" s="1">
        <v>34243</v>
      </c>
      <c r="B429" s="28">
        <v>-0.21624847581631457</v>
      </c>
      <c r="C429" s="28">
        <f t="shared" si="23"/>
        <v>-0.49775803865782109</v>
      </c>
      <c r="D429" s="28">
        <f t="shared" si="23"/>
        <v>-0.32340694576163287</v>
      </c>
      <c r="E429" s="28">
        <f t="shared" si="23"/>
        <v>-0.26916514248296153</v>
      </c>
      <c r="F429" s="28">
        <f t="shared" si="23"/>
        <v>0.25828704330939445</v>
      </c>
      <c r="G429" s="28">
        <f t="shared" si="23"/>
        <v>0.32319141489404046</v>
      </c>
      <c r="H429" s="28">
        <f t="shared" si="23"/>
        <v>7.3619428261736175E-2</v>
      </c>
      <c r="I429" s="28">
        <f t="shared" si="23"/>
        <v>0.26603757395105276</v>
      </c>
      <c r="J429" s="28">
        <f t="shared" si="23"/>
        <v>-0.21582509145099493</v>
      </c>
      <c r="K429" s="28">
        <f t="shared" si="23"/>
        <v>-5.9820823736913553E-3</v>
      </c>
      <c r="L429" s="28">
        <f t="shared" si="23"/>
        <v>-0.32189738292009906</v>
      </c>
      <c r="M429" s="28">
        <f t="shared" si="23"/>
        <v>-0.3575189676195123</v>
      </c>
      <c r="N429" s="28">
        <f t="shared" si="23"/>
        <v>0.10666819085037105</v>
      </c>
    </row>
    <row r="430" spans="1:14" x14ac:dyDescent="0.4">
      <c r="A430" s="1">
        <v>34274</v>
      </c>
      <c r="B430" s="28">
        <v>-0.27543563428622519</v>
      </c>
      <c r="C430" s="28">
        <f t="shared" si="23"/>
        <v>-0.21624847581631457</v>
      </c>
      <c r="D430" s="28">
        <f t="shared" si="23"/>
        <v>-0.49775803865782109</v>
      </c>
      <c r="E430" s="28">
        <f t="shared" si="23"/>
        <v>-0.32340694576163287</v>
      </c>
      <c r="F430" s="28">
        <f t="shared" si="23"/>
        <v>-0.26916514248296153</v>
      </c>
      <c r="G430" s="28">
        <f t="shared" si="23"/>
        <v>0.25828704330939445</v>
      </c>
      <c r="H430" s="28">
        <f t="shared" si="23"/>
        <v>0.32319141489404046</v>
      </c>
      <c r="I430" s="28">
        <f t="shared" si="23"/>
        <v>7.3619428261736175E-2</v>
      </c>
      <c r="J430" s="28">
        <f t="shared" si="23"/>
        <v>0.26603757395105276</v>
      </c>
      <c r="K430" s="28">
        <f t="shared" si="23"/>
        <v>-0.21582509145099493</v>
      </c>
      <c r="L430" s="28">
        <f t="shared" si="23"/>
        <v>-5.9820823736913553E-3</v>
      </c>
      <c r="M430" s="28">
        <f t="shared" si="23"/>
        <v>-0.32189738292009906</v>
      </c>
      <c r="N430" s="28">
        <f t="shared" si="23"/>
        <v>-0.3575189676195123</v>
      </c>
    </row>
    <row r="431" spans="1:14" x14ac:dyDescent="0.4">
      <c r="A431" s="1">
        <v>34304</v>
      </c>
      <c r="B431" s="28">
        <v>-9.3980716253440733E-2</v>
      </c>
      <c r="C431" s="28">
        <f t="shared" si="23"/>
        <v>-0.27543563428622519</v>
      </c>
      <c r="D431" s="28">
        <f t="shared" si="23"/>
        <v>-0.21624847581631457</v>
      </c>
      <c r="E431" s="28">
        <f t="shared" si="23"/>
        <v>-0.49775803865782109</v>
      </c>
      <c r="F431" s="28">
        <f t="shared" si="23"/>
        <v>-0.32340694576163287</v>
      </c>
      <c r="G431" s="28">
        <f t="shared" si="23"/>
        <v>-0.26916514248296153</v>
      </c>
      <c r="H431" s="28">
        <f t="shared" si="23"/>
        <v>0.25828704330939445</v>
      </c>
      <c r="I431" s="28">
        <f t="shared" si="23"/>
        <v>0.32319141489404046</v>
      </c>
      <c r="J431" s="28">
        <f t="shared" si="23"/>
        <v>7.3619428261736175E-2</v>
      </c>
      <c r="K431" s="28">
        <f t="shared" si="23"/>
        <v>0.26603757395105276</v>
      </c>
      <c r="L431" s="28">
        <f t="shared" si="23"/>
        <v>-0.21582509145099493</v>
      </c>
      <c r="M431" s="28">
        <f t="shared" si="23"/>
        <v>-5.9820823736913553E-3</v>
      </c>
      <c r="N431" s="28">
        <f t="shared" si="23"/>
        <v>-0.32189738292009906</v>
      </c>
    </row>
    <row r="432" spans="1:14" x14ac:dyDescent="0.4">
      <c r="A432" s="1">
        <v>34335</v>
      </c>
      <c r="B432" s="28">
        <v>0.39110125095965032</v>
      </c>
      <c r="C432" s="28">
        <f t="shared" si="23"/>
        <v>-9.3980716253440733E-2</v>
      </c>
      <c r="D432" s="28">
        <f t="shared" si="23"/>
        <v>-0.27543563428622519</v>
      </c>
      <c r="E432" s="28">
        <f t="shared" si="23"/>
        <v>-0.21624847581631457</v>
      </c>
      <c r="F432" s="28">
        <f t="shared" si="23"/>
        <v>-0.49775803865782109</v>
      </c>
      <c r="G432" s="28">
        <f t="shared" si="23"/>
        <v>-0.32340694576163287</v>
      </c>
      <c r="H432" s="28">
        <f t="shared" si="23"/>
        <v>-0.26916514248296153</v>
      </c>
      <c r="I432" s="28">
        <f t="shared" si="23"/>
        <v>0.25828704330939445</v>
      </c>
      <c r="J432" s="28">
        <f t="shared" si="23"/>
        <v>0.32319141489404046</v>
      </c>
      <c r="K432" s="28">
        <f t="shared" si="23"/>
        <v>7.3619428261736175E-2</v>
      </c>
      <c r="L432" s="28">
        <f t="shared" si="23"/>
        <v>0.26603757395105276</v>
      </c>
      <c r="M432" s="28">
        <f t="shared" si="23"/>
        <v>-0.21582509145099493</v>
      </c>
      <c r="N432" s="28">
        <f t="shared" si="23"/>
        <v>-5.9820823736913553E-3</v>
      </c>
    </row>
    <row r="433" spans="1:14" x14ac:dyDescent="0.4">
      <c r="A433" s="1">
        <v>34366</v>
      </c>
      <c r="B433" s="28">
        <v>0.13167490854897324</v>
      </c>
      <c r="C433" s="28">
        <f t="shared" si="23"/>
        <v>0.39110125095965032</v>
      </c>
      <c r="D433" s="28">
        <f t="shared" si="23"/>
        <v>-9.3980716253440733E-2</v>
      </c>
      <c r="E433" s="28">
        <f t="shared" si="23"/>
        <v>-0.27543563428622519</v>
      </c>
      <c r="F433" s="28">
        <f t="shared" si="23"/>
        <v>-0.21624847581631457</v>
      </c>
      <c r="G433" s="28">
        <f t="shared" si="23"/>
        <v>-0.49775803865782109</v>
      </c>
      <c r="H433" s="28">
        <f t="shared" si="23"/>
        <v>-0.32340694576163287</v>
      </c>
      <c r="I433" s="28">
        <f t="shared" si="23"/>
        <v>-0.26916514248296153</v>
      </c>
      <c r="J433" s="28">
        <f t="shared" si="23"/>
        <v>0.25828704330939445</v>
      </c>
      <c r="K433" s="28">
        <f t="shared" si="23"/>
        <v>0.32319141489404046</v>
      </c>
      <c r="L433" s="28">
        <f t="shared" si="23"/>
        <v>7.3619428261736175E-2</v>
      </c>
      <c r="M433" s="28">
        <f t="shared" si="23"/>
        <v>0.26603757395105276</v>
      </c>
      <c r="N433" s="28">
        <f t="shared" si="23"/>
        <v>-0.21582509145099493</v>
      </c>
    </row>
    <row r="434" spans="1:14" x14ac:dyDescent="0.4">
      <c r="A434" s="1">
        <v>34394</v>
      </c>
      <c r="B434" s="28">
        <v>0.34228757395112552</v>
      </c>
      <c r="C434" s="28">
        <f t="shared" si="23"/>
        <v>0.13167490854897324</v>
      </c>
      <c r="D434" s="28">
        <f t="shared" si="23"/>
        <v>0.39110125095965032</v>
      </c>
      <c r="E434" s="28">
        <f t="shared" si="23"/>
        <v>-9.3980716253440733E-2</v>
      </c>
      <c r="F434" s="28">
        <f t="shared" si="23"/>
        <v>-0.27543563428622519</v>
      </c>
      <c r="G434" s="28">
        <f t="shared" si="23"/>
        <v>-0.21624847581631457</v>
      </c>
      <c r="H434" s="28">
        <f t="shared" si="23"/>
        <v>-0.49775803865782109</v>
      </c>
      <c r="I434" s="28">
        <f t="shared" si="23"/>
        <v>-0.32340694576163287</v>
      </c>
      <c r="J434" s="28">
        <f t="shared" si="23"/>
        <v>-0.26916514248296153</v>
      </c>
      <c r="K434" s="28">
        <f t="shared" si="23"/>
        <v>0.25828704330939445</v>
      </c>
      <c r="L434" s="28">
        <f t="shared" si="23"/>
        <v>0.32319141489404046</v>
      </c>
      <c r="M434" s="28">
        <f t="shared" si="23"/>
        <v>7.3619428261736175E-2</v>
      </c>
      <c r="N434" s="28">
        <f t="shared" si="23"/>
        <v>0.26603757395105276</v>
      </c>
    </row>
    <row r="435" spans="1:14" x14ac:dyDescent="0.4">
      <c r="A435" s="1">
        <v>34425</v>
      </c>
      <c r="B435" s="28">
        <v>0.24320276159505738</v>
      </c>
      <c r="C435" s="28">
        <f t="shared" si="23"/>
        <v>0.34228757395112552</v>
      </c>
      <c r="D435" s="28">
        <f t="shared" si="23"/>
        <v>0.13167490854897324</v>
      </c>
      <c r="E435" s="28">
        <f t="shared" si="23"/>
        <v>0.39110125095965032</v>
      </c>
      <c r="F435" s="28">
        <f t="shared" si="23"/>
        <v>-9.3980716253440733E-2</v>
      </c>
      <c r="G435" s="28">
        <f t="shared" si="23"/>
        <v>-0.27543563428622519</v>
      </c>
      <c r="H435" s="28">
        <f t="shared" si="23"/>
        <v>-0.21624847581631457</v>
      </c>
      <c r="I435" s="28">
        <f t="shared" si="23"/>
        <v>-0.49775803865782109</v>
      </c>
      <c r="J435" s="28">
        <f t="shared" si="23"/>
        <v>-0.32340694576163287</v>
      </c>
      <c r="K435" s="28">
        <f t="shared" si="23"/>
        <v>-0.26916514248296153</v>
      </c>
      <c r="L435" s="28">
        <f t="shared" si="23"/>
        <v>0.25828704330939445</v>
      </c>
      <c r="M435" s="28">
        <f t="shared" si="23"/>
        <v>0.32319141489404046</v>
      </c>
      <c r="N435" s="28">
        <f t="shared" si="23"/>
        <v>7.3619428261736175E-2</v>
      </c>
    </row>
    <row r="436" spans="1:14" x14ac:dyDescent="0.4">
      <c r="A436" s="1">
        <v>34455</v>
      </c>
      <c r="B436" s="28">
        <v>3.1914148940472842E-3</v>
      </c>
      <c r="C436" s="28">
        <f t="shared" si="23"/>
        <v>0.24320276159505738</v>
      </c>
      <c r="D436" s="28">
        <f t="shared" si="23"/>
        <v>0.34228757395112552</v>
      </c>
      <c r="E436" s="28">
        <f t="shared" si="23"/>
        <v>0.13167490854897324</v>
      </c>
      <c r="F436" s="28">
        <f t="shared" si="23"/>
        <v>0.39110125095965032</v>
      </c>
      <c r="G436" s="28">
        <f t="shared" si="23"/>
        <v>-9.3980716253440733E-2</v>
      </c>
      <c r="H436" s="28">
        <f t="shared" si="23"/>
        <v>-0.27543563428622519</v>
      </c>
      <c r="I436" s="28">
        <f t="shared" si="23"/>
        <v>-0.21624847581631457</v>
      </c>
      <c r="J436" s="28">
        <f t="shared" si="23"/>
        <v>-0.49775803865782109</v>
      </c>
      <c r="K436" s="28">
        <f t="shared" si="23"/>
        <v>-0.32340694576163287</v>
      </c>
      <c r="L436" s="28">
        <f t="shared" si="23"/>
        <v>-0.26916514248296153</v>
      </c>
      <c r="M436" s="28">
        <f t="shared" si="23"/>
        <v>0.25828704330939445</v>
      </c>
      <c r="N436" s="28">
        <f t="shared" si="23"/>
        <v>0.32319141489404046</v>
      </c>
    </row>
    <row r="437" spans="1:14" x14ac:dyDescent="0.4">
      <c r="A437" s="1">
        <v>34486</v>
      </c>
      <c r="B437" s="28">
        <v>-0.21087962335730026</v>
      </c>
      <c r="C437" s="28">
        <f t="shared" si="23"/>
        <v>3.1914148940472842E-3</v>
      </c>
      <c r="D437" s="28">
        <f t="shared" si="23"/>
        <v>0.24320276159505738</v>
      </c>
      <c r="E437" s="28">
        <f t="shared" si="23"/>
        <v>0.34228757395112552</v>
      </c>
      <c r="F437" s="28">
        <f t="shared" si="23"/>
        <v>0.13167490854897324</v>
      </c>
      <c r="G437" s="28">
        <f t="shared" si="23"/>
        <v>0.39110125095965032</v>
      </c>
      <c r="H437" s="28">
        <f t="shared" si="23"/>
        <v>-9.3980716253440733E-2</v>
      </c>
      <c r="I437" s="28">
        <f t="shared" si="23"/>
        <v>-0.27543563428622519</v>
      </c>
      <c r="J437" s="28">
        <f t="shared" si="23"/>
        <v>-0.21624847581631457</v>
      </c>
      <c r="K437" s="28">
        <f t="shared" si="23"/>
        <v>-0.49775803865782109</v>
      </c>
      <c r="L437" s="28">
        <f t="shared" si="23"/>
        <v>-0.32340694576163287</v>
      </c>
      <c r="M437" s="28">
        <f t="shared" si="23"/>
        <v>-0.26916514248296153</v>
      </c>
      <c r="N437" s="28">
        <f t="shared" si="23"/>
        <v>0.25828704330939445</v>
      </c>
    </row>
    <row r="438" spans="1:14" x14ac:dyDescent="0.4">
      <c r="A438" s="1">
        <v>34516</v>
      </c>
      <c r="B438" s="28">
        <v>-0.1304151424830593</v>
      </c>
      <c r="C438" s="28">
        <f t="shared" si="23"/>
        <v>-0.21087962335730026</v>
      </c>
      <c r="D438" s="28">
        <f t="shared" si="23"/>
        <v>3.1914148940472842E-3</v>
      </c>
      <c r="E438" s="28">
        <f t="shared" si="23"/>
        <v>0.24320276159505738</v>
      </c>
      <c r="F438" s="28">
        <f t="shared" si="23"/>
        <v>0.34228757395112552</v>
      </c>
      <c r="G438" s="28">
        <f t="shared" si="23"/>
        <v>0.13167490854897324</v>
      </c>
      <c r="H438" s="28">
        <f t="shared" si="23"/>
        <v>0.39110125095965032</v>
      </c>
      <c r="I438" s="28">
        <f t="shared" si="23"/>
        <v>-9.3980716253440733E-2</v>
      </c>
      <c r="J438" s="28">
        <f t="shared" si="23"/>
        <v>-0.27543563428622519</v>
      </c>
      <c r="K438" s="28">
        <f t="shared" si="23"/>
        <v>-0.21624847581631457</v>
      </c>
      <c r="L438" s="28">
        <f t="shared" si="23"/>
        <v>-0.49775803865782109</v>
      </c>
      <c r="M438" s="28">
        <f t="shared" si="23"/>
        <v>-0.32340694576163287</v>
      </c>
      <c r="N438" s="28">
        <f t="shared" si="23"/>
        <v>-0.26916514248296153</v>
      </c>
    </row>
    <row r="439" spans="1:14" x14ac:dyDescent="0.4">
      <c r="A439" s="1">
        <v>34547</v>
      </c>
      <c r="B439" s="28">
        <v>-0.21632361242825482</v>
      </c>
      <c r="C439" s="28">
        <f t="shared" si="23"/>
        <v>-0.1304151424830593</v>
      </c>
      <c r="D439" s="28">
        <f t="shared" si="23"/>
        <v>-0.21087962335730026</v>
      </c>
      <c r="E439" s="28">
        <f t="shared" si="23"/>
        <v>3.1914148940472842E-3</v>
      </c>
      <c r="F439" s="28">
        <f t="shared" si="23"/>
        <v>0.24320276159505738</v>
      </c>
      <c r="G439" s="28">
        <f t="shared" si="23"/>
        <v>0.34228757395112552</v>
      </c>
      <c r="H439" s="28">
        <f t="shared" si="23"/>
        <v>0.13167490854897324</v>
      </c>
      <c r="I439" s="28">
        <f t="shared" si="23"/>
        <v>0.39110125095965032</v>
      </c>
      <c r="J439" s="28">
        <f t="shared" si="23"/>
        <v>-9.3980716253440733E-2</v>
      </c>
      <c r="K439" s="28">
        <f t="shared" si="23"/>
        <v>-0.27543563428622519</v>
      </c>
      <c r="L439" s="28">
        <f t="shared" si="23"/>
        <v>-0.21624847581631457</v>
      </c>
      <c r="M439" s="28">
        <f t="shared" si="23"/>
        <v>-0.49775803865782109</v>
      </c>
      <c r="N439" s="28">
        <f t="shared" si="23"/>
        <v>-0.32340694576163287</v>
      </c>
    </row>
    <row r="440" spans="1:14" x14ac:dyDescent="0.4">
      <c r="A440" s="1">
        <v>34578</v>
      </c>
      <c r="B440" s="28">
        <v>-0.21817470532454308</v>
      </c>
      <c r="C440" s="28">
        <f t="shared" si="23"/>
        <v>-0.21632361242825482</v>
      </c>
      <c r="D440" s="28">
        <f t="shared" si="23"/>
        <v>-0.1304151424830593</v>
      </c>
      <c r="E440" s="28">
        <f t="shared" si="23"/>
        <v>-0.21087962335730026</v>
      </c>
      <c r="F440" s="28">
        <f t="shared" si="23"/>
        <v>3.1914148940472842E-3</v>
      </c>
      <c r="G440" s="28">
        <f t="shared" si="23"/>
        <v>0.24320276159505738</v>
      </c>
      <c r="H440" s="28">
        <f t="shared" si="23"/>
        <v>0.34228757395112552</v>
      </c>
      <c r="I440" s="28">
        <f t="shared" si="23"/>
        <v>0.13167490854897324</v>
      </c>
      <c r="J440" s="28">
        <f t="shared" si="23"/>
        <v>0.39110125095965032</v>
      </c>
      <c r="K440" s="28">
        <f t="shared" si="23"/>
        <v>-9.3980716253440733E-2</v>
      </c>
      <c r="L440" s="28">
        <f t="shared" si="23"/>
        <v>-0.27543563428622519</v>
      </c>
      <c r="M440" s="28">
        <f t="shared" si="23"/>
        <v>-0.21624847581631457</v>
      </c>
      <c r="N440" s="28">
        <f t="shared" si="23"/>
        <v>-0.49775803865782109</v>
      </c>
    </row>
    <row r="441" spans="1:14" x14ac:dyDescent="0.4">
      <c r="A441" s="1">
        <v>34608</v>
      </c>
      <c r="B441" s="28">
        <v>-9.5831809149672154E-2</v>
      </c>
      <c r="C441" s="28">
        <f t="shared" si="23"/>
        <v>-0.21817470532454308</v>
      </c>
      <c r="D441" s="28">
        <f t="shared" si="23"/>
        <v>-0.21632361242825482</v>
      </c>
      <c r="E441" s="28">
        <f t="shared" si="23"/>
        <v>-0.1304151424830593</v>
      </c>
      <c r="F441" s="28">
        <f t="shared" si="23"/>
        <v>-0.21087962335730026</v>
      </c>
      <c r="G441" s="28">
        <f t="shared" si="23"/>
        <v>3.1914148940472842E-3</v>
      </c>
      <c r="H441" s="28">
        <f t="shared" si="23"/>
        <v>0.24320276159505738</v>
      </c>
      <c r="I441" s="28">
        <f t="shared" si="23"/>
        <v>0.34228757395112552</v>
      </c>
      <c r="J441" s="28">
        <f t="shared" si="23"/>
        <v>0.13167490854897324</v>
      </c>
      <c r="K441" s="28">
        <f t="shared" si="23"/>
        <v>0.39110125095965032</v>
      </c>
      <c r="L441" s="28">
        <f t="shared" si="23"/>
        <v>-9.3980716253440733E-2</v>
      </c>
      <c r="M441" s="28">
        <f t="shared" si="23"/>
        <v>-0.27543563428622519</v>
      </c>
      <c r="N441" s="28">
        <f t="shared" si="23"/>
        <v>-0.21624847581631457</v>
      </c>
    </row>
    <row r="442" spans="1:14" x14ac:dyDescent="0.4">
      <c r="A442" s="1">
        <v>34639</v>
      </c>
      <c r="B442" s="28">
        <v>2.9564365713724783E-2</v>
      </c>
      <c r="C442" s="28">
        <f t="shared" si="23"/>
        <v>-9.5831809149672154E-2</v>
      </c>
      <c r="D442" s="28">
        <f t="shared" si="23"/>
        <v>-0.21817470532454308</v>
      </c>
      <c r="E442" s="28">
        <f t="shared" si="23"/>
        <v>-0.21632361242825482</v>
      </c>
      <c r="F442" s="28">
        <f t="shared" si="23"/>
        <v>-0.1304151424830593</v>
      </c>
      <c r="G442" s="28">
        <f t="shared" si="23"/>
        <v>-0.21087962335730026</v>
      </c>
      <c r="H442" s="28">
        <f t="shared" si="23"/>
        <v>3.1914148940472842E-3</v>
      </c>
      <c r="I442" s="28">
        <f t="shared" si="23"/>
        <v>0.24320276159505738</v>
      </c>
      <c r="J442" s="28">
        <f t="shared" si="23"/>
        <v>0.34228757395112552</v>
      </c>
      <c r="K442" s="28">
        <f t="shared" si="23"/>
        <v>0.13167490854897324</v>
      </c>
      <c r="L442" s="28">
        <f t="shared" si="23"/>
        <v>0.39110125095965032</v>
      </c>
      <c r="M442" s="28">
        <f t="shared" si="23"/>
        <v>-9.3980716253440733E-2</v>
      </c>
      <c r="N442" s="28">
        <f t="shared" si="23"/>
        <v>-0.27543563428622519</v>
      </c>
    </row>
    <row r="443" spans="1:14" x14ac:dyDescent="0.4">
      <c r="A443" s="1">
        <v>34669</v>
      </c>
      <c r="B443" s="28">
        <v>0.14101928374657291</v>
      </c>
      <c r="C443" s="28">
        <f t="shared" si="23"/>
        <v>2.9564365713724783E-2</v>
      </c>
      <c r="D443" s="28">
        <f t="shared" si="23"/>
        <v>-9.5831809149672154E-2</v>
      </c>
      <c r="E443" s="28">
        <f t="shared" si="23"/>
        <v>-0.21817470532454308</v>
      </c>
      <c r="F443" s="28">
        <f t="shared" si="23"/>
        <v>-0.21632361242825482</v>
      </c>
      <c r="G443" s="28">
        <f t="shared" si="23"/>
        <v>-0.1304151424830593</v>
      </c>
      <c r="H443" s="28">
        <f t="shared" si="23"/>
        <v>-0.21087962335730026</v>
      </c>
      <c r="I443" s="28">
        <f t="shared" si="23"/>
        <v>3.1914148940472842E-3</v>
      </c>
      <c r="J443" s="28">
        <f t="shared" si="23"/>
        <v>0.24320276159505738</v>
      </c>
      <c r="K443" s="28">
        <f t="shared" si="23"/>
        <v>0.34228757395112552</v>
      </c>
      <c r="L443" s="28">
        <f t="shared" si="23"/>
        <v>0.13167490854897324</v>
      </c>
      <c r="M443" s="28">
        <f t="shared" si="23"/>
        <v>0.39110125095965032</v>
      </c>
      <c r="N443" s="28">
        <f t="shared" si="23"/>
        <v>-9.3980716253440733E-2</v>
      </c>
    </row>
    <row r="444" spans="1:14" x14ac:dyDescent="0.4">
      <c r="A444" s="1">
        <v>34700</v>
      </c>
      <c r="B444" s="28">
        <v>-6.9732082373661797E-2</v>
      </c>
      <c r="C444" s="28">
        <f t="shared" si="23"/>
        <v>0.14101928374657291</v>
      </c>
      <c r="D444" s="28">
        <f t="shared" si="23"/>
        <v>2.9564365713724783E-2</v>
      </c>
      <c r="E444" s="28">
        <f t="shared" si="23"/>
        <v>-9.5831809149672154E-2</v>
      </c>
      <c r="F444" s="28">
        <f t="shared" si="23"/>
        <v>-0.21817470532454308</v>
      </c>
      <c r="G444" s="28">
        <f t="shared" si="23"/>
        <v>-0.21632361242825482</v>
      </c>
      <c r="H444" s="28">
        <f t="shared" si="23"/>
        <v>-0.1304151424830593</v>
      </c>
      <c r="I444" s="28">
        <f t="shared" si="23"/>
        <v>-0.21087962335730026</v>
      </c>
      <c r="J444" s="28">
        <f t="shared" si="23"/>
        <v>3.1914148940472842E-3</v>
      </c>
      <c r="K444" s="28">
        <f t="shared" si="23"/>
        <v>0.24320276159505738</v>
      </c>
      <c r="L444" s="28">
        <f t="shared" si="23"/>
        <v>0.34228757395112552</v>
      </c>
      <c r="M444" s="28">
        <f t="shared" si="23"/>
        <v>0.13167490854897324</v>
      </c>
      <c r="N444" s="28">
        <f t="shared" si="23"/>
        <v>0.39110125095965032</v>
      </c>
    </row>
    <row r="445" spans="1:14" x14ac:dyDescent="0.4">
      <c r="A445" s="1">
        <v>34731</v>
      </c>
      <c r="B445" s="28">
        <v>0.14542490854898915</v>
      </c>
      <c r="C445" s="28">
        <f t="shared" ref="C445:N508" si="24">IF(B444=0,"",B444)</f>
        <v>-6.9732082373661797E-2</v>
      </c>
      <c r="D445" s="28">
        <f t="shared" si="24"/>
        <v>0.14101928374657291</v>
      </c>
      <c r="E445" s="28">
        <f t="shared" si="24"/>
        <v>2.9564365713724783E-2</v>
      </c>
      <c r="F445" s="28">
        <f t="shared" si="24"/>
        <v>-9.5831809149672154E-2</v>
      </c>
      <c r="G445" s="28">
        <f t="shared" si="24"/>
        <v>-0.21817470532454308</v>
      </c>
      <c r="H445" s="28">
        <f t="shared" si="24"/>
        <v>-0.21632361242825482</v>
      </c>
      <c r="I445" s="28">
        <f t="shared" si="24"/>
        <v>-0.1304151424830593</v>
      </c>
      <c r="J445" s="28">
        <f t="shared" si="24"/>
        <v>-0.21087962335730026</v>
      </c>
      <c r="K445" s="28">
        <f t="shared" si="24"/>
        <v>3.1914148940472842E-3</v>
      </c>
      <c r="L445" s="28">
        <f t="shared" si="24"/>
        <v>0.24320276159505738</v>
      </c>
      <c r="M445" s="28">
        <f t="shared" si="24"/>
        <v>0.34228757395112552</v>
      </c>
      <c r="N445" s="28">
        <f t="shared" si="24"/>
        <v>0.13167490854897324</v>
      </c>
    </row>
    <row r="446" spans="1:14" x14ac:dyDescent="0.4">
      <c r="A446" s="1">
        <v>34759</v>
      </c>
      <c r="B446" s="28">
        <v>-7.6879092715557817E-2</v>
      </c>
      <c r="C446" s="28">
        <f t="shared" si="24"/>
        <v>0.14542490854898915</v>
      </c>
      <c r="D446" s="28">
        <f t="shared" si="24"/>
        <v>-6.9732082373661797E-2</v>
      </c>
      <c r="E446" s="28">
        <f t="shared" si="24"/>
        <v>0.14101928374657291</v>
      </c>
      <c r="F446" s="28">
        <f t="shared" si="24"/>
        <v>2.9564365713724783E-2</v>
      </c>
      <c r="G446" s="28">
        <f t="shared" si="24"/>
        <v>-9.5831809149672154E-2</v>
      </c>
      <c r="H446" s="28">
        <f t="shared" si="24"/>
        <v>-0.21817470532454308</v>
      </c>
      <c r="I446" s="28">
        <f t="shared" si="24"/>
        <v>-0.21632361242825482</v>
      </c>
      <c r="J446" s="28">
        <f t="shared" si="24"/>
        <v>-0.1304151424830593</v>
      </c>
      <c r="K446" s="28">
        <f t="shared" si="24"/>
        <v>-0.21087962335730026</v>
      </c>
      <c r="L446" s="28">
        <f t="shared" si="24"/>
        <v>3.1914148940472842E-3</v>
      </c>
      <c r="M446" s="28">
        <f t="shared" si="24"/>
        <v>0.24320276159505738</v>
      </c>
      <c r="N446" s="28">
        <f t="shared" si="24"/>
        <v>0.34228757395112552</v>
      </c>
    </row>
    <row r="447" spans="1:14" x14ac:dyDescent="0.4">
      <c r="A447" s="1">
        <v>34790</v>
      </c>
      <c r="B447" s="28">
        <v>0.3623694282617862</v>
      </c>
      <c r="C447" s="28">
        <f t="shared" si="24"/>
        <v>-7.6879092715557817E-2</v>
      </c>
      <c r="D447" s="28">
        <f t="shared" si="24"/>
        <v>0.14542490854898915</v>
      </c>
      <c r="E447" s="28">
        <f t="shared" si="24"/>
        <v>-6.9732082373661797E-2</v>
      </c>
      <c r="F447" s="28">
        <f t="shared" si="24"/>
        <v>0.14101928374657291</v>
      </c>
      <c r="G447" s="28">
        <f t="shared" si="24"/>
        <v>2.9564365713724783E-2</v>
      </c>
      <c r="H447" s="28">
        <f t="shared" si="24"/>
        <v>-9.5831809149672154E-2</v>
      </c>
      <c r="I447" s="28">
        <f t="shared" si="24"/>
        <v>-0.21817470532454308</v>
      </c>
      <c r="J447" s="28">
        <f t="shared" si="24"/>
        <v>-0.21632361242825482</v>
      </c>
      <c r="K447" s="28">
        <f t="shared" si="24"/>
        <v>-0.1304151424830593</v>
      </c>
      <c r="L447" s="28">
        <f t="shared" si="24"/>
        <v>-0.21087962335730026</v>
      </c>
      <c r="M447" s="28">
        <f t="shared" si="24"/>
        <v>3.1914148940472842E-3</v>
      </c>
      <c r="N447" s="28">
        <f t="shared" si="24"/>
        <v>0.24320276159505738</v>
      </c>
    </row>
    <row r="448" spans="1:14" x14ac:dyDescent="0.4">
      <c r="A448" s="1">
        <v>34820</v>
      </c>
      <c r="B448" s="28">
        <v>6.4024748227382133E-2</v>
      </c>
      <c r="C448" s="28">
        <f t="shared" si="24"/>
        <v>0.3623694282617862</v>
      </c>
      <c r="D448" s="28">
        <f t="shared" si="24"/>
        <v>-7.6879092715557817E-2</v>
      </c>
      <c r="E448" s="28">
        <f t="shared" si="24"/>
        <v>0.14542490854898915</v>
      </c>
      <c r="F448" s="28">
        <f t="shared" si="24"/>
        <v>-6.9732082373661797E-2</v>
      </c>
      <c r="G448" s="28">
        <f t="shared" si="24"/>
        <v>0.14101928374657291</v>
      </c>
      <c r="H448" s="28">
        <f t="shared" si="24"/>
        <v>2.9564365713724783E-2</v>
      </c>
      <c r="I448" s="28">
        <f t="shared" si="24"/>
        <v>-9.5831809149672154E-2</v>
      </c>
      <c r="J448" s="28">
        <f t="shared" si="24"/>
        <v>-0.21817470532454308</v>
      </c>
      <c r="K448" s="28">
        <f t="shared" si="24"/>
        <v>-0.21632361242825482</v>
      </c>
      <c r="L448" s="28">
        <f t="shared" si="24"/>
        <v>-0.1304151424830593</v>
      </c>
      <c r="M448" s="28">
        <f t="shared" si="24"/>
        <v>-0.21087962335730026</v>
      </c>
      <c r="N448" s="28">
        <f t="shared" si="24"/>
        <v>3.1914148940472842E-3</v>
      </c>
    </row>
    <row r="449" spans="1:14" x14ac:dyDescent="0.4">
      <c r="A449" s="1">
        <v>34851</v>
      </c>
      <c r="B449" s="28">
        <v>9.4953709976039136E-2</v>
      </c>
      <c r="C449" s="28">
        <f t="shared" si="24"/>
        <v>6.4024748227382133E-2</v>
      </c>
      <c r="D449" s="28">
        <f t="shared" si="24"/>
        <v>0.3623694282617862</v>
      </c>
      <c r="E449" s="28">
        <f t="shared" si="24"/>
        <v>-7.6879092715557817E-2</v>
      </c>
      <c r="F449" s="28">
        <f t="shared" si="24"/>
        <v>0.14542490854898915</v>
      </c>
      <c r="G449" s="28">
        <f t="shared" si="24"/>
        <v>-6.9732082373661797E-2</v>
      </c>
      <c r="H449" s="28">
        <f t="shared" si="24"/>
        <v>0.14101928374657291</v>
      </c>
      <c r="I449" s="28">
        <f t="shared" si="24"/>
        <v>2.9564365713724783E-2</v>
      </c>
      <c r="J449" s="28">
        <f t="shared" si="24"/>
        <v>-9.5831809149672154E-2</v>
      </c>
      <c r="K449" s="28">
        <f t="shared" si="24"/>
        <v>-0.21817470532454308</v>
      </c>
      <c r="L449" s="28">
        <f t="shared" si="24"/>
        <v>-0.21632361242825482</v>
      </c>
      <c r="M449" s="28">
        <f t="shared" si="24"/>
        <v>-0.1304151424830593</v>
      </c>
      <c r="N449" s="28">
        <f t="shared" si="24"/>
        <v>-0.21087962335730026</v>
      </c>
    </row>
    <row r="450" spans="1:14" x14ac:dyDescent="0.4">
      <c r="A450" s="1">
        <v>34881</v>
      </c>
      <c r="B450" s="28">
        <v>0.19958485751692479</v>
      </c>
      <c r="C450" s="28">
        <f t="shared" si="24"/>
        <v>9.4953709976039136E-2</v>
      </c>
      <c r="D450" s="28">
        <f t="shared" si="24"/>
        <v>6.4024748227382133E-2</v>
      </c>
      <c r="E450" s="28">
        <f t="shared" si="24"/>
        <v>0.3623694282617862</v>
      </c>
      <c r="F450" s="28">
        <f t="shared" si="24"/>
        <v>-7.6879092715557817E-2</v>
      </c>
      <c r="G450" s="28">
        <f t="shared" si="24"/>
        <v>0.14542490854898915</v>
      </c>
      <c r="H450" s="28">
        <f t="shared" si="24"/>
        <v>-6.9732082373661797E-2</v>
      </c>
      <c r="I450" s="28">
        <f t="shared" si="24"/>
        <v>0.14101928374657291</v>
      </c>
      <c r="J450" s="28">
        <f t="shared" si="24"/>
        <v>2.9564365713724783E-2</v>
      </c>
      <c r="K450" s="28">
        <f t="shared" si="24"/>
        <v>-9.5831809149672154E-2</v>
      </c>
      <c r="L450" s="28">
        <f t="shared" si="24"/>
        <v>-0.21817470532454308</v>
      </c>
      <c r="M450" s="28">
        <f t="shared" si="24"/>
        <v>-0.21632361242825482</v>
      </c>
      <c r="N450" s="28">
        <f t="shared" si="24"/>
        <v>-0.1304151424830593</v>
      </c>
    </row>
    <row r="451" spans="1:14" x14ac:dyDescent="0.4">
      <c r="A451" s="1">
        <v>34912</v>
      </c>
      <c r="B451" s="28">
        <v>-0.28257361242839352</v>
      </c>
      <c r="C451" s="28">
        <f t="shared" si="24"/>
        <v>0.19958485751692479</v>
      </c>
      <c r="D451" s="28">
        <f t="shared" si="24"/>
        <v>9.4953709976039136E-2</v>
      </c>
      <c r="E451" s="28">
        <f t="shared" si="24"/>
        <v>6.4024748227382133E-2</v>
      </c>
      <c r="F451" s="28">
        <f t="shared" si="24"/>
        <v>0.3623694282617862</v>
      </c>
      <c r="G451" s="28">
        <f t="shared" si="24"/>
        <v>-7.6879092715557817E-2</v>
      </c>
      <c r="H451" s="28">
        <f t="shared" si="24"/>
        <v>0.14542490854898915</v>
      </c>
      <c r="I451" s="28">
        <f t="shared" si="24"/>
        <v>-6.9732082373661797E-2</v>
      </c>
      <c r="J451" s="28">
        <f t="shared" si="24"/>
        <v>0.14101928374657291</v>
      </c>
      <c r="K451" s="28">
        <f t="shared" si="24"/>
        <v>2.9564365713724783E-2</v>
      </c>
      <c r="L451" s="28">
        <f t="shared" si="24"/>
        <v>-9.5831809149672154E-2</v>
      </c>
      <c r="M451" s="28">
        <f t="shared" si="24"/>
        <v>-0.21817470532454308</v>
      </c>
      <c r="N451" s="28">
        <f t="shared" si="24"/>
        <v>-0.21632361242825482</v>
      </c>
    </row>
    <row r="452" spans="1:14" x14ac:dyDescent="0.4">
      <c r="A452" s="1">
        <v>34943</v>
      </c>
      <c r="B452" s="28">
        <v>-8.1091371991078631E-2</v>
      </c>
      <c r="C452" s="28">
        <f t="shared" si="24"/>
        <v>-0.28257361242839352</v>
      </c>
      <c r="D452" s="28">
        <f t="shared" si="24"/>
        <v>0.19958485751692479</v>
      </c>
      <c r="E452" s="28">
        <f t="shared" si="24"/>
        <v>9.4953709976039136E-2</v>
      </c>
      <c r="F452" s="28">
        <f t="shared" si="24"/>
        <v>6.4024748227382133E-2</v>
      </c>
      <c r="G452" s="28">
        <f t="shared" si="24"/>
        <v>0.3623694282617862</v>
      </c>
      <c r="H452" s="28">
        <f t="shared" si="24"/>
        <v>-7.6879092715557817E-2</v>
      </c>
      <c r="I452" s="28">
        <f t="shared" si="24"/>
        <v>0.14542490854898915</v>
      </c>
      <c r="J452" s="28">
        <f t="shared" si="24"/>
        <v>-6.9732082373661797E-2</v>
      </c>
      <c r="K452" s="28">
        <f t="shared" si="24"/>
        <v>0.14101928374657291</v>
      </c>
      <c r="L452" s="28">
        <f t="shared" si="24"/>
        <v>2.9564365713724783E-2</v>
      </c>
      <c r="M452" s="28">
        <f t="shared" si="24"/>
        <v>-9.5831809149672154E-2</v>
      </c>
      <c r="N452" s="28">
        <f t="shared" si="24"/>
        <v>-0.21817470532454308</v>
      </c>
    </row>
    <row r="453" spans="1:14" x14ac:dyDescent="0.4">
      <c r="A453" s="1">
        <v>34973</v>
      </c>
      <c r="B453" s="28">
        <v>-0.41041514248291833</v>
      </c>
      <c r="C453" s="28">
        <f t="shared" si="24"/>
        <v>-8.1091371991078631E-2</v>
      </c>
      <c r="D453" s="28">
        <f t="shared" si="24"/>
        <v>-0.28257361242839352</v>
      </c>
      <c r="E453" s="28">
        <f t="shared" si="24"/>
        <v>0.19958485751692479</v>
      </c>
      <c r="F453" s="28">
        <f t="shared" si="24"/>
        <v>9.4953709976039136E-2</v>
      </c>
      <c r="G453" s="28">
        <f t="shared" si="24"/>
        <v>6.4024748227382133E-2</v>
      </c>
      <c r="H453" s="28">
        <f t="shared" si="24"/>
        <v>0.3623694282617862</v>
      </c>
      <c r="I453" s="28">
        <f t="shared" si="24"/>
        <v>-7.6879092715557817E-2</v>
      </c>
      <c r="J453" s="28">
        <f t="shared" si="24"/>
        <v>0.14542490854898915</v>
      </c>
      <c r="K453" s="28">
        <f t="shared" si="24"/>
        <v>-6.9732082373661797E-2</v>
      </c>
      <c r="L453" s="28">
        <f t="shared" si="24"/>
        <v>0.14101928374657291</v>
      </c>
      <c r="M453" s="28">
        <f t="shared" si="24"/>
        <v>2.9564365713724783E-2</v>
      </c>
      <c r="N453" s="28">
        <f t="shared" si="24"/>
        <v>-9.5831809149672154E-2</v>
      </c>
    </row>
    <row r="454" spans="1:14" x14ac:dyDescent="0.4">
      <c r="A454" s="1">
        <v>35004</v>
      </c>
      <c r="B454" s="28">
        <v>4.1476990471096542E-3</v>
      </c>
      <c r="C454" s="28">
        <f t="shared" si="24"/>
        <v>-0.41041514248291833</v>
      </c>
      <c r="D454" s="28">
        <f t="shared" si="24"/>
        <v>-8.1091371991078631E-2</v>
      </c>
      <c r="E454" s="28">
        <f t="shared" si="24"/>
        <v>-0.28257361242839352</v>
      </c>
      <c r="F454" s="28">
        <f t="shared" si="24"/>
        <v>0.19958485751692479</v>
      </c>
      <c r="G454" s="28">
        <f t="shared" si="24"/>
        <v>9.4953709976039136E-2</v>
      </c>
      <c r="H454" s="28">
        <f t="shared" si="24"/>
        <v>6.4024748227382133E-2</v>
      </c>
      <c r="I454" s="28">
        <f t="shared" si="24"/>
        <v>0.3623694282617862</v>
      </c>
      <c r="J454" s="28">
        <f t="shared" si="24"/>
        <v>-7.6879092715557817E-2</v>
      </c>
      <c r="K454" s="28">
        <f t="shared" si="24"/>
        <v>0.14542490854898915</v>
      </c>
      <c r="L454" s="28">
        <f t="shared" si="24"/>
        <v>-6.9732082373661797E-2</v>
      </c>
      <c r="M454" s="28">
        <f t="shared" si="24"/>
        <v>0.14101928374657291</v>
      </c>
      <c r="N454" s="28">
        <f t="shared" si="24"/>
        <v>2.9564365713724783E-2</v>
      </c>
    </row>
    <row r="455" spans="1:14" x14ac:dyDescent="0.4">
      <c r="A455" s="1">
        <v>35034</v>
      </c>
      <c r="B455" s="28">
        <v>-0.15856404958674375</v>
      </c>
      <c r="C455" s="28">
        <f t="shared" si="24"/>
        <v>4.1476990471096542E-3</v>
      </c>
      <c r="D455" s="28">
        <f t="shared" si="24"/>
        <v>-0.41041514248291833</v>
      </c>
      <c r="E455" s="28">
        <f t="shared" si="24"/>
        <v>-8.1091371991078631E-2</v>
      </c>
      <c r="F455" s="28">
        <f t="shared" si="24"/>
        <v>-0.28257361242839352</v>
      </c>
      <c r="G455" s="28">
        <f t="shared" si="24"/>
        <v>0.19958485751692479</v>
      </c>
      <c r="H455" s="28">
        <f t="shared" si="24"/>
        <v>9.4953709976039136E-2</v>
      </c>
      <c r="I455" s="28">
        <f t="shared" si="24"/>
        <v>6.4024748227382133E-2</v>
      </c>
      <c r="J455" s="28">
        <f t="shared" si="24"/>
        <v>0.3623694282617862</v>
      </c>
      <c r="K455" s="28">
        <f t="shared" si="24"/>
        <v>-7.6879092715557817E-2</v>
      </c>
      <c r="L455" s="28">
        <f t="shared" si="24"/>
        <v>0.14542490854898915</v>
      </c>
      <c r="M455" s="28">
        <f t="shared" si="24"/>
        <v>-6.9732082373661797E-2</v>
      </c>
      <c r="N455" s="28">
        <f t="shared" si="24"/>
        <v>0.14101928374657291</v>
      </c>
    </row>
    <row r="456" spans="1:14" x14ac:dyDescent="0.4">
      <c r="A456" s="1">
        <v>35065</v>
      </c>
      <c r="B456" s="28">
        <v>0.10026791762635412</v>
      </c>
      <c r="C456" s="28">
        <f t="shared" si="24"/>
        <v>-0.15856404958674375</v>
      </c>
      <c r="D456" s="28">
        <f t="shared" si="24"/>
        <v>4.1476990471096542E-3</v>
      </c>
      <c r="E456" s="28">
        <f t="shared" si="24"/>
        <v>-0.41041514248291833</v>
      </c>
      <c r="F456" s="28">
        <f t="shared" si="24"/>
        <v>-8.1091371991078631E-2</v>
      </c>
      <c r="G456" s="28">
        <f t="shared" si="24"/>
        <v>-0.28257361242839352</v>
      </c>
      <c r="H456" s="28">
        <f t="shared" si="24"/>
        <v>0.19958485751692479</v>
      </c>
      <c r="I456" s="28">
        <f t="shared" si="24"/>
        <v>9.4953709976039136E-2</v>
      </c>
      <c r="J456" s="28">
        <f t="shared" si="24"/>
        <v>6.4024748227382133E-2</v>
      </c>
      <c r="K456" s="28">
        <f t="shared" si="24"/>
        <v>0.3623694282617862</v>
      </c>
      <c r="L456" s="28">
        <f t="shared" si="24"/>
        <v>-7.6879092715557817E-2</v>
      </c>
      <c r="M456" s="28">
        <f t="shared" si="24"/>
        <v>0.14542490854898915</v>
      </c>
      <c r="N456" s="28">
        <f t="shared" si="24"/>
        <v>-6.9732082373661797E-2</v>
      </c>
    </row>
    <row r="457" spans="1:14" x14ac:dyDescent="0.4">
      <c r="A457" s="1">
        <v>35096</v>
      </c>
      <c r="B457" s="28">
        <v>0.49709157521567704</v>
      </c>
      <c r="C457" s="28">
        <f t="shared" si="24"/>
        <v>0.10026791762635412</v>
      </c>
      <c r="D457" s="28">
        <f t="shared" si="24"/>
        <v>-0.15856404958674375</v>
      </c>
      <c r="E457" s="28">
        <f t="shared" si="24"/>
        <v>4.1476990471096542E-3</v>
      </c>
      <c r="F457" s="28">
        <f t="shared" si="24"/>
        <v>-0.41041514248291833</v>
      </c>
      <c r="G457" s="28">
        <f t="shared" si="24"/>
        <v>-8.1091371991078631E-2</v>
      </c>
      <c r="H457" s="28">
        <f t="shared" si="24"/>
        <v>-0.28257361242839352</v>
      </c>
      <c r="I457" s="28">
        <f t="shared" si="24"/>
        <v>0.19958485751692479</v>
      </c>
      <c r="J457" s="28">
        <f t="shared" si="24"/>
        <v>9.4953709976039136E-2</v>
      </c>
      <c r="K457" s="28">
        <f t="shared" si="24"/>
        <v>6.4024748227382133E-2</v>
      </c>
      <c r="L457" s="28">
        <f t="shared" si="24"/>
        <v>0.3623694282617862</v>
      </c>
      <c r="M457" s="28">
        <f t="shared" si="24"/>
        <v>-7.6879092715557817E-2</v>
      </c>
      <c r="N457" s="28">
        <f t="shared" si="24"/>
        <v>0.14542490854898915</v>
      </c>
    </row>
    <row r="458" spans="1:14" x14ac:dyDescent="0.4">
      <c r="A458" s="1">
        <v>35125</v>
      </c>
      <c r="B458" s="28">
        <v>0.45603757395110733</v>
      </c>
      <c r="C458" s="28">
        <f t="shared" si="24"/>
        <v>0.49709157521567704</v>
      </c>
      <c r="D458" s="28">
        <f t="shared" si="24"/>
        <v>0.10026791762635412</v>
      </c>
      <c r="E458" s="28">
        <f t="shared" si="24"/>
        <v>-0.15856404958674375</v>
      </c>
      <c r="F458" s="28">
        <f t="shared" si="24"/>
        <v>4.1476990471096542E-3</v>
      </c>
      <c r="G458" s="28">
        <f t="shared" si="24"/>
        <v>-0.41041514248291833</v>
      </c>
      <c r="H458" s="28">
        <f t="shared" si="24"/>
        <v>-8.1091371991078631E-2</v>
      </c>
      <c r="I458" s="28">
        <f t="shared" si="24"/>
        <v>-0.28257361242839352</v>
      </c>
      <c r="J458" s="28">
        <f t="shared" si="24"/>
        <v>0.19958485751692479</v>
      </c>
      <c r="K458" s="28">
        <f t="shared" si="24"/>
        <v>9.4953709976039136E-2</v>
      </c>
      <c r="L458" s="28">
        <f t="shared" si="24"/>
        <v>6.4024748227382133E-2</v>
      </c>
      <c r="M458" s="28">
        <f t="shared" si="24"/>
        <v>0.3623694282617862</v>
      </c>
      <c r="N458" s="28">
        <f t="shared" si="24"/>
        <v>-7.6879092715557817E-2</v>
      </c>
    </row>
    <row r="459" spans="1:14" x14ac:dyDescent="0.4">
      <c r="A459" s="1">
        <v>35156</v>
      </c>
      <c r="B459" s="28">
        <v>-0.20554723840496081</v>
      </c>
      <c r="C459" s="28">
        <f t="shared" si="24"/>
        <v>0.45603757395110733</v>
      </c>
      <c r="D459" s="28">
        <f t="shared" si="24"/>
        <v>0.49709157521567704</v>
      </c>
      <c r="E459" s="28">
        <f t="shared" si="24"/>
        <v>0.10026791762635412</v>
      </c>
      <c r="F459" s="28">
        <f t="shared" si="24"/>
        <v>-0.15856404958674375</v>
      </c>
      <c r="G459" s="28">
        <f t="shared" si="24"/>
        <v>4.1476990471096542E-3</v>
      </c>
      <c r="H459" s="28">
        <f t="shared" si="24"/>
        <v>-0.41041514248291833</v>
      </c>
      <c r="I459" s="28">
        <f t="shared" si="24"/>
        <v>-8.1091371991078631E-2</v>
      </c>
      <c r="J459" s="28">
        <f t="shared" si="24"/>
        <v>-0.28257361242839352</v>
      </c>
      <c r="K459" s="28">
        <f t="shared" si="24"/>
        <v>0.19958485751692479</v>
      </c>
      <c r="L459" s="28">
        <f t="shared" si="24"/>
        <v>9.4953709976039136E-2</v>
      </c>
      <c r="M459" s="28">
        <f t="shared" si="24"/>
        <v>6.4024748227382133E-2</v>
      </c>
      <c r="N459" s="28">
        <f t="shared" si="24"/>
        <v>0.3623694282617862</v>
      </c>
    </row>
    <row r="460" spans="1:14" x14ac:dyDescent="0.4">
      <c r="A460" s="1">
        <v>35186</v>
      </c>
      <c r="B460" s="28">
        <v>-0.11597525177256784</v>
      </c>
      <c r="C460" s="28">
        <f t="shared" si="24"/>
        <v>-0.20554723840496081</v>
      </c>
      <c r="D460" s="28">
        <f t="shared" si="24"/>
        <v>0.45603757395110733</v>
      </c>
      <c r="E460" s="28">
        <f t="shared" si="24"/>
        <v>0.49709157521567704</v>
      </c>
      <c r="F460" s="28">
        <f t="shared" si="24"/>
        <v>0.10026791762635412</v>
      </c>
      <c r="G460" s="28">
        <f t="shared" si="24"/>
        <v>-0.15856404958674375</v>
      </c>
      <c r="H460" s="28">
        <f t="shared" si="24"/>
        <v>4.1476990471096542E-3</v>
      </c>
      <c r="I460" s="28">
        <f t="shared" si="24"/>
        <v>-0.41041514248291833</v>
      </c>
      <c r="J460" s="28">
        <f t="shared" si="24"/>
        <v>-8.1091371991078631E-2</v>
      </c>
      <c r="K460" s="28">
        <f t="shared" si="24"/>
        <v>-0.28257361242839352</v>
      </c>
      <c r="L460" s="28">
        <f t="shared" si="24"/>
        <v>0.19958485751692479</v>
      </c>
      <c r="M460" s="28">
        <f t="shared" si="24"/>
        <v>9.4953709976039136E-2</v>
      </c>
      <c r="N460" s="28">
        <f t="shared" si="24"/>
        <v>6.4024748227382133E-2</v>
      </c>
    </row>
    <row r="461" spans="1:14" x14ac:dyDescent="0.4">
      <c r="A461" s="1">
        <v>35217</v>
      </c>
      <c r="B461" s="28">
        <v>3.8703709976061873E-2</v>
      </c>
      <c r="C461" s="28">
        <f t="shared" si="24"/>
        <v>-0.11597525177256784</v>
      </c>
      <c r="D461" s="28">
        <f t="shared" si="24"/>
        <v>-0.20554723840496081</v>
      </c>
      <c r="E461" s="28">
        <f t="shared" si="24"/>
        <v>0.45603757395110733</v>
      </c>
      <c r="F461" s="28">
        <f t="shared" si="24"/>
        <v>0.49709157521567704</v>
      </c>
      <c r="G461" s="28">
        <f t="shared" si="24"/>
        <v>0.10026791762635412</v>
      </c>
      <c r="H461" s="28">
        <f t="shared" si="24"/>
        <v>-0.15856404958674375</v>
      </c>
      <c r="I461" s="28">
        <f t="shared" si="24"/>
        <v>4.1476990471096542E-3</v>
      </c>
      <c r="J461" s="28">
        <f t="shared" si="24"/>
        <v>-0.41041514248291833</v>
      </c>
      <c r="K461" s="28">
        <f t="shared" si="24"/>
        <v>-8.1091371991078631E-2</v>
      </c>
      <c r="L461" s="28">
        <f t="shared" si="24"/>
        <v>-0.28257361242839352</v>
      </c>
      <c r="M461" s="28">
        <f t="shared" si="24"/>
        <v>0.19958485751692479</v>
      </c>
      <c r="N461" s="28">
        <f t="shared" si="24"/>
        <v>9.4953709976039136E-2</v>
      </c>
    </row>
    <row r="462" spans="1:14" x14ac:dyDescent="0.4">
      <c r="A462" s="1">
        <v>35247</v>
      </c>
      <c r="B462" s="28">
        <v>0.23375152418367406</v>
      </c>
      <c r="C462" s="28">
        <f t="shared" si="24"/>
        <v>3.8703709976061873E-2</v>
      </c>
      <c r="D462" s="28">
        <f t="shared" si="24"/>
        <v>-0.11597525177256784</v>
      </c>
      <c r="E462" s="28">
        <f t="shared" si="24"/>
        <v>-0.20554723840496081</v>
      </c>
      <c r="F462" s="28">
        <f t="shared" si="24"/>
        <v>0.45603757395110733</v>
      </c>
      <c r="G462" s="28">
        <f t="shared" si="24"/>
        <v>0.49709157521567704</v>
      </c>
      <c r="H462" s="28">
        <f t="shared" si="24"/>
        <v>0.10026791762635412</v>
      </c>
      <c r="I462" s="28">
        <f t="shared" si="24"/>
        <v>-0.15856404958674375</v>
      </c>
      <c r="J462" s="28">
        <f t="shared" si="24"/>
        <v>4.1476990471096542E-3</v>
      </c>
      <c r="K462" s="28">
        <f t="shared" si="24"/>
        <v>-0.41041514248291833</v>
      </c>
      <c r="L462" s="28">
        <f t="shared" si="24"/>
        <v>-8.1091371991078631E-2</v>
      </c>
      <c r="M462" s="28">
        <f t="shared" si="24"/>
        <v>-0.28257361242839352</v>
      </c>
      <c r="N462" s="28">
        <f t="shared" si="24"/>
        <v>0.19958485751692479</v>
      </c>
    </row>
    <row r="463" spans="1:14" x14ac:dyDescent="0.4">
      <c r="A463" s="1">
        <v>35278</v>
      </c>
      <c r="B463" s="28">
        <v>0.12284305423838759</v>
      </c>
      <c r="C463" s="28">
        <f t="shared" si="24"/>
        <v>0.23375152418367406</v>
      </c>
      <c r="D463" s="28">
        <f t="shared" si="24"/>
        <v>3.8703709976061873E-2</v>
      </c>
      <c r="E463" s="28">
        <f t="shared" si="24"/>
        <v>-0.11597525177256784</v>
      </c>
      <c r="F463" s="28">
        <f t="shared" si="24"/>
        <v>-0.20554723840496081</v>
      </c>
      <c r="G463" s="28">
        <f t="shared" si="24"/>
        <v>0.45603757395110733</v>
      </c>
      <c r="H463" s="28">
        <f t="shared" si="24"/>
        <v>0.49709157521567704</v>
      </c>
      <c r="I463" s="28">
        <f t="shared" si="24"/>
        <v>0.10026791762635412</v>
      </c>
      <c r="J463" s="28">
        <f t="shared" si="24"/>
        <v>-0.15856404958674375</v>
      </c>
      <c r="K463" s="28">
        <f t="shared" si="24"/>
        <v>4.1476990471096542E-3</v>
      </c>
      <c r="L463" s="28">
        <f t="shared" si="24"/>
        <v>-0.41041514248291833</v>
      </c>
      <c r="M463" s="28">
        <f t="shared" si="24"/>
        <v>-8.1091371991078631E-2</v>
      </c>
      <c r="N463" s="28">
        <f t="shared" si="24"/>
        <v>-0.28257361242839352</v>
      </c>
    </row>
    <row r="464" spans="1:14" x14ac:dyDescent="0.4">
      <c r="A464" s="1">
        <v>35309</v>
      </c>
      <c r="B464" s="28">
        <v>-0.16650803865786656</v>
      </c>
      <c r="C464" s="28">
        <f t="shared" si="24"/>
        <v>0.12284305423838759</v>
      </c>
      <c r="D464" s="28">
        <f t="shared" si="24"/>
        <v>0.23375152418367406</v>
      </c>
      <c r="E464" s="28">
        <f t="shared" si="24"/>
        <v>3.8703709976061873E-2</v>
      </c>
      <c r="F464" s="28">
        <f t="shared" si="24"/>
        <v>-0.11597525177256784</v>
      </c>
      <c r="G464" s="28">
        <f t="shared" si="24"/>
        <v>-0.20554723840496081</v>
      </c>
      <c r="H464" s="28">
        <f t="shared" si="24"/>
        <v>0.45603757395110733</v>
      </c>
      <c r="I464" s="28">
        <f t="shared" si="24"/>
        <v>0.49709157521567704</v>
      </c>
      <c r="J464" s="28">
        <f t="shared" si="24"/>
        <v>0.10026791762635412</v>
      </c>
      <c r="K464" s="28">
        <f t="shared" si="24"/>
        <v>-0.15856404958674375</v>
      </c>
      <c r="L464" s="28">
        <f t="shared" si="24"/>
        <v>4.1476990471096542E-3</v>
      </c>
      <c r="M464" s="28">
        <f t="shared" si="24"/>
        <v>-0.41041514248291833</v>
      </c>
      <c r="N464" s="28">
        <f t="shared" si="24"/>
        <v>-8.1091371991078631E-2</v>
      </c>
    </row>
    <row r="465" spans="1:14" x14ac:dyDescent="0.4">
      <c r="A465" s="1">
        <v>35339</v>
      </c>
      <c r="B465" s="28">
        <v>2.5001524183721813E-2</v>
      </c>
      <c r="C465" s="28">
        <f t="shared" si="24"/>
        <v>-0.16650803865786656</v>
      </c>
      <c r="D465" s="28">
        <f t="shared" si="24"/>
        <v>0.12284305423838759</v>
      </c>
      <c r="E465" s="28">
        <f t="shared" si="24"/>
        <v>0.23375152418367406</v>
      </c>
      <c r="F465" s="28">
        <f t="shared" si="24"/>
        <v>3.8703709976061873E-2</v>
      </c>
      <c r="G465" s="28">
        <f t="shared" si="24"/>
        <v>-0.11597525177256784</v>
      </c>
      <c r="H465" s="28">
        <f t="shared" si="24"/>
        <v>-0.20554723840496081</v>
      </c>
      <c r="I465" s="28">
        <f t="shared" si="24"/>
        <v>0.45603757395110733</v>
      </c>
      <c r="J465" s="28">
        <f t="shared" si="24"/>
        <v>0.49709157521567704</v>
      </c>
      <c r="K465" s="28">
        <f t="shared" si="24"/>
        <v>0.10026791762635412</v>
      </c>
      <c r="L465" s="28">
        <f t="shared" si="24"/>
        <v>-0.15856404958674375</v>
      </c>
      <c r="M465" s="28">
        <f t="shared" si="24"/>
        <v>4.1476990471096542E-3</v>
      </c>
      <c r="N465" s="28">
        <f t="shared" si="24"/>
        <v>-0.41041514248291833</v>
      </c>
    </row>
    <row r="466" spans="1:14" x14ac:dyDescent="0.4">
      <c r="A466" s="1">
        <v>35370</v>
      </c>
      <c r="B466" s="28">
        <v>-0.22668563428612742</v>
      </c>
      <c r="C466" s="28">
        <f t="shared" si="24"/>
        <v>2.5001524183721813E-2</v>
      </c>
      <c r="D466" s="28">
        <f t="shared" si="24"/>
        <v>-0.16650803865786656</v>
      </c>
      <c r="E466" s="28">
        <f t="shared" si="24"/>
        <v>0.12284305423838759</v>
      </c>
      <c r="F466" s="28">
        <f t="shared" ref="C466:Q529" si="25">IF(E465=0,"",E465)</f>
        <v>0.23375152418367406</v>
      </c>
      <c r="G466" s="28">
        <f t="shared" si="25"/>
        <v>3.8703709976061873E-2</v>
      </c>
      <c r="H466" s="28">
        <f t="shared" si="25"/>
        <v>-0.11597525177256784</v>
      </c>
      <c r="I466" s="28">
        <f t="shared" si="25"/>
        <v>-0.20554723840496081</v>
      </c>
      <c r="J466" s="28">
        <f t="shared" si="25"/>
        <v>0.45603757395110733</v>
      </c>
      <c r="K466" s="28">
        <f t="shared" si="25"/>
        <v>0.49709157521567704</v>
      </c>
      <c r="L466" s="28">
        <f t="shared" si="25"/>
        <v>0.10026791762635412</v>
      </c>
      <c r="M466" s="28">
        <f t="shared" si="25"/>
        <v>-0.15856404958674375</v>
      </c>
      <c r="N466" s="28">
        <f t="shared" si="25"/>
        <v>4.1476990471096542E-3</v>
      </c>
    </row>
    <row r="467" spans="1:14" x14ac:dyDescent="0.4">
      <c r="A467" s="1">
        <v>35400</v>
      </c>
      <c r="B467" s="28">
        <v>9.4352617079948686E-2</v>
      </c>
      <c r="C467" s="28">
        <f t="shared" si="25"/>
        <v>-0.22668563428612742</v>
      </c>
      <c r="D467" s="28">
        <f t="shared" si="25"/>
        <v>2.5001524183721813E-2</v>
      </c>
      <c r="E467" s="28">
        <f t="shared" si="25"/>
        <v>-0.16650803865786656</v>
      </c>
      <c r="F467" s="28">
        <f t="shared" si="25"/>
        <v>0.12284305423838759</v>
      </c>
      <c r="G467" s="28">
        <f t="shared" si="25"/>
        <v>0.23375152418367406</v>
      </c>
      <c r="H467" s="28">
        <f t="shared" si="25"/>
        <v>3.8703709976061873E-2</v>
      </c>
      <c r="I467" s="28">
        <f t="shared" si="25"/>
        <v>-0.11597525177256784</v>
      </c>
      <c r="J467" s="28">
        <f t="shared" si="25"/>
        <v>-0.20554723840496081</v>
      </c>
      <c r="K467" s="28">
        <f t="shared" si="25"/>
        <v>0.45603757395110733</v>
      </c>
      <c r="L467" s="28">
        <f t="shared" si="25"/>
        <v>0.49709157521567704</v>
      </c>
      <c r="M467" s="28">
        <f t="shared" si="25"/>
        <v>0.10026791762635412</v>
      </c>
      <c r="N467" s="28">
        <f t="shared" si="25"/>
        <v>-0.15856404958674375</v>
      </c>
    </row>
    <row r="468" spans="1:14" x14ac:dyDescent="0.4">
      <c r="A468" s="1">
        <v>35431</v>
      </c>
      <c r="B468" s="28">
        <v>-5.389874904028602E-2</v>
      </c>
      <c r="C468" s="28">
        <f t="shared" si="25"/>
        <v>9.4352617079948686E-2</v>
      </c>
      <c r="D468" s="28">
        <f t="shared" si="25"/>
        <v>-0.22668563428612742</v>
      </c>
      <c r="E468" s="28">
        <f t="shared" si="25"/>
        <v>2.5001524183721813E-2</v>
      </c>
      <c r="F468" s="28">
        <f t="shared" si="25"/>
        <v>-0.16650803865786656</v>
      </c>
      <c r="G468" s="28">
        <f t="shared" si="25"/>
        <v>0.12284305423838759</v>
      </c>
      <c r="H468" s="28">
        <f t="shared" si="25"/>
        <v>0.23375152418367406</v>
      </c>
      <c r="I468" s="28">
        <f t="shared" si="25"/>
        <v>3.8703709976061873E-2</v>
      </c>
      <c r="J468" s="28">
        <f t="shared" si="25"/>
        <v>-0.11597525177256784</v>
      </c>
      <c r="K468" s="28">
        <f t="shared" si="25"/>
        <v>-0.20554723840496081</v>
      </c>
      <c r="L468" s="28">
        <f t="shared" si="25"/>
        <v>0.45603757395110733</v>
      </c>
      <c r="M468" s="28">
        <f t="shared" si="25"/>
        <v>0.49709157521567704</v>
      </c>
      <c r="N468" s="28">
        <f t="shared" si="25"/>
        <v>0.10026791762635412</v>
      </c>
    </row>
    <row r="469" spans="1:14" x14ac:dyDescent="0.4">
      <c r="A469" s="1">
        <v>35462</v>
      </c>
      <c r="B469" s="28">
        <v>3.4174908548948224E-2</v>
      </c>
      <c r="C469" s="28">
        <f t="shared" si="25"/>
        <v>-5.389874904028602E-2</v>
      </c>
      <c r="D469" s="28">
        <f t="shared" si="25"/>
        <v>9.4352617079948686E-2</v>
      </c>
      <c r="E469" s="28">
        <f t="shared" si="25"/>
        <v>-0.22668563428612742</v>
      </c>
      <c r="F469" s="28">
        <f t="shared" si="25"/>
        <v>2.5001524183721813E-2</v>
      </c>
      <c r="G469" s="28">
        <f t="shared" si="25"/>
        <v>-0.16650803865786656</v>
      </c>
      <c r="H469" s="28">
        <f t="shared" si="25"/>
        <v>0.12284305423838759</v>
      </c>
      <c r="I469" s="28">
        <f t="shared" si="25"/>
        <v>0.23375152418367406</v>
      </c>
      <c r="J469" s="28">
        <f t="shared" si="25"/>
        <v>3.8703709976061873E-2</v>
      </c>
      <c r="K469" s="28">
        <f t="shared" si="25"/>
        <v>-0.11597525177256784</v>
      </c>
      <c r="L469" s="28">
        <f t="shared" si="25"/>
        <v>-0.20554723840496081</v>
      </c>
      <c r="M469" s="28">
        <f t="shared" si="25"/>
        <v>0.45603757395110733</v>
      </c>
      <c r="N469" s="28">
        <f t="shared" si="25"/>
        <v>0.49709157521567704</v>
      </c>
    </row>
    <row r="470" spans="1:14" x14ac:dyDescent="0.4">
      <c r="A470" s="1">
        <v>35490</v>
      </c>
      <c r="B470" s="28">
        <v>-0.14729575938218886</v>
      </c>
      <c r="C470" s="28">
        <f t="shared" si="25"/>
        <v>3.4174908548948224E-2</v>
      </c>
      <c r="D470" s="28">
        <f t="shared" si="25"/>
        <v>-5.389874904028602E-2</v>
      </c>
      <c r="E470" s="28">
        <f t="shared" si="25"/>
        <v>9.4352617079948686E-2</v>
      </c>
      <c r="F470" s="28">
        <f t="shared" si="25"/>
        <v>-0.22668563428612742</v>
      </c>
      <c r="G470" s="28">
        <f t="shared" si="25"/>
        <v>2.5001524183721813E-2</v>
      </c>
      <c r="H470" s="28">
        <f t="shared" si="25"/>
        <v>-0.16650803865786656</v>
      </c>
      <c r="I470" s="28">
        <f t="shared" si="25"/>
        <v>0.12284305423838759</v>
      </c>
      <c r="J470" s="28">
        <f t="shared" si="25"/>
        <v>0.23375152418367406</v>
      </c>
      <c r="K470" s="28">
        <f t="shared" si="25"/>
        <v>3.8703709976061873E-2</v>
      </c>
      <c r="L470" s="28">
        <f t="shared" si="25"/>
        <v>-0.11597525177256784</v>
      </c>
      <c r="M470" s="28">
        <f t="shared" si="25"/>
        <v>-0.20554723840496081</v>
      </c>
      <c r="N470" s="28">
        <f t="shared" si="25"/>
        <v>0.45603757395110733</v>
      </c>
    </row>
    <row r="471" spans="1:14" x14ac:dyDescent="0.4">
      <c r="A471" s="1">
        <v>35521</v>
      </c>
      <c r="B471" s="28">
        <v>0.3573694282617339</v>
      </c>
      <c r="C471" s="28">
        <f t="shared" si="25"/>
        <v>-0.14729575938218886</v>
      </c>
      <c r="D471" s="28">
        <f t="shared" si="25"/>
        <v>3.4174908548948224E-2</v>
      </c>
      <c r="E471" s="28">
        <f t="shared" si="25"/>
        <v>-5.389874904028602E-2</v>
      </c>
      <c r="F471" s="28">
        <f t="shared" si="25"/>
        <v>9.4352617079948686E-2</v>
      </c>
      <c r="G471" s="28">
        <f t="shared" si="25"/>
        <v>-0.22668563428612742</v>
      </c>
      <c r="H471" s="28">
        <f t="shared" si="25"/>
        <v>2.5001524183721813E-2</v>
      </c>
      <c r="I471" s="28">
        <f t="shared" si="25"/>
        <v>-0.16650803865786656</v>
      </c>
      <c r="J471" s="28">
        <f t="shared" si="25"/>
        <v>0.12284305423838759</v>
      </c>
      <c r="K471" s="28">
        <f t="shared" si="25"/>
        <v>0.23375152418367406</v>
      </c>
      <c r="L471" s="28">
        <f t="shared" si="25"/>
        <v>3.8703709976061873E-2</v>
      </c>
      <c r="M471" s="28">
        <f t="shared" si="25"/>
        <v>-0.11597525177256784</v>
      </c>
      <c r="N471" s="28">
        <f t="shared" si="25"/>
        <v>-0.20554723840496081</v>
      </c>
    </row>
    <row r="472" spans="1:14" x14ac:dyDescent="0.4">
      <c r="A472" s="1">
        <v>35551</v>
      </c>
      <c r="B472" s="28">
        <v>0.1861080815606897</v>
      </c>
      <c r="C472" s="28">
        <f t="shared" si="25"/>
        <v>0.3573694282617339</v>
      </c>
      <c r="D472" s="28">
        <f t="shared" si="25"/>
        <v>-0.14729575938218886</v>
      </c>
      <c r="E472" s="28">
        <f t="shared" si="25"/>
        <v>3.4174908548948224E-2</v>
      </c>
      <c r="F472" s="28">
        <f t="shared" si="25"/>
        <v>-5.389874904028602E-2</v>
      </c>
      <c r="G472" s="28">
        <f t="shared" si="25"/>
        <v>9.4352617079948686E-2</v>
      </c>
      <c r="H472" s="28">
        <f t="shared" si="25"/>
        <v>-0.22668563428612742</v>
      </c>
      <c r="I472" s="28">
        <f t="shared" si="25"/>
        <v>2.5001524183721813E-2</v>
      </c>
      <c r="J472" s="28">
        <f t="shared" si="25"/>
        <v>-0.16650803865786656</v>
      </c>
      <c r="K472" s="28">
        <f t="shared" si="25"/>
        <v>0.12284305423838759</v>
      </c>
      <c r="L472" s="28">
        <f t="shared" si="25"/>
        <v>0.23375152418367406</v>
      </c>
      <c r="M472" s="28">
        <f t="shared" si="25"/>
        <v>3.8703709976061873E-2</v>
      </c>
      <c r="N472" s="28">
        <f t="shared" si="25"/>
        <v>-0.11597525177256784</v>
      </c>
    </row>
    <row r="473" spans="1:14" x14ac:dyDescent="0.4">
      <c r="A473" s="1">
        <v>35582</v>
      </c>
      <c r="B473" s="28">
        <v>-0.41212962335725933</v>
      </c>
      <c r="C473" s="28">
        <f t="shared" si="25"/>
        <v>0.1861080815606897</v>
      </c>
      <c r="D473" s="28">
        <f t="shared" si="25"/>
        <v>0.3573694282617339</v>
      </c>
      <c r="E473" s="28">
        <f t="shared" si="25"/>
        <v>-0.14729575938218886</v>
      </c>
      <c r="F473" s="28">
        <f t="shared" si="25"/>
        <v>3.4174908548948224E-2</v>
      </c>
      <c r="G473" s="28">
        <f t="shared" si="25"/>
        <v>-5.389874904028602E-2</v>
      </c>
      <c r="H473" s="28">
        <f t="shared" si="25"/>
        <v>9.4352617079948686E-2</v>
      </c>
      <c r="I473" s="28">
        <f t="shared" si="25"/>
        <v>-0.22668563428612742</v>
      </c>
      <c r="J473" s="28">
        <f t="shared" si="25"/>
        <v>2.5001524183721813E-2</v>
      </c>
      <c r="K473" s="28">
        <f t="shared" si="25"/>
        <v>-0.16650803865786656</v>
      </c>
      <c r="L473" s="28">
        <f t="shared" si="25"/>
        <v>0.12284305423838759</v>
      </c>
      <c r="M473" s="28">
        <f t="shared" si="25"/>
        <v>0.23375152418367406</v>
      </c>
      <c r="N473" s="28">
        <f t="shared" si="25"/>
        <v>3.8703709976061873E-2</v>
      </c>
    </row>
    <row r="474" spans="1:14" x14ac:dyDescent="0.4">
      <c r="A474" s="1">
        <v>35612</v>
      </c>
      <c r="B474" s="28">
        <v>-0.11208180914962895</v>
      </c>
      <c r="C474" s="28">
        <f t="shared" si="25"/>
        <v>-0.41212962335725933</v>
      </c>
      <c r="D474" s="28">
        <f t="shared" si="25"/>
        <v>0.1861080815606897</v>
      </c>
      <c r="E474" s="28">
        <f t="shared" si="25"/>
        <v>0.3573694282617339</v>
      </c>
      <c r="F474" s="28">
        <f t="shared" si="25"/>
        <v>-0.14729575938218886</v>
      </c>
      <c r="G474" s="28">
        <f t="shared" si="25"/>
        <v>3.4174908548948224E-2</v>
      </c>
      <c r="H474" s="28">
        <f t="shared" si="25"/>
        <v>-5.389874904028602E-2</v>
      </c>
      <c r="I474" s="28">
        <f t="shared" si="25"/>
        <v>9.4352617079948686E-2</v>
      </c>
      <c r="J474" s="28">
        <f t="shared" si="25"/>
        <v>-0.22668563428612742</v>
      </c>
      <c r="K474" s="28">
        <f t="shared" si="25"/>
        <v>2.5001524183721813E-2</v>
      </c>
      <c r="L474" s="28">
        <f t="shared" si="25"/>
        <v>-0.16650803865786656</v>
      </c>
      <c r="M474" s="28">
        <f t="shared" si="25"/>
        <v>0.12284305423838759</v>
      </c>
      <c r="N474" s="28">
        <f t="shared" si="25"/>
        <v>0.23375152418367406</v>
      </c>
    </row>
    <row r="475" spans="1:14" x14ac:dyDescent="0.4">
      <c r="A475" s="1">
        <v>35643</v>
      </c>
      <c r="B475" s="28">
        <v>-0.12340694576158739</v>
      </c>
      <c r="C475" s="28">
        <f t="shared" si="25"/>
        <v>-0.11208180914962895</v>
      </c>
      <c r="D475" s="28">
        <f t="shared" si="25"/>
        <v>-0.41212962335725933</v>
      </c>
      <c r="E475" s="28">
        <f t="shared" si="25"/>
        <v>0.1861080815606897</v>
      </c>
      <c r="F475" s="28">
        <f t="shared" si="25"/>
        <v>0.3573694282617339</v>
      </c>
      <c r="G475" s="28">
        <f t="shared" si="25"/>
        <v>-0.14729575938218886</v>
      </c>
      <c r="H475" s="28">
        <f t="shared" si="25"/>
        <v>3.4174908548948224E-2</v>
      </c>
      <c r="I475" s="28">
        <f t="shared" si="25"/>
        <v>-5.389874904028602E-2</v>
      </c>
      <c r="J475" s="28">
        <f t="shared" si="25"/>
        <v>9.4352617079948686E-2</v>
      </c>
      <c r="K475" s="28">
        <f t="shared" si="25"/>
        <v>-0.22668563428612742</v>
      </c>
      <c r="L475" s="28">
        <f t="shared" si="25"/>
        <v>2.5001524183721813E-2</v>
      </c>
      <c r="M475" s="28">
        <f t="shared" si="25"/>
        <v>-0.16650803865786656</v>
      </c>
      <c r="N475" s="28">
        <f t="shared" si="25"/>
        <v>0.12284305423838759</v>
      </c>
    </row>
    <row r="476" spans="1:14" x14ac:dyDescent="0.4">
      <c r="A476" s="1">
        <v>35674</v>
      </c>
      <c r="B476" s="28">
        <v>-0.84359137199118095</v>
      </c>
      <c r="C476" s="28">
        <f t="shared" si="25"/>
        <v>-0.12340694576158739</v>
      </c>
      <c r="D476" s="28">
        <f t="shared" si="25"/>
        <v>-0.11208180914962895</v>
      </c>
      <c r="E476" s="28">
        <f t="shared" si="25"/>
        <v>-0.41212962335725933</v>
      </c>
      <c r="F476" s="28">
        <f t="shared" si="25"/>
        <v>0.1861080815606897</v>
      </c>
      <c r="G476" s="28">
        <f t="shared" si="25"/>
        <v>0.3573694282617339</v>
      </c>
      <c r="H476" s="28">
        <f t="shared" si="25"/>
        <v>-0.14729575938218886</v>
      </c>
      <c r="I476" s="28">
        <f t="shared" si="25"/>
        <v>3.4174908548948224E-2</v>
      </c>
      <c r="J476" s="28">
        <f t="shared" si="25"/>
        <v>-5.389874904028602E-2</v>
      </c>
      <c r="K476" s="28">
        <f t="shared" si="25"/>
        <v>9.4352617079948686E-2</v>
      </c>
      <c r="L476" s="28">
        <f t="shared" si="25"/>
        <v>-0.22668563428612742</v>
      </c>
      <c r="M476" s="28">
        <f t="shared" si="25"/>
        <v>2.5001524183721813E-2</v>
      </c>
      <c r="N476" s="28">
        <f t="shared" si="25"/>
        <v>-0.16650803865786656</v>
      </c>
    </row>
    <row r="477" spans="1:14" x14ac:dyDescent="0.4">
      <c r="A477" s="1">
        <v>35704</v>
      </c>
      <c r="B477" s="28">
        <v>-0.33916514248295471</v>
      </c>
      <c r="C477" s="28">
        <f t="shared" si="25"/>
        <v>-0.84359137199118095</v>
      </c>
      <c r="D477" s="28">
        <f t="shared" si="25"/>
        <v>-0.12340694576158739</v>
      </c>
      <c r="E477" s="28">
        <f t="shared" si="25"/>
        <v>-0.11208180914962895</v>
      </c>
      <c r="F477" s="28">
        <f t="shared" si="25"/>
        <v>-0.41212962335725933</v>
      </c>
      <c r="G477" s="28">
        <f t="shared" si="25"/>
        <v>0.1861080815606897</v>
      </c>
      <c r="H477" s="28">
        <f t="shared" si="25"/>
        <v>0.3573694282617339</v>
      </c>
      <c r="I477" s="28">
        <f t="shared" si="25"/>
        <v>-0.14729575938218886</v>
      </c>
      <c r="J477" s="28">
        <f t="shared" si="25"/>
        <v>3.4174908548948224E-2</v>
      </c>
      <c r="K477" s="28">
        <f t="shared" si="25"/>
        <v>-5.389874904028602E-2</v>
      </c>
      <c r="L477" s="28">
        <f t="shared" si="25"/>
        <v>9.4352617079948686E-2</v>
      </c>
      <c r="M477" s="28">
        <f t="shared" si="25"/>
        <v>-0.22668563428612742</v>
      </c>
      <c r="N477" s="28">
        <f t="shared" si="25"/>
        <v>2.5001524183721813E-2</v>
      </c>
    </row>
    <row r="478" spans="1:14" x14ac:dyDescent="0.4">
      <c r="A478" s="1">
        <v>35735</v>
      </c>
      <c r="B478" s="28">
        <v>-0.16251896761957596</v>
      </c>
      <c r="C478" s="28">
        <f t="shared" si="25"/>
        <v>-0.33916514248295471</v>
      </c>
      <c r="D478" s="28">
        <f t="shared" si="25"/>
        <v>-0.84359137199118095</v>
      </c>
      <c r="E478" s="28">
        <f t="shared" si="25"/>
        <v>-0.12340694576158739</v>
      </c>
      <c r="F478" s="28">
        <f t="shared" si="25"/>
        <v>-0.11208180914962895</v>
      </c>
      <c r="G478" s="28">
        <f t="shared" si="25"/>
        <v>-0.41212962335725933</v>
      </c>
      <c r="H478" s="28">
        <f t="shared" si="25"/>
        <v>0.1861080815606897</v>
      </c>
      <c r="I478" s="28">
        <f t="shared" si="25"/>
        <v>0.3573694282617339</v>
      </c>
      <c r="J478" s="28">
        <f t="shared" si="25"/>
        <v>-0.14729575938218886</v>
      </c>
      <c r="K478" s="28">
        <f t="shared" si="25"/>
        <v>3.4174908548948224E-2</v>
      </c>
      <c r="L478" s="28">
        <f t="shared" si="25"/>
        <v>-5.389874904028602E-2</v>
      </c>
      <c r="M478" s="28">
        <f t="shared" si="25"/>
        <v>9.4352617079948686E-2</v>
      </c>
      <c r="N478" s="28">
        <f t="shared" si="25"/>
        <v>-0.22668563428612742</v>
      </c>
    </row>
    <row r="479" spans="1:14" x14ac:dyDescent="0.4">
      <c r="A479" s="1">
        <v>35765</v>
      </c>
      <c r="B479" s="28">
        <v>0.28393595041319486</v>
      </c>
      <c r="C479" s="28">
        <f t="shared" si="25"/>
        <v>-0.16251896761957596</v>
      </c>
      <c r="D479" s="28">
        <f t="shared" si="25"/>
        <v>-0.33916514248295471</v>
      </c>
      <c r="E479" s="28">
        <f t="shared" si="25"/>
        <v>-0.84359137199118095</v>
      </c>
      <c r="F479" s="28">
        <f t="shared" si="25"/>
        <v>-0.12340694576158739</v>
      </c>
      <c r="G479" s="28">
        <f t="shared" si="25"/>
        <v>-0.11208180914962895</v>
      </c>
      <c r="H479" s="28">
        <f t="shared" si="25"/>
        <v>-0.41212962335725933</v>
      </c>
      <c r="I479" s="28">
        <f t="shared" si="25"/>
        <v>0.1861080815606897</v>
      </c>
      <c r="J479" s="28">
        <f t="shared" si="25"/>
        <v>0.3573694282617339</v>
      </c>
      <c r="K479" s="28">
        <f t="shared" si="25"/>
        <v>-0.14729575938218886</v>
      </c>
      <c r="L479" s="28">
        <f t="shared" si="25"/>
        <v>3.4174908548948224E-2</v>
      </c>
      <c r="M479" s="28">
        <f t="shared" si="25"/>
        <v>-5.389874904028602E-2</v>
      </c>
      <c r="N479" s="28">
        <f t="shared" si="25"/>
        <v>9.4352617079948686E-2</v>
      </c>
    </row>
    <row r="480" spans="1:14" x14ac:dyDescent="0.4">
      <c r="A480" s="1">
        <v>35796</v>
      </c>
      <c r="B480" s="28">
        <v>0.11985125095958438</v>
      </c>
      <c r="C480" s="28">
        <f t="shared" si="25"/>
        <v>0.28393595041319486</v>
      </c>
      <c r="D480" s="28">
        <f t="shared" si="25"/>
        <v>-0.16251896761957596</v>
      </c>
      <c r="E480" s="28">
        <f t="shared" si="25"/>
        <v>-0.33916514248295471</v>
      </c>
      <c r="F480" s="28">
        <f t="shared" si="25"/>
        <v>-0.84359137199118095</v>
      </c>
      <c r="G480" s="28">
        <f t="shared" si="25"/>
        <v>-0.12340694576158739</v>
      </c>
      <c r="H480" s="28">
        <f t="shared" si="25"/>
        <v>-0.11208180914962895</v>
      </c>
      <c r="I480" s="28">
        <f t="shared" si="25"/>
        <v>-0.41212962335725933</v>
      </c>
      <c r="J480" s="28">
        <f t="shared" si="25"/>
        <v>0.1861080815606897</v>
      </c>
      <c r="K480" s="28">
        <f t="shared" si="25"/>
        <v>0.3573694282617339</v>
      </c>
      <c r="L480" s="28">
        <f t="shared" si="25"/>
        <v>-0.14729575938218886</v>
      </c>
      <c r="M480" s="28">
        <f t="shared" si="25"/>
        <v>3.4174908548948224E-2</v>
      </c>
      <c r="N480" s="28">
        <f t="shared" si="25"/>
        <v>-5.389874904028602E-2</v>
      </c>
    </row>
    <row r="481" spans="1:14" x14ac:dyDescent="0.4">
      <c r="A481" s="1">
        <v>35827</v>
      </c>
      <c r="B481" s="28">
        <v>3.5841575215613375E-2</v>
      </c>
      <c r="C481" s="28">
        <f t="shared" si="25"/>
        <v>0.11985125095958438</v>
      </c>
      <c r="D481" s="28">
        <f t="shared" si="25"/>
        <v>0.28393595041319486</v>
      </c>
      <c r="E481" s="28">
        <f t="shared" si="25"/>
        <v>-0.16251896761957596</v>
      </c>
      <c r="F481" s="28">
        <f t="shared" si="25"/>
        <v>-0.33916514248295471</v>
      </c>
      <c r="G481" s="28">
        <f t="shared" si="25"/>
        <v>-0.84359137199118095</v>
      </c>
      <c r="H481" s="28">
        <f t="shared" si="25"/>
        <v>-0.12340694576158739</v>
      </c>
      <c r="I481" s="28">
        <f t="shared" si="25"/>
        <v>-0.11208180914962895</v>
      </c>
      <c r="J481" s="28">
        <f t="shared" si="25"/>
        <v>-0.41212962335725933</v>
      </c>
      <c r="K481" s="28">
        <f t="shared" si="25"/>
        <v>0.1861080815606897</v>
      </c>
      <c r="L481" s="28">
        <f t="shared" si="25"/>
        <v>0.3573694282617339</v>
      </c>
      <c r="M481" s="28">
        <f t="shared" si="25"/>
        <v>-0.14729575938218886</v>
      </c>
      <c r="N481" s="28">
        <f t="shared" si="25"/>
        <v>3.4174908548948224E-2</v>
      </c>
    </row>
    <row r="482" spans="1:14" x14ac:dyDescent="0.4">
      <c r="A482" s="1">
        <v>35855</v>
      </c>
      <c r="B482" s="28">
        <v>0.22645424061778385</v>
      </c>
      <c r="C482" s="28">
        <f t="shared" si="25"/>
        <v>3.5841575215613375E-2</v>
      </c>
      <c r="D482" s="28">
        <f t="shared" si="25"/>
        <v>0.11985125095958438</v>
      </c>
      <c r="E482" s="28">
        <f t="shared" si="25"/>
        <v>0.28393595041319486</v>
      </c>
      <c r="F482" s="28">
        <f t="shared" si="25"/>
        <v>-0.16251896761957596</v>
      </c>
      <c r="G482" s="28">
        <f t="shared" si="25"/>
        <v>-0.33916514248295471</v>
      </c>
      <c r="H482" s="28">
        <f t="shared" si="25"/>
        <v>-0.84359137199118095</v>
      </c>
      <c r="I482" s="28">
        <f t="shared" si="25"/>
        <v>-0.12340694576158739</v>
      </c>
      <c r="J482" s="28">
        <f t="shared" si="25"/>
        <v>-0.11208180914962895</v>
      </c>
      <c r="K482" s="28">
        <f t="shared" si="25"/>
        <v>-0.41212962335725933</v>
      </c>
      <c r="L482" s="28">
        <f t="shared" si="25"/>
        <v>0.1861080815606897</v>
      </c>
      <c r="M482" s="28">
        <f t="shared" si="25"/>
        <v>0.3573694282617339</v>
      </c>
      <c r="N482" s="28">
        <f t="shared" si="25"/>
        <v>-0.14729575938218886</v>
      </c>
    </row>
    <row r="483" spans="1:14" x14ac:dyDescent="0.4">
      <c r="A483" s="1">
        <v>35886</v>
      </c>
      <c r="B483" s="28">
        <v>1.2369428261820303E-2</v>
      </c>
      <c r="C483" s="28">
        <f t="shared" si="25"/>
        <v>0.22645424061778385</v>
      </c>
      <c r="D483" s="28">
        <f t="shared" si="25"/>
        <v>3.5841575215613375E-2</v>
      </c>
      <c r="E483" s="28">
        <f t="shared" si="25"/>
        <v>0.11985125095958438</v>
      </c>
      <c r="F483" s="28">
        <f t="shared" si="25"/>
        <v>0.28393595041319486</v>
      </c>
      <c r="G483" s="28">
        <f t="shared" si="25"/>
        <v>-0.16251896761957596</v>
      </c>
      <c r="H483" s="28">
        <f t="shared" si="25"/>
        <v>-0.33916514248295471</v>
      </c>
      <c r="I483" s="28">
        <f t="shared" si="25"/>
        <v>-0.84359137199118095</v>
      </c>
      <c r="J483" s="28">
        <f t="shared" si="25"/>
        <v>-0.12340694576158739</v>
      </c>
      <c r="K483" s="28">
        <f t="shared" si="25"/>
        <v>-0.11208180914962895</v>
      </c>
      <c r="L483" s="28">
        <f t="shared" si="25"/>
        <v>-0.41212962335725933</v>
      </c>
      <c r="M483" s="28">
        <f t="shared" si="25"/>
        <v>0.1861080815606897</v>
      </c>
      <c r="N483" s="28">
        <f t="shared" si="25"/>
        <v>0.3573694282617339</v>
      </c>
    </row>
    <row r="484" spans="1:14" x14ac:dyDescent="0.4">
      <c r="A484" s="1">
        <v>35916</v>
      </c>
      <c r="B484" s="28">
        <v>-6.0558585105866314E-2</v>
      </c>
      <c r="C484" s="28">
        <f t="shared" si="25"/>
        <v>1.2369428261820303E-2</v>
      </c>
      <c r="D484" s="28">
        <f t="shared" si="25"/>
        <v>0.22645424061778385</v>
      </c>
      <c r="E484" s="28">
        <f t="shared" si="25"/>
        <v>3.5841575215613375E-2</v>
      </c>
      <c r="F484" s="28">
        <f t="shared" si="25"/>
        <v>0.11985125095958438</v>
      </c>
      <c r="G484" s="28">
        <f t="shared" si="25"/>
        <v>0.28393595041319486</v>
      </c>
      <c r="H484" s="28">
        <f t="shared" si="25"/>
        <v>-0.16251896761957596</v>
      </c>
      <c r="I484" s="28">
        <f t="shared" si="25"/>
        <v>-0.33916514248295471</v>
      </c>
      <c r="J484" s="28">
        <f t="shared" si="25"/>
        <v>-0.84359137199118095</v>
      </c>
      <c r="K484" s="28">
        <f t="shared" si="25"/>
        <v>-0.12340694576158739</v>
      </c>
      <c r="L484" s="28">
        <f t="shared" si="25"/>
        <v>-0.11208180914962895</v>
      </c>
      <c r="M484" s="28">
        <f t="shared" si="25"/>
        <v>-0.41212962335725933</v>
      </c>
      <c r="N484" s="28">
        <f t="shared" si="25"/>
        <v>0.1861080815606897</v>
      </c>
    </row>
    <row r="485" spans="1:14" x14ac:dyDescent="0.4">
      <c r="A485" s="1">
        <v>35947</v>
      </c>
      <c r="B485" s="28">
        <v>3.7037099760368619E-3</v>
      </c>
      <c r="C485" s="28">
        <f t="shared" si="25"/>
        <v>-6.0558585105866314E-2</v>
      </c>
      <c r="D485" s="28">
        <f t="shared" si="25"/>
        <v>1.2369428261820303E-2</v>
      </c>
      <c r="E485" s="28">
        <f t="shared" si="25"/>
        <v>0.22645424061778385</v>
      </c>
      <c r="F485" s="28">
        <f t="shared" si="25"/>
        <v>3.5841575215613375E-2</v>
      </c>
      <c r="G485" s="28">
        <f t="shared" si="25"/>
        <v>0.11985125095958438</v>
      </c>
      <c r="H485" s="28">
        <f t="shared" si="25"/>
        <v>0.28393595041319486</v>
      </c>
      <c r="I485" s="28">
        <f t="shared" si="25"/>
        <v>-0.16251896761957596</v>
      </c>
      <c r="J485" s="28">
        <f t="shared" si="25"/>
        <v>-0.33916514248295471</v>
      </c>
      <c r="K485" s="28">
        <f t="shared" si="25"/>
        <v>-0.84359137199118095</v>
      </c>
      <c r="L485" s="28">
        <f t="shared" si="25"/>
        <v>-0.12340694576158739</v>
      </c>
      <c r="M485" s="28">
        <f t="shared" si="25"/>
        <v>-0.11208180914962895</v>
      </c>
      <c r="N485" s="28">
        <f t="shared" si="25"/>
        <v>-0.41212962335725933</v>
      </c>
    </row>
    <row r="486" spans="1:14" x14ac:dyDescent="0.4">
      <c r="A486" s="1">
        <v>35977</v>
      </c>
      <c r="B486" s="28">
        <v>0.1645848575170703</v>
      </c>
      <c r="C486" s="28">
        <f t="shared" si="25"/>
        <v>3.7037099760368619E-3</v>
      </c>
      <c r="D486" s="28">
        <f t="shared" si="25"/>
        <v>-6.0558585105866314E-2</v>
      </c>
      <c r="E486" s="28">
        <f t="shared" si="25"/>
        <v>1.2369428261820303E-2</v>
      </c>
      <c r="F486" s="28">
        <f t="shared" si="25"/>
        <v>0.22645424061778385</v>
      </c>
      <c r="G486" s="28">
        <f t="shared" si="25"/>
        <v>3.5841575215613375E-2</v>
      </c>
      <c r="H486" s="28">
        <f t="shared" si="25"/>
        <v>0.11985125095958438</v>
      </c>
      <c r="I486" s="28">
        <f t="shared" si="25"/>
        <v>0.28393595041319486</v>
      </c>
      <c r="J486" s="28">
        <f t="shared" si="25"/>
        <v>-0.16251896761957596</v>
      </c>
      <c r="K486" s="28">
        <f t="shared" si="25"/>
        <v>-0.33916514248295471</v>
      </c>
      <c r="L486" s="28">
        <f t="shared" si="25"/>
        <v>-0.84359137199118095</v>
      </c>
      <c r="M486" s="28">
        <f t="shared" si="25"/>
        <v>-0.12340694576158739</v>
      </c>
      <c r="N486" s="28">
        <f t="shared" si="25"/>
        <v>-0.11208180914962895</v>
      </c>
    </row>
    <row r="487" spans="1:14" x14ac:dyDescent="0.4">
      <c r="A487" s="1">
        <v>36008</v>
      </c>
      <c r="B487" s="28">
        <v>0.21159305423839214</v>
      </c>
      <c r="C487" s="28">
        <f t="shared" si="25"/>
        <v>0.1645848575170703</v>
      </c>
      <c r="D487" s="28">
        <f t="shared" si="25"/>
        <v>3.7037099760368619E-3</v>
      </c>
      <c r="E487" s="28">
        <f t="shared" si="25"/>
        <v>-6.0558585105866314E-2</v>
      </c>
      <c r="F487" s="28">
        <f t="shared" si="25"/>
        <v>1.2369428261820303E-2</v>
      </c>
      <c r="G487" s="28">
        <f t="shared" si="25"/>
        <v>0.22645424061778385</v>
      </c>
      <c r="H487" s="28">
        <f t="shared" si="25"/>
        <v>3.5841575215613375E-2</v>
      </c>
      <c r="I487" s="28">
        <f t="shared" ref="D487:S502" si="26">IF(H486=0,"",H486)</f>
        <v>0.11985125095958438</v>
      </c>
      <c r="J487" s="28">
        <f t="shared" si="26"/>
        <v>0.28393595041319486</v>
      </c>
      <c r="K487" s="28">
        <f t="shared" si="26"/>
        <v>-0.16251896761957596</v>
      </c>
      <c r="L487" s="28">
        <f t="shared" si="26"/>
        <v>-0.33916514248295471</v>
      </c>
      <c r="M487" s="28">
        <f t="shared" si="26"/>
        <v>-0.84359137199118095</v>
      </c>
      <c r="N487" s="28">
        <f t="shared" si="26"/>
        <v>-0.12340694576158739</v>
      </c>
    </row>
    <row r="488" spans="1:14" x14ac:dyDescent="0.4">
      <c r="A488" s="1">
        <v>36039</v>
      </c>
      <c r="B488" s="28">
        <v>-8.234137199116276E-2</v>
      </c>
      <c r="C488" s="28">
        <f t="shared" ref="C488:N551" si="27">IF(B487=0,"",B487)</f>
        <v>0.21159305423839214</v>
      </c>
      <c r="D488" s="28">
        <f t="shared" si="26"/>
        <v>0.1645848575170703</v>
      </c>
      <c r="E488" s="28">
        <f t="shared" si="26"/>
        <v>3.7037099760368619E-3</v>
      </c>
      <c r="F488" s="28">
        <f t="shared" si="26"/>
        <v>-6.0558585105866314E-2</v>
      </c>
      <c r="G488" s="28">
        <f t="shared" si="26"/>
        <v>1.2369428261820303E-2</v>
      </c>
      <c r="H488" s="28">
        <f t="shared" si="26"/>
        <v>0.22645424061778385</v>
      </c>
      <c r="I488" s="28">
        <f t="shared" si="26"/>
        <v>3.5841575215613375E-2</v>
      </c>
      <c r="J488" s="28">
        <f t="shared" si="26"/>
        <v>0.11985125095958438</v>
      </c>
      <c r="K488" s="28">
        <f t="shared" si="26"/>
        <v>0.28393595041319486</v>
      </c>
      <c r="L488" s="28">
        <f t="shared" si="26"/>
        <v>-0.16251896761957596</v>
      </c>
      <c r="M488" s="28">
        <f t="shared" si="26"/>
        <v>-0.33916514248295471</v>
      </c>
      <c r="N488" s="28">
        <f t="shared" si="26"/>
        <v>-0.84359137199118095</v>
      </c>
    </row>
    <row r="489" spans="1:14" x14ac:dyDescent="0.4">
      <c r="A489" s="1">
        <v>36069</v>
      </c>
      <c r="B489" s="28">
        <v>0.17000152418376047</v>
      </c>
      <c r="C489" s="28">
        <f t="shared" si="27"/>
        <v>-8.234137199116276E-2</v>
      </c>
      <c r="D489" s="28">
        <f t="shared" si="26"/>
        <v>0.21159305423839214</v>
      </c>
      <c r="E489" s="28">
        <f t="shared" si="26"/>
        <v>0.1645848575170703</v>
      </c>
      <c r="F489" s="28">
        <f t="shared" si="26"/>
        <v>3.7037099760368619E-3</v>
      </c>
      <c r="G489" s="28">
        <f t="shared" si="26"/>
        <v>-6.0558585105866314E-2</v>
      </c>
      <c r="H489" s="28">
        <f t="shared" si="26"/>
        <v>1.2369428261820303E-2</v>
      </c>
      <c r="I489" s="28">
        <f t="shared" si="26"/>
        <v>0.22645424061778385</v>
      </c>
      <c r="J489" s="28">
        <f t="shared" si="26"/>
        <v>3.5841575215613375E-2</v>
      </c>
      <c r="K489" s="28">
        <f t="shared" si="26"/>
        <v>0.11985125095958438</v>
      </c>
      <c r="L489" s="28">
        <f t="shared" si="26"/>
        <v>0.28393595041319486</v>
      </c>
      <c r="M489" s="28">
        <f t="shared" si="26"/>
        <v>-0.16251896761957596</v>
      </c>
      <c r="N489" s="28">
        <f t="shared" si="26"/>
        <v>-0.33916514248295471</v>
      </c>
    </row>
    <row r="490" spans="1:14" x14ac:dyDescent="0.4">
      <c r="A490" s="1">
        <v>36100</v>
      </c>
      <c r="B490" s="28">
        <v>-5.1685634286229742E-2</v>
      </c>
      <c r="C490" s="28">
        <f t="shared" si="27"/>
        <v>0.17000152418376047</v>
      </c>
      <c r="D490" s="28">
        <f t="shared" si="26"/>
        <v>-8.234137199116276E-2</v>
      </c>
      <c r="E490" s="28">
        <f t="shared" si="26"/>
        <v>0.21159305423839214</v>
      </c>
      <c r="F490" s="28">
        <f t="shared" si="26"/>
        <v>0.1645848575170703</v>
      </c>
      <c r="G490" s="28">
        <f t="shared" si="26"/>
        <v>3.7037099760368619E-3</v>
      </c>
      <c r="H490" s="28">
        <f t="shared" si="26"/>
        <v>-6.0558585105866314E-2</v>
      </c>
      <c r="I490" s="28">
        <f t="shared" si="26"/>
        <v>1.2369428261820303E-2</v>
      </c>
      <c r="J490" s="28">
        <f t="shared" si="26"/>
        <v>0.22645424061778385</v>
      </c>
      <c r="K490" s="28">
        <f t="shared" si="26"/>
        <v>3.5841575215613375E-2</v>
      </c>
      <c r="L490" s="28">
        <f t="shared" si="26"/>
        <v>0.11985125095958438</v>
      </c>
      <c r="M490" s="28">
        <f t="shared" si="26"/>
        <v>0.28393595041319486</v>
      </c>
      <c r="N490" s="28">
        <f t="shared" si="26"/>
        <v>-0.16251896761957596</v>
      </c>
    </row>
    <row r="491" spans="1:14" x14ac:dyDescent="0.4">
      <c r="A491" s="1">
        <v>36130</v>
      </c>
      <c r="B491" s="28">
        <v>0.162269283746582</v>
      </c>
      <c r="C491" s="28">
        <f t="shared" si="27"/>
        <v>-5.1685634286229742E-2</v>
      </c>
      <c r="D491" s="28">
        <f t="shared" si="26"/>
        <v>0.17000152418376047</v>
      </c>
      <c r="E491" s="28">
        <f t="shared" si="26"/>
        <v>-8.234137199116276E-2</v>
      </c>
      <c r="F491" s="28">
        <f t="shared" si="26"/>
        <v>0.21159305423839214</v>
      </c>
      <c r="G491" s="28">
        <f t="shared" si="26"/>
        <v>0.1645848575170703</v>
      </c>
      <c r="H491" s="28">
        <f t="shared" si="26"/>
        <v>3.7037099760368619E-3</v>
      </c>
      <c r="I491" s="28">
        <f t="shared" si="26"/>
        <v>-6.0558585105866314E-2</v>
      </c>
      <c r="J491" s="28">
        <f t="shared" si="26"/>
        <v>1.2369428261820303E-2</v>
      </c>
      <c r="K491" s="28">
        <f t="shared" si="26"/>
        <v>0.22645424061778385</v>
      </c>
      <c r="L491" s="28">
        <f t="shared" si="26"/>
        <v>3.5841575215613375E-2</v>
      </c>
      <c r="M491" s="28">
        <f t="shared" si="26"/>
        <v>0.11985125095958438</v>
      </c>
      <c r="N491" s="28">
        <f t="shared" si="26"/>
        <v>0.28393595041319486</v>
      </c>
    </row>
    <row r="492" spans="1:14" x14ac:dyDescent="0.4">
      <c r="A492" s="1">
        <v>36161</v>
      </c>
      <c r="B492" s="28">
        <v>0.26651791762628818</v>
      </c>
      <c r="C492" s="28">
        <f t="shared" si="27"/>
        <v>0.162269283746582</v>
      </c>
      <c r="D492" s="28">
        <f t="shared" si="26"/>
        <v>-5.1685634286229742E-2</v>
      </c>
      <c r="E492" s="28">
        <f t="shared" si="26"/>
        <v>0.17000152418376047</v>
      </c>
      <c r="F492" s="28">
        <f t="shared" si="26"/>
        <v>-8.234137199116276E-2</v>
      </c>
      <c r="G492" s="28">
        <f t="shared" si="26"/>
        <v>0.21159305423839214</v>
      </c>
      <c r="H492" s="28">
        <f t="shared" si="26"/>
        <v>0.1645848575170703</v>
      </c>
      <c r="I492" s="28">
        <f t="shared" si="26"/>
        <v>3.7037099760368619E-3</v>
      </c>
      <c r="J492" s="28">
        <f t="shared" si="26"/>
        <v>-6.0558585105866314E-2</v>
      </c>
      <c r="K492" s="28">
        <f t="shared" si="26"/>
        <v>1.2369428261820303E-2</v>
      </c>
      <c r="L492" s="28">
        <f t="shared" si="26"/>
        <v>0.22645424061778385</v>
      </c>
      <c r="M492" s="28">
        <f t="shared" si="26"/>
        <v>3.5841575215613375E-2</v>
      </c>
      <c r="N492" s="28">
        <f t="shared" si="26"/>
        <v>0.11985125095958438</v>
      </c>
    </row>
    <row r="493" spans="1:14" x14ac:dyDescent="0.4">
      <c r="A493" s="1">
        <v>36192</v>
      </c>
      <c r="B493" s="28">
        <v>0.2354249085489073</v>
      </c>
      <c r="C493" s="28">
        <f t="shared" si="27"/>
        <v>0.26651791762628818</v>
      </c>
      <c r="D493" s="28">
        <f t="shared" si="26"/>
        <v>0.162269283746582</v>
      </c>
      <c r="E493" s="28">
        <f t="shared" si="26"/>
        <v>-5.1685634286229742E-2</v>
      </c>
      <c r="F493" s="28">
        <f t="shared" si="26"/>
        <v>0.17000152418376047</v>
      </c>
      <c r="G493" s="28">
        <f t="shared" si="26"/>
        <v>-8.234137199116276E-2</v>
      </c>
      <c r="H493" s="28">
        <f t="shared" si="26"/>
        <v>0.21159305423839214</v>
      </c>
      <c r="I493" s="28">
        <f t="shared" si="26"/>
        <v>0.1645848575170703</v>
      </c>
      <c r="J493" s="28">
        <f t="shared" si="26"/>
        <v>3.7037099760368619E-3</v>
      </c>
      <c r="K493" s="28">
        <f t="shared" si="26"/>
        <v>-6.0558585105866314E-2</v>
      </c>
      <c r="L493" s="28">
        <f t="shared" si="26"/>
        <v>1.2369428261820303E-2</v>
      </c>
      <c r="M493" s="28">
        <f t="shared" si="26"/>
        <v>0.22645424061778385</v>
      </c>
      <c r="N493" s="28">
        <f t="shared" si="26"/>
        <v>3.5841575215613375E-2</v>
      </c>
    </row>
    <row r="494" spans="1:14" x14ac:dyDescent="0.4">
      <c r="A494" s="1">
        <v>36220</v>
      </c>
      <c r="B494" s="28">
        <v>0.19853757395105731</v>
      </c>
      <c r="C494" s="28">
        <f t="shared" si="27"/>
        <v>0.2354249085489073</v>
      </c>
      <c r="D494" s="28">
        <f t="shared" si="26"/>
        <v>0.26651791762628818</v>
      </c>
      <c r="E494" s="28">
        <f t="shared" si="26"/>
        <v>0.162269283746582</v>
      </c>
      <c r="F494" s="28">
        <f t="shared" si="26"/>
        <v>-5.1685634286229742E-2</v>
      </c>
      <c r="G494" s="28">
        <f t="shared" si="26"/>
        <v>0.17000152418376047</v>
      </c>
      <c r="H494" s="28">
        <f t="shared" si="26"/>
        <v>-8.234137199116276E-2</v>
      </c>
      <c r="I494" s="28">
        <f t="shared" si="26"/>
        <v>0.21159305423839214</v>
      </c>
      <c r="J494" s="28">
        <f t="shared" si="26"/>
        <v>0.1645848575170703</v>
      </c>
      <c r="K494" s="28">
        <f t="shared" si="26"/>
        <v>3.7037099760368619E-3</v>
      </c>
      <c r="L494" s="28">
        <f t="shared" si="26"/>
        <v>-6.0558585105866314E-2</v>
      </c>
      <c r="M494" s="28">
        <f t="shared" si="26"/>
        <v>1.2369428261820303E-2</v>
      </c>
      <c r="N494" s="28">
        <f t="shared" si="26"/>
        <v>0.22645424061778385</v>
      </c>
    </row>
    <row r="495" spans="1:14" x14ac:dyDescent="0.4">
      <c r="A495" s="1">
        <v>36251</v>
      </c>
      <c r="B495" s="28">
        <v>0.46445276159505511</v>
      </c>
      <c r="C495" s="28">
        <f t="shared" si="27"/>
        <v>0.19853757395105731</v>
      </c>
      <c r="D495" s="28">
        <f t="shared" si="26"/>
        <v>0.2354249085489073</v>
      </c>
      <c r="E495" s="28">
        <f t="shared" si="26"/>
        <v>0.26651791762628818</v>
      </c>
      <c r="F495" s="28">
        <f t="shared" si="26"/>
        <v>0.162269283746582</v>
      </c>
      <c r="G495" s="28">
        <f t="shared" si="26"/>
        <v>-5.1685634286229742E-2</v>
      </c>
      <c r="H495" s="28">
        <f t="shared" si="26"/>
        <v>0.17000152418376047</v>
      </c>
      <c r="I495" s="28">
        <f t="shared" si="26"/>
        <v>-8.234137199116276E-2</v>
      </c>
      <c r="J495" s="28">
        <f t="shared" si="26"/>
        <v>0.21159305423839214</v>
      </c>
      <c r="K495" s="28">
        <f t="shared" si="26"/>
        <v>0.1645848575170703</v>
      </c>
      <c r="L495" s="28">
        <f t="shared" si="26"/>
        <v>3.7037099760368619E-3</v>
      </c>
      <c r="M495" s="28">
        <f t="shared" si="26"/>
        <v>-6.0558585105866314E-2</v>
      </c>
      <c r="N495" s="28">
        <f t="shared" si="26"/>
        <v>1.2369428261820303E-2</v>
      </c>
    </row>
    <row r="496" spans="1:14" x14ac:dyDescent="0.4">
      <c r="A496" s="1">
        <v>36281</v>
      </c>
      <c r="B496" s="28">
        <v>-0.25680858510600046</v>
      </c>
      <c r="C496" s="28">
        <f t="shared" si="27"/>
        <v>0.46445276159505511</v>
      </c>
      <c r="D496" s="28">
        <f t="shared" si="26"/>
        <v>0.19853757395105731</v>
      </c>
      <c r="E496" s="28">
        <f t="shared" si="26"/>
        <v>0.2354249085489073</v>
      </c>
      <c r="F496" s="28">
        <f t="shared" si="26"/>
        <v>0.26651791762628818</v>
      </c>
      <c r="G496" s="28">
        <f t="shared" si="26"/>
        <v>0.162269283746582</v>
      </c>
      <c r="H496" s="28">
        <f t="shared" si="26"/>
        <v>-5.1685634286229742E-2</v>
      </c>
      <c r="I496" s="28">
        <f t="shared" si="26"/>
        <v>0.17000152418376047</v>
      </c>
      <c r="J496" s="28">
        <f t="shared" si="26"/>
        <v>-8.234137199116276E-2</v>
      </c>
      <c r="K496" s="28">
        <f t="shared" si="26"/>
        <v>0.21159305423839214</v>
      </c>
      <c r="L496" s="28">
        <f t="shared" si="26"/>
        <v>0.1645848575170703</v>
      </c>
      <c r="M496" s="28">
        <f t="shared" si="26"/>
        <v>3.7037099760368619E-3</v>
      </c>
      <c r="N496" s="28">
        <f t="shared" si="26"/>
        <v>-6.0558585105866314E-2</v>
      </c>
    </row>
    <row r="497" spans="1:14" x14ac:dyDescent="0.4">
      <c r="A497" s="1">
        <v>36312</v>
      </c>
      <c r="B497" s="28">
        <v>-0.27796295669065785</v>
      </c>
      <c r="C497" s="28">
        <f t="shared" si="27"/>
        <v>-0.25680858510600046</v>
      </c>
      <c r="D497" s="28">
        <f t="shared" si="26"/>
        <v>0.46445276159505511</v>
      </c>
      <c r="E497" s="28">
        <f t="shared" si="26"/>
        <v>0.19853757395105731</v>
      </c>
      <c r="F497" s="28">
        <f t="shared" si="26"/>
        <v>0.2354249085489073</v>
      </c>
      <c r="G497" s="28">
        <f t="shared" si="26"/>
        <v>0.26651791762628818</v>
      </c>
      <c r="H497" s="28">
        <f t="shared" si="26"/>
        <v>0.162269283746582</v>
      </c>
      <c r="I497" s="28">
        <f t="shared" si="26"/>
        <v>-5.1685634286229742E-2</v>
      </c>
      <c r="J497" s="28">
        <f t="shared" si="26"/>
        <v>0.17000152418376047</v>
      </c>
      <c r="K497" s="28">
        <f t="shared" si="26"/>
        <v>-8.234137199116276E-2</v>
      </c>
      <c r="L497" s="28">
        <f t="shared" si="26"/>
        <v>0.21159305423839214</v>
      </c>
      <c r="M497" s="28">
        <f t="shared" si="26"/>
        <v>0.1645848575170703</v>
      </c>
      <c r="N497" s="28">
        <f t="shared" si="26"/>
        <v>3.7037099760368619E-3</v>
      </c>
    </row>
    <row r="498" spans="1:14" x14ac:dyDescent="0.4">
      <c r="A498" s="1">
        <v>36342</v>
      </c>
      <c r="B498" s="28">
        <v>0.18833485751702028</v>
      </c>
      <c r="C498" s="28">
        <f t="shared" si="27"/>
        <v>-0.27796295669065785</v>
      </c>
      <c r="D498" s="28">
        <f t="shared" si="26"/>
        <v>-0.25680858510600046</v>
      </c>
      <c r="E498" s="28">
        <f t="shared" si="26"/>
        <v>0.46445276159505511</v>
      </c>
      <c r="F498" s="28">
        <f t="shared" si="26"/>
        <v>0.19853757395105731</v>
      </c>
      <c r="G498" s="28">
        <f t="shared" si="26"/>
        <v>0.2354249085489073</v>
      </c>
      <c r="H498" s="28">
        <f t="shared" si="26"/>
        <v>0.26651791762628818</v>
      </c>
      <c r="I498" s="28">
        <f t="shared" si="26"/>
        <v>0.162269283746582</v>
      </c>
      <c r="J498" s="28">
        <f t="shared" si="26"/>
        <v>-5.1685634286229742E-2</v>
      </c>
      <c r="K498" s="28">
        <f t="shared" si="26"/>
        <v>0.17000152418376047</v>
      </c>
      <c r="L498" s="28">
        <f t="shared" si="26"/>
        <v>-8.234137199116276E-2</v>
      </c>
      <c r="M498" s="28">
        <f t="shared" si="26"/>
        <v>0.21159305423839214</v>
      </c>
      <c r="N498" s="28">
        <f t="shared" si="26"/>
        <v>0.1645848575170703</v>
      </c>
    </row>
    <row r="499" spans="1:14" x14ac:dyDescent="0.4">
      <c r="A499" s="1">
        <v>36373</v>
      </c>
      <c r="B499" s="28">
        <v>-7.9656945761598763E-2</v>
      </c>
      <c r="C499" s="28">
        <f t="shared" si="27"/>
        <v>0.18833485751702028</v>
      </c>
      <c r="D499" s="28">
        <f t="shared" si="26"/>
        <v>-0.27796295669065785</v>
      </c>
      <c r="E499" s="28">
        <f t="shared" si="26"/>
        <v>-0.25680858510600046</v>
      </c>
      <c r="F499" s="28">
        <f t="shared" si="26"/>
        <v>0.46445276159505511</v>
      </c>
      <c r="G499" s="28">
        <f t="shared" si="26"/>
        <v>0.19853757395105731</v>
      </c>
      <c r="H499" s="28">
        <f t="shared" si="26"/>
        <v>0.2354249085489073</v>
      </c>
      <c r="I499" s="28">
        <f t="shared" si="26"/>
        <v>0.26651791762628818</v>
      </c>
      <c r="J499" s="28">
        <f t="shared" si="26"/>
        <v>0.162269283746582</v>
      </c>
      <c r="K499" s="28">
        <f t="shared" si="26"/>
        <v>-5.1685634286229742E-2</v>
      </c>
      <c r="L499" s="28">
        <f t="shared" si="26"/>
        <v>0.17000152418376047</v>
      </c>
      <c r="M499" s="28">
        <f t="shared" si="26"/>
        <v>-8.234137199116276E-2</v>
      </c>
      <c r="N499" s="28">
        <f t="shared" si="26"/>
        <v>0.21159305423839214</v>
      </c>
    </row>
    <row r="500" spans="1:14" x14ac:dyDescent="0.4">
      <c r="A500" s="1">
        <v>36404</v>
      </c>
      <c r="B500" s="28">
        <v>-0.638174705324559</v>
      </c>
      <c r="C500" s="28">
        <f t="shared" si="27"/>
        <v>-7.9656945761598763E-2</v>
      </c>
      <c r="D500" s="28">
        <f t="shared" si="26"/>
        <v>0.18833485751702028</v>
      </c>
      <c r="E500" s="28">
        <f t="shared" si="26"/>
        <v>-0.27796295669065785</v>
      </c>
      <c r="F500" s="28">
        <f t="shared" si="26"/>
        <v>-0.25680858510600046</v>
      </c>
      <c r="G500" s="28">
        <f t="shared" si="26"/>
        <v>0.46445276159505511</v>
      </c>
      <c r="H500" s="28">
        <f t="shared" si="26"/>
        <v>0.19853757395105731</v>
      </c>
      <c r="I500" s="28">
        <f t="shared" si="26"/>
        <v>0.2354249085489073</v>
      </c>
      <c r="J500" s="28">
        <f t="shared" si="26"/>
        <v>0.26651791762628818</v>
      </c>
      <c r="K500" s="28">
        <f t="shared" si="26"/>
        <v>0.162269283746582</v>
      </c>
      <c r="L500" s="28">
        <f t="shared" si="26"/>
        <v>-5.1685634286229742E-2</v>
      </c>
      <c r="M500" s="28">
        <f t="shared" si="26"/>
        <v>0.17000152418376047</v>
      </c>
      <c r="N500" s="28">
        <f t="shared" si="26"/>
        <v>-8.234137199116276E-2</v>
      </c>
    </row>
    <row r="501" spans="1:14" x14ac:dyDescent="0.4">
      <c r="A501" s="1">
        <v>36434</v>
      </c>
      <c r="B501" s="28">
        <v>-8.5415142483043383E-2</v>
      </c>
      <c r="C501" s="28">
        <f t="shared" si="27"/>
        <v>-0.638174705324559</v>
      </c>
      <c r="D501" s="28">
        <f t="shared" si="26"/>
        <v>-7.9656945761598763E-2</v>
      </c>
      <c r="E501" s="28">
        <f t="shared" si="26"/>
        <v>0.18833485751702028</v>
      </c>
      <c r="F501" s="28">
        <f t="shared" si="26"/>
        <v>-0.27796295669065785</v>
      </c>
      <c r="G501" s="28">
        <f t="shared" si="26"/>
        <v>-0.25680858510600046</v>
      </c>
      <c r="H501" s="28">
        <f t="shared" si="26"/>
        <v>0.46445276159505511</v>
      </c>
      <c r="I501" s="28">
        <f t="shared" si="26"/>
        <v>0.19853757395105731</v>
      </c>
      <c r="J501" s="28">
        <f t="shared" si="26"/>
        <v>0.2354249085489073</v>
      </c>
      <c r="K501" s="28">
        <f t="shared" si="26"/>
        <v>0.26651791762628818</v>
      </c>
      <c r="L501" s="28">
        <f t="shared" si="26"/>
        <v>0.162269283746582</v>
      </c>
      <c r="M501" s="28">
        <f t="shared" si="26"/>
        <v>-5.1685634286229742E-2</v>
      </c>
      <c r="N501" s="28">
        <f t="shared" si="26"/>
        <v>0.17000152418376047</v>
      </c>
    </row>
    <row r="502" spans="1:14" x14ac:dyDescent="0.4">
      <c r="A502" s="1">
        <v>36465</v>
      </c>
      <c r="B502" s="28">
        <v>0.13289769904719151</v>
      </c>
      <c r="C502" s="28">
        <f t="shared" si="27"/>
        <v>-8.5415142483043383E-2</v>
      </c>
      <c r="D502" s="28">
        <f t="shared" si="26"/>
        <v>-0.638174705324559</v>
      </c>
      <c r="E502" s="28">
        <f t="shared" si="26"/>
        <v>-7.9656945761598763E-2</v>
      </c>
      <c r="F502" s="28">
        <f t="shared" si="26"/>
        <v>0.18833485751702028</v>
      </c>
      <c r="G502" s="28">
        <f t="shared" si="26"/>
        <v>-0.27796295669065785</v>
      </c>
      <c r="H502" s="28">
        <f t="shared" si="26"/>
        <v>-0.25680858510600046</v>
      </c>
      <c r="I502" s="28">
        <f t="shared" si="26"/>
        <v>0.46445276159505511</v>
      </c>
      <c r="J502" s="28">
        <f t="shared" si="26"/>
        <v>0.19853757395105731</v>
      </c>
      <c r="K502" s="28">
        <f t="shared" si="26"/>
        <v>0.2354249085489073</v>
      </c>
      <c r="L502" s="28">
        <f t="shared" si="26"/>
        <v>0.26651791762628818</v>
      </c>
      <c r="M502" s="28">
        <f t="shared" si="26"/>
        <v>0.162269283746582</v>
      </c>
      <c r="N502" s="28">
        <f t="shared" si="26"/>
        <v>-5.1685634286229742E-2</v>
      </c>
    </row>
    <row r="503" spans="1:14" x14ac:dyDescent="0.4">
      <c r="A503" s="1">
        <v>36495</v>
      </c>
      <c r="B503" s="28">
        <v>0.19851928374652061</v>
      </c>
      <c r="C503" s="28">
        <f t="shared" si="27"/>
        <v>0.13289769904719151</v>
      </c>
      <c r="D503" s="28">
        <f t="shared" si="27"/>
        <v>-8.5415142483043383E-2</v>
      </c>
      <c r="E503" s="28">
        <f t="shared" si="27"/>
        <v>-0.638174705324559</v>
      </c>
      <c r="F503" s="28">
        <f t="shared" si="27"/>
        <v>-7.9656945761598763E-2</v>
      </c>
      <c r="G503" s="28">
        <f t="shared" si="27"/>
        <v>0.18833485751702028</v>
      </c>
      <c r="H503" s="28">
        <f t="shared" si="27"/>
        <v>-0.27796295669065785</v>
      </c>
      <c r="I503" s="28">
        <f t="shared" si="27"/>
        <v>-0.25680858510600046</v>
      </c>
      <c r="J503" s="28">
        <f t="shared" si="27"/>
        <v>0.46445276159505511</v>
      </c>
      <c r="K503" s="28">
        <f t="shared" si="27"/>
        <v>0.19853757395105731</v>
      </c>
      <c r="L503" s="28">
        <f t="shared" si="27"/>
        <v>0.2354249085489073</v>
      </c>
      <c r="M503" s="28">
        <f t="shared" si="27"/>
        <v>0.26651791762628818</v>
      </c>
      <c r="N503" s="28">
        <f t="shared" si="27"/>
        <v>0.162269283746582</v>
      </c>
    </row>
    <row r="504" spans="1:14" x14ac:dyDescent="0.4">
      <c r="A504" s="1">
        <v>36526</v>
      </c>
      <c r="B504" s="28">
        <v>0.30068458429292377</v>
      </c>
      <c r="C504" s="28">
        <f t="shared" si="27"/>
        <v>0.19851928374652061</v>
      </c>
      <c r="D504" s="28">
        <f t="shared" si="27"/>
        <v>0.13289769904719151</v>
      </c>
      <c r="E504" s="28">
        <f t="shared" si="27"/>
        <v>-8.5415142483043383E-2</v>
      </c>
      <c r="F504" s="28">
        <f t="shared" si="27"/>
        <v>-0.638174705324559</v>
      </c>
      <c r="G504" s="28">
        <f t="shared" si="27"/>
        <v>-7.9656945761598763E-2</v>
      </c>
      <c r="H504" s="28">
        <f t="shared" si="27"/>
        <v>0.18833485751702028</v>
      </c>
      <c r="I504" s="28">
        <f t="shared" si="27"/>
        <v>-0.27796295669065785</v>
      </c>
      <c r="J504" s="28">
        <f t="shared" si="27"/>
        <v>-0.25680858510600046</v>
      </c>
      <c r="K504" s="28">
        <f t="shared" si="27"/>
        <v>0.46445276159505511</v>
      </c>
      <c r="L504" s="28">
        <f t="shared" si="27"/>
        <v>0.19853757395105731</v>
      </c>
      <c r="M504" s="28">
        <f t="shared" si="27"/>
        <v>0.2354249085489073</v>
      </c>
      <c r="N504" s="28">
        <f t="shared" si="27"/>
        <v>0.26651791762628818</v>
      </c>
    </row>
    <row r="505" spans="1:14" x14ac:dyDescent="0.4">
      <c r="A505" s="1">
        <v>36557</v>
      </c>
      <c r="B505" s="28">
        <v>-9.957509145107224E-2</v>
      </c>
      <c r="C505" s="28">
        <f t="shared" si="27"/>
        <v>0.30068458429292377</v>
      </c>
      <c r="D505" s="28">
        <f t="shared" si="27"/>
        <v>0.19851928374652061</v>
      </c>
      <c r="E505" s="28">
        <f t="shared" si="27"/>
        <v>0.13289769904719151</v>
      </c>
      <c r="F505" s="28">
        <f t="shared" si="27"/>
        <v>-8.5415142483043383E-2</v>
      </c>
      <c r="G505" s="28">
        <f t="shared" si="27"/>
        <v>-0.638174705324559</v>
      </c>
      <c r="H505" s="28">
        <f t="shared" si="27"/>
        <v>-7.9656945761598763E-2</v>
      </c>
      <c r="I505" s="28">
        <f t="shared" si="27"/>
        <v>0.18833485751702028</v>
      </c>
      <c r="J505" s="28">
        <f t="shared" si="27"/>
        <v>-0.27796295669065785</v>
      </c>
      <c r="K505" s="28">
        <f t="shared" si="27"/>
        <v>-0.25680858510600046</v>
      </c>
      <c r="L505" s="28">
        <f t="shared" si="27"/>
        <v>0.46445276159505511</v>
      </c>
      <c r="M505" s="28">
        <f t="shared" si="27"/>
        <v>0.19853757395105731</v>
      </c>
      <c r="N505" s="28">
        <f t="shared" si="27"/>
        <v>0.2354249085489073</v>
      </c>
    </row>
    <row r="506" spans="1:14" x14ac:dyDescent="0.4">
      <c r="A506" s="1">
        <v>36586</v>
      </c>
      <c r="B506" s="28">
        <v>0.14020424061777703</v>
      </c>
      <c r="C506" s="28">
        <f t="shared" si="27"/>
        <v>-9.957509145107224E-2</v>
      </c>
      <c r="D506" s="28">
        <f t="shared" si="27"/>
        <v>0.30068458429292377</v>
      </c>
      <c r="E506" s="28">
        <f t="shared" si="27"/>
        <v>0.19851928374652061</v>
      </c>
      <c r="F506" s="28">
        <f t="shared" si="27"/>
        <v>0.13289769904719151</v>
      </c>
      <c r="G506" s="28">
        <f t="shared" si="27"/>
        <v>-8.5415142483043383E-2</v>
      </c>
      <c r="H506" s="28">
        <f t="shared" si="27"/>
        <v>-0.638174705324559</v>
      </c>
      <c r="I506" s="28">
        <f t="shared" si="27"/>
        <v>-7.9656945761598763E-2</v>
      </c>
      <c r="J506" s="28">
        <f t="shared" si="27"/>
        <v>0.18833485751702028</v>
      </c>
      <c r="K506" s="28">
        <f t="shared" si="27"/>
        <v>-0.27796295669065785</v>
      </c>
      <c r="L506" s="28">
        <f t="shared" si="27"/>
        <v>-0.25680858510600046</v>
      </c>
      <c r="M506" s="28">
        <f t="shared" si="27"/>
        <v>0.46445276159505511</v>
      </c>
      <c r="N506" s="28">
        <f t="shared" si="27"/>
        <v>0.19853757395105731</v>
      </c>
    </row>
    <row r="507" spans="1:14" x14ac:dyDescent="0.4">
      <c r="A507" s="1">
        <v>36617</v>
      </c>
      <c r="B507" s="28">
        <v>-7.4713905071575937E-2</v>
      </c>
      <c r="C507" s="28">
        <f t="shared" si="27"/>
        <v>0.14020424061777703</v>
      </c>
      <c r="D507" s="28">
        <f t="shared" si="27"/>
        <v>-9.957509145107224E-2</v>
      </c>
      <c r="E507" s="28">
        <f t="shared" si="27"/>
        <v>0.30068458429292377</v>
      </c>
      <c r="F507" s="28">
        <f t="shared" si="27"/>
        <v>0.19851928374652061</v>
      </c>
      <c r="G507" s="28">
        <f t="shared" si="27"/>
        <v>0.13289769904719151</v>
      </c>
      <c r="H507" s="28">
        <f t="shared" si="27"/>
        <v>-8.5415142483043383E-2</v>
      </c>
      <c r="I507" s="28">
        <f t="shared" si="27"/>
        <v>-0.638174705324559</v>
      </c>
      <c r="J507" s="28">
        <f t="shared" si="27"/>
        <v>-7.9656945761598763E-2</v>
      </c>
      <c r="K507" s="28">
        <f t="shared" si="27"/>
        <v>0.18833485751702028</v>
      </c>
      <c r="L507" s="28">
        <f t="shared" si="27"/>
        <v>-0.27796295669065785</v>
      </c>
      <c r="M507" s="28">
        <f t="shared" si="27"/>
        <v>-0.25680858510600046</v>
      </c>
      <c r="N507" s="28">
        <f t="shared" si="27"/>
        <v>0.46445276159505511</v>
      </c>
    </row>
    <row r="508" spans="1:14" x14ac:dyDescent="0.4">
      <c r="A508" s="1">
        <v>36647</v>
      </c>
      <c r="B508" s="28">
        <v>-0.53139191843933986</v>
      </c>
      <c r="C508" s="28">
        <f t="shared" si="27"/>
        <v>-7.4713905071575937E-2</v>
      </c>
      <c r="D508" s="28">
        <f t="shared" si="27"/>
        <v>0.14020424061777703</v>
      </c>
      <c r="E508" s="28">
        <f t="shared" si="27"/>
        <v>-9.957509145107224E-2</v>
      </c>
      <c r="F508" s="28">
        <f t="shared" si="27"/>
        <v>0.30068458429292377</v>
      </c>
      <c r="G508" s="28">
        <f t="shared" si="27"/>
        <v>0.19851928374652061</v>
      </c>
      <c r="H508" s="28">
        <f t="shared" si="27"/>
        <v>0.13289769904719151</v>
      </c>
      <c r="I508" s="28">
        <f t="shared" si="27"/>
        <v>-8.5415142483043383E-2</v>
      </c>
      <c r="J508" s="28">
        <f t="shared" si="27"/>
        <v>-0.638174705324559</v>
      </c>
      <c r="K508" s="28">
        <f t="shared" si="27"/>
        <v>-7.9656945761598763E-2</v>
      </c>
      <c r="L508" s="28">
        <f t="shared" si="27"/>
        <v>0.18833485751702028</v>
      </c>
      <c r="M508" s="28">
        <f t="shared" si="27"/>
        <v>-0.27796295669065785</v>
      </c>
      <c r="N508" s="28">
        <f t="shared" si="27"/>
        <v>-0.25680858510600046</v>
      </c>
    </row>
    <row r="509" spans="1:14" x14ac:dyDescent="0.4">
      <c r="A509" s="1">
        <v>36678</v>
      </c>
      <c r="B509" s="28">
        <v>-7.9212956690639658E-2</v>
      </c>
      <c r="C509" s="28">
        <f t="shared" si="27"/>
        <v>-0.53139191843933986</v>
      </c>
      <c r="D509" s="28">
        <f t="shared" si="27"/>
        <v>-7.4713905071575937E-2</v>
      </c>
      <c r="E509" s="28">
        <f t="shared" si="27"/>
        <v>0.14020424061777703</v>
      </c>
      <c r="F509" s="28">
        <f t="shared" si="27"/>
        <v>-9.957509145107224E-2</v>
      </c>
      <c r="G509" s="28">
        <f t="shared" si="27"/>
        <v>0.30068458429292377</v>
      </c>
      <c r="H509" s="28">
        <f t="shared" si="27"/>
        <v>0.19851928374652061</v>
      </c>
      <c r="I509" s="28">
        <f t="shared" si="27"/>
        <v>0.13289769904719151</v>
      </c>
      <c r="J509" s="28">
        <f t="shared" si="27"/>
        <v>-8.5415142483043383E-2</v>
      </c>
      <c r="K509" s="28">
        <f t="shared" si="27"/>
        <v>-0.638174705324559</v>
      </c>
      <c r="L509" s="28">
        <f t="shared" si="27"/>
        <v>-7.9656945761598763E-2</v>
      </c>
      <c r="M509" s="28">
        <f t="shared" si="27"/>
        <v>0.18833485751702028</v>
      </c>
      <c r="N509" s="28">
        <f t="shared" si="27"/>
        <v>-0.27796295669065785</v>
      </c>
    </row>
    <row r="510" spans="1:14" x14ac:dyDescent="0.4">
      <c r="A510" s="1">
        <v>36708</v>
      </c>
      <c r="B510" s="28">
        <v>-0.12958180914966988</v>
      </c>
      <c r="C510" s="28">
        <f t="shared" si="27"/>
        <v>-7.9212956690639658E-2</v>
      </c>
      <c r="D510" s="28">
        <f t="shared" si="27"/>
        <v>-0.53139191843933986</v>
      </c>
      <c r="E510" s="28">
        <f t="shared" si="27"/>
        <v>-7.4713905071575937E-2</v>
      </c>
      <c r="F510" s="28">
        <f t="shared" si="27"/>
        <v>0.14020424061777703</v>
      </c>
      <c r="G510" s="28">
        <f t="shared" si="27"/>
        <v>-9.957509145107224E-2</v>
      </c>
      <c r="H510" s="28">
        <f t="shared" si="27"/>
        <v>0.30068458429292377</v>
      </c>
      <c r="I510" s="28">
        <f t="shared" si="27"/>
        <v>0.19851928374652061</v>
      </c>
      <c r="J510" s="28">
        <f t="shared" si="27"/>
        <v>0.13289769904719151</v>
      </c>
      <c r="K510" s="28">
        <f t="shared" si="27"/>
        <v>-8.5415142483043383E-2</v>
      </c>
      <c r="L510" s="28">
        <f t="shared" si="27"/>
        <v>-0.638174705324559</v>
      </c>
      <c r="M510" s="28">
        <f t="shared" si="27"/>
        <v>-7.9656945761598763E-2</v>
      </c>
      <c r="N510" s="28">
        <f t="shared" si="27"/>
        <v>0.18833485751702028</v>
      </c>
    </row>
    <row r="511" spans="1:14" x14ac:dyDescent="0.4">
      <c r="A511" s="1">
        <v>36739</v>
      </c>
      <c r="B511" s="28">
        <v>-0.12424027909491997</v>
      </c>
      <c r="C511" s="28">
        <f t="shared" si="27"/>
        <v>-0.12958180914966988</v>
      </c>
      <c r="D511" s="28">
        <f t="shared" si="27"/>
        <v>-7.9212956690639658E-2</v>
      </c>
      <c r="E511" s="28">
        <f t="shared" si="27"/>
        <v>-0.53139191843933986</v>
      </c>
      <c r="F511" s="28">
        <f t="shared" si="27"/>
        <v>-7.4713905071575937E-2</v>
      </c>
      <c r="G511" s="28">
        <f t="shared" si="27"/>
        <v>0.14020424061777703</v>
      </c>
      <c r="H511" s="28">
        <f t="shared" si="27"/>
        <v>-9.957509145107224E-2</v>
      </c>
      <c r="I511" s="28">
        <f t="shared" si="27"/>
        <v>0.30068458429292377</v>
      </c>
      <c r="J511" s="28">
        <f t="shared" si="27"/>
        <v>0.19851928374652061</v>
      </c>
      <c r="K511" s="28">
        <f t="shared" si="27"/>
        <v>0.13289769904719151</v>
      </c>
      <c r="L511" s="28">
        <f t="shared" si="27"/>
        <v>-8.5415142483043383E-2</v>
      </c>
      <c r="M511" s="28">
        <f t="shared" si="27"/>
        <v>-0.638174705324559</v>
      </c>
      <c r="N511" s="28">
        <f t="shared" si="27"/>
        <v>-7.9656945761598763E-2</v>
      </c>
    </row>
    <row r="512" spans="1:14" x14ac:dyDescent="0.4">
      <c r="A512" s="1">
        <v>36770</v>
      </c>
      <c r="B512" s="28">
        <v>1.8075294675497844E-2</v>
      </c>
      <c r="C512" s="28">
        <f t="shared" si="27"/>
        <v>-0.12424027909491997</v>
      </c>
      <c r="D512" s="28">
        <f t="shared" si="27"/>
        <v>-0.12958180914966988</v>
      </c>
      <c r="E512" s="28">
        <f t="shared" si="27"/>
        <v>-7.9212956690639658E-2</v>
      </c>
      <c r="F512" s="28">
        <f t="shared" si="27"/>
        <v>-0.53139191843933986</v>
      </c>
      <c r="G512" s="28">
        <f t="shared" si="27"/>
        <v>-7.4713905071575937E-2</v>
      </c>
      <c r="H512" s="28">
        <f t="shared" si="27"/>
        <v>0.14020424061777703</v>
      </c>
      <c r="I512" s="28">
        <f t="shared" si="27"/>
        <v>-9.957509145107224E-2</v>
      </c>
      <c r="J512" s="28">
        <f t="shared" si="27"/>
        <v>0.30068458429292377</v>
      </c>
      <c r="K512" s="28">
        <f t="shared" si="27"/>
        <v>0.19851928374652061</v>
      </c>
      <c r="L512" s="28">
        <f t="shared" si="27"/>
        <v>0.13289769904719151</v>
      </c>
      <c r="M512" s="28">
        <f t="shared" si="27"/>
        <v>-8.5415142483043383E-2</v>
      </c>
      <c r="N512" s="28">
        <f t="shared" si="27"/>
        <v>-0.638174705324559</v>
      </c>
    </row>
    <row r="513" spans="1:14" x14ac:dyDescent="0.4">
      <c r="A513" s="1">
        <v>36800</v>
      </c>
      <c r="B513" s="28">
        <v>0.13375152418370817</v>
      </c>
      <c r="C513" s="28">
        <f t="shared" si="27"/>
        <v>1.8075294675497844E-2</v>
      </c>
      <c r="D513" s="28">
        <f t="shared" si="27"/>
        <v>-0.12424027909491997</v>
      </c>
      <c r="E513" s="28">
        <f t="shared" si="27"/>
        <v>-0.12958180914966988</v>
      </c>
      <c r="F513" s="28">
        <f t="shared" si="27"/>
        <v>-7.9212956690639658E-2</v>
      </c>
      <c r="G513" s="28">
        <f t="shared" si="27"/>
        <v>-0.53139191843933986</v>
      </c>
      <c r="H513" s="28">
        <f t="shared" si="27"/>
        <v>-7.4713905071575937E-2</v>
      </c>
      <c r="I513" s="28">
        <f t="shared" si="27"/>
        <v>0.14020424061777703</v>
      </c>
      <c r="J513" s="28">
        <f t="shared" si="27"/>
        <v>-9.957509145107224E-2</v>
      </c>
      <c r="K513" s="28">
        <f t="shared" si="27"/>
        <v>0.30068458429292377</v>
      </c>
      <c r="L513" s="28">
        <f t="shared" si="27"/>
        <v>0.19851928374652061</v>
      </c>
      <c r="M513" s="28">
        <f t="shared" si="27"/>
        <v>0.13289769904719151</v>
      </c>
      <c r="N513" s="28">
        <f t="shared" si="27"/>
        <v>-8.5415142483043383E-2</v>
      </c>
    </row>
    <row r="514" spans="1:14" x14ac:dyDescent="0.4">
      <c r="A514" s="1">
        <v>36831</v>
      </c>
      <c r="B514" s="28">
        <v>0.27706436571384074</v>
      </c>
      <c r="C514" s="28">
        <f t="shared" si="27"/>
        <v>0.13375152418370817</v>
      </c>
      <c r="D514" s="28">
        <f t="shared" si="27"/>
        <v>1.8075294675497844E-2</v>
      </c>
      <c r="E514" s="28">
        <f t="shared" si="27"/>
        <v>-0.12424027909491997</v>
      </c>
      <c r="F514" s="28">
        <f t="shared" si="27"/>
        <v>-0.12958180914966988</v>
      </c>
      <c r="G514" s="28">
        <f t="shared" si="27"/>
        <v>-7.9212956690639658E-2</v>
      </c>
      <c r="H514" s="28">
        <f t="shared" si="27"/>
        <v>-0.53139191843933986</v>
      </c>
      <c r="I514" s="28">
        <f t="shared" si="27"/>
        <v>-7.4713905071575937E-2</v>
      </c>
      <c r="J514" s="28">
        <f t="shared" si="27"/>
        <v>0.14020424061777703</v>
      </c>
      <c r="K514" s="28">
        <f t="shared" si="27"/>
        <v>-9.957509145107224E-2</v>
      </c>
      <c r="L514" s="28">
        <f t="shared" si="27"/>
        <v>0.30068458429292377</v>
      </c>
      <c r="M514" s="28">
        <f t="shared" si="27"/>
        <v>0.19851928374652061</v>
      </c>
      <c r="N514" s="28">
        <f t="shared" si="27"/>
        <v>0.13289769904719151</v>
      </c>
    </row>
    <row r="515" spans="1:14" x14ac:dyDescent="0.4">
      <c r="A515" s="1">
        <v>36861</v>
      </c>
      <c r="B515" s="28">
        <v>0.18435261707986683</v>
      </c>
      <c r="C515" s="28">
        <f t="shared" si="27"/>
        <v>0.27706436571384074</v>
      </c>
      <c r="D515" s="28">
        <f t="shared" si="27"/>
        <v>0.13375152418370817</v>
      </c>
      <c r="E515" s="28">
        <f t="shared" si="27"/>
        <v>1.8075294675497844E-2</v>
      </c>
      <c r="F515" s="28">
        <f t="shared" si="27"/>
        <v>-0.12424027909491997</v>
      </c>
      <c r="G515" s="28">
        <f t="shared" si="27"/>
        <v>-0.12958180914966988</v>
      </c>
      <c r="H515" s="28">
        <f t="shared" si="27"/>
        <v>-7.9212956690639658E-2</v>
      </c>
      <c r="I515" s="28">
        <f t="shared" si="27"/>
        <v>-0.53139191843933986</v>
      </c>
      <c r="J515" s="28">
        <f t="shared" si="27"/>
        <v>-7.4713905071575937E-2</v>
      </c>
      <c r="K515" s="28">
        <f t="shared" si="27"/>
        <v>0.14020424061777703</v>
      </c>
      <c r="L515" s="28">
        <f t="shared" si="27"/>
        <v>-9.957509145107224E-2</v>
      </c>
      <c r="M515" s="28">
        <f t="shared" si="27"/>
        <v>0.30068458429292377</v>
      </c>
      <c r="N515" s="28">
        <f t="shared" si="27"/>
        <v>0.19851928374652061</v>
      </c>
    </row>
    <row r="516" spans="1:14" x14ac:dyDescent="0.4">
      <c r="A516" s="1">
        <v>36892</v>
      </c>
      <c r="B516" s="28">
        <v>-0.1322320823736618</v>
      </c>
      <c r="C516" s="28">
        <f t="shared" si="27"/>
        <v>0.18435261707986683</v>
      </c>
      <c r="D516" s="28">
        <f t="shared" si="27"/>
        <v>0.27706436571384074</v>
      </c>
      <c r="E516" s="28">
        <f t="shared" si="27"/>
        <v>0.13375152418370817</v>
      </c>
      <c r="F516" s="28">
        <f t="shared" si="27"/>
        <v>1.8075294675497844E-2</v>
      </c>
      <c r="G516" s="28">
        <f t="shared" si="27"/>
        <v>-0.12424027909491997</v>
      </c>
      <c r="H516" s="28">
        <f t="shared" si="27"/>
        <v>-0.12958180914966988</v>
      </c>
      <c r="I516" s="28">
        <f t="shared" si="27"/>
        <v>-7.9212956690639658E-2</v>
      </c>
      <c r="J516" s="28">
        <f t="shared" si="27"/>
        <v>-0.53139191843933986</v>
      </c>
      <c r="K516" s="28">
        <f t="shared" si="27"/>
        <v>-7.4713905071575937E-2</v>
      </c>
      <c r="L516" s="28">
        <f t="shared" si="27"/>
        <v>0.14020424061777703</v>
      </c>
      <c r="M516" s="28">
        <f t="shared" si="27"/>
        <v>-9.957509145107224E-2</v>
      </c>
      <c r="N516" s="28">
        <f t="shared" si="27"/>
        <v>0.30068458429292377</v>
      </c>
    </row>
    <row r="517" spans="1:14" x14ac:dyDescent="0.4">
      <c r="A517" s="1">
        <v>36923</v>
      </c>
      <c r="B517" s="28">
        <v>0.33042490854899143</v>
      </c>
      <c r="C517" s="28">
        <f t="shared" si="27"/>
        <v>-0.1322320823736618</v>
      </c>
      <c r="D517" s="28">
        <f t="shared" si="27"/>
        <v>0.18435261707986683</v>
      </c>
      <c r="E517" s="28">
        <f t="shared" si="27"/>
        <v>0.27706436571384074</v>
      </c>
      <c r="F517" s="28">
        <f t="shared" si="27"/>
        <v>0.13375152418370817</v>
      </c>
      <c r="G517" s="28">
        <f t="shared" si="27"/>
        <v>1.8075294675497844E-2</v>
      </c>
      <c r="H517" s="28">
        <f t="shared" si="27"/>
        <v>-0.12424027909491997</v>
      </c>
      <c r="I517" s="28">
        <f t="shared" si="27"/>
        <v>-0.12958180914966988</v>
      </c>
      <c r="J517" s="28">
        <f t="shared" si="27"/>
        <v>-7.9212956690639658E-2</v>
      </c>
      <c r="K517" s="28">
        <f t="shared" si="27"/>
        <v>-0.53139191843933986</v>
      </c>
      <c r="L517" s="28">
        <f t="shared" si="27"/>
        <v>-7.4713905071575937E-2</v>
      </c>
      <c r="M517" s="28">
        <f t="shared" si="27"/>
        <v>0.14020424061777703</v>
      </c>
      <c r="N517" s="28">
        <f t="shared" si="27"/>
        <v>-9.957509145107224E-2</v>
      </c>
    </row>
    <row r="518" spans="1:14" x14ac:dyDescent="0.4">
      <c r="A518" s="1">
        <v>36951</v>
      </c>
      <c r="B518" s="28">
        <v>0.15687090728442854</v>
      </c>
      <c r="C518" s="28">
        <f t="shared" si="27"/>
        <v>0.33042490854899143</v>
      </c>
      <c r="D518" s="28">
        <f t="shared" si="27"/>
        <v>-0.1322320823736618</v>
      </c>
      <c r="E518" s="28">
        <f t="shared" si="27"/>
        <v>0.18435261707986683</v>
      </c>
      <c r="F518" s="28">
        <f t="shared" si="27"/>
        <v>0.27706436571384074</v>
      </c>
      <c r="G518" s="28">
        <f t="shared" si="27"/>
        <v>0.13375152418370817</v>
      </c>
      <c r="H518" s="28">
        <f t="shared" si="27"/>
        <v>1.8075294675497844E-2</v>
      </c>
      <c r="I518" s="28">
        <f t="shared" si="27"/>
        <v>-0.12424027909491997</v>
      </c>
      <c r="J518" s="28">
        <f t="shared" si="27"/>
        <v>-0.12958180914966988</v>
      </c>
      <c r="K518" s="28">
        <f t="shared" si="27"/>
        <v>-7.9212956690639658E-2</v>
      </c>
      <c r="L518" s="28">
        <f t="shared" si="27"/>
        <v>-0.53139191843933986</v>
      </c>
      <c r="M518" s="28">
        <f t="shared" si="27"/>
        <v>-7.4713905071575937E-2</v>
      </c>
      <c r="N518" s="28">
        <f t="shared" si="27"/>
        <v>0.14020424061777703</v>
      </c>
    </row>
    <row r="519" spans="1:14" x14ac:dyDescent="0.4">
      <c r="A519" s="1">
        <v>36982</v>
      </c>
      <c r="B519" s="28">
        <v>-0.43138057173825928</v>
      </c>
      <c r="C519" s="28">
        <f t="shared" si="27"/>
        <v>0.15687090728442854</v>
      </c>
      <c r="D519" s="28">
        <f t="shared" si="27"/>
        <v>0.33042490854899143</v>
      </c>
      <c r="E519" s="28">
        <f t="shared" si="27"/>
        <v>-0.1322320823736618</v>
      </c>
      <c r="F519" s="28">
        <f t="shared" si="27"/>
        <v>0.18435261707986683</v>
      </c>
      <c r="G519" s="28">
        <f t="shared" si="27"/>
        <v>0.27706436571384074</v>
      </c>
      <c r="H519" s="28">
        <f t="shared" si="27"/>
        <v>0.13375152418370817</v>
      </c>
      <c r="I519" s="28">
        <f t="shared" si="27"/>
        <v>1.8075294675497844E-2</v>
      </c>
      <c r="J519" s="28">
        <f t="shared" si="27"/>
        <v>-0.12424027909491997</v>
      </c>
      <c r="K519" s="28">
        <f t="shared" si="27"/>
        <v>-0.12958180914966988</v>
      </c>
      <c r="L519" s="28">
        <f t="shared" si="27"/>
        <v>-7.9212956690639658E-2</v>
      </c>
      <c r="M519" s="28">
        <f t="shared" si="27"/>
        <v>-0.53139191843933986</v>
      </c>
      <c r="N519" s="28">
        <f t="shared" si="27"/>
        <v>-7.4713905071575937E-2</v>
      </c>
    </row>
    <row r="520" spans="1:14" x14ac:dyDescent="0.4">
      <c r="A520" s="1">
        <v>37012</v>
      </c>
      <c r="B520" s="28">
        <v>0.12110808156069197</v>
      </c>
      <c r="C520" s="28">
        <f t="shared" si="27"/>
        <v>-0.43138057173825928</v>
      </c>
      <c r="D520" s="28">
        <f t="shared" si="27"/>
        <v>0.15687090728442854</v>
      </c>
      <c r="E520" s="28">
        <f t="shared" si="27"/>
        <v>0.33042490854899143</v>
      </c>
      <c r="F520" s="28">
        <f t="shared" si="27"/>
        <v>-0.1322320823736618</v>
      </c>
      <c r="G520" s="28">
        <f t="shared" si="27"/>
        <v>0.18435261707986683</v>
      </c>
      <c r="H520" s="28">
        <f t="shared" si="27"/>
        <v>0.27706436571384074</v>
      </c>
      <c r="I520" s="28">
        <f t="shared" si="27"/>
        <v>0.13375152418370817</v>
      </c>
      <c r="J520" s="28">
        <f t="shared" si="27"/>
        <v>1.8075294675497844E-2</v>
      </c>
      <c r="K520" s="28">
        <f t="shared" si="27"/>
        <v>-0.12424027909491997</v>
      </c>
      <c r="L520" s="28">
        <f t="shared" si="27"/>
        <v>-0.12958180914966988</v>
      </c>
      <c r="M520" s="28">
        <f t="shared" si="27"/>
        <v>-7.9212956690639658E-2</v>
      </c>
      <c r="N520" s="28">
        <f t="shared" si="27"/>
        <v>-0.53139191843933986</v>
      </c>
    </row>
    <row r="521" spans="1:14" x14ac:dyDescent="0.4">
      <c r="A521" s="1">
        <v>37043</v>
      </c>
      <c r="B521" s="28">
        <v>4.1203766426747279E-3</v>
      </c>
      <c r="C521" s="28">
        <f t="shared" si="27"/>
        <v>0.12110808156069197</v>
      </c>
      <c r="D521" s="28">
        <f t="shared" si="27"/>
        <v>-0.43138057173825928</v>
      </c>
      <c r="E521" s="28">
        <f t="shared" si="27"/>
        <v>0.15687090728442854</v>
      </c>
      <c r="F521" s="28">
        <f t="shared" si="27"/>
        <v>0.33042490854899143</v>
      </c>
      <c r="G521" s="28">
        <f t="shared" si="27"/>
        <v>-0.1322320823736618</v>
      </c>
      <c r="H521" s="28">
        <f t="shared" si="27"/>
        <v>0.18435261707986683</v>
      </c>
      <c r="I521" s="28">
        <f t="shared" si="27"/>
        <v>0.27706436571384074</v>
      </c>
      <c r="J521" s="28">
        <f t="shared" si="27"/>
        <v>0.13375152418370817</v>
      </c>
      <c r="K521" s="28">
        <f t="shared" si="27"/>
        <v>1.8075294675497844E-2</v>
      </c>
      <c r="L521" s="28">
        <f t="shared" si="27"/>
        <v>-0.12424027909491997</v>
      </c>
      <c r="M521" s="28">
        <f t="shared" si="27"/>
        <v>-0.12958180914966988</v>
      </c>
      <c r="N521" s="28">
        <f t="shared" si="27"/>
        <v>-7.9212956690639658E-2</v>
      </c>
    </row>
    <row r="522" spans="1:14" x14ac:dyDescent="0.4">
      <c r="A522" s="1">
        <v>37073</v>
      </c>
      <c r="B522" s="28">
        <v>-0.21708180914964714</v>
      </c>
      <c r="C522" s="28">
        <f t="shared" si="27"/>
        <v>4.1203766426747279E-3</v>
      </c>
      <c r="D522" s="28">
        <f t="shared" si="27"/>
        <v>0.12110808156069197</v>
      </c>
      <c r="E522" s="28">
        <f t="shared" si="27"/>
        <v>-0.43138057173825928</v>
      </c>
      <c r="F522" s="28">
        <f t="shared" si="27"/>
        <v>0.15687090728442854</v>
      </c>
      <c r="G522" s="28">
        <f t="shared" si="27"/>
        <v>0.33042490854899143</v>
      </c>
      <c r="H522" s="28">
        <f t="shared" si="27"/>
        <v>-0.1322320823736618</v>
      </c>
      <c r="I522" s="28">
        <f t="shared" si="27"/>
        <v>0.18435261707986683</v>
      </c>
      <c r="J522" s="28">
        <f t="shared" si="27"/>
        <v>0.27706436571384074</v>
      </c>
      <c r="K522" s="28">
        <f t="shared" si="27"/>
        <v>0.13375152418370817</v>
      </c>
      <c r="L522" s="28">
        <f t="shared" si="27"/>
        <v>1.8075294675497844E-2</v>
      </c>
      <c r="M522" s="28">
        <f t="shared" si="27"/>
        <v>-0.12424027909491997</v>
      </c>
      <c r="N522" s="28">
        <f t="shared" si="27"/>
        <v>-0.12958180914966988</v>
      </c>
    </row>
    <row r="523" spans="1:14" x14ac:dyDescent="0.4">
      <c r="A523" s="1">
        <v>37104</v>
      </c>
      <c r="B523" s="28">
        <v>-0.30507361242831621</v>
      </c>
      <c r="C523" s="28">
        <f t="shared" ref="C523:N586" si="28">IF(B522=0,"",B522)</f>
        <v>-0.21708180914964714</v>
      </c>
      <c r="D523" s="28">
        <f t="shared" si="28"/>
        <v>4.1203766426747279E-3</v>
      </c>
      <c r="E523" s="28">
        <f t="shared" si="28"/>
        <v>0.12110808156069197</v>
      </c>
      <c r="F523" s="28">
        <f t="shared" si="28"/>
        <v>-0.43138057173825928</v>
      </c>
      <c r="G523" s="28">
        <f t="shared" si="28"/>
        <v>0.15687090728442854</v>
      </c>
      <c r="H523" s="28">
        <f t="shared" si="28"/>
        <v>0.33042490854899143</v>
      </c>
      <c r="I523" s="28">
        <f t="shared" si="28"/>
        <v>-0.1322320823736618</v>
      </c>
      <c r="J523" s="28">
        <f t="shared" si="28"/>
        <v>0.18435261707986683</v>
      </c>
      <c r="K523" s="28">
        <f t="shared" si="28"/>
        <v>0.27706436571384074</v>
      </c>
      <c r="L523" s="28">
        <f t="shared" si="28"/>
        <v>0.13375152418370817</v>
      </c>
      <c r="M523" s="28">
        <f t="shared" si="28"/>
        <v>1.8075294675497844E-2</v>
      </c>
      <c r="N523" s="28">
        <f t="shared" si="28"/>
        <v>-0.12424027909491997</v>
      </c>
    </row>
    <row r="524" spans="1:14" x14ac:dyDescent="0.4">
      <c r="A524" s="1">
        <v>37135</v>
      </c>
      <c r="B524" s="28">
        <v>-0.22484137199114684</v>
      </c>
      <c r="C524" s="28">
        <f t="shared" si="28"/>
        <v>-0.30507361242831621</v>
      </c>
      <c r="D524" s="28">
        <f t="shared" si="28"/>
        <v>-0.21708180914964714</v>
      </c>
      <c r="E524" s="28">
        <f t="shared" si="28"/>
        <v>4.1203766426747279E-3</v>
      </c>
      <c r="F524" s="28">
        <f t="shared" si="28"/>
        <v>0.12110808156069197</v>
      </c>
      <c r="G524" s="28">
        <f t="shared" si="28"/>
        <v>-0.43138057173825928</v>
      </c>
      <c r="H524" s="28">
        <f t="shared" si="28"/>
        <v>0.15687090728442854</v>
      </c>
      <c r="I524" s="28">
        <f t="shared" si="28"/>
        <v>0.33042490854899143</v>
      </c>
      <c r="J524" s="28">
        <f t="shared" si="28"/>
        <v>-0.1322320823736618</v>
      </c>
      <c r="K524" s="28">
        <f t="shared" si="28"/>
        <v>0.18435261707986683</v>
      </c>
      <c r="L524" s="28">
        <f t="shared" si="28"/>
        <v>0.27706436571384074</v>
      </c>
      <c r="M524" s="28">
        <f t="shared" si="28"/>
        <v>0.13375152418370817</v>
      </c>
      <c r="N524" s="28">
        <f t="shared" si="28"/>
        <v>1.8075294675497844E-2</v>
      </c>
    </row>
    <row r="525" spans="1:14" x14ac:dyDescent="0.4">
      <c r="A525" s="1">
        <v>37165</v>
      </c>
      <c r="B525" s="28">
        <v>-0.11333180914965624</v>
      </c>
      <c r="C525" s="28">
        <f t="shared" si="28"/>
        <v>-0.22484137199114684</v>
      </c>
      <c r="D525" s="28">
        <f t="shared" si="28"/>
        <v>-0.30507361242831621</v>
      </c>
      <c r="E525" s="28">
        <f t="shared" si="28"/>
        <v>-0.21708180914964714</v>
      </c>
      <c r="F525" s="28">
        <f t="shared" si="28"/>
        <v>4.1203766426747279E-3</v>
      </c>
      <c r="G525" s="28">
        <f t="shared" si="28"/>
        <v>0.12110808156069197</v>
      </c>
      <c r="H525" s="28">
        <f t="shared" si="28"/>
        <v>-0.43138057173825928</v>
      </c>
      <c r="I525" s="28">
        <f t="shared" si="28"/>
        <v>0.15687090728442854</v>
      </c>
      <c r="J525" s="28">
        <f t="shared" si="28"/>
        <v>0.33042490854899143</v>
      </c>
      <c r="K525" s="28">
        <f t="shared" si="28"/>
        <v>-0.1322320823736618</v>
      </c>
      <c r="L525" s="28">
        <f t="shared" si="28"/>
        <v>0.18435261707986683</v>
      </c>
      <c r="M525" s="28">
        <f t="shared" si="28"/>
        <v>0.27706436571384074</v>
      </c>
      <c r="N525" s="28">
        <f t="shared" si="28"/>
        <v>0.13375152418370817</v>
      </c>
    </row>
    <row r="526" spans="1:14" x14ac:dyDescent="0.4">
      <c r="A526" s="1">
        <v>37196</v>
      </c>
      <c r="B526" s="28">
        <v>5.4564365713815732E-2</v>
      </c>
      <c r="C526" s="28">
        <f t="shared" si="28"/>
        <v>-0.11333180914965624</v>
      </c>
      <c r="D526" s="28">
        <f t="shared" si="28"/>
        <v>-0.22484137199114684</v>
      </c>
      <c r="E526" s="28">
        <f t="shared" si="28"/>
        <v>-0.30507361242831621</v>
      </c>
      <c r="F526" s="28">
        <f t="shared" si="28"/>
        <v>-0.21708180914964714</v>
      </c>
      <c r="G526" s="28">
        <f t="shared" si="28"/>
        <v>4.1203766426747279E-3</v>
      </c>
      <c r="H526" s="28">
        <f t="shared" si="28"/>
        <v>0.12110808156069197</v>
      </c>
      <c r="I526" s="28">
        <f t="shared" si="28"/>
        <v>-0.43138057173825928</v>
      </c>
      <c r="J526" s="28">
        <f t="shared" si="28"/>
        <v>0.15687090728442854</v>
      </c>
      <c r="K526" s="28">
        <f t="shared" si="28"/>
        <v>0.33042490854899143</v>
      </c>
      <c r="L526" s="28">
        <f t="shared" si="28"/>
        <v>-0.1322320823736618</v>
      </c>
      <c r="M526" s="28">
        <f t="shared" si="28"/>
        <v>0.18435261707986683</v>
      </c>
      <c r="N526" s="28">
        <f t="shared" si="28"/>
        <v>0.27706436571384074</v>
      </c>
    </row>
    <row r="527" spans="1:14" x14ac:dyDescent="0.4">
      <c r="A527" s="1">
        <v>37226</v>
      </c>
      <c r="B527" s="28">
        <v>0.29976928374662748</v>
      </c>
      <c r="C527" s="28">
        <f t="shared" si="28"/>
        <v>5.4564365713815732E-2</v>
      </c>
      <c r="D527" s="28">
        <f t="shared" si="28"/>
        <v>-0.11333180914965624</v>
      </c>
      <c r="E527" s="28">
        <f t="shared" si="28"/>
        <v>-0.22484137199114684</v>
      </c>
      <c r="F527" s="28">
        <f t="shared" si="28"/>
        <v>-0.30507361242831621</v>
      </c>
      <c r="G527" s="28">
        <f t="shared" si="28"/>
        <v>-0.21708180914964714</v>
      </c>
      <c r="H527" s="28">
        <f t="shared" si="28"/>
        <v>4.1203766426747279E-3</v>
      </c>
      <c r="I527" s="28">
        <f t="shared" si="28"/>
        <v>0.12110808156069197</v>
      </c>
      <c r="J527" s="28">
        <f t="shared" si="28"/>
        <v>-0.43138057173825928</v>
      </c>
      <c r="K527" s="28">
        <f t="shared" si="28"/>
        <v>0.15687090728442854</v>
      </c>
      <c r="L527" s="28">
        <f t="shared" si="28"/>
        <v>0.33042490854899143</v>
      </c>
      <c r="M527" s="28">
        <f t="shared" si="28"/>
        <v>-0.1322320823736618</v>
      </c>
      <c r="N527" s="28">
        <f t="shared" si="28"/>
        <v>0.18435261707986683</v>
      </c>
    </row>
    <row r="528" spans="1:14" x14ac:dyDescent="0.4">
      <c r="A528" s="1">
        <v>37257</v>
      </c>
      <c r="B528" s="28">
        <v>0.3661012509597299</v>
      </c>
      <c r="C528" s="28">
        <f t="shared" si="28"/>
        <v>0.29976928374662748</v>
      </c>
      <c r="D528" s="28">
        <f t="shared" si="28"/>
        <v>5.4564365713815732E-2</v>
      </c>
      <c r="E528" s="28">
        <f t="shared" si="28"/>
        <v>-0.11333180914965624</v>
      </c>
      <c r="F528" s="28">
        <f t="shared" si="28"/>
        <v>-0.22484137199114684</v>
      </c>
      <c r="G528" s="28">
        <f t="shared" si="28"/>
        <v>-0.30507361242831621</v>
      </c>
      <c r="H528" s="28">
        <f t="shared" si="28"/>
        <v>-0.21708180914964714</v>
      </c>
      <c r="I528" s="28">
        <f t="shared" si="28"/>
        <v>4.1203766426747279E-3</v>
      </c>
      <c r="J528" s="28">
        <f t="shared" si="28"/>
        <v>0.12110808156069197</v>
      </c>
      <c r="K528" s="28">
        <f t="shared" si="28"/>
        <v>-0.43138057173825928</v>
      </c>
      <c r="L528" s="28">
        <f t="shared" si="28"/>
        <v>0.15687090728442854</v>
      </c>
      <c r="M528" s="28">
        <f t="shared" si="28"/>
        <v>0.33042490854899143</v>
      </c>
      <c r="N528" s="28">
        <f t="shared" si="28"/>
        <v>-0.1322320823736618</v>
      </c>
    </row>
    <row r="529" spans="1:14" x14ac:dyDescent="0.4">
      <c r="A529" s="1">
        <v>37288</v>
      </c>
      <c r="B529" s="28">
        <v>0.19042490854900507</v>
      </c>
      <c r="C529" s="28">
        <f t="shared" si="28"/>
        <v>0.3661012509597299</v>
      </c>
      <c r="D529" s="28">
        <f t="shared" si="28"/>
        <v>0.29976928374662748</v>
      </c>
      <c r="E529" s="28">
        <f t="shared" si="28"/>
        <v>5.4564365713815732E-2</v>
      </c>
      <c r="F529" s="28">
        <f t="shared" si="28"/>
        <v>-0.11333180914965624</v>
      </c>
      <c r="G529" s="28">
        <f t="shared" si="28"/>
        <v>-0.22484137199114684</v>
      </c>
      <c r="H529" s="28">
        <f t="shared" si="28"/>
        <v>-0.30507361242831621</v>
      </c>
      <c r="I529" s="28">
        <f t="shared" si="28"/>
        <v>-0.21708180914964714</v>
      </c>
      <c r="J529" s="28">
        <f t="shared" si="28"/>
        <v>4.1203766426747279E-3</v>
      </c>
      <c r="K529" s="28">
        <f t="shared" si="28"/>
        <v>0.12110808156069197</v>
      </c>
      <c r="L529" s="28">
        <f t="shared" si="28"/>
        <v>-0.43138057173825928</v>
      </c>
      <c r="M529" s="28">
        <f t="shared" si="28"/>
        <v>0.15687090728442854</v>
      </c>
      <c r="N529" s="28">
        <f t="shared" si="28"/>
        <v>0.33042490854899143</v>
      </c>
    </row>
    <row r="530" spans="1:14" x14ac:dyDescent="0.4">
      <c r="A530" s="1">
        <v>37316</v>
      </c>
      <c r="B530" s="28">
        <v>-0.24229575938227299</v>
      </c>
      <c r="C530" s="28">
        <f t="shared" si="28"/>
        <v>0.19042490854900507</v>
      </c>
      <c r="D530" s="28">
        <f t="shared" si="28"/>
        <v>0.3661012509597299</v>
      </c>
      <c r="E530" s="28">
        <f t="shared" si="28"/>
        <v>0.29976928374662748</v>
      </c>
      <c r="F530" s="28">
        <f t="shared" si="28"/>
        <v>5.4564365713815732E-2</v>
      </c>
      <c r="G530" s="28">
        <f t="shared" si="28"/>
        <v>-0.11333180914965624</v>
      </c>
      <c r="H530" s="28">
        <f t="shared" si="28"/>
        <v>-0.22484137199114684</v>
      </c>
      <c r="I530" s="28">
        <f t="shared" si="28"/>
        <v>-0.30507361242831621</v>
      </c>
      <c r="J530" s="28">
        <f t="shared" si="28"/>
        <v>-0.21708180914964714</v>
      </c>
      <c r="K530" s="28">
        <f t="shared" si="28"/>
        <v>4.1203766426747279E-3</v>
      </c>
      <c r="L530" s="28">
        <f t="shared" si="28"/>
        <v>0.12110808156069197</v>
      </c>
      <c r="M530" s="28">
        <f t="shared" si="28"/>
        <v>-0.43138057173825928</v>
      </c>
      <c r="N530" s="28">
        <f t="shared" si="28"/>
        <v>0.15687090728442854</v>
      </c>
    </row>
    <row r="531" spans="1:14" x14ac:dyDescent="0.4">
      <c r="A531" s="1">
        <v>37347</v>
      </c>
      <c r="B531" s="28">
        <v>-0.33221390507156912</v>
      </c>
      <c r="C531" s="28">
        <f t="shared" si="28"/>
        <v>-0.24229575938227299</v>
      </c>
      <c r="D531" s="28">
        <f t="shared" si="28"/>
        <v>0.19042490854900507</v>
      </c>
      <c r="E531" s="28">
        <f t="shared" si="28"/>
        <v>0.3661012509597299</v>
      </c>
      <c r="F531" s="28">
        <f t="shared" si="28"/>
        <v>0.29976928374662748</v>
      </c>
      <c r="G531" s="28">
        <f t="shared" si="28"/>
        <v>5.4564365713815732E-2</v>
      </c>
      <c r="H531" s="28">
        <f t="shared" si="28"/>
        <v>-0.11333180914965624</v>
      </c>
      <c r="I531" s="28">
        <f t="shared" si="28"/>
        <v>-0.22484137199114684</v>
      </c>
      <c r="J531" s="28">
        <f t="shared" si="28"/>
        <v>-0.30507361242831621</v>
      </c>
      <c r="K531" s="28">
        <f t="shared" si="28"/>
        <v>-0.21708180914964714</v>
      </c>
      <c r="L531" s="28">
        <f t="shared" si="28"/>
        <v>4.1203766426747279E-3</v>
      </c>
      <c r="M531" s="28">
        <f t="shared" si="28"/>
        <v>0.12110808156069197</v>
      </c>
      <c r="N531" s="28">
        <f t="shared" si="28"/>
        <v>-0.43138057173825928</v>
      </c>
    </row>
    <row r="532" spans="1:14" x14ac:dyDescent="0.4">
      <c r="A532" s="1">
        <v>37377</v>
      </c>
      <c r="B532" s="28">
        <v>-0.3151419184392239</v>
      </c>
      <c r="C532" s="28">
        <f t="shared" si="28"/>
        <v>-0.33221390507156912</v>
      </c>
      <c r="D532" s="28">
        <f t="shared" si="28"/>
        <v>-0.24229575938227299</v>
      </c>
      <c r="E532" s="28">
        <f t="shared" si="28"/>
        <v>0.19042490854900507</v>
      </c>
      <c r="F532" s="28">
        <f t="shared" si="28"/>
        <v>0.3661012509597299</v>
      </c>
      <c r="G532" s="28">
        <f t="shared" si="28"/>
        <v>0.29976928374662748</v>
      </c>
      <c r="H532" s="28">
        <f t="shared" si="28"/>
        <v>5.4564365713815732E-2</v>
      </c>
      <c r="I532" s="28">
        <f t="shared" si="28"/>
        <v>-0.11333180914965624</v>
      </c>
      <c r="J532" s="28">
        <f t="shared" si="28"/>
        <v>-0.22484137199114684</v>
      </c>
      <c r="K532" s="28">
        <f t="shared" si="28"/>
        <v>-0.30507361242831621</v>
      </c>
      <c r="L532" s="28">
        <f t="shared" si="28"/>
        <v>-0.21708180914964714</v>
      </c>
      <c r="M532" s="28">
        <f t="shared" si="28"/>
        <v>4.1203766426747279E-3</v>
      </c>
      <c r="N532" s="28">
        <f t="shared" si="28"/>
        <v>0.12110808156069197</v>
      </c>
    </row>
    <row r="533" spans="1:14" x14ac:dyDescent="0.4">
      <c r="A533" s="1">
        <v>37408</v>
      </c>
      <c r="B533" s="28">
        <v>5.1620376642745214E-2</v>
      </c>
      <c r="C533" s="28">
        <f t="shared" si="28"/>
        <v>-0.3151419184392239</v>
      </c>
      <c r="D533" s="28">
        <f t="shared" si="28"/>
        <v>-0.33221390507156912</v>
      </c>
      <c r="E533" s="28">
        <f t="shared" si="28"/>
        <v>-0.24229575938227299</v>
      </c>
      <c r="F533" s="28">
        <f t="shared" si="28"/>
        <v>0.19042490854900507</v>
      </c>
      <c r="G533" s="28">
        <f t="shared" si="28"/>
        <v>0.3661012509597299</v>
      </c>
      <c r="H533" s="28">
        <f t="shared" si="28"/>
        <v>0.29976928374662748</v>
      </c>
      <c r="I533" s="28">
        <f t="shared" si="28"/>
        <v>5.4564365713815732E-2</v>
      </c>
      <c r="J533" s="28">
        <f t="shared" si="28"/>
        <v>-0.11333180914965624</v>
      </c>
      <c r="K533" s="28">
        <f t="shared" si="28"/>
        <v>-0.22484137199114684</v>
      </c>
      <c r="L533" s="28">
        <f t="shared" si="28"/>
        <v>-0.30507361242831621</v>
      </c>
      <c r="M533" s="28">
        <f t="shared" si="28"/>
        <v>-0.21708180914964714</v>
      </c>
      <c r="N533" s="28">
        <f t="shared" si="28"/>
        <v>4.1203766426747279E-3</v>
      </c>
    </row>
    <row r="534" spans="1:14" x14ac:dyDescent="0.4">
      <c r="A534" s="1">
        <v>37438</v>
      </c>
      <c r="B534" s="28">
        <v>0.10291819085040288</v>
      </c>
      <c r="C534" s="28">
        <f t="shared" si="28"/>
        <v>5.1620376642745214E-2</v>
      </c>
      <c r="D534" s="28">
        <f t="shared" si="28"/>
        <v>-0.3151419184392239</v>
      </c>
      <c r="E534" s="28">
        <f t="shared" si="28"/>
        <v>-0.33221390507156912</v>
      </c>
      <c r="F534" s="28">
        <f t="shared" si="28"/>
        <v>-0.24229575938227299</v>
      </c>
      <c r="G534" s="28">
        <f t="shared" si="28"/>
        <v>0.19042490854900507</v>
      </c>
      <c r="H534" s="28">
        <f t="shared" si="28"/>
        <v>0.3661012509597299</v>
      </c>
      <c r="I534" s="28">
        <f t="shared" si="28"/>
        <v>0.29976928374662748</v>
      </c>
      <c r="J534" s="28">
        <f t="shared" si="28"/>
        <v>5.4564365713815732E-2</v>
      </c>
      <c r="K534" s="28">
        <f t="shared" si="28"/>
        <v>-0.11333180914965624</v>
      </c>
      <c r="L534" s="28">
        <f t="shared" si="28"/>
        <v>-0.22484137199114684</v>
      </c>
      <c r="M534" s="28">
        <f t="shared" si="28"/>
        <v>-0.30507361242831621</v>
      </c>
      <c r="N534" s="28">
        <f t="shared" si="28"/>
        <v>-0.21708180914964714</v>
      </c>
    </row>
    <row r="535" spans="1:14" x14ac:dyDescent="0.4">
      <c r="A535" s="1">
        <v>37469</v>
      </c>
      <c r="B535" s="28">
        <v>-0.49840694576158739</v>
      </c>
      <c r="C535" s="28">
        <f t="shared" si="28"/>
        <v>0.10291819085040288</v>
      </c>
      <c r="D535" s="28">
        <f t="shared" si="28"/>
        <v>5.1620376642745214E-2</v>
      </c>
      <c r="E535" s="28">
        <f t="shared" si="28"/>
        <v>-0.3151419184392239</v>
      </c>
      <c r="F535" s="28">
        <f t="shared" si="28"/>
        <v>-0.33221390507156912</v>
      </c>
      <c r="G535" s="28">
        <f t="shared" si="28"/>
        <v>-0.24229575938227299</v>
      </c>
      <c r="H535" s="28">
        <f t="shared" si="28"/>
        <v>0.19042490854900507</v>
      </c>
      <c r="I535" s="28">
        <f t="shared" si="28"/>
        <v>0.3661012509597299</v>
      </c>
      <c r="J535" s="28">
        <f t="shared" si="28"/>
        <v>0.29976928374662748</v>
      </c>
      <c r="K535" s="28">
        <f t="shared" si="28"/>
        <v>5.4564365713815732E-2</v>
      </c>
      <c r="L535" s="28">
        <f t="shared" si="28"/>
        <v>-0.11333180914965624</v>
      </c>
      <c r="M535" s="28">
        <f t="shared" si="28"/>
        <v>-0.22484137199114684</v>
      </c>
      <c r="N535" s="28">
        <f t="shared" si="28"/>
        <v>-0.30507361242831621</v>
      </c>
    </row>
    <row r="536" spans="1:14" x14ac:dyDescent="0.4">
      <c r="A536" s="1">
        <v>37500</v>
      </c>
      <c r="B536" s="28">
        <v>0.30224196134213344</v>
      </c>
      <c r="C536" s="28">
        <f t="shared" si="28"/>
        <v>-0.49840694576158739</v>
      </c>
      <c r="D536" s="28">
        <f t="shared" si="28"/>
        <v>0.10291819085040288</v>
      </c>
      <c r="E536" s="28">
        <f t="shared" si="28"/>
        <v>5.1620376642745214E-2</v>
      </c>
      <c r="F536" s="28">
        <f t="shared" si="28"/>
        <v>-0.3151419184392239</v>
      </c>
      <c r="G536" s="28">
        <f t="shared" si="28"/>
        <v>-0.33221390507156912</v>
      </c>
      <c r="H536" s="28">
        <f t="shared" si="28"/>
        <v>-0.24229575938227299</v>
      </c>
      <c r="I536" s="28">
        <f t="shared" si="28"/>
        <v>0.19042490854900507</v>
      </c>
      <c r="J536" s="28">
        <f t="shared" si="28"/>
        <v>0.3661012509597299</v>
      </c>
      <c r="K536" s="28">
        <f t="shared" si="28"/>
        <v>0.29976928374662748</v>
      </c>
      <c r="L536" s="28">
        <f t="shared" si="28"/>
        <v>5.4564365713815732E-2</v>
      </c>
      <c r="M536" s="28">
        <f t="shared" si="28"/>
        <v>-0.11333180914965624</v>
      </c>
      <c r="N536" s="28">
        <f t="shared" si="28"/>
        <v>-0.22484137199114684</v>
      </c>
    </row>
    <row r="537" spans="1:14" x14ac:dyDescent="0.4">
      <c r="A537" s="1">
        <v>37530</v>
      </c>
      <c r="B537" s="28">
        <v>-0.24958180914956074</v>
      </c>
      <c r="C537" s="28">
        <f t="shared" si="28"/>
        <v>0.30224196134213344</v>
      </c>
      <c r="D537" s="28">
        <f t="shared" si="28"/>
        <v>-0.49840694576158739</v>
      </c>
      <c r="E537" s="28">
        <f t="shared" si="28"/>
        <v>0.10291819085040288</v>
      </c>
      <c r="F537" s="28">
        <f t="shared" si="28"/>
        <v>5.1620376642745214E-2</v>
      </c>
      <c r="G537" s="28">
        <f t="shared" si="28"/>
        <v>-0.3151419184392239</v>
      </c>
      <c r="H537" s="28">
        <f t="shared" si="28"/>
        <v>-0.33221390507156912</v>
      </c>
      <c r="I537" s="28">
        <f t="shared" si="28"/>
        <v>-0.24229575938227299</v>
      </c>
      <c r="J537" s="28">
        <f t="shared" si="28"/>
        <v>0.19042490854900507</v>
      </c>
      <c r="K537" s="28">
        <f t="shared" si="28"/>
        <v>0.3661012509597299</v>
      </c>
      <c r="L537" s="28">
        <f t="shared" si="28"/>
        <v>0.29976928374662748</v>
      </c>
      <c r="M537" s="28">
        <f t="shared" si="28"/>
        <v>5.4564365713815732E-2</v>
      </c>
      <c r="N537" s="28">
        <f t="shared" si="28"/>
        <v>-0.11333180914965624</v>
      </c>
    </row>
    <row r="538" spans="1:14" x14ac:dyDescent="0.4">
      <c r="A538" s="1">
        <v>37561</v>
      </c>
      <c r="B538" s="28">
        <v>7.1647699047105107E-2</v>
      </c>
      <c r="C538" s="28">
        <f t="shared" si="28"/>
        <v>-0.24958180914956074</v>
      </c>
      <c r="D538" s="28">
        <f t="shared" si="28"/>
        <v>0.30224196134213344</v>
      </c>
      <c r="E538" s="28">
        <f t="shared" si="28"/>
        <v>-0.49840694576158739</v>
      </c>
      <c r="F538" s="28">
        <f t="shared" si="28"/>
        <v>0.10291819085040288</v>
      </c>
      <c r="G538" s="28">
        <f t="shared" si="28"/>
        <v>5.1620376642745214E-2</v>
      </c>
      <c r="H538" s="28">
        <f t="shared" si="28"/>
        <v>-0.3151419184392239</v>
      </c>
      <c r="I538" s="28">
        <f t="shared" si="28"/>
        <v>-0.33221390507156912</v>
      </c>
      <c r="J538" s="28">
        <f t="shared" si="28"/>
        <v>-0.24229575938227299</v>
      </c>
      <c r="K538" s="28">
        <f t="shared" si="28"/>
        <v>0.19042490854900507</v>
      </c>
      <c r="L538" s="28">
        <f t="shared" si="28"/>
        <v>0.3661012509597299</v>
      </c>
      <c r="M538" s="28">
        <f t="shared" si="28"/>
        <v>0.29976928374662748</v>
      </c>
      <c r="N538" s="28">
        <f t="shared" si="28"/>
        <v>5.4564365713815732E-2</v>
      </c>
    </row>
    <row r="539" spans="1:14" x14ac:dyDescent="0.4">
      <c r="A539" s="1">
        <v>37591</v>
      </c>
      <c r="B539" s="28">
        <v>0.37726928374655699</v>
      </c>
      <c r="C539" s="28">
        <f t="shared" si="28"/>
        <v>7.1647699047105107E-2</v>
      </c>
      <c r="D539" s="28">
        <f t="shared" si="28"/>
        <v>-0.24958180914956074</v>
      </c>
      <c r="E539" s="28">
        <f t="shared" si="28"/>
        <v>0.30224196134213344</v>
      </c>
      <c r="F539" s="28">
        <f t="shared" si="28"/>
        <v>-0.49840694576158739</v>
      </c>
      <c r="G539" s="28">
        <f t="shared" si="28"/>
        <v>0.10291819085040288</v>
      </c>
      <c r="H539" s="28">
        <f t="shared" si="28"/>
        <v>5.1620376642745214E-2</v>
      </c>
      <c r="I539" s="28">
        <f t="shared" si="28"/>
        <v>-0.3151419184392239</v>
      </c>
      <c r="J539" s="28">
        <f t="shared" si="28"/>
        <v>-0.33221390507156912</v>
      </c>
      <c r="K539" s="28">
        <f t="shared" si="28"/>
        <v>-0.24229575938227299</v>
      </c>
      <c r="L539" s="28">
        <f t="shared" si="28"/>
        <v>0.19042490854900507</v>
      </c>
      <c r="M539" s="28">
        <f t="shared" si="28"/>
        <v>0.3661012509597299</v>
      </c>
      <c r="N539" s="28">
        <f t="shared" si="28"/>
        <v>0.29976928374662748</v>
      </c>
    </row>
    <row r="540" spans="1:14" x14ac:dyDescent="0.4">
      <c r="A540" s="1">
        <v>37622</v>
      </c>
      <c r="B540" s="28">
        <v>0.10943458429306929</v>
      </c>
      <c r="C540" s="28">
        <f t="shared" si="28"/>
        <v>0.37726928374655699</v>
      </c>
      <c r="D540" s="28">
        <f t="shared" si="28"/>
        <v>7.1647699047105107E-2</v>
      </c>
      <c r="E540" s="28">
        <f t="shared" si="28"/>
        <v>-0.24958180914956074</v>
      </c>
      <c r="F540" s="28">
        <f t="shared" si="28"/>
        <v>0.30224196134213344</v>
      </c>
      <c r="G540" s="28">
        <f t="shared" si="28"/>
        <v>-0.49840694576158739</v>
      </c>
      <c r="H540" s="28">
        <f t="shared" si="28"/>
        <v>0.10291819085040288</v>
      </c>
      <c r="I540" s="28">
        <f t="shared" si="28"/>
        <v>5.1620376642745214E-2</v>
      </c>
      <c r="J540" s="28">
        <f t="shared" si="28"/>
        <v>-0.3151419184392239</v>
      </c>
      <c r="K540" s="28">
        <f t="shared" si="28"/>
        <v>-0.33221390507156912</v>
      </c>
      <c r="L540" s="28">
        <f t="shared" si="28"/>
        <v>-0.24229575938227299</v>
      </c>
      <c r="M540" s="28">
        <f t="shared" si="28"/>
        <v>0.19042490854900507</v>
      </c>
      <c r="N540" s="28">
        <f t="shared" si="28"/>
        <v>0.3661012509597299</v>
      </c>
    </row>
    <row r="541" spans="1:14" x14ac:dyDescent="0.4">
      <c r="A541" s="1">
        <v>37653</v>
      </c>
      <c r="B541" s="28">
        <v>0.1816749085489846</v>
      </c>
      <c r="C541" s="28">
        <f t="shared" si="28"/>
        <v>0.10943458429306929</v>
      </c>
      <c r="D541" s="28">
        <f t="shared" si="28"/>
        <v>0.37726928374655699</v>
      </c>
      <c r="E541" s="28">
        <f t="shared" si="28"/>
        <v>7.1647699047105107E-2</v>
      </c>
      <c r="F541" s="28">
        <f t="shared" si="28"/>
        <v>-0.24958180914956074</v>
      </c>
      <c r="G541" s="28">
        <f t="shared" si="28"/>
        <v>0.30224196134213344</v>
      </c>
      <c r="H541" s="28">
        <f t="shared" si="28"/>
        <v>-0.49840694576158739</v>
      </c>
      <c r="I541" s="28">
        <f t="shared" si="28"/>
        <v>0.10291819085040288</v>
      </c>
      <c r="J541" s="28">
        <f t="shared" si="28"/>
        <v>5.1620376642745214E-2</v>
      </c>
      <c r="K541" s="28">
        <f t="shared" si="28"/>
        <v>-0.3151419184392239</v>
      </c>
      <c r="L541" s="28">
        <f t="shared" si="28"/>
        <v>-0.33221390507156912</v>
      </c>
      <c r="M541" s="28">
        <f t="shared" si="28"/>
        <v>-0.24229575938227299</v>
      </c>
      <c r="N541" s="28">
        <f t="shared" si="28"/>
        <v>0.19042490854900507</v>
      </c>
    </row>
    <row r="542" spans="1:14" x14ac:dyDescent="0.4">
      <c r="A542" s="1">
        <v>37681</v>
      </c>
      <c r="B542" s="28">
        <v>-0.22646242604884037</v>
      </c>
      <c r="C542" s="28">
        <f t="shared" si="28"/>
        <v>0.1816749085489846</v>
      </c>
      <c r="D542" s="28">
        <f t="shared" si="28"/>
        <v>0.10943458429306929</v>
      </c>
      <c r="E542" s="28">
        <f t="shared" si="28"/>
        <v>0.37726928374655699</v>
      </c>
      <c r="F542" s="28">
        <f t="shared" si="28"/>
        <v>7.1647699047105107E-2</v>
      </c>
      <c r="G542" s="28">
        <f t="shared" si="28"/>
        <v>-0.24958180914956074</v>
      </c>
      <c r="H542" s="28">
        <f t="shared" si="28"/>
        <v>0.30224196134213344</v>
      </c>
      <c r="I542" s="28">
        <f t="shared" si="28"/>
        <v>-0.49840694576158739</v>
      </c>
      <c r="J542" s="28">
        <f t="shared" si="28"/>
        <v>0.10291819085040288</v>
      </c>
      <c r="K542" s="28">
        <f t="shared" si="28"/>
        <v>5.1620376642745214E-2</v>
      </c>
      <c r="L542" s="28">
        <f t="shared" si="28"/>
        <v>-0.3151419184392239</v>
      </c>
      <c r="M542" s="28">
        <f t="shared" si="28"/>
        <v>-0.33221390507156912</v>
      </c>
      <c r="N542" s="28">
        <f t="shared" si="28"/>
        <v>-0.24229575938227299</v>
      </c>
    </row>
    <row r="543" spans="1:14" x14ac:dyDescent="0.4">
      <c r="A543" s="1">
        <v>37712</v>
      </c>
      <c r="B543" s="28">
        <v>-0.11179723840490396</v>
      </c>
      <c r="C543" s="28">
        <f t="shared" si="28"/>
        <v>-0.22646242604884037</v>
      </c>
      <c r="D543" s="28">
        <f t="shared" si="28"/>
        <v>0.1816749085489846</v>
      </c>
      <c r="E543" s="28">
        <f t="shared" si="28"/>
        <v>0.10943458429306929</v>
      </c>
      <c r="F543" s="28">
        <f t="shared" si="28"/>
        <v>0.37726928374655699</v>
      </c>
      <c r="G543" s="28">
        <f t="shared" si="28"/>
        <v>7.1647699047105107E-2</v>
      </c>
      <c r="H543" s="28">
        <f t="shared" si="28"/>
        <v>-0.24958180914956074</v>
      </c>
      <c r="I543" s="28">
        <f t="shared" si="28"/>
        <v>0.30224196134213344</v>
      </c>
      <c r="J543" s="28">
        <f t="shared" si="28"/>
        <v>-0.49840694576158739</v>
      </c>
      <c r="K543" s="28">
        <f t="shared" si="28"/>
        <v>0.10291819085040288</v>
      </c>
      <c r="L543" s="28">
        <f t="shared" si="28"/>
        <v>5.1620376642745214E-2</v>
      </c>
      <c r="M543" s="28">
        <f t="shared" si="28"/>
        <v>-0.3151419184392239</v>
      </c>
      <c r="N543" s="28">
        <f t="shared" si="28"/>
        <v>-0.33221390507156912</v>
      </c>
    </row>
    <row r="544" spans="1:14" x14ac:dyDescent="0.4">
      <c r="A544" s="1">
        <v>37742</v>
      </c>
      <c r="B544" s="28">
        <v>-0.11389191843926483</v>
      </c>
      <c r="C544" s="28">
        <f t="shared" si="28"/>
        <v>-0.11179723840490396</v>
      </c>
      <c r="D544" s="28">
        <f t="shared" si="28"/>
        <v>-0.22646242604884037</v>
      </c>
      <c r="E544" s="28">
        <f t="shared" si="28"/>
        <v>0.1816749085489846</v>
      </c>
      <c r="F544" s="28">
        <f t="shared" ref="D544:P559" si="29">IF(E543=0,"",E543)</f>
        <v>0.10943458429306929</v>
      </c>
      <c r="G544" s="28">
        <f t="shared" si="29"/>
        <v>0.37726928374655699</v>
      </c>
      <c r="H544" s="28">
        <f t="shared" si="29"/>
        <v>7.1647699047105107E-2</v>
      </c>
      <c r="I544" s="28">
        <f t="shared" si="29"/>
        <v>-0.24958180914956074</v>
      </c>
      <c r="J544" s="28">
        <f t="shared" si="29"/>
        <v>0.30224196134213344</v>
      </c>
      <c r="K544" s="28">
        <f t="shared" si="29"/>
        <v>-0.49840694576158739</v>
      </c>
      <c r="L544" s="28">
        <f t="shared" si="29"/>
        <v>0.10291819085040288</v>
      </c>
      <c r="M544" s="28">
        <f t="shared" si="29"/>
        <v>5.1620376642745214E-2</v>
      </c>
      <c r="N544" s="28">
        <f t="shared" si="29"/>
        <v>-0.3151419184392239</v>
      </c>
    </row>
    <row r="545" spans="1:14" x14ac:dyDescent="0.4">
      <c r="A545" s="1">
        <v>37773</v>
      </c>
      <c r="B545" s="28">
        <v>0.21453704330934897</v>
      </c>
      <c r="C545" s="28">
        <f t="shared" ref="C545:N608" si="30">IF(B544=0,"",B544)</f>
        <v>-0.11389191843926483</v>
      </c>
      <c r="D545" s="28">
        <f t="shared" si="29"/>
        <v>-0.11179723840490396</v>
      </c>
      <c r="E545" s="28">
        <f t="shared" si="29"/>
        <v>-0.22646242604884037</v>
      </c>
      <c r="F545" s="28">
        <f t="shared" si="29"/>
        <v>0.1816749085489846</v>
      </c>
      <c r="G545" s="28">
        <f t="shared" si="29"/>
        <v>0.10943458429306929</v>
      </c>
      <c r="H545" s="28">
        <f t="shared" si="29"/>
        <v>0.37726928374655699</v>
      </c>
      <c r="I545" s="28">
        <f t="shared" si="29"/>
        <v>7.1647699047105107E-2</v>
      </c>
      <c r="J545" s="28">
        <f t="shared" si="29"/>
        <v>-0.24958180914956074</v>
      </c>
      <c r="K545" s="28">
        <f t="shared" si="29"/>
        <v>0.30224196134213344</v>
      </c>
      <c r="L545" s="28">
        <f t="shared" si="29"/>
        <v>-0.49840694576158739</v>
      </c>
      <c r="M545" s="28">
        <f t="shared" si="29"/>
        <v>0.10291819085040288</v>
      </c>
      <c r="N545" s="28">
        <f t="shared" si="29"/>
        <v>5.1620376642745214E-2</v>
      </c>
    </row>
    <row r="546" spans="1:14" x14ac:dyDescent="0.4">
      <c r="A546" s="1">
        <v>37803</v>
      </c>
      <c r="B546" s="28">
        <v>0.14750152418366724</v>
      </c>
      <c r="C546" s="28">
        <f t="shared" si="30"/>
        <v>0.21453704330934897</v>
      </c>
      <c r="D546" s="28">
        <f t="shared" si="29"/>
        <v>-0.11389191843926483</v>
      </c>
      <c r="E546" s="28">
        <f t="shared" si="29"/>
        <v>-0.11179723840490396</v>
      </c>
      <c r="F546" s="28">
        <f t="shared" si="29"/>
        <v>-0.22646242604884037</v>
      </c>
      <c r="G546" s="28">
        <f t="shared" si="29"/>
        <v>0.1816749085489846</v>
      </c>
      <c r="H546" s="28">
        <f t="shared" si="29"/>
        <v>0.10943458429306929</v>
      </c>
      <c r="I546" s="28">
        <f t="shared" si="29"/>
        <v>0.37726928374655699</v>
      </c>
      <c r="J546" s="28">
        <f t="shared" si="29"/>
        <v>7.1647699047105107E-2</v>
      </c>
      <c r="K546" s="28">
        <f t="shared" si="29"/>
        <v>-0.24958180914956074</v>
      </c>
      <c r="L546" s="28">
        <f t="shared" si="29"/>
        <v>0.30224196134213344</v>
      </c>
      <c r="M546" s="28">
        <f t="shared" si="29"/>
        <v>-0.49840694576158739</v>
      </c>
      <c r="N546" s="28">
        <f t="shared" si="29"/>
        <v>0.10291819085040288</v>
      </c>
    </row>
    <row r="547" spans="1:14" x14ac:dyDescent="0.4">
      <c r="A547" s="1">
        <v>37834</v>
      </c>
      <c r="B547" s="28">
        <v>4.5097209050481979E-3</v>
      </c>
      <c r="C547" s="28">
        <f t="shared" si="30"/>
        <v>0.14750152418366724</v>
      </c>
      <c r="D547" s="28">
        <f t="shared" si="29"/>
        <v>0.21453704330934897</v>
      </c>
      <c r="E547" s="28">
        <f t="shared" si="29"/>
        <v>-0.11389191843926483</v>
      </c>
      <c r="F547" s="28">
        <f t="shared" si="29"/>
        <v>-0.11179723840490396</v>
      </c>
      <c r="G547" s="28">
        <f t="shared" si="29"/>
        <v>-0.22646242604884037</v>
      </c>
      <c r="H547" s="28">
        <f t="shared" si="29"/>
        <v>0.1816749085489846</v>
      </c>
      <c r="I547" s="28">
        <f t="shared" si="29"/>
        <v>0.10943458429306929</v>
      </c>
      <c r="J547" s="28">
        <f t="shared" si="29"/>
        <v>0.37726928374655699</v>
      </c>
      <c r="K547" s="28">
        <f t="shared" si="29"/>
        <v>7.1647699047105107E-2</v>
      </c>
      <c r="L547" s="28">
        <f t="shared" si="29"/>
        <v>-0.24958180914956074</v>
      </c>
      <c r="M547" s="28">
        <f t="shared" si="29"/>
        <v>0.30224196134213344</v>
      </c>
      <c r="N547" s="28">
        <f t="shared" si="29"/>
        <v>-0.49840694576158739</v>
      </c>
    </row>
    <row r="548" spans="1:14" x14ac:dyDescent="0.4">
      <c r="A548" s="1">
        <v>37865</v>
      </c>
      <c r="B548" s="28">
        <v>0.13099196134220392</v>
      </c>
      <c r="C548" s="28">
        <f t="shared" si="30"/>
        <v>4.5097209050481979E-3</v>
      </c>
      <c r="D548" s="28">
        <f t="shared" si="29"/>
        <v>0.14750152418366724</v>
      </c>
      <c r="E548" s="28">
        <f t="shared" si="29"/>
        <v>0.21453704330934897</v>
      </c>
      <c r="F548" s="28">
        <f t="shared" si="29"/>
        <v>-0.11389191843926483</v>
      </c>
      <c r="G548" s="28">
        <f t="shared" si="29"/>
        <v>-0.11179723840490396</v>
      </c>
      <c r="H548" s="28">
        <f t="shared" si="29"/>
        <v>-0.22646242604884037</v>
      </c>
      <c r="I548" s="28">
        <f t="shared" si="29"/>
        <v>0.1816749085489846</v>
      </c>
      <c r="J548" s="28">
        <f t="shared" si="29"/>
        <v>0.10943458429306929</v>
      </c>
      <c r="K548" s="28">
        <f t="shared" si="29"/>
        <v>0.37726928374655699</v>
      </c>
      <c r="L548" s="28">
        <f t="shared" si="29"/>
        <v>7.1647699047105107E-2</v>
      </c>
      <c r="M548" s="28">
        <f t="shared" si="29"/>
        <v>-0.24958180914956074</v>
      </c>
      <c r="N548" s="28">
        <f t="shared" si="29"/>
        <v>0.30224196134213344</v>
      </c>
    </row>
    <row r="549" spans="1:14" x14ac:dyDescent="0.4">
      <c r="A549" s="1">
        <v>37895</v>
      </c>
      <c r="B549" s="28">
        <v>6.0001524183803667E-2</v>
      </c>
      <c r="C549" s="28">
        <f t="shared" si="30"/>
        <v>0.13099196134220392</v>
      </c>
      <c r="D549" s="28">
        <f t="shared" si="29"/>
        <v>4.5097209050481979E-3</v>
      </c>
      <c r="E549" s="28">
        <f t="shared" si="29"/>
        <v>0.14750152418366724</v>
      </c>
      <c r="F549" s="28">
        <f t="shared" si="29"/>
        <v>0.21453704330934897</v>
      </c>
      <c r="G549" s="28">
        <f t="shared" si="29"/>
        <v>-0.11389191843926483</v>
      </c>
      <c r="H549" s="28">
        <f t="shared" si="29"/>
        <v>-0.11179723840490396</v>
      </c>
      <c r="I549" s="28">
        <f t="shared" si="29"/>
        <v>-0.22646242604884037</v>
      </c>
      <c r="J549" s="28">
        <f t="shared" si="29"/>
        <v>0.1816749085489846</v>
      </c>
      <c r="K549" s="28">
        <f t="shared" si="29"/>
        <v>0.10943458429306929</v>
      </c>
      <c r="L549" s="28">
        <f t="shared" si="29"/>
        <v>0.37726928374655699</v>
      </c>
      <c r="M549" s="28">
        <f t="shared" si="29"/>
        <v>7.1647699047105107E-2</v>
      </c>
      <c r="N549" s="28">
        <f t="shared" si="29"/>
        <v>-0.24958180914956074</v>
      </c>
    </row>
    <row r="550" spans="1:14" x14ac:dyDescent="0.4">
      <c r="A550" s="1">
        <v>37926</v>
      </c>
      <c r="B550" s="28">
        <v>-7.8768967619453178E-2</v>
      </c>
      <c r="C550" s="28">
        <f t="shared" si="30"/>
        <v>6.0001524183803667E-2</v>
      </c>
      <c r="D550" s="28">
        <f t="shared" si="29"/>
        <v>0.13099196134220392</v>
      </c>
      <c r="E550" s="28">
        <f t="shared" si="29"/>
        <v>4.5097209050481979E-3</v>
      </c>
      <c r="F550" s="28">
        <f t="shared" si="29"/>
        <v>0.14750152418366724</v>
      </c>
      <c r="G550" s="28">
        <f t="shared" si="29"/>
        <v>0.21453704330934897</v>
      </c>
      <c r="H550" s="28">
        <f t="shared" si="29"/>
        <v>-0.11389191843926483</v>
      </c>
      <c r="I550" s="28">
        <f t="shared" si="29"/>
        <v>-0.11179723840490396</v>
      </c>
      <c r="J550" s="28">
        <f t="shared" si="29"/>
        <v>-0.22646242604884037</v>
      </c>
      <c r="K550" s="28">
        <f t="shared" si="29"/>
        <v>0.1816749085489846</v>
      </c>
      <c r="L550" s="28">
        <f t="shared" si="29"/>
        <v>0.10943458429306929</v>
      </c>
      <c r="M550" s="28">
        <f t="shared" si="29"/>
        <v>0.37726928374655699</v>
      </c>
      <c r="N550" s="28">
        <f t="shared" si="29"/>
        <v>7.1647699047105107E-2</v>
      </c>
    </row>
    <row r="551" spans="1:14" x14ac:dyDescent="0.4">
      <c r="A551" s="1">
        <v>37956</v>
      </c>
      <c r="B551" s="28">
        <v>-5.6480716253304308E-2</v>
      </c>
      <c r="C551" s="28">
        <f t="shared" si="30"/>
        <v>-7.8768967619453178E-2</v>
      </c>
      <c r="D551" s="28">
        <f t="shared" si="29"/>
        <v>6.0001524183803667E-2</v>
      </c>
      <c r="E551" s="28">
        <f t="shared" si="29"/>
        <v>0.13099196134220392</v>
      </c>
      <c r="F551" s="28">
        <f t="shared" si="29"/>
        <v>4.5097209050481979E-3</v>
      </c>
      <c r="G551" s="28">
        <f t="shared" si="29"/>
        <v>0.14750152418366724</v>
      </c>
      <c r="H551" s="28">
        <f t="shared" si="29"/>
        <v>0.21453704330934897</v>
      </c>
      <c r="I551" s="28">
        <f t="shared" si="29"/>
        <v>-0.11389191843926483</v>
      </c>
      <c r="J551" s="28">
        <f t="shared" si="29"/>
        <v>-0.11179723840490396</v>
      </c>
      <c r="K551" s="28">
        <f t="shared" si="29"/>
        <v>-0.22646242604884037</v>
      </c>
      <c r="L551" s="28">
        <f t="shared" si="29"/>
        <v>0.1816749085489846</v>
      </c>
      <c r="M551" s="28">
        <f t="shared" si="29"/>
        <v>0.10943458429306929</v>
      </c>
      <c r="N551" s="28">
        <f t="shared" si="29"/>
        <v>0.37726928374655699</v>
      </c>
    </row>
    <row r="552" spans="1:14" x14ac:dyDescent="0.4">
      <c r="A552" s="1">
        <v>37987</v>
      </c>
      <c r="B552" s="28">
        <v>-1.0565415706878412E-2</v>
      </c>
      <c r="C552" s="28">
        <f t="shared" si="30"/>
        <v>-5.6480716253304308E-2</v>
      </c>
      <c r="D552" s="28">
        <f t="shared" si="29"/>
        <v>-7.8768967619453178E-2</v>
      </c>
      <c r="E552" s="28">
        <f t="shared" si="29"/>
        <v>6.0001524183803667E-2</v>
      </c>
      <c r="F552" s="28">
        <f t="shared" si="29"/>
        <v>0.13099196134220392</v>
      </c>
      <c r="G552" s="28">
        <f t="shared" si="29"/>
        <v>4.5097209050481979E-3</v>
      </c>
      <c r="H552" s="28">
        <f t="shared" si="29"/>
        <v>0.14750152418366724</v>
      </c>
      <c r="I552" s="28">
        <f t="shared" si="29"/>
        <v>0.21453704330934897</v>
      </c>
      <c r="J552" s="28">
        <f t="shared" si="29"/>
        <v>-0.11389191843926483</v>
      </c>
      <c r="K552" s="28">
        <f t="shared" si="29"/>
        <v>-0.11179723840490396</v>
      </c>
      <c r="L552" s="28">
        <f t="shared" si="29"/>
        <v>-0.22646242604884037</v>
      </c>
      <c r="M552" s="28">
        <f t="shared" si="29"/>
        <v>0.1816749085489846</v>
      </c>
      <c r="N552" s="28">
        <f t="shared" si="29"/>
        <v>0.10943458429306929</v>
      </c>
    </row>
    <row r="553" spans="1:14" x14ac:dyDescent="0.4">
      <c r="A553" s="1">
        <v>38018</v>
      </c>
      <c r="B553" s="28">
        <v>-0.17040842478439799</v>
      </c>
      <c r="C553" s="28">
        <f t="shared" si="30"/>
        <v>-1.0565415706878412E-2</v>
      </c>
      <c r="D553" s="28">
        <f t="shared" si="29"/>
        <v>-5.6480716253304308E-2</v>
      </c>
      <c r="E553" s="28">
        <f t="shared" si="29"/>
        <v>-7.8768967619453178E-2</v>
      </c>
      <c r="F553" s="28">
        <f t="shared" si="29"/>
        <v>6.0001524183803667E-2</v>
      </c>
      <c r="G553" s="28">
        <f t="shared" si="29"/>
        <v>0.13099196134220392</v>
      </c>
      <c r="H553" s="28">
        <f t="shared" si="29"/>
        <v>4.5097209050481979E-3</v>
      </c>
      <c r="I553" s="28">
        <f t="shared" si="29"/>
        <v>0.14750152418366724</v>
      </c>
      <c r="J553" s="28">
        <f t="shared" si="29"/>
        <v>0.21453704330934897</v>
      </c>
      <c r="K553" s="28">
        <f t="shared" si="29"/>
        <v>-0.11389191843926483</v>
      </c>
      <c r="L553" s="28">
        <f t="shared" si="29"/>
        <v>-0.11179723840490396</v>
      </c>
      <c r="M553" s="28">
        <f t="shared" si="29"/>
        <v>-0.22646242604884037</v>
      </c>
      <c r="N553" s="28">
        <f t="shared" si="29"/>
        <v>0.1816749085489846</v>
      </c>
    </row>
    <row r="554" spans="1:14" x14ac:dyDescent="0.4">
      <c r="A554" s="1">
        <v>38047</v>
      </c>
      <c r="B554" s="28">
        <v>7.0620907284478562E-2</v>
      </c>
      <c r="C554" s="28">
        <f t="shared" si="30"/>
        <v>-0.17040842478439799</v>
      </c>
      <c r="D554" s="28">
        <f t="shared" si="29"/>
        <v>-1.0565415706878412E-2</v>
      </c>
      <c r="E554" s="28">
        <f t="shared" si="29"/>
        <v>-5.6480716253304308E-2</v>
      </c>
      <c r="F554" s="28">
        <f t="shared" si="29"/>
        <v>-7.8768967619453178E-2</v>
      </c>
      <c r="G554" s="28">
        <f t="shared" si="29"/>
        <v>6.0001524183803667E-2</v>
      </c>
      <c r="H554" s="28">
        <f t="shared" si="29"/>
        <v>0.13099196134220392</v>
      </c>
      <c r="I554" s="28">
        <f t="shared" si="29"/>
        <v>4.5097209050481979E-3</v>
      </c>
      <c r="J554" s="28">
        <f t="shared" si="29"/>
        <v>0.14750152418366724</v>
      </c>
      <c r="K554" s="28">
        <f t="shared" si="29"/>
        <v>0.21453704330934897</v>
      </c>
      <c r="L554" s="28">
        <f t="shared" si="29"/>
        <v>-0.11389191843926483</v>
      </c>
      <c r="M554" s="28">
        <f t="shared" si="29"/>
        <v>-0.11179723840490396</v>
      </c>
      <c r="N554" s="28">
        <f t="shared" si="29"/>
        <v>-0.22646242604884037</v>
      </c>
    </row>
    <row r="555" spans="1:14" x14ac:dyDescent="0.4">
      <c r="A555" s="1">
        <v>38078</v>
      </c>
      <c r="B555" s="28">
        <v>0.86945276159508467</v>
      </c>
      <c r="C555" s="28">
        <f t="shared" si="30"/>
        <v>7.0620907284478562E-2</v>
      </c>
      <c r="D555" s="28">
        <f t="shared" si="29"/>
        <v>-0.17040842478439799</v>
      </c>
      <c r="E555" s="28">
        <f t="shared" si="29"/>
        <v>-1.0565415706878412E-2</v>
      </c>
      <c r="F555" s="28">
        <f t="shared" si="29"/>
        <v>-5.6480716253304308E-2</v>
      </c>
      <c r="G555" s="28">
        <f t="shared" si="29"/>
        <v>-7.8768967619453178E-2</v>
      </c>
      <c r="H555" s="28">
        <f t="shared" si="29"/>
        <v>6.0001524183803667E-2</v>
      </c>
      <c r="I555" s="28">
        <f t="shared" si="29"/>
        <v>0.13099196134220392</v>
      </c>
      <c r="J555" s="28">
        <f t="shared" si="29"/>
        <v>4.5097209050481979E-3</v>
      </c>
      <c r="K555" s="28">
        <f t="shared" si="29"/>
        <v>0.14750152418366724</v>
      </c>
      <c r="L555" s="28">
        <f t="shared" si="29"/>
        <v>0.21453704330934897</v>
      </c>
      <c r="M555" s="28">
        <f t="shared" si="29"/>
        <v>-0.11389191843926483</v>
      </c>
      <c r="N555" s="28">
        <f t="shared" si="29"/>
        <v>-0.11179723840490396</v>
      </c>
    </row>
    <row r="556" spans="1:14" x14ac:dyDescent="0.4">
      <c r="A556" s="1">
        <v>38108</v>
      </c>
      <c r="B556" s="28">
        <v>0.3836080815606806</v>
      </c>
      <c r="C556" s="28">
        <f t="shared" si="30"/>
        <v>0.86945276159508467</v>
      </c>
      <c r="D556" s="28">
        <f t="shared" si="29"/>
        <v>7.0620907284478562E-2</v>
      </c>
      <c r="E556" s="28">
        <f t="shared" si="29"/>
        <v>-0.17040842478439799</v>
      </c>
      <c r="F556" s="28">
        <f t="shared" si="29"/>
        <v>-1.0565415706878412E-2</v>
      </c>
      <c r="G556" s="28">
        <f t="shared" si="29"/>
        <v>-5.6480716253304308E-2</v>
      </c>
      <c r="H556" s="28">
        <f t="shared" si="29"/>
        <v>-7.8768967619453178E-2</v>
      </c>
      <c r="I556" s="28">
        <f t="shared" si="29"/>
        <v>6.0001524183803667E-2</v>
      </c>
      <c r="J556" s="28">
        <f t="shared" si="29"/>
        <v>0.13099196134220392</v>
      </c>
      <c r="K556" s="28">
        <f t="shared" si="29"/>
        <v>4.5097209050481979E-3</v>
      </c>
      <c r="L556" s="28">
        <f t="shared" si="29"/>
        <v>0.14750152418366724</v>
      </c>
      <c r="M556" s="28">
        <f t="shared" si="29"/>
        <v>0.21453704330934897</v>
      </c>
      <c r="N556" s="28">
        <f t="shared" si="29"/>
        <v>-0.11389191843926483</v>
      </c>
    </row>
    <row r="557" spans="1:14" x14ac:dyDescent="0.4">
      <c r="A557" s="1">
        <v>38139</v>
      </c>
      <c r="B557" s="28">
        <v>-9.8796290023983602E-2</v>
      </c>
      <c r="C557" s="28">
        <f t="shared" si="30"/>
        <v>0.3836080815606806</v>
      </c>
      <c r="D557" s="28">
        <f t="shared" si="29"/>
        <v>0.86945276159508467</v>
      </c>
      <c r="E557" s="28">
        <f t="shared" si="29"/>
        <v>7.0620907284478562E-2</v>
      </c>
      <c r="F557" s="28">
        <f t="shared" si="29"/>
        <v>-0.17040842478439799</v>
      </c>
      <c r="G557" s="28">
        <f t="shared" si="29"/>
        <v>-1.0565415706878412E-2</v>
      </c>
      <c r="H557" s="28">
        <f t="shared" si="29"/>
        <v>-5.6480716253304308E-2</v>
      </c>
      <c r="I557" s="28">
        <f t="shared" si="29"/>
        <v>-7.8768967619453178E-2</v>
      </c>
      <c r="J557" s="28">
        <f t="shared" si="29"/>
        <v>6.0001524183803667E-2</v>
      </c>
      <c r="K557" s="28">
        <f t="shared" si="29"/>
        <v>0.13099196134220392</v>
      </c>
      <c r="L557" s="28">
        <f t="shared" si="29"/>
        <v>4.5097209050481979E-3</v>
      </c>
      <c r="M557" s="28">
        <f t="shared" si="29"/>
        <v>0.14750152418366724</v>
      </c>
      <c r="N557" s="28">
        <f t="shared" si="29"/>
        <v>0.21453704330934897</v>
      </c>
    </row>
    <row r="558" spans="1:14" x14ac:dyDescent="0.4">
      <c r="A558" s="1">
        <v>38169</v>
      </c>
      <c r="B558" s="28">
        <v>-0.39583180914968352</v>
      </c>
      <c r="C558" s="28">
        <f t="shared" si="30"/>
        <v>-9.8796290023983602E-2</v>
      </c>
      <c r="D558" s="28">
        <f t="shared" si="29"/>
        <v>0.3836080815606806</v>
      </c>
      <c r="E558" s="28">
        <f t="shared" si="29"/>
        <v>0.86945276159508467</v>
      </c>
      <c r="F558" s="28">
        <f t="shared" si="29"/>
        <v>7.0620907284478562E-2</v>
      </c>
      <c r="G558" s="28">
        <f t="shared" si="29"/>
        <v>-0.17040842478439799</v>
      </c>
      <c r="H558" s="28">
        <f t="shared" si="29"/>
        <v>-1.0565415706878412E-2</v>
      </c>
      <c r="I558" s="28">
        <f t="shared" si="29"/>
        <v>-5.6480716253304308E-2</v>
      </c>
      <c r="J558" s="28">
        <f t="shared" si="29"/>
        <v>-7.8768967619453178E-2</v>
      </c>
      <c r="K558" s="28">
        <f t="shared" si="29"/>
        <v>6.0001524183803667E-2</v>
      </c>
      <c r="L558" s="28">
        <f t="shared" si="29"/>
        <v>0.13099196134220392</v>
      </c>
      <c r="M558" s="28">
        <f t="shared" si="29"/>
        <v>4.5097209050481979E-3</v>
      </c>
      <c r="N558" s="28">
        <f t="shared" si="29"/>
        <v>0.14750152418366724</v>
      </c>
    </row>
    <row r="559" spans="1:14" x14ac:dyDescent="0.4">
      <c r="A559" s="1">
        <v>38200</v>
      </c>
      <c r="B559" s="28">
        <v>-0.34590694576161241</v>
      </c>
      <c r="C559" s="28">
        <f t="shared" si="30"/>
        <v>-0.39583180914968352</v>
      </c>
      <c r="D559" s="28">
        <f t="shared" si="29"/>
        <v>-9.8796290023983602E-2</v>
      </c>
      <c r="E559" s="28">
        <f t="shared" si="29"/>
        <v>0.3836080815606806</v>
      </c>
      <c r="F559" s="28">
        <f t="shared" si="29"/>
        <v>0.86945276159508467</v>
      </c>
      <c r="G559" s="28">
        <f t="shared" si="29"/>
        <v>7.0620907284478562E-2</v>
      </c>
      <c r="H559" s="28">
        <f t="shared" si="29"/>
        <v>-0.17040842478439799</v>
      </c>
      <c r="I559" s="28">
        <f t="shared" si="29"/>
        <v>-1.0565415706878412E-2</v>
      </c>
      <c r="J559" s="28">
        <f t="shared" si="29"/>
        <v>-5.6480716253304308E-2</v>
      </c>
      <c r="K559" s="28">
        <f t="shared" si="29"/>
        <v>-7.8768967619453178E-2</v>
      </c>
      <c r="L559" s="28">
        <f t="shared" si="29"/>
        <v>6.0001524183803667E-2</v>
      </c>
      <c r="M559" s="28">
        <f t="shared" si="29"/>
        <v>0.13099196134220392</v>
      </c>
      <c r="N559" s="28">
        <f t="shared" si="29"/>
        <v>4.5097209050481979E-3</v>
      </c>
    </row>
    <row r="560" spans="1:14" x14ac:dyDescent="0.4">
      <c r="A560" s="1">
        <v>38231</v>
      </c>
      <c r="B560" s="28">
        <v>-0.49525803865776652</v>
      </c>
      <c r="C560" s="28">
        <f t="shared" si="30"/>
        <v>-0.34590694576161241</v>
      </c>
      <c r="D560" s="28">
        <f t="shared" si="30"/>
        <v>-0.39583180914968352</v>
      </c>
      <c r="E560" s="28">
        <f t="shared" si="30"/>
        <v>-9.8796290023983602E-2</v>
      </c>
      <c r="F560" s="28">
        <f t="shared" si="30"/>
        <v>0.3836080815606806</v>
      </c>
      <c r="G560" s="28">
        <f t="shared" si="30"/>
        <v>0.86945276159508467</v>
      </c>
      <c r="H560" s="28">
        <f t="shared" si="30"/>
        <v>7.0620907284478562E-2</v>
      </c>
      <c r="I560" s="28">
        <f t="shared" si="30"/>
        <v>-0.17040842478439799</v>
      </c>
      <c r="J560" s="28">
        <f t="shared" si="30"/>
        <v>-1.0565415706878412E-2</v>
      </c>
      <c r="K560" s="28">
        <f t="shared" si="30"/>
        <v>-5.6480716253304308E-2</v>
      </c>
      <c r="L560" s="28">
        <f t="shared" si="30"/>
        <v>-7.8768967619453178E-2</v>
      </c>
      <c r="M560" s="28">
        <f t="shared" si="30"/>
        <v>6.0001524183803667E-2</v>
      </c>
      <c r="N560" s="28">
        <f t="shared" si="30"/>
        <v>0.13099196134220392</v>
      </c>
    </row>
    <row r="561" spans="1:14" x14ac:dyDescent="0.4">
      <c r="A561" s="1">
        <v>38261</v>
      </c>
      <c r="B561" s="28">
        <v>-0.3374984758163464</v>
      </c>
      <c r="C561" s="28">
        <f t="shared" si="30"/>
        <v>-0.49525803865776652</v>
      </c>
      <c r="D561" s="28">
        <f t="shared" si="30"/>
        <v>-0.34590694576161241</v>
      </c>
      <c r="E561" s="28">
        <f t="shared" si="30"/>
        <v>-0.39583180914968352</v>
      </c>
      <c r="F561" s="28">
        <f t="shared" si="30"/>
        <v>-9.8796290023983602E-2</v>
      </c>
      <c r="G561" s="28">
        <f t="shared" si="30"/>
        <v>0.3836080815606806</v>
      </c>
      <c r="H561" s="28">
        <f t="shared" si="30"/>
        <v>0.86945276159508467</v>
      </c>
      <c r="I561" s="28">
        <f t="shared" si="30"/>
        <v>7.0620907284478562E-2</v>
      </c>
      <c r="J561" s="28">
        <f t="shared" si="30"/>
        <v>-0.17040842478439799</v>
      </c>
      <c r="K561" s="28">
        <f t="shared" si="30"/>
        <v>-1.0565415706878412E-2</v>
      </c>
      <c r="L561" s="28">
        <f t="shared" si="30"/>
        <v>-5.6480716253304308E-2</v>
      </c>
      <c r="M561" s="28">
        <f t="shared" si="30"/>
        <v>-7.8768967619453178E-2</v>
      </c>
      <c r="N561" s="28">
        <f t="shared" si="30"/>
        <v>6.0001524183803667E-2</v>
      </c>
    </row>
    <row r="562" spans="1:14" x14ac:dyDescent="0.4">
      <c r="A562" s="1">
        <v>38292</v>
      </c>
      <c r="B562" s="28">
        <v>-0.12501896761961007</v>
      </c>
      <c r="C562" s="28">
        <f t="shared" si="30"/>
        <v>-0.3374984758163464</v>
      </c>
      <c r="D562" s="28">
        <f t="shared" si="30"/>
        <v>-0.49525803865776652</v>
      </c>
      <c r="E562" s="28">
        <f t="shared" si="30"/>
        <v>-0.34590694576161241</v>
      </c>
      <c r="F562" s="28">
        <f t="shared" si="30"/>
        <v>-0.39583180914968352</v>
      </c>
      <c r="G562" s="28">
        <f t="shared" si="30"/>
        <v>-9.8796290023983602E-2</v>
      </c>
      <c r="H562" s="28">
        <f t="shared" si="30"/>
        <v>0.3836080815606806</v>
      </c>
      <c r="I562" s="28">
        <f t="shared" si="30"/>
        <v>0.86945276159508467</v>
      </c>
      <c r="J562" s="28">
        <f t="shared" si="30"/>
        <v>7.0620907284478562E-2</v>
      </c>
      <c r="K562" s="28">
        <f t="shared" si="30"/>
        <v>-0.17040842478439799</v>
      </c>
      <c r="L562" s="28">
        <f t="shared" si="30"/>
        <v>-1.0565415706878412E-2</v>
      </c>
      <c r="M562" s="28">
        <f t="shared" si="30"/>
        <v>-5.6480716253304308E-2</v>
      </c>
      <c r="N562" s="28">
        <f t="shared" si="30"/>
        <v>-7.8768967619453178E-2</v>
      </c>
    </row>
    <row r="563" spans="1:14" x14ac:dyDescent="0.4">
      <c r="A563" s="1">
        <v>38322</v>
      </c>
      <c r="B563" s="28">
        <v>0.13810261707993732</v>
      </c>
      <c r="C563" s="28">
        <f t="shared" si="30"/>
        <v>-0.12501896761961007</v>
      </c>
      <c r="D563" s="28">
        <f t="shared" si="30"/>
        <v>-0.3374984758163464</v>
      </c>
      <c r="E563" s="28">
        <f t="shared" si="30"/>
        <v>-0.49525803865776652</v>
      </c>
      <c r="F563" s="28">
        <f t="shared" si="30"/>
        <v>-0.34590694576161241</v>
      </c>
      <c r="G563" s="28">
        <f t="shared" si="30"/>
        <v>-0.39583180914968352</v>
      </c>
      <c r="H563" s="28">
        <f t="shared" si="30"/>
        <v>-9.8796290023983602E-2</v>
      </c>
      <c r="I563" s="28">
        <f t="shared" si="30"/>
        <v>0.3836080815606806</v>
      </c>
      <c r="J563" s="28">
        <f t="shared" si="30"/>
        <v>0.86945276159508467</v>
      </c>
      <c r="K563" s="28">
        <f t="shared" si="30"/>
        <v>7.0620907284478562E-2</v>
      </c>
      <c r="L563" s="28">
        <f t="shared" si="30"/>
        <v>-0.17040842478439799</v>
      </c>
      <c r="M563" s="28">
        <f t="shared" si="30"/>
        <v>-1.0565415706878412E-2</v>
      </c>
      <c r="N563" s="28">
        <f t="shared" si="30"/>
        <v>-5.6480716253304308E-2</v>
      </c>
    </row>
    <row r="564" spans="1:14" x14ac:dyDescent="0.4">
      <c r="A564" s="1">
        <v>38353</v>
      </c>
      <c r="B564" s="28">
        <v>-0.13473208237377321</v>
      </c>
      <c r="C564" s="28">
        <f t="shared" si="30"/>
        <v>0.13810261707993732</v>
      </c>
      <c r="D564" s="28">
        <f t="shared" si="30"/>
        <v>-0.12501896761961007</v>
      </c>
      <c r="E564" s="28">
        <f t="shared" si="30"/>
        <v>-0.3374984758163464</v>
      </c>
      <c r="F564" s="28">
        <f t="shared" si="30"/>
        <v>-0.49525803865776652</v>
      </c>
      <c r="G564" s="28">
        <f t="shared" si="30"/>
        <v>-0.34590694576161241</v>
      </c>
      <c r="H564" s="28">
        <f t="shared" si="30"/>
        <v>-0.39583180914968352</v>
      </c>
      <c r="I564" s="28">
        <f t="shared" si="30"/>
        <v>-9.8796290023983602E-2</v>
      </c>
      <c r="J564" s="28">
        <f t="shared" si="30"/>
        <v>0.3836080815606806</v>
      </c>
      <c r="K564" s="28">
        <f t="shared" si="30"/>
        <v>0.86945276159508467</v>
      </c>
      <c r="L564" s="28">
        <f t="shared" si="30"/>
        <v>7.0620907284478562E-2</v>
      </c>
      <c r="M564" s="28">
        <f t="shared" si="30"/>
        <v>-0.17040842478439799</v>
      </c>
      <c r="N564" s="28">
        <f t="shared" si="30"/>
        <v>-1.0565415706878412E-2</v>
      </c>
    </row>
    <row r="565" spans="1:14" x14ac:dyDescent="0.4">
      <c r="A565" s="1">
        <v>38384</v>
      </c>
      <c r="B565" s="28">
        <v>0.26084157521569296</v>
      </c>
      <c r="C565" s="28">
        <f t="shared" si="30"/>
        <v>-0.13473208237377321</v>
      </c>
      <c r="D565" s="28">
        <f t="shared" si="30"/>
        <v>0.13810261707993732</v>
      </c>
      <c r="E565" s="28">
        <f t="shared" si="30"/>
        <v>-0.12501896761961007</v>
      </c>
      <c r="F565" s="28">
        <f t="shared" si="30"/>
        <v>-0.3374984758163464</v>
      </c>
      <c r="G565" s="28">
        <f t="shared" si="30"/>
        <v>-0.49525803865776652</v>
      </c>
      <c r="H565" s="28">
        <f t="shared" si="30"/>
        <v>-0.34590694576161241</v>
      </c>
      <c r="I565" s="28">
        <f t="shared" si="30"/>
        <v>-0.39583180914968352</v>
      </c>
      <c r="J565" s="28">
        <f t="shared" si="30"/>
        <v>-9.8796290023983602E-2</v>
      </c>
      <c r="K565" s="28">
        <f t="shared" si="30"/>
        <v>0.3836080815606806</v>
      </c>
      <c r="L565" s="28">
        <f t="shared" si="30"/>
        <v>0.86945276159508467</v>
      </c>
      <c r="M565" s="28">
        <f t="shared" si="30"/>
        <v>7.0620907284478562E-2</v>
      </c>
      <c r="N565" s="28">
        <f t="shared" si="30"/>
        <v>-0.17040842478439799</v>
      </c>
    </row>
    <row r="566" spans="1:14" x14ac:dyDescent="0.4">
      <c r="A566" s="1">
        <v>38412</v>
      </c>
      <c r="B566" s="28">
        <v>-0.16437909271559192</v>
      </c>
      <c r="C566" s="28">
        <f t="shared" si="30"/>
        <v>0.26084157521569296</v>
      </c>
      <c r="D566" s="28">
        <f t="shared" si="30"/>
        <v>-0.13473208237377321</v>
      </c>
      <c r="E566" s="28">
        <f t="shared" si="30"/>
        <v>0.13810261707993732</v>
      </c>
      <c r="F566" s="28">
        <f t="shared" si="30"/>
        <v>-0.12501896761961007</v>
      </c>
      <c r="G566" s="28">
        <f t="shared" si="30"/>
        <v>-0.3374984758163464</v>
      </c>
      <c r="H566" s="28">
        <f t="shared" si="30"/>
        <v>-0.49525803865776652</v>
      </c>
      <c r="I566" s="28">
        <f t="shared" si="30"/>
        <v>-0.34590694576161241</v>
      </c>
      <c r="J566" s="28">
        <f t="shared" si="30"/>
        <v>-0.39583180914968352</v>
      </c>
      <c r="K566" s="28">
        <f t="shared" si="30"/>
        <v>-9.8796290023983602E-2</v>
      </c>
      <c r="L566" s="28">
        <f t="shared" si="30"/>
        <v>0.3836080815606806</v>
      </c>
      <c r="M566" s="28">
        <f t="shared" si="30"/>
        <v>0.86945276159508467</v>
      </c>
      <c r="N566" s="28">
        <f t="shared" si="30"/>
        <v>7.0620907284478562E-2</v>
      </c>
    </row>
    <row r="567" spans="1:14" x14ac:dyDescent="0.4">
      <c r="A567" s="1">
        <v>38443</v>
      </c>
      <c r="B567" s="28">
        <v>0.38361942826190898</v>
      </c>
      <c r="C567" s="28">
        <f t="shared" si="30"/>
        <v>-0.16437909271559192</v>
      </c>
      <c r="D567" s="28">
        <f t="shared" si="30"/>
        <v>0.26084157521569296</v>
      </c>
      <c r="E567" s="28">
        <f t="shared" si="30"/>
        <v>-0.13473208237377321</v>
      </c>
      <c r="F567" s="28">
        <f t="shared" si="30"/>
        <v>0.13810261707993732</v>
      </c>
      <c r="G567" s="28">
        <f t="shared" si="30"/>
        <v>-0.12501896761961007</v>
      </c>
      <c r="H567" s="28">
        <f t="shared" si="30"/>
        <v>-0.3374984758163464</v>
      </c>
      <c r="I567" s="28">
        <f t="shared" si="30"/>
        <v>-0.49525803865776652</v>
      </c>
      <c r="J567" s="28">
        <f t="shared" si="30"/>
        <v>-0.34590694576161241</v>
      </c>
      <c r="K567" s="28">
        <f t="shared" si="30"/>
        <v>-0.39583180914968352</v>
      </c>
      <c r="L567" s="28">
        <f t="shared" si="30"/>
        <v>-9.8796290023983602E-2</v>
      </c>
      <c r="M567" s="28">
        <f t="shared" si="30"/>
        <v>0.3836080815606806</v>
      </c>
      <c r="N567" s="28">
        <f t="shared" si="30"/>
        <v>0.86945276159508467</v>
      </c>
    </row>
    <row r="568" spans="1:14" x14ac:dyDescent="0.4">
      <c r="A568" s="1">
        <v>38473</v>
      </c>
      <c r="B568" s="28">
        <v>-0.12972525177252692</v>
      </c>
      <c r="C568" s="28">
        <f t="shared" si="30"/>
        <v>0.38361942826190898</v>
      </c>
      <c r="D568" s="28">
        <f t="shared" si="30"/>
        <v>-0.16437909271559192</v>
      </c>
      <c r="E568" s="28">
        <f t="shared" si="30"/>
        <v>0.26084157521569296</v>
      </c>
      <c r="F568" s="28">
        <f t="shared" si="30"/>
        <v>-0.13473208237377321</v>
      </c>
      <c r="G568" s="28">
        <f t="shared" si="30"/>
        <v>0.13810261707993732</v>
      </c>
      <c r="H568" s="28">
        <f t="shared" si="30"/>
        <v>-0.12501896761961007</v>
      </c>
      <c r="I568" s="28">
        <f t="shared" si="30"/>
        <v>-0.3374984758163464</v>
      </c>
      <c r="J568" s="28">
        <f t="shared" si="30"/>
        <v>-0.49525803865776652</v>
      </c>
      <c r="K568" s="28">
        <f t="shared" si="30"/>
        <v>-0.34590694576161241</v>
      </c>
      <c r="L568" s="28">
        <f t="shared" si="30"/>
        <v>-0.39583180914968352</v>
      </c>
      <c r="M568" s="28">
        <f t="shared" si="30"/>
        <v>-9.8796290023983602E-2</v>
      </c>
      <c r="N568" s="28">
        <f t="shared" si="30"/>
        <v>0.3836080815606806</v>
      </c>
    </row>
    <row r="569" spans="1:14" x14ac:dyDescent="0.4">
      <c r="A569" s="1">
        <v>38504</v>
      </c>
      <c r="B569" s="28">
        <v>0.22495370997597774</v>
      </c>
      <c r="C569" s="28">
        <f t="shared" si="30"/>
        <v>-0.12972525177252692</v>
      </c>
      <c r="D569" s="28">
        <f t="shared" si="30"/>
        <v>0.38361942826190898</v>
      </c>
      <c r="E569" s="28">
        <f t="shared" si="30"/>
        <v>-0.16437909271559192</v>
      </c>
      <c r="F569" s="28">
        <f t="shared" si="30"/>
        <v>0.26084157521569296</v>
      </c>
      <c r="G569" s="28">
        <f t="shared" si="30"/>
        <v>-0.13473208237377321</v>
      </c>
      <c r="H569" s="28">
        <f t="shared" si="30"/>
        <v>0.13810261707993732</v>
      </c>
      <c r="I569" s="28">
        <f t="shared" si="30"/>
        <v>-0.12501896761961007</v>
      </c>
      <c r="J569" s="28">
        <f t="shared" si="30"/>
        <v>-0.3374984758163464</v>
      </c>
      <c r="K569" s="28">
        <f t="shared" si="30"/>
        <v>-0.49525803865776652</v>
      </c>
      <c r="L569" s="28">
        <f t="shared" si="30"/>
        <v>-0.34590694576161241</v>
      </c>
      <c r="M569" s="28">
        <f t="shared" si="30"/>
        <v>-0.39583180914968352</v>
      </c>
      <c r="N569" s="28">
        <f t="shared" si="30"/>
        <v>-9.8796290023983602E-2</v>
      </c>
    </row>
    <row r="570" spans="1:14" x14ac:dyDescent="0.4">
      <c r="A570" s="1">
        <v>38534</v>
      </c>
      <c r="B570" s="28">
        <v>0.20416819085033922</v>
      </c>
      <c r="C570" s="28">
        <f t="shared" si="30"/>
        <v>0.22495370997597774</v>
      </c>
      <c r="D570" s="28">
        <f t="shared" si="30"/>
        <v>-0.12972525177252692</v>
      </c>
      <c r="E570" s="28">
        <f t="shared" si="30"/>
        <v>0.38361942826190898</v>
      </c>
      <c r="F570" s="28">
        <f t="shared" si="30"/>
        <v>-0.16437909271559192</v>
      </c>
      <c r="G570" s="28">
        <f t="shared" si="30"/>
        <v>0.26084157521569296</v>
      </c>
      <c r="H570" s="28">
        <f t="shared" si="30"/>
        <v>-0.13473208237377321</v>
      </c>
      <c r="I570" s="28">
        <f t="shared" si="30"/>
        <v>0.13810261707993732</v>
      </c>
      <c r="J570" s="28">
        <f t="shared" si="30"/>
        <v>-0.12501896761961007</v>
      </c>
      <c r="K570" s="28">
        <f t="shared" si="30"/>
        <v>-0.3374984758163464</v>
      </c>
      <c r="L570" s="28">
        <f t="shared" si="30"/>
        <v>-0.49525803865776652</v>
      </c>
      <c r="M570" s="28">
        <f t="shared" si="30"/>
        <v>-0.34590694576161241</v>
      </c>
      <c r="N570" s="28">
        <f t="shared" si="30"/>
        <v>-0.39583180914968352</v>
      </c>
    </row>
    <row r="571" spans="1:14" x14ac:dyDescent="0.4">
      <c r="A571" s="1">
        <v>38565</v>
      </c>
      <c r="B571" s="28">
        <v>0.12534305423838532</v>
      </c>
      <c r="C571" s="28">
        <f t="shared" si="30"/>
        <v>0.20416819085033922</v>
      </c>
      <c r="D571" s="28">
        <f t="shared" si="30"/>
        <v>0.22495370997597774</v>
      </c>
      <c r="E571" s="28">
        <f t="shared" si="30"/>
        <v>-0.12972525177252692</v>
      </c>
      <c r="F571" s="28">
        <f t="shared" si="30"/>
        <v>0.38361942826190898</v>
      </c>
      <c r="G571" s="28">
        <f t="shared" si="30"/>
        <v>-0.16437909271559192</v>
      </c>
      <c r="H571" s="28">
        <f t="shared" si="30"/>
        <v>0.26084157521569296</v>
      </c>
      <c r="I571" s="28">
        <f t="shared" si="30"/>
        <v>-0.13473208237377321</v>
      </c>
      <c r="J571" s="28">
        <f t="shared" si="30"/>
        <v>0.13810261707993732</v>
      </c>
      <c r="K571" s="28">
        <f t="shared" si="30"/>
        <v>-0.12501896761961007</v>
      </c>
      <c r="L571" s="28">
        <f t="shared" si="30"/>
        <v>-0.3374984758163464</v>
      </c>
      <c r="M571" s="28">
        <f t="shared" si="30"/>
        <v>-0.49525803865776652</v>
      </c>
      <c r="N571" s="28">
        <f t="shared" si="30"/>
        <v>-0.34590694576161241</v>
      </c>
    </row>
    <row r="572" spans="1:14" x14ac:dyDescent="0.4">
      <c r="A572" s="1">
        <v>38596</v>
      </c>
      <c r="B572" s="28">
        <v>-0.53400803865781654</v>
      </c>
      <c r="C572" s="28">
        <f t="shared" si="30"/>
        <v>0.12534305423838532</v>
      </c>
      <c r="D572" s="28">
        <f t="shared" si="30"/>
        <v>0.20416819085033922</v>
      </c>
      <c r="E572" s="28">
        <f t="shared" si="30"/>
        <v>0.22495370997597774</v>
      </c>
      <c r="F572" s="28">
        <f t="shared" si="30"/>
        <v>-0.12972525177252692</v>
      </c>
      <c r="G572" s="28">
        <f t="shared" si="30"/>
        <v>0.38361942826190898</v>
      </c>
      <c r="H572" s="28">
        <f t="shared" si="30"/>
        <v>-0.16437909271559192</v>
      </c>
      <c r="I572" s="28">
        <f t="shared" si="30"/>
        <v>0.26084157521569296</v>
      </c>
      <c r="J572" s="28">
        <f t="shared" si="30"/>
        <v>-0.13473208237377321</v>
      </c>
      <c r="K572" s="28">
        <f t="shared" si="30"/>
        <v>0.13810261707993732</v>
      </c>
      <c r="L572" s="28">
        <f t="shared" si="30"/>
        <v>-0.12501896761961007</v>
      </c>
      <c r="M572" s="28">
        <f t="shared" si="30"/>
        <v>-0.3374984758163464</v>
      </c>
      <c r="N572" s="28">
        <f t="shared" si="30"/>
        <v>-0.49525803865776652</v>
      </c>
    </row>
    <row r="573" spans="1:14" x14ac:dyDescent="0.4">
      <c r="A573" s="1">
        <v>38626</v>
      </c>
      <c r="B573" s="28">
        <v>-0.23083180914960622</v>
      </c>
      <c r="C573" s="28">
        <f t="shared" si="30"/>
        <v>-0.53400803865781654</v>
      </c>
      <c r="D573" s="28">
        <f t="shared" si="30"/>
        <v>0.12534305423838532</v>
      </c>
      <c r="E573" s="28">
        <f t="shared" si="30"/>
        <v>0.20416819085033922</v>
      </c>
      <c r="F573" s="28">
        <f t="shared" si="30"/>
        <v>0.22495370997597774</v>
      </c>
      <c r="G573" s="28">
        <f t="shared" si="30"/>
        <v>-0.12972525177252692</v>
      </c>
      <c r="H573" s="28">
        <f t="shared" si="30"/>
        <v>0.38361942826190898</v>
      </c>
      <c r="I573" s="28">
        <f t="shared" si="30"/>
        <v>-0.16437909271559192</v>
      </c>
      <c r="J573" s="28">
        <f t="shared" si="30"/>
        <v>0.26084157521569296</v>
      </c>
      <c r="K573" s="28">
        <f t="shared" si="30"/>
        <v>-0.13473208237377321</v>
      </c>
      <c r="L573" s="28">
        <f t="shared" si="30"/>
        <v>0.13810261707993732</v>
      </c>
      <c r="M573" s="28">
        <f t="shared" si="30"/>
        <v>-0.12501896761961007</v>
      </c>
      <c r="N573" s="28">
        <f t="shared" si="30"/>
        <v>-0.3374984758163464</v>
      </c>
    </row>
    <row r="574" spans="1:14" x14ac:dyDescent="0.4">
      <c r="A574" s="1">
        <v>38657</v>
      </c>
      <c r="B574" s="28">
        <v>-0.20418563428620473</v>
      </c>
      <c r="C574" s="28">
        <f t="shared" si="30"/>
        <v>-0.23083180914960622</v>
      </c>
      <c r="D574" s="28">
        <f t="shared" si="30"/>
        <v>-0.53400803865781654</v>
      </c>
      <c r="E574" s="28">
        <f t="shared" si="30"/>
        <v>0.12534305423838532</v>
      </c>
      <c r="F574" s="28">
        <f t="shared" si="30"/>
        <v>0.20416819085033922</v>
      </c>
      <c r="G574" s="28">
        <f t="shared" si="30"/>
        <v>0.22495370997597774</v>
      </c>
      <c r="H574" s="28">
        <f t="shared" si="30"/>
        <v>-0.12972525177252692</v>
      </c>
      <c r="I574" s="28">
        <f t="shared" si="30"/>
        <v>0.38361942826190898</v>
      </c>
      <c r="J574" s="28">
        <f t="shared" si="30"/>
        <v>-0.16437909271559192</v>
      </c>
      <c r="K574" s="28">
        <f t="shared" si="30"/>
        <v>0.26084157521569296</v>
      </c>
      <c r="L574" s="28">
        <f t="shared" si="30"/>
        <v>-0.13473208237377321</v>
      </c>
      <c r="M574" s="28">
        <f t="shared" si="30"/>
        <v>0.13810261707993732</v>
      </c>
      <c r="N574" s="28">
        <f t="shared" si="30"/>
        <v>-0.12501896761961007</v>
      </c>
    </row>
    <row r="575" spans="1:14" x14ac:dyDescent="0.4">
      <c r="A575" s="1">
        <v>38687</v>
      </c>
      <c r="B575" s="28">
        <v>8.8935950413258524E-2</v>
      </c>
      <c r="C575" s="28">
        <f t="shared" si="30"/>
        <v>-0.20418563428620473</v>
      </c>
      <c r="D575" s="28">
        <f t="shared" si="30"/>
        <v>-0.23083180914960622</v>
      </c>
      <c r="E575" s="28">
        <f t="shared" si="30"/>
        <v>-0.53400803865781654</v>
      </c>
      <c r="F575" s="28">
        <f t="shared" si="30"/>
        <v>0.12534305423838532</v>
      </c>
      <c r="G575" s="28">
        <f t="shared" si="30"/>
        <v>0.20416819085033922</v>
      </c>
      <c r="H575" s="28">
        <f t="shared" si="30"/>
        <v>0.22495370997597774</v>
      </c>
      <c r="I575" s="28">
        <f t="shared" si="30"/>
        <v>-0.12972525177252692</v>
      </c>
      <c r="J575" s="28">
        <f t="shared" si="30"/>
        <v>0.38361942826190898</v>
      </c>
      <c r="K575" s="28">
        <f t="shared" si="30"/>
        <v>-0.16437909271559192</v>
      </c>
      <c r="L575" s="28">
        <f t="shared" si="30"/>
        <v>0.26084157521569296</v>
      </c>
      <c r="M575" s="28">
        <f t="shared" si="30"/>
        <v>-0.13473208237377321</v>
      </c>
      <c r="N575" s="28">
        <f t="shared" si="30"/>
        <v>0.13810261707993732</v>
      </c>
    </row>
    <row r="576" spans="1:14" x14ac:dyDescent="0.4">
      <c r="A576" s="1">
        <v>38718</v>
      </c>
      <c r="B576" s="28">
        <v>0.40360125095969579</v>
      </c>
      <c r="C576" s="28">
        <f t="shared" si="30"/>
        <v>8.8935950413258524E-2</v>
      </c>
      <c r="D576" s="28">
        <f t="shared" si="30"/>
        <v>-0.20418563428620473</v>
      </c>
      <c r="E576" s="28">
        <f t="shared" si="30"/>
        <v>-0.23083180914960622</v>
      </c>
      <c r="F576" s="28">
        <f t="shared" si="30"/>
        <v>-0.53400803865781654</v>
      </c>
      <c r="G576" s="28">
        <f t="shared" si="30"/>
        <v>0.12534305423838532</v>
      </c>
      <c r="H576" s="28">
        <f t="shared" si="30"/>
        <v>0.20416819085033922</v>
      </c>
      <c r="I576" s="28">
        <f t="shared" si="30"/>
        <v>0.22495370997597774</v>
      </c>
      <c r="J576" s="28">
        <f t="shared" si="30"/>
        <v>-0.12972525177252692</v>
      </c>
      <c r="K576" s="28">
        <f t="shared" si="30"/>
        <v>0.38361942826190898</v>
      </c>
      <c r="L576" s="28">
        <f t="shared" si="30"/>
        <v>-0.16437909271559192</v>
      </c>
      <c r="M576" s="28">
        <f t="shared" si="30"/>
        <v>0.26084157521569296</v>
      </c>
      <c r="N576" s="28">
        <f t="shared" si="30"/>
        <v>-0.13473208237377321</v>
      </c>
    </row>
    <row r="577" spans="1:14" x14ac:dyDescent="0.4">
      <c r="A577" s="1">
        <v>38749</v>
      </c>
      <c r="B577" s="28">
        <v>0.2754249085489846</v>
      </c>
      <c r="C577" s="28">
        <f t="shared" si="30"/>
        <v>0.40360125095969579</v>
      </c>
      <c r="D577" s="28">
        <f t="shared" si="30"/>
        <v>8.8935950413258524E-2</v>
      </c>
      <c r="E577" s="28">
        <f t="shared" si="30"/>
        <v>-0.20418563428620473</v>
      </c>
      <c r="F577" s="28">
        <f t="shared" si="30"/>
        <v>-0.23083180914960622</v>
      </c>
      <c r="G577" s="28">
        <f t="shared" si="30"/>
        <v>-0.53400803865781654</v>
      </c>
      <c r="H577" s="28">
        <f t="shared" si="30"/>
        <v>0.12534305423838532</v>
      </c>
      <c r="I577" s="28">
        <f t="shared" si="30"/>
        <v>0.20416819085033922</v>
      </c>
      <c r="J577" s="28">
        <f t="shared" si="30"/>
        <v>0.22495370997597774</v>
      </c>
      <c r="K577" s="28">
        <f t="shared" si="30"/>
        <v>-0.12972525177252692</v>
      </c>
      <c r="L577" s="28">
        <f t="shared" si="30"/>
        <v>0.38361942826190898</v>
      </c>
      <c r="M577" s="28">
        <f t="shared" si="30"/>
        <v>-0.16437909271559192</v>
      </c>
      <c r="N577" s="28">
        <f t="shared" si="30"/>
        <v>0.26084157521569296</v>
      </c>
    </row>
    <row r="578" spans="1:14" x14ac:dyDescent="0.4">
      <c r="A578" s="1">
        <v>38777</v>
      </c>
      <c r="B578" s="28">
        <v>-3.7712426048869929E-2</v>
      </c>
      <c r="C578" s="28">
        <f t="shared" si="30"/>
        <v>0.2754249085489846</v>
      </c>
      <c r="D578" s="28">
        <f t="shared" si="30"/>
        <v>0.40360125095969579</v>
      </c>
      <c r="E578" s="28">
        <f t="shared" si="30"/>
        <v>8.8935950413258524E-2</v>
      </c>
      <c r="F578" s="28">
        <f t="shared" si="30"/>
        <v>-0.20418563428620473</v>
      </c>
      <c r="G578" s="28">
        <f t="shared" si="30"/>
        <v>-0.23083180914960622</v>
      </c>
      <c r="H578" s="28">
        <f t="shared" si="30"/>
        <v>-0.53400803865781654</v>
      </c>
      <c r="I578" s="28">
        <f t="shared" si="30"/>
        <v>0.12534305423838532</v>
      </c>
      <c r="J578" s="28">
        <f t="shared" si="30"/>
        <v>0.20416819085033922</v>
      </c>
      <c r="K578" s="28">
        <f t="shared" si="30"/>
        <v>0.22495370997597774</v>
      </c>
      <c r="L578" s="28">
        <f t="shared" si="30"/>
        <v>-0.12972525177252692</v>
      </c>
      <c r="M578" s="28">
        <f t="shared" si="30"/>
        <v>0.38361942826190898</v>
      </c>
      <c r="N578" s="28">
        <f t="shared" si="30"/>
        <v>-0.16437909271559192</v>
      </c>
    </row>
    <row r="579" spans="1:14" x14ac:dyDescent="0.4">
      <c r="A579" s="1">
        <v>38808</v>
      </c>
      <c r="B579" s="28">
        <v>0.35278609492837631</v>
      </c>
      <c r="C579" s="28">
        <f t="shared" si="30"/>
        <v>-3.7712426048869929E-2</v>
      </c>
      <c r="D579" s="28">
        <f t="shared" si="30"/>
        <v>0.2754249085489846</v>
      </c>
      <c r="E579" s="28">
        <f t="shared" si="30"/>
        <v>0.40360125095969579</v>
      </c>
      <c r="F579" s="28">
        <f t="shared" si="30"/>
        <v>8.8935950413258524E-2</v>
      </c>
      <c r="G579" s="28">
        <f t="shared" si="30"/>
        <v>-0.20418563428620473</v>
      </c>
      <c r="H579" s="28">
        <f t="shared" si="30"/>
        <v>-0.23083180914960622</v>
      </c>
      <c r="I579" s="28">
        <f t="shared" si="30"/>
        <v>-0.53400803865781654</v>
      </c>
      <c r="J579" s="28">
        <f t="shared" si="30"/>
        <v>0.12534305423838532</v>
      </c>
      <c r="K579" s="28">
        <f t="shared" si="30"/>
        <v>0.20416819085033922</v>
      </c>
      <c r="L579" s="28">
        <f t="shared" si="30"/>
        <v>0.22495370997597774</v>
      </c>
      <c r="M579" s="28">
        <f t="shared" si="30"/>
        <v>-0.12972525177252692</v>
      </c>
      <c r="N579" s="28">
        <f t="shared" si="30"/>
        <v>0.38361942826190898</v>
      </c>
    </row>
    <row r="580" spans="1:14" x14ac:dyDescent="0.4">
      <c r="A580" s="1">
        <v>38838</v>
      </c>
      <c r="B580" s="28">
        <v>0.24944141489402227</v>
      </c>
      <c r="C580" s="28">
        <f t="shared" ref="C580:N643" si="31">IF(B579=0,"",B579)</f>
        <v>0.35278609492837631</v>
      </c>
      <c r="D580" s="28">
        <f t="shared" si="31"/>
        <v>-3.7712426048869929E-2</v>
      </c>
      <c r="E580" s="28">
        <f t="shared" si="31"/>
        <v>0.2754249085489846</v>
      </c>
      <c r="F580" s="28">
        <f t="shared" si="31"/>
        <v>0.40360125095969579</v>
      </c>
      <c r="G580" s="28">
        <f t="shared" si="31"/>
        <v>8.8935950413258524E-2</v>
      </c>
      <c r="H580" s="28">
        <f t="shared" si="31"/>
        <v>-0.20418563428620473</v>
      </c>
      <c r="I580" s="28">
        <f t="shared" si="31"/>
        <v>-0.23083180914960622</v>
      </c>
      <c r="J580" s="28">
        <f t="shared" si="31"/>
        <v>-0.53400803865781654</v>
      </c>
      <c r="K580" s="28">
        <f t="shared" si="31"/>
        <v>0.12534305423838532</v>
      </c>
      <c r="L580" s="28">
        <f t="shared" si="31"/>
        <v>0.20416819085033922</v>
      </c>
      <c r="M580" s="28">
        <f t="shared" si="31"/>
        <v>0.22495370997597774</v>
      </c>
      <c r="N580" s="28">
        <f t="shared" si="31"/>
        <v>-0.12972525177252692</v>
      </c>
    </row>
    <row r="581" spans="1:14" x14ac:dyDescent="0.4">
      <c r="A581" s="1">
        <v>38869</v>
      </c>
      <c r="B581" s="28">
        <v>-6.5046290023985875E-2</v>
      </c>
      <c r="C581" s="28">
        <f t="shared" si="31"/>
        <v>0.24944141489402227</v>
      </c>
      <c r="D581" s="28">
        <f t="shared" si="31"/>
        <v>0.35278609492837631</v>
      </c>
      <c r="E581" s="28">
        <f t="shared" si="31"/>
        <v>-3.7712426048869929E-2</v>
      </c>
      <c r="F581" s="28">
        <f t="shared" si="31"/>
        <v>0.2754249085489846</v>
      </c>
      <c r="G581" s="28">
        <f t="shared" si="31"/>
        <v>0.40360125095969579</v>
      </c>
      <c r="H581" s="28">
        <f t="shared" si="31"/>
        <v>8.8935950413258524E-2</v>
      </c>
      <c r="I581" s="28">
        <f t="shared" si="31"/>
        <v>-0.20418563428620473</v>
      </c>
      <c r="J581" s="28">
        <f t="shared" si="31"/>
        <v>-0.23083180914960622</v>
      </c>
      <c r="K581" s="28">
        <f t="shared" si="31"/>
        <v>-0.53400803865781654</v>
      </c>
      <c r="L581" s="28">
        <f t="shared" si="31"/>
        <v>0.12534305423838532</v>
      </c>
      <c r="M581" s="28">
        <f t="shared" si="31"/>
        <v>0.20416819085033922</v>
      </c>
      <c r="N581" s="28">
        <f t="shared" si="31"/>
        <v>0.22495370997597774</v>
      </c>
    </row>
    <row r="582" spans="1:14" x14ac:dyDescent="0.4">
      <c r="A582" s="1">
        <v>38899</v>
      </c>
      <c r="B582" s="28">
        <v>-0.30583180914965169</v>
      </c>
      <c r="C582" s="28">
        <f t="shared" si="31"/>
        <v>-6.5046290023985875E-2</v>
      </c>
      <c r="D582" s="28">
        <f t="shared" si="31"/>
        <v>0.24944141489402227</v>
      </c>
      <c r="E582" s="28">
        <f t="shared" si="31"/>
        <v>0.35278609492837631</v>
      </c>
      <c r="F582" s="28">
        <f t="shared" si="31"/>
        <v>-3.7712426048869929E-2</v>
      </c>
      <c r="G582" s="28">
        <f t="shared" si="31"/>
        <v>0.2754249085489846</v>
      </c>
      <c r="H582" s="28">
        <f t="shared" si="31"/>
        <v>0.40360125095969579</v>
      </c>
      <c r="I582" s="28">
        <f t="shared" si="31"/>
        <v>8.8935950413258524E-2</v>
      </c>
      <c r="J582" s="28">
        <f t="shared" si="31"/>
        <v>-0.20418563428620473</v>
      </c>
      <c r="K582" s="28">
        <f t="shared" si="31"/>
        <v>-0.23083180914960622</v>
      </c>
      <c r="L582" s="28">
        <f t="shared" si="31"/>
        <v>-0.53400803865781654</v>
      </c>
      <c r="M582" s="28">
        <f t="shared" si="31"/>
        <v>0.12534305423838532</v>
      </c>
      <c r="N582" s="28">
        <f t="shared" si="31"/>
        <v>0.20416819085033922</v>
      </c>
    </row>
    <row r="583" spans="1:14" x14ac:dyDescent="0.4">
      <c r="A583" s="1">
        <v>38930</v>
      </c>
      <c r="B583" s="28">
        <v>-8.8823612428257093E-2</v>
      </c>
      <c r="C583" s="28">
        <f t="shared" si="31"/>
        <v>-0.30583180914965169</v>
      </c>
      <c r="D583" s="28">
        <f t="shared" si="31"/>
        <v>-6.5046290023985875E-2</v>
      </c>
      <c r="E583" s="28">
        <f t="shared" si="31"/>
        <v>0.24944141489402227</v>
      </c>
      <c r="F583" s="28">
        <f t="shared" si="31"/>
        <v>0.35278609492837631</v>
      </c>
      <c r="G583" s="28">
        <f t="shared" si="31"/>
        <v>-3.7712426048869929E-2</v>
      </c>
      <c r="H583" s="28">
        <f t="shared" si="31"/>
        <v>0.2754249085489846</v>
      </c>
      <c r="I583" s="28">
        <f t="shared" si="31"/>
        <v>0.40360125095969579</v>
      </c>
      <c r="J583" s="28">
        <f t="shared" si="31"/>
        <v>8.8935950413258524E-2</v>
      </c>
      <c r="K583" s="28">
        <f t="shared" si="31"/>
        <v>-0.20418563428620473</v>
      </c>
      <c r="L583" s="28">
        <f t="shared" si="31"/>
        <v>-0.23083180914960622</v>
      </c>
      <c r="M583" s="28">
        <f t="shared" si="31"/>
        <v>-0.53400803865781654</v>
      </c>
      <c r="N583" s="28">
        <f t="shared" si="31"/>
        <v>0.12534305423838532</v>
      </c>
    </row>
    <row r="584" spans="1:14" x14ac:dyDescent="0.4">
      <c r="A584" s="1">
        <v>38961</v>
      </c>
      <c r="B584" s="28">
        <v>-0.10900803865786202</v>
      </c>
      <c r="C584" s="28">
        <f t="shared" si="31"/>
        <v>-8.8823612428257093E-2</v>
      </c>
      <c r="D584" s="28">
        <f t="shared" si="31"/>
        <v>-0.30583180914965169</v>
      </c>
      <c r="E584" s="28">
        <f t="shared" si="31"/>
        <v>-6.5046290023985875E-2</v>
      </c>
      <c r="F584" s="28">
        <f t="shared" si="31"/>
        <v>0.24944141489402227</v>
      </c>
      <c r="G584" s="28">
        <f t="shared" si="31"/>
        <v>0.35278609492837631</v>
      </c>
      <c r="H584" s="28">
        <f t="shared" si="31"/>
        <v>-3.7712426048869929E-2</v>
      </c>
      <c r="I584" s="28">
        <f t="shared" si="31"/>
        <v>0.2754249085489846</v>
      </c>
      <c r="J584" s="28">
        <f t="shared" si="31"/>
        <v>0.40360125095969579</v>
      </c>
      <c r="K584" s="28">
        <f t="shared" si="31"/>
        <v>8.8935950413258524E-2</v>
      </c>
      <c r="L584" s="28">
        <f t="shared" si="31"/>
        <v>-0.20418563428620473</v>
      </c>
      <c r="M584" s="28">
        <f t="shared" si="31"/>
        <v>-0.23083180914960622</v>
      </c>
      <c r="N584" s="28">
        <f t="shared" si="31"/>
        <v>-0.53400803865781654</v>
      </c>
    </row>
    <row r="585" spans="1:14" x14ac:dyDescent="0.4">
      <c r="A585" s="1">
        <v>38991</v>
      </c>
      <c r="B585" s="28">
        <v>0.11166819085042334</v>
      </c>
      <c r="C585" s="28">
        <f t="shared" si="31"/>
        <v>-0.10900803865786202</v>
      </c>
      <c r="D585" s="28">
        <f t="shared" si="31"/>
        <v>-8.8823612428257093E-2</v>
      </c>
      <c r="E585" s="28">
        <f t="shared" si="31"/>
        <v>-0.30583180914965169</v>
      </c>
      <c r="F585" s="28">
        <f t="shared" si="31"/>
        <v>-6.5046290023985875E-2</v>
      </c>
      <c r="G585" s="28">
        <f t="shared" si="31"/>
        <v>0.24944141489402227</v>
      </c>
      <c r="H585" s="28">
        <f t="shared" si="31"/>
        <v>0.35278609492837631</v>
      </c>
      <c r="I585" s="28">
        <f t="shared" si="31"/>
        <v>-3.7712426048869929E-2</v>
      </c>
      <c r="J585" s="28">
        <f t="shared" si="31"/>
        <v>0.2754249085489846</v>
      </c>
      <c r="K585" s="28">
        <f t="shared" si="31"/>
        <v>0.40360125095969579</v>
      </c>
      <c r="L585" s="28">
        <f t="shared" si="31"/>
        <v>8.8935950413258524E-2</v>
      </c>
      <c r="M585" s="28">
        <f t="shared" si="31"/>
        <v>-0.20418563428620473</v>
      </c>
      <c r="N585" s="28">
        <f t="shared" si="31"/>
        <v>-0.23083180914960622</v>
      </c>
    </row>
    <row r="586" spans="1:14" x14ac:dyDescent="0.4">
      <c r="A586" s="1">
        <v>39022</v>
      </c>
      <c r="B586" s="28">
        <v>-0.22376896761954868</v>
      </c>
      <c r="C586" s="28">
        <f t="shared" si="31"/>
        <v>0.11166819085042334</v>
      </c>
      <c r="D586" s="28">
        <f t="shared" si="31"/>
        <v>-0.10900803865786202</v>
      </c>
      <c r="E586" s="28">
        <f t="shared" si="31"/>
        <v>-8.8823612428257093E-2</v>
      </c>
      <c r="F586" s="28">
        <f t="shared" si="31"/>
        <v>-0.30583180914965169</v>
      </c>
      <c r="G586" s="28">
        <f t="shared" si="31"/>
        <v>-6.5046290023985875E-2</v>
      </c>
      <c r="H586" s="28">
        <f t="shared" si="31"/>
        <v>0.24944141489402227</v>
      </c>
      <c r="I586" s="28">
        <f t="shared" si="31"/>
        <v>0.35278609492837631</v>
      </c>
      <c r="J586" s="28">
        <f t="shared" si="31"/>
        <v>-3.7712426048869929E-2</v>
      </c>
      <c r="K586" s="28">
        <f t="shared" si="31"/>
        <v>0.2754249085489846</v>
      </c>
      <c r="L586" s="28">
        <f t="shared" si="31"/>
        <v>0.40360125095969579</v>
      </c>
      <c r="M586" s="28">
        <f t="shared" si="31"/>
        <v>8.8935950413258524E-2</v>
      </c>
      <c r="N586" s="28">
        <f t="shared" si="31"/>
        <v>-0.20418563428620473</v>
      </c>
    </row>
    <row r="587" spans="1:14" x14ac:dyDescent="0.4">
      <c r="A587" s="1">
        <v>39052</v>
      </c>
      <c r="B587" s="28">
        <v>-6.4807162533497831E-3</v>
      </c>
      <c r="C587" s="28">
        <f t="shared" si="31"/>
        <v>-0.22376896761954868</v>
      </c>
      <c r="D587" s="28">
        <f t="shared" si="31"/>
        <v>0.11166819085042334</v>
      </c>
      <c r="E587" s="28">
        <f t="shared" si="31"/>
        <v>-0.10900803865786202</v>
      </c>
      <c r="F587" s="28">
        <f t="shared" si="31"/>
        <v>-8.8823612428257093E-2</v>
      </c>
      <c r="G587" s="28">
        <f t="shared" si="31"/>
        <v>-0.30583180914965169</v>
      </c>
      <c r="H587" s="28">
        <f t="shared" si="31"/>
        <v>-6.5046290023985875E-2</v>
      </c>
      <c r="I587" s="28">
        <f t="shared" si="31"/>
        <v>0.24944141489402227</v>
      </c>
      <c r="J587" s="28">
        <f t="shared" si="31"/>
        <v>0.35278609492837631</v>
      </c>
      <c r="K587" s="28">
        <f t="shared" si="31"/>
        <v>-3.7712426048869929E-2</v>
      </c>
      <c r="L587" s="28">
        <f t="shared" si="31"/>
        <v>0.2754249085489846</v>
      </c>
      <c r="M587" s="28">
        <f t="shared" si="31"/>
        <v>0.40360125095969579</v>
      </c>
      <c r="N587" s="28">
        <f t="shared" si="31"/>
        <v>8.8935950413258524E-2</v>
      </c>
    </row>
    <row r="588" spans="1:14" x14ac:dyDescent="0.4">
      <c r="A588" s="1">
        <v>39083</v>
      </c>
      <c r="B588" s="28">
        <v>-0.19973208237371409</v>
      </c>
      <c r="C588" s="28">
        <f t="shared" si="31"/>
        <v>-6.4807162533497831E-3</v>
      </c>
      <c r="D588" s="28">
        <f t="shared" si="31"/>
        <v>-0.22376896761954868</v>
      </c>
      <c r="E588" s="28">
        <f t="shared" si="31"/>
        <v>0.11166819085042334</v>
      </c>
      <c r="F588" s="28">
        <f t="shared" si="31"/>
        <v>-0.10900803865786202</v>
      </c>
      <c r="G588" s="28">
        <f t="shared" si="31"/>
        <v>-8.8823612428257093E-2</v>
      </c>
      <c r="H588" s="28">
        <f t="shared" si="31"/>
        <v>-0.30583180914965169</v>
      </c>
      <c r="I588" s="28">
        <f t="shared" si="31"/>
        <v>-6.5046290023985875E-2</v>
      </c>
      <c r="J588" s="28">
        <f t="shared" si="31"/>
        <v>0.24944141489402227</v>
      </c>
      <c r="K588" s="28">
        <f t="shared" si="31"/>
        <v>0.35278609492837631</v>
      </c>
      <c r="L588" s="28">
        <f t="shared" si="31"/>
        <v>-3.7712426048869929E-2</v>
      </c>
      <c r="M588" s="28">
        <f t="shared" si="31"/>
        <v>0.2754249085489846</v>
      </c>
      <c r="N588" s="28">
        <f t="shared" si="31"/>
        <v>0.40360125095969579</v>
      </c>
    </row>
    <row r="589" spans="1:14" x14ac:dyDescent="0.4">
      <c r="A589" s="1">
        <v>39114</v>
      </c>
      <c r="B589" s="28">
        <v>0.14834157521562474</v>
      </c>
      <c r="C589" s="28">
        <f t="shared" si="31"/>
        <v>-0.19973208237371409</v>
      </c>
      <c r="D589" s="28">
        <f t="shared" si="31"/>
        <v>-6.4807162533497831E-3</v>
      </c>
      <c r="E589" s="28">
        <f t="shared" si="31"/>
        <v>-0.22376896761954868</v>
      </c>
      <c r="F589" s="28">
        <f t="shared" si="31"/>
        <v>0.11166819085042334</v>
      </c>
      <c r="G589" s="28">
        <f t="shared" si="31"/>
        <v>-0.10900803865786202</v>
      </c>
      <c r="H589" s="28">
        <f t="shared" si="31"/>
        <v>-8.8823612428257093E-2</v>
      </c>
      <c r="I589" s="28">
        <f t="shared" si="31"/>
        <v>-0.30583180914965169</v>
      </c>
      <c r="J589" s="28">
        <f t="shared" si="31"/>
        <v>-6.5046290023985875E-2</v>
      </c>
      <c r="K589" s="28">
        <f t="shared" si="31"/>
        <v>0.24944141489402227</v>
      </c>
      <c r="L589" s="28">
        <f t="shared" si="31"/>
        <v>0.35278609492837631</v>
      </c>
      <c r="M589" s="28">
        <f t="shared" si="31"/>
        <v>-3.7712426048869929E-2</v>
      </c>
      <c r="N589" s="28">
        <f t="shared" si="31"/>
        <v>0.2754249085489846</v>
      </c>
    </row>
    <row r="590" spans="1:14" x14ac:dyDescent="0.4">
      <c r="A590" s="1">
        <v>39142</v>
      </c>
      <c r="B590" s="28">
        <v>-4.1879092715532806E-2</v>
      </c>
      <c r="C590" s="28">
        <f t="shared" si="31"/>
        <v>0.14834157521562474</v>
      </c>
      <c r="D590" s="28">
        <f t="shared" si="31"/>
        <v>-0.19973208237371409</v>
      </c>
      <c r="E590" s="28">
        <f t="shared" si="31"/>
        <v>-6.4807162533497831E-3</v>
      </c>
      <c r="F590" s="28">
        <f t="shared" si="31"/>
        <v>-0.22376896761954868</v>
      </c>
      <c r="G590" s="28">
        <f t="shared" si="31"/>
        <v>0.11166819085042334</v>
      </c>
      <c r="H590" s="28">
        <f t="shared" si="31"/>
        <v>-0.10900803865786202</v>
      </c>
      <c r="I590" s="28">
        <f t="shared" si="31"/>
        <v>-8.8823612428257093E-2</v>
      </c>
      <c r="J590" s="28">
        <f t="shared" si="31"/>
        <v>-0.30583180914965169</v>
      </c>
      <c r="K590" s="28">
        <f t="shared" si="31"/>
        <v>-6.5046290023985875E-2</v>
      </c>
      <c r="L590" s="28">
        <f t="shared" si="31"/>
        <v>0.24944141489402227</v>
      </c>
      <c r="M590" s="28">
        <f t="shared" si="31"/>
        <v>0.35278609492837631</v>
      </c>
      <c r="N590" s="28">
        <f t="shared" si="31"/>
        <v>-3.7712426048869929E-2</v>
      </c>
    </row>
    <row r="591" spans="1:14" x14ac:dyDescent="0.4">
      <c r="A591" s="1">
        <v>39173</v>
      </c>
      <c r="B591" s="28">
        <v>0.47195276159510513</v>
      </c>
      <c r="C591" s="28">
        <f t="shared" si="31"/>
        <v>-4.1879092715532806E-2</v>
      </c>
      <c r="D591" s="28">
        <f t="shared" si="31"/>
        <v>0.14834157521562474</v>
      </c>
      <c r="E591" s="28">
        <f t="shared" si="31"/>
        <v>-0.19973208237371409</v>
      </c>
      <c r="F591" s="28">
        <f t="shared" si="31"/>
        <v>-6.4807162533497831E-3</v>
      </c>
      <c r="G591" s="28">
        <f t="shared" si="31"/>
        <v>-0.22376896761954868</v>
      </c>
      <c r="H591" s="28">
        <f t="shared" si="31"/>
        <v>0.11166819085042334</v>
      </c>
      <c r="I591" s="28">
        <f t="shared" si="31"/>
        <v>-0.10900803865786202</v>
      </c>
      <c r="J591" s="28">
        <f t="shared" si="31"/>
        <v>-8.8823612428257093E-2</v>
      </c>
      <c r="K591" s="28">
        <f t="shared" si="31"/>
        <v>-0.30583180914965169</v>
      </c>
      <c r="L591" s="28">
        <f t="shared" si="31"/>
        <v>-6.5046290023985875E-2</v>
      </c>
      <c r="M591" s="28">
        <f t="shared" si="31"/>
        <v>0.24944141489402227</v>
      </c>
      <c r="N591" s="28">
        <f t="shared" si="31"/>
        <v>0.35278609492837631</v>
      </c>
    </row>
    <row r="592" spans="1:14" x14ac:dyDescent="0.4">
      <c r="A592" s="1">
        <v>39203</v>
      </c>
      <c r="B592" s="28">
        <v>-8.4752517726087717E-3</v>
      </c>
      <c r="C592" s="28">
        <f t="shared" si="31"/>
        <v>0.47195276159510513</v>
      </c>
      <c r="D592" s="28">
        <f t="shared" si="31"/>
        <v>-4.1879092715532806E-2</v>
      </c>
      <c r="E592" s="28">
        <f t="shared" si="31"/>
        <v>0.14834157521562474</v>
      </c>
      <c r="F592" s="28">
        <f t="shared" si="31"/>
        <v>-0.19973208237371409</v>
      </c>
      <c r="G592" s="28">
        <f t="shared" si="31"/>
        <v>-6.4807162533497831E-3</v>
      </c>
      <c r="H592" s="28">
        <f t="shared" si="31"/>
        <v>-0.22376896761954868</v>
      </c>
      <c r="I592" s="28">
        <f t="shared" si="31"/>
        <v>0.11166819085042334</v>
      </c>
      <c r="J592" s="28">
        <f t="shared" si="31"/>
        <v>-0.10900803865786202</v>
      </c>
      <c r="K592" s="28">
        <f t="shared" si="31"/>
        <v>-8.8823612428257093E-2</v>
      </c>
      <c r="L592" s="28">
        <f t="shared" si="31"/>
        <v>-0.30583180914965169</v>
      </c>
      <c r="M592" s="28">
        <f t="shared" si="31"/>
        <v>-6.5046290023985875E-2</v>
      </c>
      <c r="N592" s="28">
        <f t="shared" si="31"/>
        <v>0.24944141489402227</v>
      </c>
    </row>
    <row r="593" spans="1:14" x14ac:dyDescent="0.4">
      <c r="A593" s="1">
        <v>39234</v>
      </c>
      <c r="B593" s="28">
        <v>3.7037664270656023E-4</v>
      </c>
      <c r="C593" s="28">
        <f t="shared" si="31"/>
        <v>-8.4752517726087717E-3</v>
      </c>
      <c r="D593" s="28">
        <f t="shared" si="31"/>
        <v>0.47195276159510513</v>
      </c>
      <c r="E593" s="28">
        <f t="shared" si="31"/>
        <v>-4.1879092715532806E-2</v>
      </c>
      <c r="F593" s="28">
        <f t="shared" si="31"/>
        <v>0.14834157521562474</v>
      </c>
      <c r="G593" s="28">
        <f t="shared" si="31"/>
        <v>-0.19973208237371409</v>
      </c>
      <c r="H593" s="28">
        <f t="shared" si="31"/>
        <v>-6.4807162533497831E-3</v>
      </c>
      <c r="I593" s="28">
        <f t="shared" si="31"/>
        <v>-0.22376896761954868</v>
      </c>
      <c r="J593" s="28">
        <f t="shared" si="31"/>
        <v>0.11166819085042334</v>
      </c>
      <c r="K593" s="28">
        <f t="shared" si="31"/>
        <v>-0.10900803865786202</v>
      </c>
      <c r="L593" s="28">
        <f t="shared" si="31"/>
        <v>-8.8823612428257093E-2</v>
      </c>
      <c r="M593" s="28">
        <f t="shared" si="31"/>
        <v>-0.30583180914965169</v>
      </c>
      <c r="N593" s="28">
        <f t="shared" si="31"/>
        <v>-6.5046290023985875E-2</v>
      </c>
    </row>
    <row r="594" spans="1:14" x14ac:dyDescent="0.4">
      <c r="A594" s="1">
        <v>39264</v>
      </c>
      <c r="B594" s="28">
        <v>1.583485751700664E-2</v>
      </c>
      <c r="C594" s="28">
        <f t="shared" si="31"/>
        <v>3.7037664270656023E-4</v>
      </c>
      <c r="D594" s="28">
        <f t="shared" si="31"/>
        <v>-8.4752517726087717E-3</v>
      </c>
      <c r="E594" s="28">
        <f t="shared" si="31"/>
        <v>0.47195276159510513</v>
      </c>
      <c r="F594" s="28">
        <f t="shared" si="31"/>
        <v>-4.1879092715532806E-2</v>
      </c>
      <c r="G594" s="28">
        <f t="shared" si="31"/>
        <v>0.14834157521562474</v>
      </c>
      <c r="H594" s="28">
        <f t="shared" si="31"/>
        <v>-0.19973208237371409</v>
      </c>
      <c r="I594" s="28">
        <f t="shared" si="31"/>
        <v>-6.4807162533497831E-3</v>
      </c>
      <c r="J594" s="28">
        <f t="shared" si="31"/>
        <v>-0.22376896761954868</v>
      </c>
      <c r="K594" s="28">
        <f t="shared" si="31"/>
        <v>0.11166819085042334</v>
      </c>
      <c r="L594" s="28">
        <f t="shared" si="31"/>
        <v>-0.10900803865786202</v>
      </c>
      <c r="M594" s="28">
        <f t="shared" si="31"/>
        <v>-8.8823612428257093E-2</v>
      </c>
      <c r="N594" s="28">
        <f t="shared" si="31"/>
        <v>-0.30583180914965169</v>
      </c>
    </row>
    <row r="595" spans="1:14" x14ac:dyDescent="0.4">
      <c r="A595" s="1">
        <v>39295</v>
      </c>
      <c r="B595" s="28">
        <v>-0.6388236124283253</v>
      </c>
      <c r="C595" s="28">
        <f t="shared" si="31"/>
        <v>1.583485751700664E-2</v>
      </c>
      <c r="D595" s="28">
        <f t="shared" si="31"/>
        <v>3.7037664270656023E-4</v>
      </c>
      <c r="E595" s="28">
        <f t="shared" si="31"/>
        <v>-8.4752517726087717E-3</v>
      </c>
      <c r="F595" s="28">
        <f t="shared" si="31"/>
        <v>0.47195276159510513</v>
      </c>
      <c r="G595" s="28">
        <f t="shared" si="31"/>
        <v>-4.1879092715532806E-2</v>
      </c>
      <c r="H595" s="28">
        <f t="shared" si="31"/>
        <v>0.14834157521562474</v>
      </c>
      <c r="I595" s="28">
        <f t="shared" si="31"/>
        <v>-0.19973208237371409</v>
      </c>
      <c r="J595" s="28">
        <f t="shared" si="31"/>
        <v>-6.4807162533497831E-3</v>
      </c>
      <c r="K595" s="28">
        <f t="shared" si="31"/>
        <v>-0.22376896761954868</v>
      </c>
      <c r="L595" s="28">
        <f t="shared" si="31"/>
        <v>0.11166819085042334</v>
      </c>
      <c r="M595" s="28">
        <f t="shared" si="31"/>
        <v>-0.10900803865786202</v>
      </c>
      <c r="N595" s="28">
        <f t="shared" si="31"/>
        <v>-8.8823612428257093E-2</v>
      </c>
    </row>
    <row r="596" spans="1:14" x14ac:dyDescent="0.4">
      <c r="A596" s="1">
        <v>39326</v>
      </c>
      <c r="B596" s="28">
        <v>2.4741961342158447E-2</v>
      </c>
      <c r="C596" s="28">
        <f t="shared" si="31"/>
        <v>-0.6388236124283253</v>
      </c>
      <c r="D596" s="28">
        <f t="shared" si="31"/>
        <v>1.583485751700664E-2</v>
      </c>
      <c r="E596" s="28">
        <f t="shared" si="31"/>
        <v>3.7037664270656023E-4</v>
      </c>
      <c r="F596" s="28">
        <f t="shared" si="31"/>
        <v>-8.4752517726087717E-3</v>
      </c>
      <c r="G596" s="28">
        <f t="shared" si="31"/>
        <v>0.47195276159510513</v>
      </c>
      <c r="H596" s="28">
        <f t="shared" si="31"/>
        <v>-4.1879092715532806E-2</v>
      </c>
      <c r="I596" s="28">
        <f t="shared" si="31"/>
        <v>0.14834157521562474</v>
      </c>
      <c r="J596" s="28">
        <f t="shared" si="31"/>
        <v>-0.19973208237371409</v>
      </c>
      <c r="K596" s="28">
        <f t="shared" si="31"/>
        <v>-6.4807162533497831E-3</v>
      </c>
      <c r="L596" s="28">
        <f t="shared" si="31"/>
        <v>-0.22376896761954868</v>
      </c>
      <c r="M596" s="28">
        <f t="shared" si="31"/>
        <v>0.11166819085042334</v>
      </c>
      <c r="N596" s="28">
        <f t="shared" si="31"/>
        <v>-0.10900803865786202</v>
      </c>
    </row>
    <row r="597" spans="1:14" x14ac:dyDescent="0.4">
      <c r="A597" s="1">
        <v>39356</v>
      </c>
      <c r="B597" s="28">
        <v>6.2918190850325573E-2</v>
      </c>
      <c r="C597" s="28">
        <f t="shared" si="31"/>
        <v>2.4741961342158447E-2</v>
      </c>
      <c r="D597" s="28">
        <f t="shared" si="31"/>
        <v>-0.6388236124283253</v>
      </c>
      <c r="E597" s="28">
        <f t="shared" si="31"/>
        <v>1.583485751700664E-2</v>
      </c>
      <c r="F597" s="28">
        <f t="shared" si="31"/>
        <v>3.7037664270656023E-4</v>
      </c>
      <c r="G597" s="28">
        <f t="shared" si="31"/>
        <v>-8.4752517726087717E-3</v>
      </c>
      <c r="H597" s="28">
        <f t="shared" si="31"/>
        <v>0.47195276159510513</v>
      </c>
      <c r="I597" s="28">
        <f t="shared" si="31"/>
        <v>-4.1879092715532806E-2</v>
      </c>
      <c r="J597" s="28">
        <f t="shared" si="31"/>
        <v>0.14834157521562474</v>
      </c>
      <c r="K597" s="28">
        <f t="shared" si="31"/>
        <v>-0.19973208237371409</v>
      </c>
      <c r="L597" s="28">
        <f t="shared" si="31"/>
        <v>-6.4807162533497831E-3</v>
      </c>
      <c r="M597" s="28">
        <f t="shared" si="31"/>
        <v>-0.22376896761954868</v>
      </c>
      <c r="N597" s="28">
        <f t="shared" si="31"/>
        <v>0.11166819085042334</v>
      </c>
    </row>
    <row r="598" spans="1:14" x14ac:dyDescent="0.4">
      <c r="A598" s="1">
        <v>39387</v>
      </c>
      <c r="B598" s="28">
        <v>0.17748103238051272</v>
      </c>
      <c r="C598" s="28">
        <f t="shared" si="31"/>
        <v>6.2918190850325573E-2</v>
      </c>
      <c r="D598" s="28">
        <f t="shared" si="31"/>
        <v>2.4741961342158447E-2</v>
      </c>
      <c r="E598" s="28">
        <f t="shared" si="31"/>
        <v>-0.6388236124283253</v>
      </c>
      <c r="F598" s="28">
        <f t="shared" si="31"/>
        <v>1.583485751700664E-2</v>
      </c>
      <c r="G598" s="28">
        <f t="shared" si="31"/>
        <v>3.7037664270656023E-4</v>
      </c>
      <c r="H598" s="28">
        <f t="shared" si="31"/>
        <v>-8.4752517726087717E-3</v>
      </c>
      <c r="I598" s="28">
        <f t="shared" si="31"/>
        <v>0.47195276159510513</v>
      </c>
      <c r="J598" s="28">
        <f t="shared" si="31"/>
        <v>-4.1879092715532806E-2</v>
      </c>
      <c r="K598" s="28">
        <f t="shared" si="31"/>
        <v>0.14834157521562474</v>
      </c>
      <c r="L598" s="28">
        <f t="shared" si="31"/>
        <v>-0.19973208237371409</v>
      </c>
      <c r="M598" s="28">
        <f t="shared" si="31"/>
        <v>-6.4807162533497831E-3</v>
      </c>
      <c r="N598" s="28">
        <f t="shared" si="31"/>
        <v>-0.22376896761954868</v>
      </c>
    </row>
    <row r="599" spans="1:14" x14ac:dyDescent="0.4">
      <c r="A599" s="1">
        <v>39417</v>
      </c>
      <c r="B599" s="28">
        <v>8.5185950413290357E-2</v>
      </c>
      <c r="C599" s="28">
        <f t="shared" si="31"/>
        <v>0.17748103238051272</v>
      </c>
      <c r="D599" s="28">
        <f t="shared" si="31"/>
        <v>6.2918190850325573E-2</v>
      </c>
      <c r="E599" s="28">
        <f t="shared" si="31"/>
        <v>2.4741961342158447E-2</v>
      </c>
      <c r="F599" s="28">
        <f t="shared" si="31"/>
        <v>-0.6388236124283253</v>
      </c>
      <c r="G599" s="28">
        <f t="shared" si="31"/>
        <v>1.583485751700664E-2</v>
      </c>
      <c r="H599" s="28">
        <f t="shared" si="31"/>
        <v>3.7037664270656023E-4</v>
      </c>
      <c r="I599" s="28">
        <f t="shared" si="31"/>
        <v>-8.4752517726087717E-3</v>
      </c>
      <c r="J599" s="28">
        <f t="shared" si="31"/>
        <v>0.47195276159510513</v>
      </c>
      <c r="K599" s="28">
        <f t="shared" si="31"/>
        <v>-4.1879092715532806E-2</v>
      </c>
      <c r="L599" s="28">
        <f t="shared" si="31"/>
        <v>0.14834157521562474</v>
      </c>
      <c r="M599" s="28">
        <f t="shared" si="31"/>
        <v>-0.19973208237371409</v>
      </c>
      <c r="N599" s="28">
        <f t="shared" si="31"/>
        <v>-6.4807162533497831E-3</v>
      </c>
    </row>
    <row r="600" spans="1:14" x14ac:dyDescent="0.4">
      <c r="A600" s="1">
        <v>39448</v>
      </c>
      <c r="B600" s="28">
        <v>0.43235125095969806</v>
      </c>
      <c r="C600" s="28">
        <f t="shared" si="31"/>
        <v>8.5185950413290357E-2</v>
      </c>
      <c r="D600" s="28">
        <f t="shared" si="31"/>
        <v>0.17748103238051272</v>
      </c>
      <c r="E600" s="28">
        <f t="shared" si="31"/>
        <v>6.2918190850325573E-2</v>
      </c>
      <c r="F600" s="28">
        <f t="shared" si="31"/>
        <v>2.4741961342158447E-2</v>
      </c>
      <c r="G600" s="28">
        <f t="shared" si="31"/>
        <v>-0.6388236124283253</v>
      </c>
      <c r="H600" s="28">
        <f t="shared" si="31"/>
        <v>1.583485751700664E-2</v>
      </c>
      <c r="I600" s="28">
        <f t="shared" si="31"/>
        <v>3.7037664270656023E-4</v>
      </c>
      <c r="J600" s="28">
        <f t="shared" si="31"/>
        <v>-8.4752517726087717E-3</v>
      </c>
      <c r="K600" s="28">
        <f t="shared" si="31"/>
        <v>0.47195276159510513</v>
      </c>
      <c r="L600" s="28">
        <f t="shared" si="31"/>
        <v>-4.1879092715532806E-2</v>
      </c>
      <c r="M600" s="28">
        <f t="shared" si="31"/>
        <v>0.14834157521562474</v>
      </c>
      <c r="N600" s="28">
        <f t="shared" si="31"/>
        <v>-0.19973208237371409</v>
      </c>
    </row>
    <row r="601" spans="1:14" x14ac:dyDescent="0.4">
      <c r="A601" s="1">
        <v>39479</v>
      </c>
      <c r="B601" s="28">
        <v>0.39834157521568159</v>
      </c>
      <c r="C601" s="28">
        <f t="shared" si="31"/>
        <v>0.43235125095969806</v>
      </c>
      <c r="D601" s="28">
        <f t="shared" si="31"/>
        <v>8.5185950413290357E-2</v>
      </c>
      <c r="E601" s="28">
        <f t="shared" si="31"/>
        <v>0.17748103238051272</v>
      </c>
      <c r="F601" s="28">
        <f t="shared" ref="D601:P616" si="32">IF(E600=0,"",E600)</f>
        <v>6.2918190850325573E-2</v>
      </c>
      <c r="G601" s="28">
        <f t="shared" si="32"/>
        <v>2.4741961342158447E-2</v>
      </c>
      <c r="H601" s="28">
        <f t="shared" si="32"/>
        <v>-0.6388236124283253</v>
      </c>
      <c r="I601" s="28">
        <f t="shared" si="32"/>
        <v>1.583485751700664E-2</v>
      </c>
      <c r="J601" s="28">
        <f t="shared" si="32"/>
        <v>3.7037664270656023E-4</v>
      </c>
      <c r="K601" s="28">
        <f t="shared" si="32"/>
        <v>-8.4752517726087717E-3</v>
      </c>
      <c r="L601" s="28">
        <f t="shared" si="32"/>
        <v>0.47195276159510513</v>
      </c>
      <c r="M601" s="28">
        <f t="shared" si="32"/>
        <v>-4.1879092715532806E-2</v>
      </c>
      <c r="N601" s="28">
        <f t="shared" si="32"/>
        <v>0.14834157521562474</v>
      </c>
    </row>
    <row r="602" spans="1:14" x14ac:dyDescent="0.4">
      <c r="A602" s="1">
        <v>39508</v>
      </c>
      <c r="B602" s="28">
        <v>-0.4760457593822025</v>
      </c>
      <c r="C602" s="28">
        <f t="shared" ref="C602:N665" si="33">IF(B601=0,"",B601)</f>
        <v>0.39834157521568159</v>
      </c>
      <c r="D602" s="28">
        <f t="shared" si="32"/>
        <v>0.43235125095969806</v>
      </c>
      <c r="E602" s="28">
        <f t="shared" si="32"/>
        <v>8.5185950413290357E-2</v>
      </c>
      <c r="F602" s="28">
        <f t="shared" si="32"/>
        <v>0.17748103238051272</v>
      </c>
      <c r="G602" s="28">
        <f t="shared" si="32"/>
        <v>6.2918190850325573E-2</v>
      </c>
      <c r="H602" s="28">
        <f t="shared" si="32"/>
        <v>2.4741961342158447E-2</v>
      </c>
      <c r="I602" s="28">
        <f t="shared" si="32"/>
        <v>-0.6388236124283253</v>
      </c>
      <c r="J602" s="28">
        <f t="shared" si="32"/>
        <v>1.583485751700664E-2</v>
      </c>
      <c r="K602" s="28">
        <f t="shared" si="32"/>
        <v>3.7037664270656023E-4</v>
      </c>
      <c r="L602" s="28">
        <f t="shared" si="32"/>
        <v>-8.4752517726087717E-3</v>
      </c>
      <c r="M602" s="28">
        <f t="shared" si="32"/>
        <v>0.47195276159510513</v>
      </c>
      <c r="N602" s="28">
        <f t="shared" si="32"/>
        <v>-4.1879092715532806E-2</v>
      </c>
    </row>
    <row r="603" spans="1:14" x14ac:dyDescent="0.4">
      <c r="A603" s="1">
        <v>39539</v>
      </c>
      <c r="B603" s="28">
        <v>-0.92471390507165552</v>
      </c>
      <c r="C603" s="28">
        <f t="shared" si="33"/>
        <v>-0.4760457593822025</v>
      </c>
      <c r="D603" s="28">
        <f t="shared" si="32"/>
        <v>0.39834157521568159</v>
      </c>
      <c r="E603" s="28">
        <f t="shared" si="32"/>
        <v>0.43235125095969806</v>
      </c>
      <c r="F603" s="28">
        <f t="shared" si="32"/>
        <v>8.5185950413290357E-2</v>
      </c>
      <c r="G603" s="28">
        <f t="shared" si="32"/>
        <v>0.17748103238051272</v>
      </c>
      <c r="H603" s="28">
        <f t="shared" si="32"/>
        <v>6.2918190850325573E-2</v>
      </c>
      <c r="I603" s="28">
        <f t="shared" si="32"/>
        <v>2.4741961342158447E-2</v>
      </c>
      <c r="J603" s="28">
        <f t="shared" si="32"/>
        <v>-0.6388236124283253</v>
      </c>
      <c r="K603" s="28">
        <f t="shared" si="32"/>
        <v>1.583485751700664E-2</v>
      </c>
      <c r="L603" s="28">
        <f t="shared" si="32"/>
        <v>3.7037664270656023E-4</v>
      </c>
      <c r="M603" s="28">
        <f t="shared" si="32"/>
        <v>-8.4752517726087717E-3</v>
      </c>
      <c r="N603" s="28">
        <f t="shared" si="32"/>
        <v>0.47195276159510513</v>
      </c>
    </row>
    <row r="604" spans="1:14" x14ac:dyDescent="0.4">
      <c r="A604" s="1">
        <v>39569</v>
      </c>
      <c r="B604" s="28">
        <v>0.17360808156070107</v>
      </c>
      <c r="C604" s="28">
        <f t="shared" si="33"/>
        <v>-0.92471390507165552</v>
      </c>
      <c r="D604" s="28">
        <f t="shared" si="32"/>
        <v>-0.4760457593822025</v>
      </c>
      <c r="E604" s="28">
        <f t="shared" si="32"/>
        <v>0.39834157521568159</v>
      </c>
      <c r="F604" s="28">
        <f t="shared" si="32"/>
        <v>0.43235125095969806</v>
      </c>
      <c r="G604" s="28">
        <f t="shared" si="32"/>
        <v>8.5185950413290357E-2</v>
      </c>
      <c r="H604" s="28">
        <f t="shared" si="32"/>
        <v>0.17748103238051272</v>
      </c>
      <c r="I604" s="28">
        <f t="shared" si="32"/>
        <v>6.2918190850325573E-2</v>
      </c>
      <c r="J604" s="28">
        <f t="shared" si="32"/>
        <v>2.4741961342158447E-2</v>
      </c>
      <c r="K604" s="28">
        <f t="shared" si="32"/>
        <v>-0.6388236124283253</v>
      </c>
      <c r="L604" s="28">
        <f t="shared" si="32"/>
        <v>1.583485751700664E-2</v>
      </c>
      <c r="M604" s="28">
        <f t="shared" si="32"/>
        <v>3.7037664270656023E-4</v>
      </c>
      <c r="N604" s="28">
        <f t="shared" si="32"/>
        <v>-8.4752517726087717E-3</v>
      </c>
    </row>
    <row r="605" spans="1:14" x14ac:dyDescent="0.4">
      <c r="A605" s="1">
        <v>39600</v>
      </c>
      <c r="B605" s="28">
        <v>0.30495370997613236</v>
      </c>
      <c r="C605" s="28">
        <f t="shared" si="33"/>
        <v>0.17360808156070107</v>
      </c>
      <c r="D605" s="28">
        <f t="shared" si="32"/>
        <v>-0.92471390507165552</v>
      </c>
      <c r="E605" s="28">
        <f t="shared" si="32"/>
        <v>-0.4760457593822025</v>
      </c>
      <c r="F605" s="28">
        <f t="shared" si="32"/>
        <v>0.39834157521568159</v>
      </c>
      <c r="G605" s="28">
        <f t="shared" si="32"/>
        <v>0.43235125095969806</v>
      </c>
      <c r="H605" s="28">
        <f t="shared" si="32"/>
        <v>8.5185950413290357E-2</v>
      </c>
      <c r="I605" s="28">
        <f t="shared" si="32"/>
        <v>0.17748103238051272</v>
      </c>
      <c r="J605" s="28">
        <f t="shared" si="32"/>
        <v>6.2918190850325573E-2</v>
      </c>
      <c r="K605" s="28">
        <f t="shared" si="32"/>
        <v>2.4741961342158447E-2</v>
      </c>
      <c r="L605" s="28">
        <f t="shared" si="32"/>
        <v>-0.6388236124283253</v>
      </c>
      <c r="M605" s="28">
        <f t="shared" si="32"/>
        <v>1.583485751700664E-2</v>
      </c>
      <c r="N605" s="28">
        <f t="shared" si="32"/>
        <v>3.7037664270656023E-4</v>
      </c>
    </row>
    <row r="606" spans="1:14" x14ac:dyDescent="0.4">
      <c r="A606" s="1">
        <v>39630</v>
      </c>
      <c r="B606" s="28">
        <v>7.0848575169861761E-3</v>
      </c>
      <c r="C606" s="28">
        <f t="shared" si="33"/>
        <v>0.30495370997613236</v>
      </c>
      <c r="D606" s="28">
        <f t="shared" si="32"/>
        <v>0.17360808156070107</v>
      </c>
      <c r="E606" s="28">
        <f t="shared" si="32"/>
        <v>-0.92471390507165552</v>
      </c>
      <c r="F606" s="28">
        <f t="shared" si="32"/>
        <v>-0.4760457593822025</v>
      </c>
      <c r="G606" s="28">
        <f t="shared" si="32"/>
        <v>0.39834157521568159</v>
      </c>
      <c r="H606" s="28">
        <f t="shared" si="32"/>
        <v>0.43235125095969806</v>
      </c>
      <c r="I606" s="28">
        <f t="shared" si="32"/>
        <v>8.5185950413290357E-2</v>
      </c>
      <c r="J606" s="28">
        <f t="shared" si="32"/>
        <v>0.17748103238051272</v>
      </c>
      <c r="K606" s="28">
        <f t="shared" si="32"/>
        <v>6.2918190850325573E-2</v>
      </c>
      <c r="L606" s="28">
        <f t="shared" si="32"/>
        <v>2.4741961342158447E-2</v>
      </c>
      <c r="M606" s="28">
        <f t="shared" si="32"/>
        <v>-0.6388236124283253</v>
      </c>
      <c r="N606" s="28">
        <f t="shared" si="32"/>
        <v>1.583485751700664E-2</v>
      </c>
    </row>
    <row r="607" spans="1:14" x14ac:dyDescent="0.4">
      <c r="A607" s="1">
        <v>39661</v>
      </c>
      <c r="B607" s="28">
        <v>-0.14424027909495862</v>
      </c>
      <c r="C607" s="28">
        <f t="shared" si="33"/>
        <v>7.0848575169861761E-3</v>
      </c>
      <c r="D607" s="28">
        <f t="shared" si="32"/>
        <v>0.30495370997613236</v>
      </c>
      <c r="E607" s="28">
        <f t="shared" si="32"/>
        <v>0.17360808156070107</v>
      </c>
      <c r="F607" s="28">
        <f t="shared" si="32"/>
        <v>-0.92471390507165552</v>
      </c>
      <c r="G607" s="28">
        <f t="shared" si="32"/>
        <v>-0.4760457593822025</v>
      </c>
      <c r="H607" s="28">
        <f t="shared" si="32"/>
        <v>0.39834157521568159</v>
      </c>
      <c r="I607" s="28">
        <f t="shared" si="32"/>
        <v>0.43235125095969806</v>
      </c>
      <c r="J607" s="28">
        <f t="shared" si="32"/>
        <v>8.5185950413290357E-2</v>
      </c>
      <c r="K607" s="28">
        <f t="shared" si="32"/>
        <v>0.17748103238051272</v>
      </c>
      <c r="L607" s="28">
        <f t="shared" si="32"/>
        <v>6.2918190850325573E-2</v>
      </c>
      <c r="M607" s="28">
        <f t="shared" si="32"/>
        <v>2.4741961342158447E-2</v>
      </c>
      <c r="N607" s="28">
        <f t="shared" si="32"/>
        <v>-0.6388236124283253</v>
      </c>
    </row>
    <row r="608" spans="1:14" x14ac:dyDescent="0.4">
      <c r="A608" s="1">
        <v>39692</v>
      </c>
      <c r="B608" s="28">
        <v>0.49474196134224258</v>
      </c>
      <c r="C608" s="28">
        <f t="shared" si="33"/>
        <v>-0.14424027909495862</v>
      </c>
      <c r="D608" s="28">
        <f t="shared" si="32"/>
        <v>7.0848575169861761E-3</v>
      </c>
      <c r="E608" s="28">
        <f t="shared" si="32"/>
        <v>0.30495370997613236</v>
      </c>
      <c r="F608" s="28">
        <f t="shared" si="32"/>
        <v>0.17360808156070107</v>
      </c>
      <c r="G608" s="28">
        <f t="shared" si="32"/>
        <v>-0.92471390507165552</v>
      </c>
      <c r="H608" s="28">
        <f t="shared" si="32"/>
        <v>-0.4760457593822025</v>
      </c>
      <c r="I608" s="28">
        <f t="shared" si="32"/>
        <v>0.39834157521568159</v>
      </c>
      <c r="J608" s="28">
        <f t="shared" si="32"/>
        <v>0.43235125095969806</v>
      </c>
      <c r="K608" s="28">
        <f t="shared" si="32"/>
        <v>8.5185950413290357E-2</v>
      </c>
      <c r="L608" s="28">
        <f t="shared" si="32"/>
        <v>0.17748103238051272</v>
      </c>
      <c r="M608" s="28">
        <f t="shared" si="32"/>
        <v>6.2918190850325573E-2</v>
      </c>
      <c r="N608" s="28">
        <f t="shared" si="32"/>
        <v>2.4741961342158447E-2</v>
      </c>
    </row>
    <row r="609" spans="1:14" x14ac:dyDescent="0.4">
      <c r="A609" s="1">
        <v>39722</v>
      </c>
      <c r="B609" s="28">
        <v>7.8751524183644506E-2</v>
      </c>
      <c r="C609" s="28">
        <f t="shared" si="33"/>
        <v>0.49474196134224258</v>
      </c>
      <c r="D609" s="28">
        <f t="shared" si="32"/>
        <v>-0.14424027909495862</v>
      </c>
      <c r="E609" s="28">
        <f t="shared" si="32"/>
        <v>7.0848575169861761E-3</v>
      </c>
      <c r="F609" s="28">
        <f t="shared" si="32"/>
        <v>0.30495370997613236</v>
      </c>
      <c r="G609" s="28">
        <f t="shared" si="32"/>
        <v>0.17360808156070107</v>
      </c>
      <c r="H609" s="28">
        <f t="shared" si="32"/>
        <v>-0.92471390507165552</v>
      </c>
      <c r="I609" s="28">
        <f t="shared" si="32"/>
        <v>-0.4760457593822025</v>
      </c>
      <c r="J609" s="28">
        <f t="shared" si="32"/>
        <v>0.39834157521568159</v>
      </c>
      <c r="K609" s="28">
        <f t="shared" si="32"/>
        <v>0.43235125095969806</v>
      </c>
      <c r="L609" s="28">
        <f t="shared" si="32"/>
        <v>8.5185950413290357E-2</v>
      </c>
      <c r="M609" s="28">
        <f t="shared" si="32"/>
        <v>0.17748103238051272</v>
      </c>
      <c r="N609" s="28">
        <f t="shared" si="32"/>
        <v>6.2918190850325573E-2</v>
      </c>
    </row>
    <row r="610" spans="1:14" x14ac:dyDescent="0.4">
      <c r="A610" s="1">
        <v>39753</v>
      </c>
      <c r="B610" s="28">
        <v>-0.15251896761952821</v>
      </c>
      <c r="C610" s="28">
        <f t="shared" si="33"/>
        <v>7.8751524183644506E-2</v>
      </c>
      <c r="D610" s="28">
        <f t="shared" si="32"/>
        <v>0.49474196134224258</v>
      </c>
      <c r="E610" s="28">
        <f t="shared" si="32"/>
        <v>-0.14424027909495862</v>
      </c>
      <c r="F610" s="28">
        <f t="shared" si="32"/>
        <v>7.0848575169861761E-3</v>
      </c>
      <c r="G610" s="28">
        <f t="shared" si="32"/>
        <v>0.30495370997613236</v>
      </c>
      <c r="H610" s="28">
        <f t="shared" si="32"/>
        <v>0.17360808156070107</v>
      </c>
      <c r="I610" s="28">
        <f t="shared" si="32"/>
        <v>-0.92471390507165552</v>
      </c>
      <c r="J610" s="28">
        <f t="shared" si="32"/>
        <v>-0.4760457593822025</v>
      </c>
      <c r="K610" s="28">
        <f t="shared" si="32"/>
        <v>0.39834157521568159</v>
      </c>
      <c r="L610" s="28">
        <f t="shared" si="32"/>
        <v>0.43235125095969806</v>
      </c>
      <c r="M610" s="28">
        <f t="shared" si="32"/>
        <v>8.5185950413290357E-2</v>
      </c>
      <c r="N610" s="28">
        <f t="shared" si="32"/>
        <v>0.17748103238051272</v>
      </c>
    </row>
    <row r="611" spans="1:14" x14ac:dyDescent="0.4">
      <c r="A611" s="1">
        <v>39783</v>
      </c>
      <c r="B611" s="28">
        <v>-0.35106404958679605</v>
      </c>
      <c r="C611" s="28">
        <f t="shared" si="33"/>
        <v>-0.15251896761952821</v>
      </c>
      <c r="D611" s="28">
        <f t="shared" si="32"/>
        <v>7.8751524183644506E-2</v>
      </c>
      <c r="E611" s="28">
        <f t="shared" si="32"/>
        <v>0.49474196134224258</v>
      </c>
      <c r="F611" s="28">
        <f t="shared" si="32"/>
        <v>-0.14424027909495862</v>
      </c>
      <c r="G611" s="28">
        <f t="shared" si="32"/>
        <v>7.0848575169861761E-3</v>
      </c>
      <c r="H611" s="28">
        <f t="shared" si="32"/>
        <v>0.30495370997613236</v>
      </c>
      <c r="I611" s="28">
        <f t="shared" si="32"/>
        <v>0.17360808156070107</v>
      </c>
      <c r="J611" s="28">
        <f t="shared" si="32"/>
        <v>-0.92471390507165552</v>
      </c>
      <c r="K611" s="28">
        <f t="shared" si="32"/>
        <v>-0.4760457593822025</v>
      </c>
      <c r="L611" s="28">
        <f t="shared" si="32"/>
        <v>0.39834157521568159</v>
      </c>
      <c r="M611" s="28">
        <f t="shared" si="32"/>
        <v>0.43235125095969806</v>
      </c>
      <c r="N611" s="28">
        <f t="shared" si="32"/>
        <v>8.5185950413290357E-2</v>
      </c>
    </row>
    <row r="612" spans="1:14" x14ac:dyDescent="0.4">
      <c r="A612" s="1">
        <v>39814</v>
      </c>
      <c r="B612" s="28">
        <v>0.10110125095962985</v>
      </c>
      <c r="C612" s="28">
        <f t="shared" si="33"/>
        <v>-0.35106404958679605</v>
      </c>
      <c r="D612" s="28">
        <f t="shared" si="32"/>
        <v>-0.15251896761952821</v>
      </c>
      <c r="E612" s="28">
        <f t="shared" si="32"/>
        <v>7.8751524183644506E-2</v>
      </c>
      <c r="F612" s="28">
        <f t="shared" si="32"/>
        <v>0.49474196134224258</v>
      </c>
      <c r="G612" s="28">
        <f t="shared" si="32"/>
        <v>-0.14424027909495862</v>
      </c>
      <c r="H612" s="28">
        <f t="shared" si="32"/>
        <v>7.0848575169861761E-3</v>
      </c>
      <c r="I612" s="28">
        <f t="shared" si="32"/>
        <v>0.30495370997613236</v>
      </c>
      <c r="J612" s="28">
        <f t="shared" si="32"/>
        <v>0.17360808156070107</v>
      </c>
      <c r="K612" s="28">
        <f t="shared" si="32"/>
        <v>-0.92471390507165552</v>
      </c>
      <c r="L612" s="28">
        <f t="shared" si="32"/>
        <v>-0.4760457593822025</v>
      </c>
      <c r="M612" s="28">
        <f t="shared" si="32"/>
        <v>0.39834157521568159</v>
      </c>
      <c r="N612" s="28">
        <f t="shared" si="32"/>
        <v>0.43235125095969806</v>
      </c>
    </row>
    <row r="613" spans="1:14" x14ac:dyDescent="0.4">
      <c r="A613" s="1">
        <v>39845</v>
      </c>
      <c r="B613" s="28">
        <v>-0.22332509145098811</v>
      </c>
      <c r="C613" s="28">
        <f t="shared" si="33"/>
        <v>0.10110125095962985</v>
      </c>
      <c r="D613" s="28">
        <f t="shared" si="32"/>
        <v>-0.35106404958679605</v>
      </c>
      <c r="E613" s="28">
        <f t="shared" si="32"/>
        <v>-0.15251896761952821</v>
      </c>
      <c r="F613" s="28">
        <f t="shared" si="32"/>
        <v>7.8751524183644506E-2</v>
      </c>
      <c r="G613" s="28">
        <f t="shared" si="32"/>
        <v>0.49474196134224258</v>
      </c>
      <c r="H613" s="28">
        <f t="shared" si="32"/>
        <v>-0.14424027909495862</v>
      </c>
      <c r="I613" s="28">
        <f t="shared" si="32"/>
        <v>7.0848575169861761E-3</v>
      </c>
      <c r="J613" s="28">
        <f t="shared" si="32"/>
        <v>0.30495370997613236</v>
      </c>
      <c r="K613" s="28">
        <f t="shared" si="32"/>
        <v>0.17360808156070107</v>
      </c>
      <c r="L613" s="28">
        <f t="shared" si="32"/>
        <v>-0.92471390507165552</v>
      </c>
      <c r="M613" s="28">
        <f t="shared" si="32"/>
        <v>-0.4760457593822025</v>
      </c>
      <c r="N613" s="28">
        <f t="shared" si="32"/>
        <v>0.39834157521568159</v>
      </c>
    </row>
    <row r="614" spans="1:14" x14ac:dyDescent="0.4">
      <c r="A614" s="1">
        <v>39873</v>
      </c>
      <c r="B614" s="28">
        <v>0.35020424061769972</v>
      </c>
      <c r="C614" s="28">
        <f t="shared" si="33"/>
        <v>-0.22332509145098811</v>
      </c>
      <c r="D614" s="28">
        <f t="shared" si="32"/>
        <v>0.10110125095962985</v>
      </c>
      <c r="E614" s="28">
        <f t="shared" si="32"/>
        <v>-0.35106404958679605</v>
      </c>
      <c r="F614" s="28">
        <f t="shared" si="32"/>
        <v>-0.15251896761952821</v>
      </c>
      <c r="G614" s="28">
        <f t="shared" si="32"/>
        <v>7.8751524183644506E-2</v>
      </c>
      <c r="H614" s="28">
        <f t="shared" si="32"/>
        <v>0.49474196134224258</v>
      </c>
      <c r="I614" s="28">
        <f t="shared" si="32"/>
        <v>-0.14424027909495862</v>
      </c>
      <c r="J614" s="28">
        <f t="shared" si="32"/>
        <v>7.0848575169861761E-3</v>
      </c>
      <c r="K614" s="28">
        <f t="shared" si="32"/>
        <v>0.30495370997613236</v>
      </c>
      <c r="L614" s="28">
        <f t="shared" si="32"/>
        <v>0.17360808156070107</v>
      </c>
      <c r="M614" s="28">
        <f t="shared" si="32"/>
        <v>-0.92471390507165552</v>
      </c>
      <c r="N614" s="28">
        <f t="shared" si="32"/>
        <v>-0.4760457593822025</v>
      </c>
    </row>
    <row r="615" spans="1:14" x14ac:dyDescent="0.4">
      <c r="A615" s="1">
        <v>39904</v>
      </c>
      <c r="B615" s="28">
        <v>5.486942826178165E-2</v>
      </c>
      <c r="C615" s="28">
        <f t="shared" si="33"/>
        <v>0.35020424061769972</v>
      </c>
      <c r="D615" s="28">
        <f t="shared" si="32"/>
        <v>-0.22332509145098811</v>
      </c>
      <c r="E615" s="28">
        <f t="shared" si="32"/>
        <v>0.10110125095962985</v>
      </c>
      <c r="F615" s="28">
        <f t="shared" si="32"/>
        <v>-0.35106404958679605</v>
      </c>
      <c r="G615" s="28">
        <f t="shared" si="32"/>
        <v>-0.15251896761952821</v>
      </c>
      <c r="H615" s="28">
        <f t="shared" si="32"/>
        <v>7.8751524183644506E-2</v>
      </c>
      <c r="I615" s="28">
        <f t="shared" si="32"/>
        <v>0.49474196134224258</v>
      </c>
      <c r="J615" s="28">
        <f t="shared" si="32"/>
        <v>-0.14424027909495862</v>
      </c>
      <c r="K615" s="28">
        <f t="shared" si="32"/>
        <v>7.0848575169861761E-3</v>
      </c>
      <c r="L615" s="28">
        <f t="shared" si="32"/>
        <v>0.30495370997613236</v>
      </c>
      <c r="M615" s="28">
        <f t="shared" si="32"/>
        <v>0.17360808156070107</v>
      </c>
      <c r="N615" s="28">
        <f t="shared" si="32"/>
        <v>-0.92471390507165552</v>
      </c>
    </row>
    <row r="616" spans="1:14" x14ac:dyDescent="0.4">
      <c r="A616" s="1">
        <v>39934</v>
      </c>
      <c r="B616" s="28">
        <v>1.2358081560762457E-2</v>
      </c>
      <c r="C616" s="28">
        <f t="shared" si="33"/>
        <v>5.486942826178165E-2</v>
      </c>
      <c r="D616" s="28">
        <f t="shared" si="32"/>
        <v>0.35020424061769972</v>
      </c>
      <c r="E616" s="28">
        <f t="shared" si="32"/>
        <v>-0.22332509145098811</v>
      </c>
      <c r="F616" s="28">
        <f t="shared" si="32"/>
        <v>0.10110125095962985</v>
      </c>
      <c r="G616" s="28">
        <f t="shared" si="32"/>
        <v>-0.35106404958679605</v>
      </c>
      <c r="H616" s="28">
        <f t="shared" si="32"/>
        <v>-0.15251896761952821</v>
      </c>
      <c r="I616" s="28">
        <f t="shared" si="32"/>
        <v>7.8751524183644506E-2</v>
      </c>
      <c r="J616" s="28">
        <f t="shared" si="32"/>
        <v>0.49474196134224258</v>
      </c>
      <c r="K616" s="28">
        <f t="shared" si="32"/>
        <v>-0.14424027909495862</v>
      </c>
      <c r="L616" s="28">
        <f t="shared" si="32"/>
        <v>7.0848575169861761E-3</v>
      </c>
      <c r="M616" s="28">
        <f t="shared" si="32"/>
        <v>0.30495370997613236</v>
      </c>
      <c r="N616" s="28">
        <f t="shared" si="32"/>
        <v>0.17360808156070107</v>
      </c>
    </row>
    <row r="617" spans="1:14" x14ac:dyDescent="0.4">
      <c r="A617" s="1">
        <v>39965</v>
      </c>
      <c r="B617" s="28">
        <v>7.8704330928758282E-4</v>
      </c>
      <c r="C617" s="28">
        <f t="shared" si="33"/>
        <v>1.2358081560762457E-2</v>
      </c>
      <c r="D617" s="28">
        <f t="shared" si="33"/>
        <v>5.486942826178165E-2</v>
      </c>
      <c r="E617" s="28">
        <f t="shared" si="33"/>
        <v>0.35020424061769972</v>
      </c>
      <c r="F617" s="28">
        <f t="shared" si="33"/>
        <v>-0.22332509145098811</v>
      </c>
      <c r="G617" s="28">
        <f t="shared" si="33"/>
        <v>0.10110125095962985</v>
      </c>
      <c r="H617" s="28">
        <f t="shared" si="33"/>
        <v>-0.35106404958679605</v>
      </c>
      <c r="I617" s="28">
        <f t="shared" si="33"/>
        <v>-0.15251896761952821</v>
      </c>
      <c r="J617" s="28">
        <f t="shared" si="33"/>
        <v>7.8751524183644506E-2</v>
      </c>
      <c r="K617" s="28">
        <f t="shared" si="33"/>
        <v>0.49474196134224258</v>
      </c>
      <c r="L617" s="28">
        <f t="shared" si="33"/>
        <v>-0.14424027909495862</v>
      </c>
      <c r="M617" s="28">
        <f t="shared" si="33"/>
        <v>7.0848575169861761E-3</v>
      </c>
      <c r="N617" s="28">
        <f t="shared" si="33"/>
        <v>0.30495370997613236</v>
      </c>
    </row>
    <row r="618" spans="1:14" x14ac:dyDescent="0.4">
      <c r="A618" s="1">
        <v>39995</v>
      </c>
      <c r="B618" s="28">
        <v>-9.7081809149699438E-2</v>
      </c>
      <c r="C618" s="28">
        <f t="shared" si="33"/>
        <v>7.8704330928758282E-4</v>
      </c>
      <c r="D618" s="28">
        <f t="shared" si="33"/>
        <v>1.2358081560762457E-2</v>
      </c>
      <c r="E618" s="28">
        <f t="shared" si="33"/>
        <v>5.486942826178165E-2</v>
      </c>
      <c r="F618" s="28">
        <f t="shared" si="33"/>
        <v>0.35020424061769972</v>
      </c>
      <c r="G618" s="28">
        <f t="shared" si="33"/>
        <v>-0.22332509145098811</v>
      </c>
      <c r="H618" s="28">
        <f t="shared" si="33"/>
        <v>0.10110125095962985</v>
      </c>
      <c r="I618" s="28">
        <f t="shared" si="33"/>
        <v>-0.35106404958679605</v>
      </c>
      <c r="J618" s="28">
        <f t="shared" si="33"/>
        <v>-0.15251896761952821</v>
      </c>
      <c r="K618" s="28">
        <f t="shared" si="33"/>
        <v>7.8751524183644506E-2</v>
      </c>
      <c r="L618" s="28">
        <f t="shared" si="33"/>
        <v>0.49474196134224258</v>
      </c>
      <c r="M618" s="28">
        <f t="shared" si="33"/>
        <v>-0.14424027909495862</v>
      </c>
      <c r="N618" s="28">
        <f t="shared" si="33"/>
        <v>7.0848575169861761E-3</v>
      </c>
    </row>
    <row r="619" spans="1:14" x14ac:dyDescent="0.4">
      <c r="A619" s="1">
        <v>40026</v>
      </c>
      <c r="B619" s="28">
        <v>-0.15174027909489496</v>
      </c>
      <c r="C619" s="28">
        <f t="shared" si="33"/>
        <v>-9.7081809149699438E-2</v>
      </c>
      <c r="D619" s="28">
        <f t="shared" si="33"/>
        <v>7.8704330928758282E-4</v>
      </c>
      <c r="E619" s="28">
        <f t="shared" si="33"/>
        <v>1.2358081560762457E-2</v>
      </c>
      <c r="F619" s="28">
        <f t="shared" si="33"/>
        <v>5.486942826178165E-2</v>
      </c>
      <c r="G619" s="28">
        <f t="shared" si="33"/>
        <v>0.35020424061769972</v>
      </c>
      <c r="H619" s="28">
        <f t="shared" si="33"/>
        <v>-0.22332509145098811</v>
      </c>
      <c r="I619" s="28">
        <f t="shared" si="33"/>
        <v>0.10110125095962985</v>
      </c>
      <c r="J619" s="28">
        <f t="shared" si="33"/>
        <v>-0.35106404958679605</v>
      </c>
      <c r="K619" s="28">
        <f t="shared" si="33"/>
        <v>-0.15251896761952821</v>
      </c>
      <c r="L619" s="28">
        <f t="shared" si="33"/>
        <v>7.8751524183644506E-2</v>
      </c>
      <c r="M619" s="28">
        <f t="shared" si="33"/>
        <v>0.49474196134224258</v>
      </c>
      <c r="N619" s="28">
        <f t="shared" si="33"/>
        <v>-0.14424027909495862</v>
      </c>
    </row>
    <row r="620" spans="1:14" x14ac:dyDescent="0.4">
      <c r="A620" s="1">
        <v>40057</v>
      </c>
      <c r="B620" s="28">
        <v>-1.4424705324415754E-2</v>
      </c>
      <c r="C620" s="28">
        <f t="shared" si="33"/>
        <v>-0.15174027909489496</v>
      </c>
      <c r="D620" s="28">
        <f t="shared" si="33"/>
        <v>-9.7081809149699438E-2</v>
      </c>
      <c r="E620" s="28">
        <f t="shared" si="33"/>
        <v>7.8704330928758282E-4</v>
      </c>
      <c r="F620" s="28">
        <f t="shared" si="33"/>
        <v>1.2358081560762457E-2</v>
      </c>
      <c r="G620" s="28">
        <f t="shared" si="33"/>
        <v>5.486942826178165E-2</v>
      </c>
      <c r="H620" s="28">
        <f t="shared" si="33"/>
        <v>0.35020424061769972</v>
      </c>
      <c r="I620" s="28">
        <f t="shared" si="33"/>
        <v>-0.22332509145098811</v>
      </c>
      <c r="J620" s="28">
        <f t="shared" si="33"/>
        <v>0.10110125095962985</v>
      </c>
      <c r="K620" s="28">
        <f t="shared" si="33"/>
        <v>-0.35106404958679605</v>
      </c>
      <c r="L620" s="28">
        <f t="shared" si="33"/>
        <v>-0.15251896761952821</v>
      </c>
      <c r="M620" s="28">
        <f t="shared" si="33"/>
        <v>7.8751524183644506E-2</v>
      </c>
      <c r="N620" s="28">
        <f t="shared" si="33"/>
        <v>0.49474196134224258</v>
      </c>
    </row>
    <row r="621" spans="1:14" x14ac:dyDescent="0.4">
      <c r="A621" s="1">
        <v>40087</v>
      </c>
      <c r="B621" s="28">
        <v>-0.43249847581631684</v>
      </c>
      <c r="C621" s="28">
        <f t="shared" si="33"/>
        <v>-1.4424705324415754E-2</v>
      </c>
      <c r="D621" s="28">
        <f t="shared" si="33"/>
        <v>-0.15174027909489496</v>
      </c>
      <c r="E621" s="28">
        <f t="shared" si="33"/>
        <v>-9.7081809149699438E-2</v>
      </c>
      <c r="F621" s="28">
        <f t="shared" si="33"/>
        <v>7.8704330928758282E-4</v>
      </c>
      <c r="G621" s="28">
        <f t="shared" si="33"/>
        <v>1.2358081560762457E-2</v>
      </c>
      <c r="H621" s="28">
        <f t="shared" si="33"/>
        <v>5.486942826178165E-2</v>
      </c>
      <c r="I621" s="28">
        <f t="shared" si="33"/>
        <v>0.35020424061769972</v>
      </c>
      <c r="J621" s="28">
        <f t="shared" si="33"/>
        <v>-0.22332509145098811</v>
      </c>
      <c r="K621" s="28">
        <f t="shared" si="33"/>
        <v>0.10110125095962985</v>
      </c>
      <c r="L621" s="28">
        <f t="shared" si="33"/>
        <v>-0.35106404958679605</v>
      </c>
      <c r="M621" s="28">
        <f t="shared" si="33"/>
        <v>-0.15251896761952821</v>
      </c>
      <c r="N621" s="28">
        <f t="shared" si="33"/>
        <v>7.8751524183644506E-2</v>
      </c>
    </row>
    <row r="622" spans="1:14" x14ac:dyDescent="0.4">
      <c r="A622" s="1">
        <v>40118</v>
      </c>
      <c r="B622" s="28">
        <v>-0.23210230095287443</v>
      </c>
      <c r="C622" s="28">
        <f t="shared" si="33"/>
        <v>-0.43249847581631684</v>
      </c>
      <c r="D622" s="28">
        <f t="shared" si="33"/>
        <v>-1.4424705324415754E-2</v>
      </c>
      <c r="E622" s="28">
        <f t="shared" si="33"/>
        <v>-0.15174027909489496</v>
      </c>
      <c r="F622" s="28">
        <f t="shared" si="33"/>
        <v>-9.7081809149699438E-2</v>
      </c>
      <c r="G622" s="28">
        <f t="shared" si="33"/>
        <v>7.8704330928758282E-4</v>
      </c>
      <c r="H622" s="28">
        <f t="shared" si="33"/>
        <v>1.2358081560762457E-2</v>
      </c>
      <c r="I622" s="28">
        <f t="shared" si="33"/>
        <v>5.486942826178165E-2</v>
      </c>
      <c r="J622" s="28">
        <f t="shared" si="33"/>
        <v>0.35020424061769972</v>
      </c>
      <c r="K622" s="28">
        <f t="shared" si="33"/>
        <v>-0.22332509145098811</v>
      </c>
      <c r="L622" s="28">
        <f t="shared" si="33"/>
        <v>0.10110125095962985</v>
      </c>
      <c r="M622" s="28">
        <f t="shared" si="33"/>
        <v>-0.35106404958679605</v>
      </c>
      <c r="N622" s="28">
        <f t="shared" si="33"/>
        <v>-0.15251896761952821</v>
      </c>
    </row>
    <row r="623" spans="1:14" x14ac:dyDescent="0.4">
      <c r="A623" s="1">
        <v>40148</v>
      </c>
      <c r="B623" s="28">
        <v>-0.19231404958674148</v>
      </c>
      <c r="C623" s="28">
        <f t="shared" si="33"/>
        <v>-0.23210230095287443</v>
      </c>
      <c r="D623" s="28">
        <f t="shared" si="33"/>
        <v>-0.43249847581631684</v>
      </c>
      <c r="E623" s="28">
        <f t="shared" si="33"/>
        <v>-1.4424705324415754E-2</v>
      </c>
      <c r="F623" s="28">
        <f t="shared" si="33"/>
        <v>-0.15174027909489496</v>
      </c>
      <c r="G623" s="28">
        <f t="shared" si="33"/>
        <v>-9.7081809149699438E-2</v>
      </c>
      <c r="H623" s="28">
        <f t="shared" si="33"/>
        <v>7.8704330928758282E-4</v>
      </c>
      <c r="I623" s="28">
        <f t="shared" si="33"/>
        <v>1.2358081560762457E-2</v>
      </c>
      <c r="J623" s="28">
        <f t="shared" si="33"/>
        <v>5.486942826178165E-2</v>
      </c>
      <c r="K623" s="28">
        <f t="shared" si="33"/>
        <v>0.35020424061769972</v>
      </c>
      <c r="L623" s="28">
        <f t="shared" si="33"/>
        <v>-0.22332509145098811</v>
      </c>
      <c r="M623" s="28">
        <f t="shared" si="33"/>
        <v>0.10110125095962985</v>
      </c>
      <c r="N623" s="28">
        <f t="shared" si="33"/>
        <v>-0.35106404958679605</v>
      </c>
    </row>
    <row r="624" spans="1:14" x14ac:dyDescent="0.4">
      <c r="A624" s="1">
        <v>40179</v>
      </c>
      <c r="B624" s="28">
        <v>-0.28223208237363906</v>
      </c>
      <c r="C624" s="28">
        <f t="shared" si="33"/>
        <v>-0.19231404958674148</v>
      </c>
      <c r="D624" s="28">
        <f t="shared" si="33"/>
        <v>-0.23210230095287443</v>
      </c>
      <c r="E624" s="28">
        <f t="shared" si="33"/>
        <v>-0.43249847581631684</v>
      </c>
      <c r="F624" s="28">
        <f t="shared" si="33"/>
        <v>-1.4424705324415754E-2</v>
      </c>
      <c r="G624" s="28">
        <f t="shared" si="33"/>
        <v>-0.15174027909489496</v>
      </c>
      <c r="H624" s="28">
        <f t="shared" si="33"/>
        <v>-9.7081809149699438E-2</v>
      </c>
      <c r="I624" s="28">
        <f t="shared" si="33"/>
        <v>7.8704330928758282E-4</v>
      </c>
      <c r="J624" s="28">
        <f t="shared" si="33"/>
        <v>1.2358081560762457E-2</v>
      </c>
      <c r="K624" s="28">
        <f t="shared" si="33"/>
        <v>5.486942826178165E-2</v>
      </c>
      <c r="L624" s="28">
        <f t="shared" si="33"/>
        <v>0.35020424061769972</v>
      </c>
      <c r="M624" s="28">
        <f t="shared" si="33"/>
        <v>-0.22332509145098811</v>
      </c>
      <c r="N624" s="28">
        <f t="shared" si="33"/>
        <v>0.10110125095962985</v>
      </c>
    </row>
    <row r="625" spans="1:14" x14ac:dyDescent="0.4">
      <c r="A625" s="1">
        <v>40210</v>
      </c>
      <c r="B625" s="28">
        <v>0.4166749085489414</v>
      </c>
      <c r="C625" s="28">
        <f t="shared" si="33"/>
        <v>-0.28223208237363906</v>
      </c>
      <c r="D625" s="28">
        <f t="shared" si="33"/>
        <v>-0.19231404958674148</v>
      </c>
      <c r="E625" s="28">
        <f t="shared" si="33"/>
        <v>-0.23210230095287443</v>
      </c>
      <c r="F625" s="28">
        <f t="shared" si="33"/>
        <v>-0.43249847581631684</v>
      </c>
      <c r="G625" s="28">
        <f t="shared" si="33"/>
        <v>-1.4424705324415754E-2</v>
      </c>
      <c r="H625" s="28">
        <f t="shared" si="33"/>
        <v>-0.15174027909489496</v>
      </c>
      <c r="I625" s="28">
        <f t="shared" si="33"/>
        <v>-9.7081809149699438E-2</v>
      </c>
      <c r="J625" s="28">
        <f t="shared" si="33"/>
        <v>7.8704330928758282E-4</v>
      </c>
      <c r="K625" s="28">
        <f t="shared" si="33"/>
        <v>1.2358081560762457E-2</v>
      </c>
      <c r="L625" s="28">
        <f t="shared" si="33"/>
        <v>5.486942826178165E-2</v>
      </c>
      <c r="M625" s="28">
        <f t="shared" si="33"/>
        <v>0.35020424061769972</v>
      </c>
      <c r="N625" s="28">
        <f t="shared" si="33"/>
        <v>-0.22332509145098811</v>
      </c>
    </row>
    <row r="626" spans="1:14" x14ac:dyDescent="0.4">
      <c r="A626" s="1">
        <v>40238</v>
      </c>
      <c r="B626" s="28">
        <v>0.47562090728439443</v>
      </c>
      <c r="C626" s="28">
        <f t="shared" si="33"/>
        <v>0.4166749085489414</v>
      </c>
      <c r="D626" s="28">
        <f t="shared" si="33"/>
        <v>-0.28223208237363906</v>
      </c>
      <c r="E626" s="28">
        <f t="shared" si="33"/>
        <v>-0.19231404958674148</v>
      </c>
      <c r="F626" s="28">
        <f t="shared" si="33"/>
        <v>-0.23210230095287443</v>
      </c>
      <c r="G626" s="28">
        <f t="shared" si="33"/>
        <v>-0.43249847581631684</v>
      </c>
      <c r="H626" s="28">
        <f t="shared" si="33"/>
        <v>-1.4424705324415754E-2</v>
      </c>
      <c r="I626" s="28">
        <f t="shared" si="33"/>
        <v>-0.15174027909489496</v>
      </c>
      <c r="J626" s="28">
        <f t="shared" si="33"/>
        <v>-9.7081809149699438E-2</v>
      </c>
      <c r="K626" s="28">
        <f t="shared" si="33"/>
        <v>7.8704330928758282E-4</v>
      </c>
      <c r="L626" s="28">
        <f t="shared" si="33"/>
        <v>1.2358081560762457E-2</v>
      </c>
      <c r="M626" s="28">
        <f t="shared" si="33"/>
        <v>5.486942826178165E-2</v>
      </c>
      <c r="N626" s="28">
        <f t="shared" si="33"/>
        <v>0.35020424061769972</v>
      </c>
    </row>
    <row r="627" spans="1:14" x14ac:dyDescent="0.4">
      <c r="A627" s="1">
        <v>40269</v>
      </c>
      <c r="B627" s="28">
        <v>0.42070276159500963</v>
      </c>
      <c r="C627" s="28">
        <f t="shared" si="33"/>
        <v>0.47562090728439443</v>
      </c>
      <c r="D627" s="28">
        <f t="shared" si="33"/>
        <v>0.4166749085489414</v>
      </c>
      <c r="E627" s="28">
        <f t="shared" si="33"/>
        <v>-0.28223208237363906</v>
      </c>
      <c r="F627" s="28">
        <f t="shared" si="33"/>
        <v>-0.19231404958674148</v>
      </c>
      <c r="G627" s="28">
        <f t="shared" si="33"/>
        <v>-0.23210230095287443</v>
      </c>
      <c r="H627" s="28">
        <f t="shared" si="33"/>
        <v>-0.43249847581631684</v>
      </c>
      <c r="I627" s="28">
        <f t="shared" si="33"/>
        <v>-1.4424705324415754E-2</v>
      </c>
      <c r="J627" s="28">
        <f t="shared" si="33"/>
        <v>-0.15174027909489496</v>
      </c>
      <c r="K627" s="28">
        <f t="shared" si="33"/>
        <v>-9.7081809149699438E-2</v>
      </c>
      <c r="L627" s="28">
        <f t="shared" si="33"/>
        <v>7.8704330928758282E-4</v>
      </c>
      <c r="M627" s="28">
        <f t="shared" si="33"/>
        <v>1.2358081560762457E-2</v>
      </c>
      <c r="N627" s="28">
        <f t="shared" si="33"/>
        <v>5.486942826178165E-2</v>
      </c>
    </row>
    <row r="628" spans="1:14" x14ac:dyDescent="0.4">
      <c r="A628" s="1">
        <v>40299</v>
      </c>
      <c r="B628" s="28">
        <v>0.54069141489401318</v>
      </c>
      <c r="C628" s="28">
        <f t="shared" si="33"/>
        <v>0.42070276159500963</v>
      </c>
      <c r="D628" s="28">
        <f t="shared" si="33"/>
        <v>0.47562090728439443</v>
      </c>
      <c r="E628" s="28">
        <f t="shared" si="33"/>
        <v>0.4166749085489414</v>
      </c>
      <c r="F628" s="28">
        <f t="shared" si="33"/>
        <v>-0.28223208237363906</v>
      </c>
      <c r="G628" s="28">
        <f t="shared" si="33"/>
        <v>-0.19231404958674148</v>
      </c>
      <c r="H628" s="28">
        <f t="shared" si="33"/>
        <v>-0.23210230095287443</v>
      </c>
      <c r="I628" s="28">
        <f t="shared" si="33"/>
        <v>-0.43249847581631684</v>
      </c>
      <c r="J628" s="28">
        <f t="shared" si="33"/>
        <v>-1.4424705324415754E-2</v>
      </c>
      <c r="K628" s="28">
        <f t="shared" si="33"/>
        <v>-0.15174027909489496</v>
      </c>
      <c r="L628" s="28">
        <f t="shared" si="33"/>
        <v>-9.7081809149699438E-2</v>
      </c>
      <c r="M628" s="28">
        <f t="shared" si="33"/>
        <v>7.8704330928758282E-4</v>
      </c>
      <c r="N628" s="28">
        <f t="shared" si="33"/>
        <v>1.2358081560762457E-2</v>
      </c>
    </row>
    <row r="629" spans="1:14" x14ac:dyDescent="0.4">
      <c r="A629" s="1">
        <v>40330</v>
      </c>
      <c r="B629" s="28">
        <v>7.7453709975998208E-2</v>
      </c>
      <c r="C629" s="28">
        <f t="shared" si="33"/>
        <v>0.54069141489401318</v>
      </c>
      <c r="D629" s="28">
        <f t="shared" si="33"/>
        <v>0.42070276159500963</v>
      </c>
      <c r="E629" s="28">
        <f t="shared" si="33"/>
        <v>0.47562090728439443</v>
      </c>
      <c r="F629" s="28">
        <f t="shared" si="33"/>
        <v>0.4166749085489414</v>
      </c>
      <c r="G629" s="28">
        <f t="shared" si="33"/>
        <v>-0.28223208237363906</v>
      </c>
      <c r="H629" s="28">
        <f t="shared" si="33"/>
        <v>-0.19231404958674148</v>
      </c>
      <c r="I629" s="28">
        <f t="shared" si="33"/>
        <v>-0.23210230095287443</v>
      </c>
      <c r="J629" s="28">
        <f t="shared" si="33"/>
        <v>-0.43249847581631684</v>
      </c>
      <c r="K629" s="28">
        <f t="shared" si="33"/>
        <v>-1.4424705324415754E-2</v>
      </c>
      <c r="L629" s="28">
        <f t="shared" si="33"/>
        <v>-0.15174027909489496</v>
      </c>
      <c r="M629" s="28">
        <f t="shared" si="33"/>
        <v>-9.7081809149699438E-2</v>
      </c>
      <c r="N629" s="28">
        <f t="shared" si="33"/>
        <v>7.8704330928758282E-4</v>
      </c>
    </row>
    <row r="630" spans="1:14" x14ac:dyDescent="0.4">
      <c r="A630" s="1">
        <v>40360</v>
      </c>
      <c r="B630" s="28">
        <v>-0.41333180914961076</v>
      </c>
      <c r="C630" s="28">
        <f t="shared" si="33"/>
        <v>7.7453709975998208E-2</v>
      </c>
      <c r="D630" s="28">
        <f t="shared" si="33"/>
        <v>0.54069141489401318</v>
      </c>
      <c r="E630" s="28">
        <f t="shared" si="33"/>
        <v>0.42070276159500963</v>
      </c>
      <c r="F630" s="28">
        <f t="shared" si="33"/>
        <v>0.47562090728439443</v>
      </c>
      <c r="G630" s="28">
        <f t="shared" si="33"/>
        <v>0.4166749085489414</v>
      </c>
      <c r="H630" s="28">
        <f t="shared" si="33"/>
        <v>-0.28223208237363906</v>
      </c>
      <c r="I630" s="28">
        <f t="shared" si="33"/>
        <v>-0.19231404958674148</v>
      </c>
      <c r="J630" s="28">
        <f t="shared" si="33"/>
        <v>-0.23210230095287443</v>
      </c>
      <c r="K630" s="28">
        <f t="shared" si="33"/>
        <v>-0.43249847581631684</v>
      </c>
      <c r="L630" s="28">
        <f t="shared" si="33"/>
        <v>-1.4424705324415754E-2</v>
      </c>
      <c r="M630" s="28">
        <f t="shared" si="33"/>
        <v>-0.15174027909489496</v>
      </c>
      <c r="N630" s="28">
        <f t="shared" si="33"/>
        <v>-9.7081809149699438E-2</v>
      </c>
    </row>
    <row r="631" spans="1:14" x14ac:dyDescent="0.4">
      <c r="A631" s="1">
        <v>40391</v>
      </c>
      <c r="B631" s="28">
        <v>-0.27674027909500865</v>
      </c>
      <c r="C631" s="28">
        <f t="shared" si="33"/>
        <v>-0.41333180914961076</v>
      </c>
      <c r="D631" s="28">
        <f t="shared" si="33"/>
        <v>7.7453709975998208E-2</v>
      </c>
      <c r="E631" s="28">
        <f t="shared" si="33"/>
        <v>0.54069141489401318</v>
      </c>
      <c r="F631" s="28">
        <f t="shared" si="33"/>
        <v>0.42070276159500963</v>
      </c>
      <c r="G631" s="28">
        <f t="shared" si="33"/>
        <v>0.47562090728439443</v>
      </c>
      <c r="H631" s="28">
        <f t="shared" si="33"/>
        <v>0.4166749085489414</v>
      </c>
      <c r="I631" s="28">
        <f t="shared" si="33"/>
        <v>-0.28223208237363906</v>
      </c>
      <c r="J631" s="28">
        <f t="shared" si="33"/>
        <v>-0.19231404958674148</v>
      </c>
      <c r="K631" s="28">
        <f t="shared" si="33"/>
        <v>-0.23210230095287443</v>
      </c>
      <c r="L631" s="28">
        <f t="shared" si="33"/>
        <v>-0.43249847581631684</v>
      </c>
      <c r="M631" s="28">
        <f t="shared" si="33"/>
        <v>-1.4424705324415754E-2</v>
      </c>
      <c r="N631" s="28">
        <f t="shared" si="33"/>
        <v>-0.15174027909489496</v>
      </c>
    </row>
    <row r="632" spans="1:14" x14ac:dyDescent="0.4">
      <c r="A632" s="1">
        <v>40422</v>
      </c>
      <c r="B632" s="28">
        <v>-0.2990080386578029</v>
      </c>
      <c r="C632" s="28">
        <f t="shared" si="33"/>
        <v>-0.27674027909500865</v>
      </c>
      <c r="D632" s="28">
        <f t="shared" si="33"/>
        <v>-0.41333180914961076</v>
      </c>
      <c r="E632" s="28">
        <f t="shared" si="33"/>
        <v>7.7453709975998208E-2</v>
      </c>
      <c r="F632" s="28">
        <f t="shared" si="33"/>
        <v>0.54069141489401318</v>
      </c>
      <c r="G632" s="28">
        <f t="shared" si="33"/>
        <v>0.42070276159500963</v>
      </c>
      <c r="H632" s="28">
        <f t="shared" si="33"/>
        <v>0.47562090728439443</v>
      </c>
      <c r="I632" s="28">
        <f t="shared" si="33"/>
        <v>0.4166749085489414</v>
      </c>
      <c r="J632" s="28">
        <f t="shared" si="33"/>
        <v>-0.28223208237363906</v>
      </c>
      <c r="K632" s="28">
        <f t="shared" si="33"/>
        <v>-0.19231404958674148</v>
      </c>
      <c r="L632" s="28">
        <f t="shared" si="33"/>
        <v>-0.23210230095287443</v>
      </c>
      <c r="M632" s="28">
        <f t="shared" si="33"/>
        <v>-0.43249847581631684</v>
      </c>
      <c r="N632" s="28">
        <f t="shared" si="33"/>
        <v>-1.4424705324415754E-2</v>
      </c>
    </row>
    <row r="633" spans="1:14" x14ac:dyDescent="0.4">
      <c r="A633" s="1">
        <v>40452</v>
      </c>
      <c r="B633" s="28">
        <v>4.2501524183705897E-2</v>
      </c>
      <c r="C633" s="28">
        <f t="shared" si="33"/>
        <v>-0.2990080386578029</v>
      </c>
      <c r="D633" s="28">
        <f t="shared" si="33"/>
        <v>-0.27674027909500865</v>
      </c>
      <c r="E633" s="28">
        <f t="shared" si="33"/>
        <v>-0.41333180914961076</v>
      </c>
      <c r="F633" s="28">
        <f t="shared" si="33"/>
        <v>7.7453709975998208E-2</v>
      </c>
      <c r="G633" s="28">
        <f t="shared" si="33"/>
        <v>0.54069141489401318</v>
      </c>
      <c r="H633" s="28">
        <f t="shared" si="33"/>
        <v>0.42070276159500963</v>
      </c>
      <c r="I633" s="28">
        <f t="shared" si="33"/>
        <v>0.47562090728439443</v>
      </c>
      <c r="J633" s="28">
        <f t="shared" si="33"/>
        <v>0.4166749085489414</v>
      </c>
      <c r="K633" s="28">
        <f t="shared" si="33"/>
        <v>-0.28223208237363906</v>
      </c>
      <c r="L633" s="28">
        <f t="shared" si="33"/>
        <v>-0.19231404958674148</v>
      </c>
      <c r="M633" s="28">
        <f t="shared" si="33"/>
        <v>-0.23210230095287443</v>
      </c>
      <c r="N633" s="28">
        <f t="shared" si="33"/>
        <v>-0.43249847581631684</v>
      </c>
    </row>
    <row r="634" spans="1:14" x14ac:dyDescent="0.4">
      <c r="A634" s="1">
        <v>40483</v>
      </c>
      <c r="B634" s="28">
        <v>0.1916476990471665</v>
      </c>
      <c r="C634" s="28">
        <f t="shared" si="33"/>
        <v>4.2501524183705897E-2</v>
      </c>
      <c r="D634" s="28">
        <f t="shared" si="33"/>
        <v>-0.2990080386578029</v>
      </c>
      <c r="E634" s="28">
        <f t="shared" si="33"/>
        <v>-0.27674027909500865</v>
      </c>
      <c r="F634" s="28">
        <f t="shared" si="33"/>
        <v>-0.41333180914961076</v>
      </c>
      <c r="G634" s="28">
        <f t="shared" si="33"/>
        <v>7.7453709975998208E-2</v>
      </c>
      <c r="H634" s="28">
        <f t="shared" si="33"/>
        <v>0.54069141489401318</v>
      </c>
      <c r="I634" s="28">
        <f t="shared" si="33"/>
        <v>0.42070276159500963</v>
      </c>
      <c r="J634" s="28">
        <f t="shared" si="33"/>
        <v>0.47562090728439443</v>
      </c>
      <c r="K634" s="28">
        <f t="shared" si="33"/>
        <v>0.4166749085489414</v>
      </c>
      <c r="L634" s="28">
        <f t="shared" si="33"/>
        <v>-0.28223208237363906</v>
      </c>
      <c r="M634" s="28">
        <f t="shared" si="33"/>
        <v>-0.19231404958674148</v>
      </c>
      <c r="N634" s="28">
        <f t="shared" si="33"/>
        <v>-0.23210230095287443</v>
      </c>
    </row>
    <row r="635" spans="1:14" x14ac:dyDescent="0.4">
      <c r="A635" s="1">
        <v>40513</v>
      </c>
      <c r="B635" s="28">
        <v>6.3102617079948686E-2</v>
      </c>
      <c r="C635" s="28">
        <f t="shared" si="33"/>
        <v>0.1916476990471665</v>
      </c>
      <c r="D635" s="28">
        <f t="shared" si="33"/>
        <v>4.2501524183705897E-2</v>
      </c>
      <c r="E635" s="28">
        <f t="shared" si="33"/>
        <v>-0.2990080386578029</v>
      </c>
      <c r="F635" s="28">
        <f t="shared" si="33"/>
        <v>-0.27674027909500865</v>
      </c>
      <c r="G635" s="28">
        <f t="shared" si="33"/>
        <v>-0.41333180914961076</v>
      </c>
      <c r="H635" s="28">
        <f t="shared" si="33"/>
        <v>7.7453709975998208E-2</v>
      </c>
      <c r="I635" s="28">
        <f t="shared" si="33"/>
        <v>0.54069141489401318</v>
      </c>
      <c r="J635" s="28">
        <f t="shared" si="33"/>
        <v>0.42070276159500963</v>
      </c>
      <c r="K635" s="28">
        <f t="shared" si="33"/>
        <v>0.47562090728439443</v>
      </c>
      <c r="L635" s="28">
        <f t="shared" si="33"/>
        <v>0.4166749085489414</v>
      </c>
      <c r="M635" s="28">
        <f t="shared" si="33"/>
        <v>-0.28223208237363906</v>
      </c>
      <c r="N635" s="28">
        <f t="shared" si="33"/>
        <v>-0.19231404958674148</v>
      </c>
    </row>
    <row r="636" spans="1:14" x14ac:dyDescent="0.4">
      <c r="A636" s="1">
        <v>40544</v>
      </c>
      <c r="B636" s="28">
        <v>0.45193458429292832</v>
      </c>
      <c r="C636" s="28">
        <f t="shared" si="33"/>
        <v>6.3102617079948686E-2</v>
      </c>
      <c r="D636" s="28">
        <f t="shared" si="33"/>
        <v>0.1916476990471665</v>
      </c>
      <c r="E636" s="28">
        <f t="shared" si="33"/>
        <v>4.2501524183705897E-2</v>
      </c>
      <c r="F636" s="28">
        <f t="shared" si="33"/>
        <v>-0.2990080386578029</v>
      </c>
      <c r="G636" s="28">
        <f t="shared" si="33"/>
        <v>-0.27674027909500865</v>
      </c>
      <c r="H636" s="28">
        <f t="shared" si="33"/>
        <v>-0.41333180914961076</v>
      </c>
      <c r="I636" s="28">
        <f t="shared" si="33"/>
        <v>7.7453709975998208E-2</v>
      </c>
      <c r="J636" s="28">
        <f t="shared" si="33"/>
        <v>0.54069141489401318</v>
      </c>
      <c r="K636" s="28">
        <f t="shared" si="33"/>
        <v>0.42070276159500963</v>
      </c>
      <c r="L636" s="28">
        <f t="shared" si="33"/>
        <v>0.47562090728439443</v>
      </c>
      <c r="M636" s="28">
        <f t="shared" si="33"/>
        <v>0.4166749085489414</v>
      </c>
      <c r="N636" s="28">
        <f t="shared" si="33"/>
        <v>-0.28223208237363906</v>
      </c>
    </row>
    <row r="637" spans="1:14" x14ac:dyDescent="0.4">
      <c r="A637" s="1">
        <v>40575</v>
      </c>
      <c r="B637" s="28">
        <v>0.27209157521571115</v>
      </c>
      <c r="C637" s="28">
        <f t="shared" ref="C637:N700" si="34">IF(B636=0,"",B636)</f>
        <v>0.45193458429292832</v>
      </c>
      <c r="D637" s="28">
        <f t="shared" si="34"/>
        <v>6.3102617079948686E-2</v>
      </c>
      <c r="E637" s="28">
        <f t="shared" si="34"/>
        <v>0.1916476990471665</v>
      </c>
      <c r="F637" s="28">
        <f t="shared" si="34"/>
        <v>4.2501524183705897E-2</v>
      </c>
      <c r="G637" s="28">
        <f t="shared" si="34"/>
        <v>-0.2990080386578029</v>
      </c>
      <c r="H637" s="28">
        <f t="shared" si="34"/>
        <v>-0.27674027909500865</v>
      </c>
      <c r="I637" s="28">
        <f t="shared" si="34"/>
        <v>-0.41333180914961076</v>
      </c>
      <c r="J637" s="28">
        <f t="shared" si="34"/>
        <v>7.7453709975998208E-2</v>
      </c>
      <c r="K637" s="28">
        <f t="shared" si="34"/>
        <v>0.54069141489401318</v>
      </c>
      <c r="L637" s="28">
        <f t="shared" si="34"/>
        <v>0.42070276159500963</v>
      </c>
      <c r="M637" s="28">
        <f t="shared" si="34"/>
        <v>0.47562090728439443</v>
      </c>
      <c r="N637" s="28">
        <f t="shared" si="34"/>
        <v>0.4166749085489414</v>
      </c>
    </row>
    <row r="638" spans="1:14" x14ac:dyDescent="0.4">
      <c r="A638" s="1">
        <v>40603</v>
      </c>
      <c r="B638" s="28">
        <v>-3.6462426048785801E-2</v>
      </c>
      <c r="C638" s="28">
        <f t="shared" si="34"/>
        <v>0.27209157521571115</v>
      </c>
      <c r="D638" s="28">
        <f t="shared" si="34"/>
        <v>0.45193458429292832</v>
      </c>
      <c r="E638" s="28">
        <f t="shared" si="34"/>
        <v>6.3102617079948686E-2</v>
      </c>
      <c r="F638" s="28">
        <f t="shared" si="34"/>
        <v>0.1916476990471665</v>
      </c>
      <c r="G638" s="28">
        <f t="shared" si="34"/>
        <v>4.2501524183705897E-2</v>
      </c>
      <c r="H638" s="28">
        <f t="shared" si="34"/>
        <v>-0.2990080386578029</v>
      </c>
      <c r="I638" s="28">
        <f t="shared" si="34"/>
        <v>-0.27674027909500865</v>
      </c>
      <c r="J638" s="28">
        <f t="shared" si="34"/>
        <v>-0.41333180914961076</v>
      </c>
      <c r="K638" s="28">
        <f t="shared" si="34"/>
        <v>7.7453709975998208E-2</v>
      </c>
      <c r="L638" s="28">
        <f t="shared" si="34"/>
        <v>0.54069141489401318</v>
      </c>
      <c r="M638" s="28">
        <f t="shared" si="34"/>
        <v>0.42070276159500963</v>
      </c>
      <c r="N638" s="28">
        <f t="shared" si="34"/>
        <v>0.47562090728439443</v>
      </c>
    </row>
    <row r="639" spans="1:14" x14ac:dyDescent="0.4">
      <c r="A639" s="1">
        <v>40634</v>
      </c>
      <c r="B639" s="28">
        <v>-0.49596390507156229</v>
      </c>
      <c r="C639" s="28">
        <f t="shared" si="34"/>
        <v>-3.6462426048785801E-2</v>
      </c>
      <c r="D639" s="28">
        <f t="shared" si="34"/>
        <v>0.27209157521571115</v>
      </c>
      <c r="E639" s="28">
        <f t="shared" si="34"/>
        <v>0.45193458429292832</v>
      </c>
      <c r="F639" s="28">
        <f t="shared" si="34"/>
        <v>6.3102617079948686E-2</v>
      </c>
      <c r="G639" s="28">
        <f t="shared" si="34"/>
        <v>0.1916476990471665</v>
      </c>
      <c r="H639" s="28">
        <f t="shared" si="34"/>
        <v>4.2501524183705897E-2</v>
      </c>
      <c r="I639" s="28">
        <f t="shared" si="34"/>
        <v>-0.2990080386578029</v>
      </c>
      <c r="J639" s="28">
        <f t="shared" si="34"/>
        <v>-0.27674027909500865</v>
      </c>
      <c r="K639" s="28">
        <f t="shared" si="34"/>
        <v>-0.41333180914961076</v>
      </c>
      <c r="L639" s="28">
        <f t="shared" si="34"/>
        <v>7.7453709975998208E-2</v>
      </c>
      <c r="M639" s="28">
        <f t="shared" si="34"/>
        <v>0.54069141489401318</v>
      </c>
      <c r="N639" s="28">
        <f t="shared" si="34"/>
        <v>0.42070276159500963</v>
      </c>
    </row>
    <row r="640" spans="1:14" x14ac:dyDescent="0.4">
      <c r="A640" s="1">
        <v>40664</v>
      </c>
      <c r="B640" s="28">
        <v>-0.2180585851058936</v>
      </c>
      <c r="C640" s="28">
        <f t="shared" si="34"/>
        <v>-0.49596390507156229</v>
      </c>
      <c r="D640" s="28">
        <f t="shared" si="34"/>
        <v>-3.6462426048785801E-2</v>
      </c>
      <c r="E640" s="28">
        <f t="shared" si="34"/>
        <v>0.27209157521571115</v>
      </c>
      <c r="F640" s="28">
        <f t="shared" si="34"/>
        <v>0.45193458429292832</v>
      </c>
      <c r="G640" s="28">
        <f t="shared" si="34"/>
        <v>6.3102617079948686E-2</v>
      </c>
      <c r="H640" s="28">
        <f t="shared" si="34"/>
        <v>0.1916476990471665</v>
      </c>
      <c r="I640" s="28">
        <f t="shared" si="34"/>
        <v>4.2501524183705897E-2</v>
      </c>
      <c r="J640" s="28">
        <f t="shared" si="34"/>
        <v>-0.2990080386578029</v>
      </c>
      <c r="K640" s="28">
        <f t="shared" si="34"/>
        <v>-0.27674027909500865</v>
      </c>
      <c r="L640" s="28">
        <f t="shared" si="34"/>
        <v>-0.41333180914961076</v>
      </c>
      <c r="M640" s="28">
        <f t="shared" si="34"/>
        <v>7.7453709975998208E-2</v>
      </c>
      <c r="N640" s="28">
        <f t="shared" si="34"/>
        <v>0.54069141489401318</v>
      </c>
    </row>
    <row r="641" spans="1:14" x14ac:dyDescent="0.4">
      <c r="A641" s="1">
        <v>40695</v>
      </c>
      <c r="B641" s="28">
        <v>-0.23379629002391766</v>
      </c>
      <c r="C641" s="28">
        <f t="shared" si="34"/>
        <v>-0.2180585851058936</v>
      </c>
      <c r="D641" s="28">
        <f t="shared" si="34"/>
        <v>-0.49596390507156229</v>
      </c>
      <c r="E641" s="28">
        <f t="shared" si="34"/>
        <v>-3.6462426048785801E-2</v>
      </c>
      <c r="F641" s="28">
        <f t="shared" si="34"/>
        <v>0.27209157521571115</v>
      </c>
      <c r="G641" s="28">
        <f t="shared" si="34"/>
        <v>0.45193458429292832</v>
      </c>
      <c r="H641" s="28">
        <f t="shared" si="34"/>
        <v>6.3102617079948686E-2</v>
      </c>
      <c r="I641" s="28">
        <f t="shared" si="34"/>
        <v>0.1916476990471665</v>
      </c>
      <c r="J641" s="28">
        <f t="shared" si="34"/>
        <v>4.2501524183705897E-2</v>
      </c>
      <c r="K641" s="28">
        <f t="shared" si="34"/>
        <v>-0.2990080386578029</v>
      </c>
      <c r="L641" s="28">
        <f t="shared" si="34"/>
        <v>-0.27674027909500865</v>
      </c>
      <c r="M641" s="28">
        <f t="shared" si="34"/>
        <v>-0.41333180914961076</v>
      </c>
      <c r="N641" s="28">
        <f t="shared" si="34"/>
        <v>7.7453709975998208E-2</v>
      </c>
    </row>
    <row r="642" spans="1:14" x14ac:dyDescent="0.4">
      <c r="A642" s="1">
        <v>40725</v>
      </c>
      <c r="B642" s="28">
        <v>0.14000152418367406</v>
      </c>
      <c r="C642" s="28">
        <f t="shared" si="34"/>
        <v>-0.23379629002391766</v>
      </c>
      <c r="D642" s="28">
        <f t="shared" si="34"/>
        <v>-0.2180585851058936</v>
      </c>
      <c r="E642" s="28">
        <f t="shared" si="34"/>
        <v>-0.49596390507156229</v>
      </c>
      <c r="F642" s="28">
        <f t="shared" si="34"/>
        <v>-3.6462426048785801E-2</v>
      </c>
      <c r="G642" s="28">
        <f t="shared" si="34"/>
        <v>0.27209157521571115</v>
      </c>
      <c r="H642" s="28">
        <f t="shared" si="34"/>
        <v>0.45193458429292832</v>
      </c>
      <c r="I642" s="28">
        <f t="shared" si="34"/>
        <v>6.3102617079948686E-2</v>
      </c>
      <c r="J642" s="28">
        <f t="shared" si="34"/>
        <v>0.1916476990471665</v>
      </c>
      <c r="K642" s="28">
        <f t="shared" si="34"/>
        <v>4.2501524183705897E-2</v>
      </c>
      <c r="L642" s="28">
        <f t="shared" si="34"/>
        <v>-0.2990080386578029</v>
      </c>
      <c r="M642" s="28">
        <f t="shared" si="34"/>
        <v>-0.27674027909500865</v>
      </c>
      <c r="N642" s="28">
        <f t="shared" si="34"/>
        <v>-0.41333180914961076</v>
      </c>
    </row>
    <row r="643" spans="1:14" x14ac:dyDescent="0.4">
      <c r="A643" s="1">
        <v>40756</v>
      </c>
      <c r="B643" s="28">
        <v>-0.23549027909501774</v>
      </c>
      <c r="C643" s="28">
        <f t="shared" si="34"/>
        <v>0.14000152418367406</v>
      </c>
      <c r="D643" s="28">
        <f t="shared" si="34"/>
        <v>-0.23379629002391766</v>
      </c>
      <c r="E643" s="28">
        <f t="shared" si="34"/>
        <v>-0.2180585851058936</v>
      </c>
      <c r="F643" s="28">
        <f t="shared" si="34"/>
        <v>-0.49596390507156229</v>
      </c>
      <c r="G643" s="28">
        <f t="shared" si="34"/>
        <v>-3.6462426048785801E-2</v>
      </c>
      <c r="H643" s="28">
        <f t="shared" si="34"/>
        <v>0.27209157521571115</v>
      </c>
      <c r="I643" s="28">
        <f t="shared" si="34"/>
        <v>0.45193458429292832</v>
      </c>
      <c r="J643" s="28">
        <f t="shared" si="34"/>
        <v>6.3102617079948686E-2</v>
      </c>
      <c r="K643" s="28">
        <f t="shared" si="34"/>
        <v>0.1916476990471665</v>
      </c>
      <c r="L643" s="28">
        <f t="shared" si="34"/>
        <v>4.2501524183705897E-2</v>
      </c>
      <c r="M643" s="28">
        <f t="shared" si="34"/>
        <v>-0.2990080386578029</v>
      </c>
      <c r="N643" s="28">
        <f t="shared" si="34"/>
        <v>-0.27674027909500865</v>
      </c>
    </row>
    <row r="644" spans="1:14" x14ac:dyDescent="0.4">
      <c r="A644" s="1">
        <v>40787</v>
      </c>
      <c r="B644" s="28">
        <v>0.20974196134216072</v>
      </c>
      <c r="C644" s="28">
        <f t="shared" si="34"/>
        <v>-0.23549027909501774</v>
      </c>
      <c r="D644" s="28">
        <f t="shared" si="34"/>
        <v>0.14000152418367406</v>
      </c>
      <c r="E644" s="28">
        <f t="shared" si="34"/>
        <v>-0.23379629002391766</v>
      </c>
      <c r="F644" s="28">
        <f t="shared" si="34"/>
        <v>-0.2180585851058936</v>
      </c>
      <c r="G644" s="28">
        <f t="shared" si="34"/>
        <v>-0.49596390507156229</v>
      </c>
      <c r="H644" s="28">
        <f t="shared" si="34"/>
        <v>-3.6462426048785801E-2</v>
      </c>
      <c r="I644" s="28">
        <f t="shared" si="34"/>
        <v>0.27209157521571115</v>
      </c>
      <c r="J644" s="28">
        <f t="shared" si="34"/>
        <v>0.45193458429292832</v>
      </c>
      <c r="K644" s="28">
        <f t="shared" si="34"/>
        <v>6.3102617079948686E-2</v>
      </c>
      <c r="L644" s="28">
        <f t="shared" si="34"/>
        <v>0.1916476990471665</v>
      </c>
      <c r="M644" s="28">
        <f t="shared" si="34"/>
        <v>4.2501524183705897E-2</v>
      </c>
      <c r="N644" s="28">
        <f t="shared" si="34"/>
        <v>-0.2990080386578029</v>
      </c>
    </row>
    <row r="645" spans="1:14" x14ac:dyDescent="0.4">
      <c r="A645" s="1">
        <v>40817</v>
      </c>
      <c r="B645" s="28">
        <v>5.5418190850389237E-2</v>
      </c>
      <c r="C645" s="28">
        <f t="shared" si="34"/>
        <v>0.20974196134216072</v>
      </c>
      <c r="D645" s="28">
        <f t="shared" si="34"/>
        <v>-0.23549027909501774</v>
      </c>
      <c r="E645" s="28">
        <f t="shared" si="34"/>
        <v>0.14000152418367406</v>
      </c>
      <c r="F645" s="28">
        <f t="shared" si="34"/>
        <v>-0.23379629002391766</v>
      </c>
      <c r="G645" s="28">
        <f t="shared" si="34"/>
        <v>-0.2180585851058936</v>
      </c>
      <c r="H645" s="28">
        <f t="shared" si="34"/>
        <v>-0.49596390507156229</v>
      </c>
      <c r="I645" s="28">
        <f t="shared" si="34"/>
        <v>-3.6462426048785801E-2</v>
      </c>
      <c r="J645" s="28">
        <f t="shared" si="34"/>
        <v>0.27209157521571115</v>
      </c>
      <c r="K645" s="28">
        <f t="shared" si="34"/>
        <v>0.45193458429292832</v>
      </c>
      <c r="L645" s="28">
        <f t="shared" si="34"/>
        <v>6.3102617079948686E-2</v>
      </c>
      <c r="M645" s="28">
        <f t="shared" si="34"/>
        <v>0.1916476990471665</v>
      </c>
      <c r="N645" s="28">
        <f t="shared" si="34"/>
        <v>4.2501524183705897E-2</v>
      </c>
    </row>
    <row r="646" spans="1:14" x14ac:dyDescent="0.4">
      <c r="A646" s="1">
        <v>40848</v>
      </c>
      <c r="B646" s="28">
        <v>-0.1454356342861729</v>
      </c>
      <c r="C646" s="28">
        <f t="shared" si="34"/>
        <v>5.5418190850389237E-2</v>
      </c>
      <c r="D646" s="28">
        <f t="shared" si="34"/>
        <v>0.20974196134216072</v>
      </c>
      <c r="E646" s="28">
        <f t="shared" si="34"/>
        <v>-0.23549027909501774</v>
      </c>
      <c r="F646" s="28">
        <f t="shared" si="34"/>
        <v>0.14000152418367406</v>
      </c>
      <c r="G646" s="28">
        <f t="shared" si="34"/>
        <v>-0.23379629002391766</v>
      </c>
      <c r="H646" s="28">
        <f t="shared" si="34"/>
        <v>-0.2180585851058936</v>
      </c>
      <c r="I646" s="28">
        <f t="shared" si="34"/>
        <v>-0.49596390507156229</v>
      </c>
      <c r="J646" s="28">
        <f t="shared" si="34"/>
        <v>-3.6462426048785801E-2</v>
      </c>
      <c r="K646" s="28">
        <f t="shared" si="34"/>
        <v>0.27209157521571115</v>
      </c>
      <c r="L646" s="28">
        <f t="shared" si="34"/>
        <v>0.45193458429292832</v>
      </c>
      <c r="M646" s="28">
        <f t="shared" si="34"/>
        <v>6.3102617079948686E-2</v>
      </c>
      <c r="N646" s="28">
        <f t="shared" si="34"/>
        <v>0.1916476990471665</v>
      </c>
    </row>
    <row r="647" spans="1:14" x14ac:dyDescent="0.4">
      <c r="A647" s="1">
        <v>40878</v>
      </c>
      <c r="B647" s="28">
        <v>5.1435950413235787E-2</v>
      </c>
      <c r="C647" s="28">
        <f t="shared" si="34"/>
        <v>-0.1454356342861729</v>
      </c>
      <c r="D647" s="28">
        <f t="shared" si="34"/>
        <v>5.5418190850389237E-2</v>
      </c>
      <c r="E647" s="28">
        <f t="shared" si="34"/>
        <v>0.20974196134216072</v>
      </c>
      <c r="F647" s="28">
        <f t="shared" si="34"/>
        <v>-0.23549027909501774</v>
      </c>
      <c r="G647" s="28">
        <f t="shared" si="34"/>
        <v>0.14000152418367406</v>
      </c>
      <c r="H647" s="28">
        <f t="shared" si="34"/>
        <v>-0.23379629002391766</v>
      </c>
      <c r="I647" s="28">
        <f t="shared" si="34"/>
        <v>-0.2180585851058936</v>
      </c>
      <c r="J647" s="28">
        <f t="shared" si="34"/>
        <v>-0.49596390507156229</v>
      </c>
      <c r="K647" s="28">
        <f t="shared" si="34"/>
        <v>-3.6462426048785801E-2</v>
      </c>
      <c r="L647" s="28">
        <f t="shared" si="34"/>
        <v>0.27209157521571115</v>
      </c>
      <c r="M647" s="28">
        <f t="shared" si="34"/>
        <v>0.45193458429292832</v>
      </c>
      <c r="N647" s="28">
        <f t="shared" si="34"/>
        <v>6.3102617079948686E-2</v>
      </c>
    </row>
    <row r="648" spans="1:14" x14ac:dyDescent="0.4">
      <c r="A648" s="1">
        <v>40909</v>
      </c>
      <c r="B648" s="28">
        <v>0.20318458429301245</v>
      </c>
      <c r="C648" s="28">
        <f t="shared" si="34"/>
        <v>5.1435950413235787E-2</v>
      </c>
      <c r="D648" s="28">
        <f t="shared" si="34"/>
        <v>-0.1454356342861729</v>
      </c>
      <c r="E648" s="28">
        <f t="shared" si="34"/>
        <v>5.5418190850389237E-2</v>
      </c>
      <c r="F648" s="28">
        <f t="shared" si="34"/>
        <v>0.20974196134216072</v>
      </c>
      <c r="G648" s="28">
        <f t="shared" si="34"/>
        <v>-0.23549027909501774</v>
      </c>
      <c r="H648" s="28">
        <f t="shared" si="34"/>
        <v>0.14000152418367406</v>
      </c>
      <c r="I648" s="28">
        <f t="shared" si="34"/>
        <v>-0.23379629002391766</v>
      </c>
      <c r="J648" s="28">
        <f t="shared" si="34"/>
        <v>-0.2180585851058936</v>
      </c>
      <c r="K648" s="28">
        <f t="shared" si="34"/>
        <v>-0.49596390507156229</v>
      </c>
      <c r="L648" s="28">
        <f t="shared" si="34"/>
        <v>-3.6462426048785801E-2</v>
      </c>
      <c r="M648" s="28">
        <f t="shared" si="34"/>
        <v>0.27209157521571115</v>
      </c>
      <c r="N648" s="28">
        <f t="shared" si="34"/>
        <v>0.45193458429292832</v>
      </c>
    </row>
    <row r="649" spans="1:14" x14ac:dyDescent="0.4">
      <c r="A649" s="1">
        <v>40940</v>
      </c>
      <c r="B649" s="28">
        <v>-0.32957509145097674</v>
      </c>
      <c r="C649" s="28">
        <f t="shared" si="34"/>
        <v>0.20318458429301245</v>
      </c>
      <c r="D649" s="28">
        <f t="shared" si="34"/>
        <v>5.1435950413235787E-2</v>
      </c>
      <c r="E649" s="28">
        <f t="shared" si="34"/>
        <v>-0.1454356342861729</v>
      </c>
      <c r="F649" s="28">
        <f t="shared" si="34"/>
        <v>5.5418190850389237E-2</v>
      </c>
      <c r="G649" s="28">
        <f t="shared" si="34"/>
        <v>0.20974196134216072</v>
      </c>
      <c r="H649" s="28">
        <f t="shared" si="34"/>
        <v>-0.23549027909501774</v>
      </c>
      <c r="I649" s="28">
        <f t="shared" si="34"/>
        <v>0.14000152418367406</v>
      </c>
      <c r="J649" s="28">
        <f t="shared" si="34"/>
        <v>-0.23379629002391766</v>
      </c>
      <c r="K649" s="28">
        <f t="shared" si="34"/>
        <v>-0.2180585851058936</v>
      </c>
      <c r="L649" s="28">
        <f t="shared" si="34"/>
        <v>-0.49596390507156229</v>
      </c>
      <c r="M649" s="28">
        <f t="shared" si="34"/>
        <v>-3.6462426048785801E-2</v>
      </c>
      <c r="N649" s="28">
        <f t="shared" si="34"/>
        <v>0.27209157521571115</v>
      </c>
    </row>
    <row r="650" spans="1:14" x14ac:dyDescent="0.4">
      <c r="A650" s="1">
        <v>40969</v>
      </c>
      <c r="B650" s="28">
        <v>-0.18354575938212747</v>
      </c>
      <c r="C650" s="28">
        <f t="shared" si="34"/>
        <v>-0.32957509145097674</v>
      </c>
      <c r="D650" s="28">
        <f t="shared" si="34"/>
        <v>0.20318458429301245</v>
      </c>
      <c r="E650" s="28">
        <f t="shared" si="34"/>
        <v>5.1435950413235787E-2</v>
      </c>
      <c r="F650" s="28">
        <f t="shared" si="34"/>
        <v>-0.1454356342861729</v>
      </c>
      <c r="G650" s="28">
        <f t="shared" si="34"/>
        <v>5.5418190850389237E-2</v>
      </c>
      <c r="H650" s="28">
        <f t="shared" si="34"/>
        <v>0.20974196134216072</v>
      </c>
      <c r="I650" s="28">
        <f t="shared" si="34"/>
        <v>-0.23549027909501774</v>
      </c>
      <c r="J650" s="28">
        <f t="shared" si="34"/>
        <v>0.14000152418367406</v>
      </c>
      <c r="K650" s="28">
        <f t="shared" si="34"/>
        <v>-0.23379629002391766</v>
      </c>
      <c r="L650" s="28">
        <f t="shared" si="34"/>
        <v>-0.2180585851058936</v>
      </c>
      <c r="M650" s="28">
        <f t="shared" si="34"/>
        <v>-0.49596390507156229</v>
      </c>
      <c r="N650" s="28">
        <f t="shared" si="34"/>
        <v>-3.6462426048785801E-2</v>
      </c>
    </row>
    <row r="651" spans="1:14" x14ac:dyDescent="0.4">
      <c r="A651" s="1">
        <v>41000</v>
      </c>
      <c r="B651" s="28">
        <v>0.49528609492847409</v>
      </c>
      <c r="C651" s="28">
        <f t="shared" si="34"/>
        <v>-0.18354575938212747</v>
      </c>
      <c r="D651" s="28">
        <f t="shared" si="34"/>
        <v>-0.32957509145097674</v>
      </c>
      <c r="E651" s="28">
        <f t="shared" si="34"/>
        <v>0.20318458429301245</v>
      </c>
      <c r="F651" s="28">
        <f t="shared" si="34"/>
        <v>5.1435950413235787E-2</v>
      </c>
      <c r="G651" s="28">
        <f t="shared" si="34"/>
        <v>-0.1454356342861729</v>
      </c>
      <c r="H651" s="28">
        <f t="shared" si="34"/>
        <v>5.5418190850389237E-2</v>
      </c>
      <c r="I651" s="28">
        <f t="shared" si="34"/>
        <v>0.20974196134216072</v>
      </c>
      <c r="J651" s="28">
        <f t="shared" si="34"/>
        <v>-0.23549027909501774</v>
      </c>
      <c r="K651" s="28">
        <f t="shared" si="34"/>
        <v>0.14000152418367406</v>
      </c>
      <c r="L651" s="28">
        <f t="shared" si="34"/>
        <v>-0.23379629002391766</v>
      </c>
      <c r="M651" s="28">
        <f t="shared" si="34"/>
        <v>-0.2180585851058936</v>
      </c>
      <c r="N651" s="28">
        <f t="shared" si="34"/>
        <v>-0.49596390507156229</v>
      </c>
    </row>
    <row r="652" spans="1:14" x14ac:dyDescent="0.4">
      <c r="A652" s="1">
        <v>41030</v>
      </c>
      <c r="B652" s="28">
        <v>0.24277474822736167</v>
      </c>
      <c r="C652" s="28">
        <f t="shared" si="34"/>
        <v>0.49528609492847409</v>
      </c>
      <c r="D652" s="28">
        <f t="shared" si="34"/>
        <v>-0.18354575938212747</v>
      </c>
      <c r="E652" s="28">
        <f t="shared" si="34"/>
        <v>-0.32957509145097674</v>
      </c>
      <c r="F652" s="28">
        <f t="shared" si="34"/>
        <v>0.20318458429301245</v>
      </c>
      <c r="G652" s="28">
        <f t="shared" si="34"/>
        <v>5.1435950413235787E-2</v>
      </c>
      <c r="H652" s="28">
        <f t="shared" si="34"/>
        <v>-0.1454356342861729</v>
      </c>
      <c r="I652" s="28">
        <f t="shared" si="34"/>
        <v>5.5418190850389237E-2</v>
      </c>
      <c r="J652" s="28">
        <f t="shared" si="34"/>
        <v>0.20974196134216072</v>
      </c>
      <c r="K652" s="28">
        <f t="shared" si="34"/>
        <v>-0.23549027909501774</v>
      </c>
      <c r="L652" s="28">
        <f t="shared" si="34"/>
        <v>0.14000152418367406</v>
      </c>
      <c r="M652" s="28">
        <f t="shared" si="34"/>
        <v>-0.23379629002391766</v>
      </c>
      <c r="N652" s="28">
        <f t="shared" si="34"/>
        <v>-0.2180585851058936</v>
      </c>
    </row>
    <row r="653" spans="1:14" x14ac:dyDescent="0.4">
      <c r="A653" s="1">
        <v>41061</v>
      </c>
      <c r="B653" s="28">
        <v>-0.24296295669057599</v>
      </c>
      <c r="C653" s="28">
        <f t="shared" si="34"/>
        <v>0.24277474822736167</v>
      </c>
      <c r="D653" s="28">
        <f t="shared" si="34"/>
        <v>0.49528609492847409</v>
      </c>
      <c r="E653" s="28">
        <f t="shared" si="34"/>
        <v>-0.18354575938212747</v>
      </c>
      <c r="F653" s="28">
        <f t="shared" si="34"/>
        <v>-0.32957509145097674</v>
      </c>
      <c r="G653" s="28">
        <f t="shared" si="34"/>
        <v>0.20318458429301245</v>
      </c>
      <c r="H653" s="28">
        <f t="shared" si="34"/>
        <v>5.1435950413235787E-2</v>
      </c>
      <c r="I653" s="28">
        <f t="shared" si="34"/>
        <v>-0.1454356342861729</v>
      </c>
      <c r="J653" s="28">
        <f t="shared" si="34"/>
        <v>5.5418190850389237E-2</v>
      </c>
      <c r="K653" s="28">
        <f t="shared" si="34"/>
        <v>0.20974196134216072</v>
      </c>
      <c r="L653" s="28">
        <f t="shared" si="34"/>
        <v>-0.23549027909501774</v>
      </c>
      <c r="M653" s="28">
        <f t="shared" si="34"/>
        <v>0.14000152418367406</v>
      </c>
      <c r="N653" s="28">
        <f t="shared" si="34"/>
        <v>-0.23379629002391766</v>
      </c>
    </row>
    <row r="654" spans="1:14" x14ac:dyDescent="0.4">
      <c r="A654" s="1">
        <v>41091</v>
      </c>
      <c r="B654" s="28">
        <v>-0.18374847581623044</v>
      </c>
      <c r="C654" s="28">
        <f t="shared" si="34"/>
        <v>-0.24296295669057599</v>
      </c>
      <c r="D654" s="28">
        <f t="shared" si="34"/>
        <v>0.24277474822736167</v>
      </c>
      <c r="E654" s="28">
        <f t="shared" si="34"/>
        <v>0.49528609492847409</v>
      </c>
      <c r="F654" s="28">
        <f t="shared" si="34"/>
        <v>-0.18354575938212747</v>
      </c>
      <c r="G654" s="28">
        <f t="shared" si="34"/>
        <v>-0.32957509145097674</v>
      </c>
      <c r="H654" s="28">
        <f t="shared" si="34"/>
        <v>0.20318458429301245</v>
      </c>
      <c r="I654" s="28">
        <f t="shared" si="34"/>
        <v>5.1435950413235787E-2</v>
      </c>
      <c r="J654" s="28">
        <f t="shared" si="34"/>
        <v>-0.1454356342861729</v>
      </c>
      <c r="K654" s="28">
        <f t="shared" si="34"/>
        <v>5.5418190850389237E-2</v>
      </c>
      <c r="L654" s="28">
        <f t="shared" si="34"/>
        <v>0.20974196134216072</v>
      </c>
      <c r="M654" s="28">
        <f t="shared" si="34"/>
        <v>-0.23549027909501774</v>
      </c>
      <c r="N654" s="28">
        <f t="shared" si="34"/>
        <v>0.14000152418367406</v>
      </c>
    </row>
    <row r="655" spans="1:14" x14ac:dyDescent="0.4">
      <c r="A655" s="1">
        <v>41122</v>
      </c>
      <c r="B655" s="28">
        <v>-0.27757361242828438</v>
      </c>
      <c r="C655" s="28">
        <f t="shared" si="34"/>
        <v>-0.18374847581623044</v>
      </c>
      <c r="D655" s="28">
        <f t="shared" si="34"/>
        <v>-0.24296295669057599</v>
      </c>
      <c r="E655" s="28">
        <f t="shared" si="34"/>
        <v>0.24277474822736167</v>
      </c>
      <c r="F655" s="28">
        <f t="shared" si="34"/>
        <v>0.49528609492847409</v>
      </c>
      <c r="G655" s="28">
        <f t="shared" si="34"/>
        <v>-0.18354575938212747</v>
      </c>
      <c r="H655" s="28">
        <f t="shared" si="34"/>
        <v>-0.32957509145097674</v>
      </c>
      <c r="I655" s="28">
        <f t="shared" si="34"/>
        <v>0.20318458429301245</v>
      </c>
      <c r="J655" s="28">
        <f t="shared" si="34"/>
        <v>5.1435950413235787E-2</v>
      </c>
      <c r="K655" s="28">
        <f t="shared" si="34"/>
        <v>-0.1454356342861729</v>
      </c>
      <c r="L655" s="28">
        <f t="shared" si="34"/>
        <v>5.5418190850389237E-2</v>
      </c>
      <c r="M655" s="28">
        <f t="shared" si="34"/>
        <v>0.20974196134216072</v>
      </c>
      <c r="N655" s="28">
        <f t="shared" si="34"/>
        <v>-0.23549027909501774</v>
      </c>
    </row>
    <row r="656" spans="1:14" x14ac:dyDescent="0.4">
      <c r="A656" s="1">
        <v>41153</v>
      </c>
      <c r="B656" s="28">
        <v>-0.15984137199114912</v>
      </c>
      <c r="C656" s="28">
        <f t="shared" si="34"/>
        <v>-0.27757361242828438</v>
      </c>
      <c r="D656" s="28">
        <f t="shared" si="34"/>
        <v>-0.18374847581623044</v>
      </c>
      <c r="E656" s="28">
        <f t="shared" si="34"/>
        <v>-0.24296295669057599</v>
      </c>
      <c r="F656" s="28">
        <f t="shared" si="34"/>
        <v>0.24277474822736167</v>
      </c>
      <c r="G656" s="28">
        <f t="shared" si="34"/>
        <v>0.49528609492847409</v>
      </c>
      <c r="H656" s="28">
        <f t="shared" si="34"/>
        <v>-0.18354575938212747</v>
      </c>
      <c r="I656" s="28">
        <f t="shared" si="34"/>
        <v>-0.32957509145097674</v>
      </c>
      <c r="J656" s="28">
        <f t="shared" si="34"/>
        <v>0.20318458429301245</v>
      </c>
      <c r="K656" s="28">
        <f t="shared" si="34"/>
        <v>5.1435950413235787E-2</v>
      </c>
      <c r="L656" s="28">
        <f t="shared" si="34"/>
        <v>-0.1454356342861729</v>
      </c>
      <c r="M656" s="28">
        <f t="shared" si="34"/>
        <v>5.5418190850389237E-2</v>
      </c>
      <c r="N656" s="28">
        <f t="shared" si="34"/>
        <v>0.20974196134216072</v>
      </c>
    </row>
    <row r="657" spans="1:14" x14ac:dyDescent="0.4">
      <c r="A657" s="1">
        <v>41183</v>
      </c>
      <c r="B657" s="28">
        <v>-0.35791514248296608</v>
      </c>
      <c r="C657" s="28">
        <f t="shared" si="34"/>
        <v>-0.15984137199114912</v>
      </c>
      <c r="D657" s="28">
        <f t="shared" si="34"/>
        <v>-0.27757361242828438</v>
      </c>
      <c r="E657" s="28">
        <f t="shared" si="34"/>
        <v>-0.18374847581623044</v>
      </c>
      <c r="F657" s="28">
        <f t="shared" si="34"/>
        <v>-0.24296295669057599</v>
      </c>
      <c r="G657" s="28">
        <f t="shared" si="34"/>
        <v>0.24277474822736167</v>
      </c>
      <c r="H657" s="28">
        <f t="shared" si="34"/>
        <v>0.49528609492847409</v>
      </c>
      <c r="I657" s="28">
        <f t="shared" si="34"/>
        <v>-0.18354575938212747</v>
      </c>
      <c r="J657" s="28">
        <f t="shared" si="34"/>
        <v>-0.32957509145097674</v>
      </c>
      <c r="K657" s="28">
        <f t="shared" si="34"/>
        <v>0.20318458429301245</v>
      </c>
      <c r="L657" s="28">
        <f t="shared" si="34"/>
        <v>5.1435950413235787E-2</v>
      </c>
      <c r="M657" s="28">
        <f t="shared" si="34"/>
        <v>-0.1454356342861729</v>
      </c>
      <c r="N657" s="28">
        <f t="shared" si="34"/>
        <v>5.5418190850389237E-2</v>
      </c>
    </row>
    <row r="658" spans="1:14" x14ac:dyDescent="0.4">
      <c r="A658" s="1">
        <v>41214</v>
      </c>
      <c r="B658" s="28">
        <v>9.7064365713720235E-2</v>
      </c>
      <c r="C658" s="28">
        <f t="shared" si="34"/>
        <v>-0.35791514248296608</v>
      </c>
      <c r="D658" s="28">
        <f t="shared" si="34"/>
        <v>-0.15984137199114912</v>
      </c>
      <c r="E658" s="28">
        <f t="shared" si="34"/>
        <v>-0.27757361242828438</v>
      </c>
      <c r="F658" s="28">
        <f t="shared" ref="C658:Q721" si="35">IF(E657=0,"",E657)</f>
        <v>-0.18374847581623044</v>
      </c>
      <c r="G658" s="28">
        <f t="shared" si="35"/>
        <v>-0.24296295669057599</v>
      </c>
      <c r="H658" s="28">
        <f t="shared" si="35"/>
        <v>0.24277474822736167</v>
      </c>
      <c r="I658" s="28">
        <f t="shared" si="35"/>
        <v>0.49528609492847409</v>
      </c>
      <c r="J658" s="28">
        <f t="shared" si="35"/>
        <v>-0.18354575938212747</v>
      </c>
      <c r="K658" s="28">
        <f t="shared" si="35"/>
        <v>-0.32957509145097674</v>
      </c>
      <c r="L658" s="28">
        <f t="shared" si="35"/>
        <v>0.20318458429301245</v>
      </c>
      <c r="M658" s="28">
        <f t="shared" si="35"/>
        <v>5.1435950413235787E-2</v>
      </c>
      <c r="N658" s="28">
        <f t="shared" si="35"/>
        <v>-0.1454356342861729</v>
      </c>
    </row>
    <row r="659" spans="1:14" x14ac:dyDescent="0.4">
      <c r="A659" s="1">
        <v>41244</v>
      </c>
      <c r="B659" s="28">
        <v>5.8935950413172122E-2</v>
      </c>
      <c r="C659" s="28">
        <f t="shared" si="35"/>
        <v>9.7064365713720235E-2</v>
      </c>
      <c r="D659" s="28">
        <f t="shared" si="35"/>
        <v>-0.35791514248296608</v>
      </c>
      <c r="E659" s="28">
        <f t="shared" si="35"/>
        <v>-0.15984137199114912</v>
      </c>
      <c r="F659" s="28">
        <f t="shared" si="35"/>
        <v>-0.27757361242828438</v>
      </c>
      <c r="G659" s="28">
        <f t="shared" si="35"/>
        <v>-0.18374847581623044</v>
      </c>
      <c r="H659" s="28">
        <f t="shared" si="35"/>
        <v>-0.24296295669057599</v>
      </c>
      <c r="I659" s="28">
        <f t="shared" si="35"/>
        <v>0.24277474822736167</v>
      </c>
      <c r="J659" s="28">
        <f t="shared" si="35"/>
        <v>0.49528609492847409</v>
      </c>
      <c r="K659" s="28">
        <f t="shared" si="35"/>
        <v>-0.18354575938212747</v>
      </c>
      <c r="L659" s="28">
        <f t="shared" si="35"/>
        <v>-0.32957509145097674</v>
      </c>
      <c r="M659" s="28">
        <f t="shared" si="35"/>
        <v>0.20318458429301245</v>
      </c>
      <c r="N659" s="28">
        <f t="shared" si="35"/>
        <v>5.1435950413235787E-2</v>
      </c>
    </row>
    <row r="660" spans="1:14" x14ac:dyDescent="0.4">
      <c r="A660" s="1">
        <v>41275</v>
      </c>
      <c r="B660" s="28">
        <v>0.14901791762628136</v>
      </c>
      <c r="C660" s="28">
        <f t="shared" si="35"/>
        <v>5.8935950413172122E-2</v>
      </c>
      <c r="D660" s="28">
        <f t="shared" si="35"/>
        <v>9.7064365713720235E-2</v>
      </c>
      <c r="E660" s="28">
        <f t="shared" si="35"/>
        <v>-0.35791514248296608</v>
      </c>
      <c r="F660" s="28">
        <f t="shared" si="35"/>
        <v>-0.15984137199114912</v>
      </c>
      <c r="G660" s="28">
        <f t="shared" si="35"/>
        <v>-0.27757361242828438</v>
      </c>
      <c r="H660" s="28">
        <f t="shared" si="35"/>
        <v>-0.18374847581623044</v>
      </c>
      <c r="I660" s="28">
        <f t="shared" si="35"/>
        <v>-0.24296295669057599</v>
      </c>
      <c r="J660" s="28">
        <f t="shared" si="35"/>
        <v>0.24277474822736167</v>
      </c>
      <c r="K660" s="28">
        <f t="shared" si="35"/>
        <v>0.49528609492847409</v>
      </c>
      <c r="L660" s="28">
        <f t="shared" si="35"/>
        <v>-0.18354575938212747</v>
      </c>
      <c r="M660" s="28">
        <f t="shared" si="35"/>
        <v>-0.32957509145097674</v>
      </c>
      <c r="N660" s="28">
        <f t="shared" si="35"/>
        <v>0.20318458429301245</v>
      </c>
    </row>
    <row r="661" spans="1:14" x14ac:dyDescent="0.4">
      <c r="A661" s="1">
        <v>41306</v>
      </c>
      <c r="B661" s="28">
        <v>0.5154249085489937</v>
      </c>
      <c r="C661" s="28">
        <f t="shared" si="35"/>
        <v>0.14901791762628136</v>
      </c>
      <c r="D661" s="28">
        <f t="shared" si="35"/>
        <v>5.8935950413172122E-2</v>
      </c>
      <c r="E661" s="28">
        <f t="shared" si="35"/>
        <v>9.7064365713720235E-2</v>
      </c>
      <c r="F661" s="28">
        <f t="shared" si="35"/>
        <v>-0.35791514248296608</v>
      </c>
      <c r="G661" s="28">
        <f t="shared" si="35"/>
        <v>-0.15984137199114912</v>
      </c>
      <c r="H661" s="28">
        <f t="shared" si="35"/>
        <v>-0.27757361242828438</v>
      </c>
      <c r="I661" s="28">
        <f t="shared" si="35"/>
        <v>-0.18374847581623044</v>
      </c>
      <c r="J661" s="28">
        <f t="shared" si="35"/>
        <v>-0.24296295669057599</v>
      </c>
      <c r="K661" s="28">
        <f t="shared" si="35"/>
        <v>0.24277474822736167</v>
      </c>
      <c r="L661" s="28">
        <f t="shared" si="35"/>
        <v>0.49528609492847409</v>
      </c>
      <c r="M661" s="28">
        <f t="shared" si="35"/>
        <v>-0.18354575938212747</v>
      </c>
      <c r="N661" s="28">
        <f t="shared" si="35"/>
        <v>-0.32957509145097674</v>
      </c>
    </row>
    <row r="662" spans="1:14" x14ac:dyDescent="0.4">
      <c r="A662" s="1">
        <v>41334</v>
      </c>
      <c r="B662" s="28">
        <v>3.3537573951093691E-2</v>
      </c>
      <c r="C662" s="28">
        <f t="shared" si="35"/>
        <v>0.5154249085489937</v>
      </c>
      <c r="D662" s="28">
        <f t="shared" si="35"/>
        <v>0.14901791762628136</v>
      </c>
      <c r="E662" s="28">
        <f t="shared" si="35"/>
        <v>5.8935950413172122E-2</v>
      </c>
      <c r="F662" s="28">
        <f t="shared" si="35"/>
        <v>9.7064365713720235E-2</v>
      </c>
      <c r="G662" s="28">
        <f t="shared" si="35"/>
        <v>-0.35791514248296608</v>
      </c>
      <c r="H662" s="28">
        <f t="shared" si="35"/>
        <v>-0.15984137199114912</v>
      </c>
      <c r="I662" s="28">
        <f t="shared" si="35"/>
        <v>-0.27757361242828438</v>
      </c>
      <c r="J662" s="28">
        <f t="shared" si="35"/>
        <v>-0.18374847581623044</v>
      </c>
      <c r="K662" s="28">
        <f t="shared" si="35"/>
        <v>-0.24296295669057599</v>
      </c>
      <c r="L662" s="28">
        <f t="shared" si="35"/>
        <v>0.24277474822736167</v>
      </c>
      <c r="M662" s="28">
        <f t="shared" si="35"/>
        <v>0.49528609492847409</v>
      </c>
      <c r="N662" s="28">
        <f t="shared" si="35"/>
        <v>-0.18354575938212747</v>
      </c>
    </row>
    <row r="663" spans="1:14" x14ac:dyDescent="0.4">
      <c r="A663" s="1">
        <v>41365</v>
      </c>
      <c r="B663" s="28">
        <v>-0.29846390507157139</v>
      </c>
      <c r="C663" s="28">
        <f t="shared" si="35"/>
        <v>3.3537573951093691E-2</v>
      </c>
      <c r="D663" s="28">
        <f t="shared" si="35"/>
        <v>0.5154249085489937</v>
      </c>
      <c r="E663" s="28">
        <f t="shared" si="35"/>
        <v>0.14901791762628136</v>
      </c>
      <c r="F663" s="28">
        <f t="shared" si="35"/>
        <v>5.8935950413172122E-2</v>
      </c>
      <c r="G663" s="28">
        <f t="shared" si="35"/>
        <v>9.7064365713720235E-2</v>
      </c>
      <c r="H663" s="28">
        <f t="shared" si="35"/>
        <v>-0.35791514248296608</v>
      </c>
      <c r="I663" s="28">
        <f t="shared" si="35"/>
        <v>-0.15984137199114912</v>
      </c>
      <c r="J663" s="28">
        <f t="shared" si="35"/>
        <v>-0.27757361242828438</v>
      </c>
      <c r="K663" s="28">
        <f t="shared" si="35"/>
        <v>-0.18374847581623044</v>
      </c>
      <c r="L663" s="28">
        <f t="shared" si="35"/>
        <v>-0.24296295669057599</v>
      </c>
      <c r="M663" s="28">
        <f t="shared" si="35"/>
        <v>0.24277474822736167</v>
      </c>
      <c r="N663" s="28">
        <f t="shared" si="35"/>
        <v>0.49528609492847409</v>
      </c>
    </row>
    <row r="664" spans="1:14" x14ac:dyDescent="0.4">
      <c r="A664" s="1">
        <v>41395</v>
      </c>
      <c r="B664" s="28">
        <v>0.63319141489404274</v>
      </c>
      <c r="C664" s="28">
        <f t="shared" si="35"/>
        <v>-0.29846390507157139</v>
      </c>
      <c r="D664" s="28">
        <f t="shared" si="35"/>
        <v>3.3537573951093691E-2</v>
      </c>
      <c r="E664" s="28">
        <f t="shared" si="35"/>
        <v>0.5154249085489937</v>
      </c>
      <c r="F664" s="28">
        <f t="shared" si="35"/>
        <v>0.14901791762628136</v>
      </c>
      <c r="G664" s="28">
        <f t="shared" si="35"/>
        <v>5.8935950413172122E-2</v>
      </c>
      <c r="H664" s="28">
        <f t="shared" si="35"/>
        <v>9.7064365713720235E-2</v>
      </c>
      <c r="I664" s="28">
        <f t="shared" si="35"/>
        <v>-0.35791514248296608</v>
      </c>
      <c r="J664" s="28">
        <f t="shared" si="35"/>
        <v>-0.15984137199114912</v>
      </c>
      <c r="K664" s="28">
        <f t="shared" si="35"/>
        <v>-0.27757361242828438</v>
      </c>
      <c r="L664" s="28">
        <f t="shared" si="35"/>
        <v>-0.18374847581623044</v>
      </c>
      <c r="M664" s="28">
        <f t="shared" si="35"/>
        <v>-0.24296295669057599</v>
      </c>
      <c r="N664" s="28">
        <f t="shared" si="35"/>
        <v>0.24277474822736167</v>
      </c>
    </row>
    <row r="665" spans="1:14" x14ac:dyDescent="0.4">
      <c r="A665" s="1">
        <v>41426</v>
      </c>
      <c r="B665" s="28">
        <v>4.8703709976052778E-2</v>
      </c>
      <c r="C665" s="28">
        <f t="shared" si="35"/>
        <v>0.63319141489404274</v>
      </c>
      <c r="D665" s="28">
        <f t="shared" si="35"/>
        <v>-0.29846390507157139</v>
      </c>
      <c r="E665" s="28">
        <f t="shared" si="35"/>
        <v>3.3537573951093691E-2</v>
      </c>
      <c r="F665" s="28">
        <f t="shared" si="35"/>
        <v>0.5154249085489937</v>
      </c>
      <c r="G665" s="28">
        <f t="shared" si="35"/>
        <v>0.14901791762628136</v>
      </c>
      <c r="H665" s="28">
        <f t="shared" si="35"/>
        <v>5.8935950413172122E-2</v>
      </c>
      <c r="I665" s="28">
        <f t="shared" si="35"/>
        <v>9.7064365713720235E-2</v>
      </c>
      <c r="J665" s="28">
        <f t="shared" si="35"/>
        <v>-0.35791514248296608</v>
      </c>
      <c r="K665" s="28">
        <f t="shared" si="35"/>
        <v>-0.15984137199114912</v>
      </c>
      <c r="L665" s="28">
        <f t="shared" si="35"/>
        <v>-0.27757361242828438</v>
      </c>
      <c r="M665" s="28">
        <f t="shared" si="35"/>
        <v>-0.18374847581623044</v>
      </c>
      <c r="N665" s="28">
        <f t="shared" si="35"/>
        <v>-0.24296295669057599</v>
      </c>
    </row>
    <row r="666" spans="1:14" x14ac:dyDescent="0.4">
      <c r="A666" s="1">
        <v>41456</v>
      </c>
      <c r="B666" s="28">
        <v>-2.1248475816321388E-2</v>
      </c>
      <c r="C666" s="28">
        <f t="shared" si="35"/>
        <v>4.8703709976052778E-2</v>
      </c>
      <c r="D666" s="28">
        <f t="shared" si="35"/>
        <v>0.63319141489404274</v>
      </c>
      <c r="E666" s="28">
        <f t="shared" si="35"/>
        <v>-0.29846390507157139</v>
      </c>
      <c r="F666" s="28">
        <f t="shared" si="35"/>
        <v>3.3537573951093691E-2</v>
      </c>
      <c r="G666" s="28">
        <f t="shared" si="35"/>
        <v>0.5154249085489937</v>
      </c>
      <c r="H666" s="28">
        <f t="shared" si="35"/>
        <v>0.14901791762628136</v>
      </c>
      <c r="I666" s="28">
        <f t="shared" si="35"/>
        <v>5.8935950413172122E-2</v>
      </c>
      <c r="J666" s="28">
        <f t="shared" si="35"/>
        <v>9.7064365713720235E-2</v>
      </c>
      <c r="K666" s="28">
        <f t="shared" si="35"/>
        <v>-0.35791514248296608</v>
      </c>
      <c r="L666" s="28">
        <f t="shared" si="35"/>
        <v>-0.15984137199114912</v>
      </c>
      <c r="M666" s="28">
        <f t="shared" si="35"/>
        <v>-0.27757361242828438</v>
      </c>
      <c r="N666" s="28">
        <f t="shared" si="35"/>
        <v>-0.18374847581623044</v>
      </c>
    </row>
    <row r="667" spans="1:14" x14ac:dyDescent="0.4">
      <c r="A667" s="1">
        <v>41487</v>
      </c>
      <c r="B667" s="28">
        <v>7.843054238435343E-3</v>
      </c>
      <c r="C667" s="28">
        <f t="shared" si="35"/>
        <v>-2.1248475816321388E-2</v>
      </c>
      <c r="D667" s="28">
        <f t="shared" si="35"/>
        <v>4.8703709976052778E-2</v>
      </c>
      <c r="E667" s="28">
        <f t="shared" si="35"/>
        <v>0.63319141489404274</v>
      </c>
      <c r="F667" s="28">
        <f t="shared" si="35"/>
        <v>-0.29846390507157139</v>
      </c>
      <c r="G667" s="28">
        <f t="shared" si="35"/>
        <v>3.3537573951093691E-2</v>
      </c>
      <c r="H667" s="28">
        <f t="shared" si="35"/>
        <v>0.5154249085489937</v>
      </c>
      <c r="I667" s="28">
        <f t="shared" si="35"/>
        <v>0.14901791762628136</v>
      </c>
      <c r="J667" s="28">
        <f t="shared" si="35"/>
        <v>5.8935950413172122E-2</v>
      </c>
      <c r="K667" s="28">
        <f t="shared" si="35"/>
        <v>9.7064365713720235E-2</v>
      </c>
      <c r="L667" s="28">
        <f t="shared" si="35"/>
        <v>-0.35791514248296608</v>
      </c>
      <c r="M667" s="28">
        <f t="shared" si="35"/>
        <v>-0.15984137199114912</v>
      </c>
      <c r="N667" s="28">
        <f t="shared" si="35"/>
        <v>-0.27757361242828438</v>
      </c>
    </row>
    <row r="668" spans="1:14" x14ac:dyDescent="0.4">
      <c r="A668" s="1">
        <v>41518</v>
      </c>
      <c r="B668" s="28">
        <v>-0.36192470532449761</v>
      </c>
      <c r="C668" s="28">
        <f t="shared" si="35"/>
        <v>7.843054238435343E-3</v>
      </c>
      <c r="D668" s="28">
        <f t="shared" si="35"/>
        <v>-2.1248475816321388E-2</v>
      </c>
      <c r="E668" s="28">
        <f t="shared" si="35"/>
        <v>4.8703709976052778E-2</v>
      </c>
      <c r="F668" s="28">
        <f t="shared" si="35"/>
        <v>0.63319141489404274</v>
      </c>
      <c r="G668" s="28">
        <f t="shared" si="35"/>
        <v>-0.29846390507157139</v>
      </c>
      <c r="H668" s="28">
        <f t="shared" si="35"/>
        <v>3.3537573951093691E-2</v>
      </c>
      <c r="I668" s="28">
        <f t="shared" si="35"/>
        <v>0.5154249085489937</v>
      </c>
      <c r="J668" s="28">
        <f t="shared" si="35"/>
        <v>0.14901791762628136</v>
      </c>
      <c r="K668" s="28">
        <f t="shared" si="35"/>
        <v>5.8935950413172122E-2</v>
      </c>
      <c r="L668" s="28">
        <f t="shared" si="35"/>
        <v>9.7064365713720235E-2</v>
      </c>
      <c r="M668" s="28">
        <f t="shared" si="35"/>
        <v>-0.35791514248296608</v>
      </c>
      <c r="N668" s="28">
        <f t="shared" si="35"/>
        <v>-0.15984137199114912</v>
      </c>
    </row>
    <row r="669" spans="1:14" x14ac:dyDescent="0.4">
      <c r="A669" s="1">
        <v>41548</v>
      </c>
      <c r="B669" s="28">
        <v>-0.14541514248293197</v>
      </c>
      <c r="C669" s="28">
        <f t="shared" si="35"/>
        <v>-0.36192470532449761</v>
      </c>
      <c r="D669" s="28">
        <f t="shared" si="35"/>
        <v>7.843054238435343E-3</v>
      </c>
      <c r="E669" s="28">
        <f t="shared" si="35"/>
        <v>-2.1248475816321388E-2</v>
      </c>
      <c r="F669" s="28">
        <f t="shared" si="35"/>
        <v>4.8703709976052778E-2</v>
      </c>
      <c r="G669" s="28">
        <f t="shared" si="35"/>
        <v>0.63319141489404274</v>
      </c>
      <c r="H669" s="28">
        <f t="shared" si="35"/>
        <v>-0.29846390507157139</v>
      </c>
      <c r="I669" s="28">
        <f t="shared" si="35"/>
        <v>3.3537573951093691E-2</v>
      </c>
      <c r="J669" s="28">
        <f t="shared" si="35"/>
        <v>0.5154249085489937</v>
      </c>
      <c r="K669" s="28">
        <f t="shared" si="35"/>
        <v>0.14901791762628136</v>
      </c>
      <c r="L669" s="28">
        <f t="shared" si="35"/>
        <v>5.8935950413172122E-2</v>
      </c>
      <c r="M669" s="28">
        <f t="shared" si="35"/>
        <v>9.7064365713720235E-2</v>
      </c>
      <c r="N669" s="28">
        <f t="shared" si="35"/>
        <v>-0.35791514248296608</v>
      </c>
    </row>
    <row r="670" spans="1:14" x14ac:dyDescent="0.4">
      <c r="A670" s="1">
        <v>41579</v>
      </c>
      <c r="B670" s="28">
        <v>-0.13418563428621155</v>
      </c>
      <c r="C670" s="28">
        <f t="shared" si="35"/>
        <v>-0.14541514248293197</v>
      </c>
      <c r="D670" s="28">
        <f t="shared" si="35"/>
        <v>-0.36192470532449761</v>
      </c>
      <c r="E670" s="28">
        <f t="shared" si="35"/>
        <v>7.843054238435343E-3</v>
      </c>
      <c r="F670" s="28">
        <f t="shared" si="35"/>
        <v>-2.1248475816321388E-2</v>
      </c>
      <c r="G670" s="28">
        <f t="shared" si="35"/>
        <v>4.8703709976052778E-2</v>
      </c>
      <c r="H670" s="28">
        <f t="shared" si="35"/>
        <v>0.63319141489404274</v>
      </c>
      <c r="I670" s="28">
        <f t="shared" si="35"/>
        <v>-0.29846390507157139</v>
      </c>
      <c r="J670" s="28">
        <f t="shared" si="35"/>
        <v>3.3537573951093691E-2</v>
      </c>
      <c r="K670" s="28">
        <f t="shared" si="35"/>
        <v>0.5154249085489937</v>
      </c>
      <c r="L670" s="28">
        <f t="shared" si="35"/>
        <v>0.14901791762628136</v>
      </c>
      <c r="M670" s="28">
        <f t="shared" si="35"/>
        <v>5.8935950413172122E-2</v>
      </c>
      <c r="N670" s="28">
        <f t="shared" si="35"/>
        <v>9.7064365713720235E-2</v>
      </c>
    </row>
    <row r="671" spans="1:14" x14ac:dyDescent="0.4">
      <c r="A671" s="1">
        <v>41609</v>
      </c>
      <c r="B671" s="28">
        <v>0.15101928374656381</v>
      </c>
      <c r="C671" s="28">
        <f t="shared" si="35"/>
        <v>-0.13418563428621155</v>
      </c>
      <c r="D671" s="28">
        <f t="shared" si="35"/>
        <v>-0.14541514248293197</v>
      </c>
      <c r="E671" s="28">
        <f t="shared" si="35"/>
        <v>-0.36192470532449761</v>
      </c>
      <c r="F671" s="28">
        <f t="shared" si="35"/>
        <v>7.843054238435343E-3</v>
      </c>
      <c r="G671" s="28">
        <f t="shared" si="35"/>
        <v>-2.1248475816321388E-2</v>
      </c>
      <c r="H671" s="28">
        <f t="shared" si="35"/>
        <v>4.8703709976052778E-2</v>
      </c>
      <c r="I671" s="28">
        <f t="shared" si="35"/>
        <v>0.63319141489404274</v>
      </c>
      <c r="J671" s="28">
        <f t="shared" si="35"/>
        <v>-0.29846390507157139</v>
      </c>
      <c r="K671" s="28">
        <f t="shared" si="35"/>
        <v>3.3537573951093691E-2</v>
      </c>
      <c r="L671" s="28">
        <f t="shared" si="35"/>
        <v>0.5154249085489937</v>
      </c>
      <c r="M671" s="28">
        <f t="shared" si="35"/>
        <v>0.14901791762628136</v>
      </c>
      <c r="N671" s="28">
        <f t="shared" si="35"/>
        <v>5.8935950413172122E-2</v>
      </c>
    </row>
    <row r="672" spans="1:14" x14ac:dyDescent="0.4">
      <c r="A672" s="1">
        <v>41640</v>
      </c>
      <c r="B672" s="28">
        <v>0.14193458429298289</v>
      </c>
      <c r="C672" s="28">
        <f t="shared" si="35"/>
        <v>0.15101928374656381</v>
      </c>
      <c r="D672" s="28">
        <f t="shared" si="35"/>
        <v>-0.13418563428621155</v>
      </c>
      <c r="E672" s="28">
        <f t="shared" si="35"/>
        <v>-0.14541514248293197</v>
      </c>
      <c r="F672" s="28">
        <f t="shared" si="35"/>
        <v>-0.36192470532449761</v>
      </c>
      <c r="G672" s="28">
        <f t="shared" si="35"/>
        <v>7.843054238435343E-3</v>
      </c>
      <c r="H672" s="28">
        <f t="shared" si="35"/>
        <v>-2.1248475816321388E-2</v>
      </c>
      <c r="I672" s="28">
        <f t="shared" si="35"/>
        <v>4.8703709976052778E-2</v>
      </c>
      <c r="J672" s="28">
        <f t="shared" si="35"/>
        <v>0.63319141489404274</v>
      </c>
      <c r="K672" s="28">
        <f t="shared" si="35"/>
        <v>-0.29846390507157139</v>
      </c>
      <c r="L672" s="28">
        <f t="shared" si="35"/>
        <v>3.3537573951093691E-2</v>
      </c>
      <c r="M672" s="28">
        <f t="shared" si="35"/>
        <v>0.5154249085489937</v>
      </c>
      <c r="N672" s="28">
        <f t="shared" si="35"/>
        <v>0.14901791762628136</v>
      </c>
    </row>
    <row r="673" spans="1:14" x14ac:dyDescent="0.4">
      <c r="A673" s="1">
        <v>41671</v>
      </c>
      <c r="B673" s="28">
        <v>-0.46915842478438208</v>
      </c>
      <c r="C673" s="28">
        <f t="shared" si="35"/>
        <v>0.14193458429298289</v>
      </c>
      <c r="D673" s="28">
        <f t="shared" si="35"/>
        <v>0.15101928374656381</v>
      </c>
      <c r="E673" s="28">
        <f t="shared" si="35"/>
        <v>-0.13418563428621155</v>
      </c>
      <c r="F673" s="28">
        <f t="shared" si="35"/>
        <v>-0.14541514248293197</v>
      </c>
      <c r="G673" s="28">
        <f t="shared" si="35"/>
        <v>-0.36192470532449761</v>
      </c>
      <c r="H673" s="28">
        <f t="shared" si="35"/>
        <v>7.843054238435343E-3</v>
      </c>
      <c r="I673" s="28">
        <f t="shared" si="35"/>
        <v>-2.1248475816321388E-2</v>
      </c>
      <c r="J673" s="28">
        <f t="shared" si="35"/>
        <v>4.8703709976052778E-2</v>
      </c>
      <c r="K673" s="28">
        <f t="shared" si="35"/>
        <v>0.63319141489404274</v>
      </c>
      <c r="L673" s="28">
        <f t="shared" si="35"/>
        <v>-0.29846390507157139</v>
      </c>
      <c r="M673" s="28">
        <f t="shared" si="35"/>
        <v>3.3537573951093691E-2</v>
      </c>
      <c r="N673" s="28">
        <f t="shared" si="35"/>
        <v>0.5154249085489937</v>
      </c>
    </row>
    <row r="674" spans="1:14" x14ac:dyDescent="0.4">
      <c r="A674" s="1">
        <v>41699</v>
      </c>
      <c r="B674" s="28">
        <v>6.3954240617817959E-2</v>
      </c>
      <c r="C674" s="28">
        <f t="shared" si="35"/>
        <v>-0.46915842478438208</v>
      </c>
      <c r="D674" s="28">
        <f t="shared" si="35"/>
        <v>0.14193458429298289</v>
      </c>
      <c r="E674" s="28">
        <f t="shared" si="35"/>
        <v>0.15101928374656381</v>
      </c>
      <c r="F674" s="28">
        <f t="shared" si="35"/>
        <v>-0.13418563428621155</v>
      </c>
      <c r="G674" s="28">
        <f t="shared" si="35"/>
        <v>-0.14541514248293197</v>
      </c>
      <c r="H674" s="28">
        <f t="shared" si="35"/>
        <v>-0.36192470532449761</v>
      </c>
      <c r="I674" s="28">
        <f t="shared" si="35"/>
        <v>7.843054238435343E-3</v>
      </c>
      <c r="J674" s="28">
        <f t="shared" si="35"/>
        <v>-2.1248475816321388E-2</v>
      </c>
      <c r="K674" s="28">
        <f t="shared" si="35"/>
        <v>4.8703709976052778E-2</v>
      </c>
      <c r="L674" s="28">
        <f t="shared" si="35"/>
        <v>0.63319141489404274</v>
      </c>
      <c r="M674" s="28">
        <f t="shared" si="35"/>
        <v>-0.29846390507157139</v>
      </c>
      <c r="N674" s="28">
        <f t="shared" si="35"/>
        <v>3.3537573951093691E-2</v>
      </c>
    </row>
    <row r="675" spans="1:14" x14ac:dyDescent="0.4">
      <c r="A675" s="1">
        <v>41730</v>
      </c>
      <c r="B675" s="28">
        <v>0.54320276159512559</v>
      </c>
      <c r="C675" s="28">
        <f t="shared" si="35"/>
        <v>6.3954240617817959E-2</v>
      </c>
      <c r="D675" s="28">
        <f t="shared" si="35"/>
        <v>-0.46915842478438208</v>
      </c>
      <c r="E675" s="28">
        <f t="shared" si="35"/>
        <v>0.14193458429298289</v>
      </c>
      <c r="F675" s="28">
        <f t="shared" si="35"/>
        <v>0.15101928374656381</v>
      </c>
      <c r="G675" s="28">
        <f t="shared" si="35"/>
        <v>-0.13418563428621155</v>
      </c>
      <c r="H675" s="28">
        <f t="shared" si="35"/>
        <v>-0.14541514248293197</v>
      </c>
      <c r="I675" s="28">
        <f t="shared" si="35"/>
        <v>-0.36192470532449761</v>
      </c>
      <c r="J675" s="28">
        <f t="shared" si="35"/>
        <v>7.843054238435343E-3</v>
      </c>
      <c r="K675" s="28">
        <f t="shared" si="35"/>
        <v>-2.1248475816321388E-2</v>
      </c>
      <c r="L675" s="28">
        <f t="shared" si="35"/>
        <v>4.8703709976052778E-2</v>
      </c>
      <c r="M675" s="28">
        <f t="shared" si="35"/>
        <v>0.63319141489404274</v>
      </c>
      <c r="N675" s="28">
        <f t="shared" si="35"/>
        <v>-0.29846390507157139</v>
      </c>
    </row>
    <row r="676" spans="1:14" x14ac:dyDescent="0.4">
      <c r="A676" s="1">
        <v>41760</v>
      </c>
      <c r="B676" s="28">
        <v>0.43402474822738668</v>
      </c>
      <c r="C676" s="28">
        <f t="shared" si="35"/>
        <v>0.54320276159512559</v>
      </c>
      <c r="D676" s="28">
        <f t="shared" si="35"/>
        <v>6.3954240617817959E-2</v>
      </c>
      <c r="E676" s="28">
        <f t="shared" si="35"/>
        <v>-0.46915842478438208</v>
      </c>
      <c r="F676" s="28">
        <f t="shared" si="35"/>
        <v>0.14193458429298289</v>
      </c>
      <c r="G676" s="28">
        <f t="shared" si="35"/>
        <v>0.15101928374656381</v>
      </c>
      <c r="H676" s="28">
        <f t="shared" si="35"/>
        <v>-0.13418563428621155</v>
      </c>
      <c r="I676" s="28">
        <f t="shared" si="35"/>
        <v>-0.14541514248293197</v>
      </c>
      <c r="J676" s="28">
        <f t="shared" si="35"/>
        <v>-0.36192470532449761</v>
      </c>
      <c r="K676" s="28">
        <f t="shared" si="35"/>
        <v>7.843054238435343E-3</v>
      </c>
      <c r="L676" s="28">
        <f t="shared" si="35"/>
        <v>-2.1248475816321388E-2</v>
      </c>
      <c r="M676" s="28">
        <f t="shared" si="35"/>
        <v>4.8703709976052778E-2</v>
      </c>
      <c r="N676" s="28">
        <f t="shared" si="35"/>
        <v>0.63319141489404274</v>
      </c>
    </row>
    <row r="677" spans="1:14" x14ac:dyDescent="0.4">
      <c r="A677" s="1">
        <v>41791</v>
      </c>
      <c r="B677" s="28">
        <v>0.4195370433093899</v>
      </c>
      <c r="C677" s="28">
        <f t="shared" si="35"/>
        <v>0.43402474822738668</v>
      </c>
      <c r="D677" s="28">
        <f t="shared" si="35"/>
        <v>0.54320276159512559</v>
      </c>
      <c r="E677" s="28">
        <f t="shared" si="35"/>
        <v>6.3954240617817959E-2</v>
      </c>
      <c r="F677" s="28">
        <f t="shared" si="35"/>
        <v>-0.46915842478438208</v>
      </c>
      <c r="G677" s="28">
        <f t="shared" si="35"/>
        <v>0.14193458429298289</v>
      </c>
      <c r="H677" s="28">
        <f t="shared" si="35"/>
        <v>0.15101928374656381</v>
      </c>
      <c r="I677" s="28">
        <f t="shared" si="35"/>
        <v>-0.13418563428621155</v>
      </c>
      <c r="J677" s="28">
        <f t="shared" si="35"/>
        <v>-0.14541514248293197</v>
      </c>
      <c r="K677" s="28">
        <f t="shared" si="35"/>
        <v>-0.36192470532449761</v>
      </c>
      <c r="L677" s="28">
        <f t="shared" si="35"/>
        <v>7.843054238435343E-3</v>
      </c>
      <c r="M677" s="28">
        <f t="shared" si="35"/>
        <v>-2.1248475816321388E-2</v>
      </c>
      <c r="N677" s="28">
        <f t="shared" si="35"/>
        <v>4.8703709976052778E-2</v>
      </c>
    </row>
    <row r="678" spans="1:14" x14ac:dyDescent="0.4">
      <c r="A678" s="1">
        <v>41821</v>
      </c>
      <c r="B678" s="28">
        <v>-0.35208180914963805</v>
      </c>
      <c r="C678" s="28">
        <f t="shared" si="35"/>
        <v>0.4195370433093899</v>
      </c>
      <c r="D678" s="28">
        <f t="shared" si="35"/>
        <v>0.43402474822738668</v>
      </c>
      <c r="E678" s="28">
        <f t="shared" si="35"/>
        <v>0.54320276159512559</v>
      </c>
      <c r="F678" s="28">
        <f t="shared" si="35"/>
        <v>6.3954240617817959E-2</v>
      </c>
      <c r="G678" s="28">
        <f t="shared" si="35"/>
        <v>-0.46915842478438208</v>
      </c>
      <c r="H678" s="28">
        <f t="shared" si="35"/>
        <v>0.14193458429298289</v>
      </c>
      <c r="I678" s="28">
        <f t="shared" si="35"/>
        <v>0.15101928374656381</v>
      </c>
      <c r="J678" s="28">
        <f t="shared" si="35"/>
        <v>-0.13418563428621155</v>
      </c>
      <c r="K678" s="28">
        <f t="shared" si="35"/>
        <v>-0.14541514248293197</v>
      </c>
      <c r="L678" s="28">
        <f t="shared" si="35"/>
        <v>-0.36192470532449761</v>
      </c>
      <c r="M678" s="28">
        <f t="shared" si="35"/>
        <v>7.843054238435343E-3</v>
      </c>
      <c r="N678" s="28">
        <f t="shared" si="35"/>
        <v>-2.1248475816321388E-2</v>
      </c>
    </row>
    <row r="679" spans="1:14" x14ac:dyDescent="0.4">
      <c r="A679" s="1">
        <v>41852</v>
      </c>
      <c r="B679" s="28">
        <v>-0.24632361242834122</v>
      </c>
      <c r="C679" s="28">
        <f t="shared" si="35"/>
        <v>-0.35208180914963805</v>
      </c>
      <c r="D679" s="28">
        <f t="shared" si="35"/>
        <v>0.4195370433093899</v>
      </c>
      <c r="E679" s="28">
        <f t="shared" si="35"/>
        <v>0.43402474822738668</v>
      </c>
      <c r="F679" s="28">
        <f t="shared" si="35"/>
        <v>0.54320276159512559</v>
      </c>
      <c r="G679" s="28">
        <f t="shared" si="35"/>
        <v>6.3954240617817959E-2</v>
      </c>
      <c r="H679" s="28">
        <f t="shared" si="35"/>
        <v>-0.46915842478438208</v>
      </c>
      <c r="I679" s="28">
        <f t="shared" ref="D679:S694" si="36">IF(H678=0,"",H678)</f>
        <v>0.14193458429298289</v>
      </c>
      <c r="J679" s="28">
        <f t="shared" si="36"/>
        <v>0.15101928374656381</v>
      </c>
      <c r="K679" s="28">
        <f t="shared" si="36"/>
        <v>-0.13418563428621155</v>
      </c>
      <c r="L679" s="28">
        <f t="shared" si="36"/>
        <v>-0.14541514248293197</v>
      </c>
      <c r="M679" s="28">
        <f t="shared" si="36"/>
        <v>-0.36192470532449761</v>
      </c>
      <c r="N679" s="28">
        <f t="shared" si="36"/>
        <v>7.843054238435343E-3</v>
      </c>
    </row>
    <row r="680" spans="1:14" x14ac:dyDescent="0.4">
      <c r="A680" s="1">
        <v>41883</v>
      </c>
      <c r="B680" s="28">
        <v>-0.4390080386578461</v>
      </c>
      <c r="C680" s="28">
        <f t="shared" ref="C680:N743" si="37">IF(B679=0,"",B679)</f>
        <v>-0.24632361242834122</v>
      </c>
      <c r="D680" s="28">
        <f t="shared" si="36"/>
        <v>-0.35208180914963805</v>
      </c>
      <c r="E680" s="28">
        <f t="shared" si="36"/>
        <v>0.4195370433093899</v>
      </c>
      <c r="F680" s="28">
        <f t="shared" si="36"/>
        <v>0.43402474822738668</v>
      </c>
      <c r="G680" s="28">
        <f t="shared" si="36"/>
        <v>0.54320276159512559</v>
      </c>
      <c r="H680" s="28">
        <f t="shared" si="36"/>
        <v>6.3954240617817959E-2</v>
      </c>
      <c r="I680" s="28">
        <f t="shared" si="36"/>
        <v>-0.46915842478438208</v>
      </c>
      <c r="J680" s="28">
        <f t="shared" si="36"/>
        <v>0.14193458429298289</v>
      </c>
      <c r="K680" s="28">
        <f t="shared" si="36"/>
        <v>0.15101928374656381</v>
      </c>
      <c r="L680" s="28">
        <f t="shared" si="36"/>
        <v>-0.13418563428621155</v>
      </c>
      <c r="M680" s="28">
        <f t="shared" si="36"/>
        <v>-0.14541514248293197</v>
      </c>
      <c r="N680" s="28">
        <f t="shared" si="36"/>
        <v>-0.36192470532449761</v>
      </c>
    </row>
    <row r="681" spans="1:14" x14ac:dyDescent="0.4">
      <c r="A681" s="1">
        <v>41913</v>
      </c>
      <c r="B681" s="28">
        <v>-0.23958180914968352</v>
      </c>
      <c r="C681" s="28">
        <f t="shared" si="37"/>
        <v>-0.4390080386578461</v>
      </c>
      <c r="D681" s="28">
        <f t="shared" si="36"/>
        <v>-0.24632361242834122</v>
      </c>
      <c r="E681" s="28">
        <f t="shared" si="36"/>
        <v>-0.35208180914963805</v>
      </c>
      <c r="F681" s="28">
        <f t="shared" si="36"/>
        <v>0.4195370433093899</v>
      </c>
      <c r="G681" s="28">
        <f t="shared" si="36"/>
        <v>0.43402474822738668</v>
      </c>
      <c r="H681" s="28">
        <f t="shared" si="36"/>
        <v>0.54320276159512559</v>
      </c>
      <c r="I681" s="28">
        <f t="shared" si="36"/>
        <v>6.3954240617817959E-2</v>
      </c>
      <c r="J681" s="28">
        <f t="shared" si="36"/>
        <v>-0.46915842478438208</v>
      </c>
      <c r="K681" s="28">
        <f t="shared" si="36"/>
        <v>0.14193458429298289</v>
      </c>
      <c r="L681" s="28">
        <f t="shared" si="36"/>
        <v>0.15101928374656381</v>
      </c>
      <c r="M681" s="28">
        <f t="shared" si="36"/>
        <v>-0.13418563428621155</v>
      </c>
      <c r="N681" s="28">
        <f t="shared" si="36"/>
        <v>-0.14541514248293197</v>
      </c>
    </row>
    <row r="682" spans="1:14" x14ac:dyDescent="0.4">
      <c r="A682" s="1">
        <v>41944</v>
      </c>
      <c r="B682" s="28">
        <v>-0.11585230095289489</v>
      </c>
      <c r="C682" s="28">
        <f t="shared" si="37"/>
        <v>-0.23958180914968352</v>
      </c>
      <c r="D682" s="28">
        <f t="shared" si="36"/>
        <v>-0.4390080386578461</v>
      </c>
      <c r="E682" s="28">
        <f t="shared" si="36"/>
        <v>-0.24632361242834122</v>
      </c>
      <c r="F682" s="28">
        <f t="shared" si="36"/>
        <v>-0.35208180914963805</v>
      </c>
      <c r="G682" s="28">
        <f t="shared" si="36"/>
        <v>0.4195370433093899</v>
      </c>
      <c r="H682" s="28">
        <f t="shared" si="36"/>
        <v>0.43402474822738668</v>
      </c>
      <c r="I682" s="28">
        <f t="shared" si="36"/>
        <v>0.54320276159512559</v>
      </c>
      <c r="J682" s="28">
        <f t="shared" si="36"/>
        <v>6.3954240617817959E-2</v>
      </c>
      <c r="K682" s="28">
        <f t="shared" si="36"/>
        <v>-0.46915842478438208</v>
      </c>
      <c r="L682" s="28">
        <f t="shared" si="36"/>
        <v>0.14193458429298289</v>
      </c>
      <c r="M682" s="28">
        <f t="shared" si="36"/>
        <v>0.15101928374656381</v>
      </c>
      <c r="N682" s="28">
        <f t="shared" si="36"/>
        <v>-0.13418563428621155</v>
      </c>
    </row>
    <row r="683" spans="1:14" x14ac:dyDescent="0.4">
      <c r="A683" s="1">
        <v>41974</v>
      </c>
      <c r="B683" s="28">
        <v>0.12226928374661838</v>
      </c>
      <c r="C683" s="28">
        <f t="shared" si="37"/>
        <v>-0.11585230095289489</v>
      </c>
      <c r="D683" s="28">
        <f t="shared" si="36"/>
        <v>-0.23958180914968352</v>
      </c>
      <c r="E683" s="28">
        <f t="shared" si="36"/>
        <v>-0.4390080386578461</v>
      </c>
      <c r="F683" s="28">
        <f t="shared" si="36"/>
        <v>-0.24632361242834122</v>
      </c>
      <c r="G683" s="28">
        <f t="shared" si="36"/>
        <v>-0.35208180914963805</v>
      </c>
      <c r="H683" s="28">
        <f t="shared" si="36"/>
        <v>0.4195370433093899</v>
      </c>
      <c r="I683" s="28">
        <f t="shared" si="36"/>
        <v>0.43402474822738668</v>
      </c>
      <c r="J683" s="28">
        <f t="shared" si="36"/>
        <v>0.54320276159512559</v>
      </c>
      <c r="K683" s="28">
        <f t="shared" si="36"/>
        <v>6.3954240617817959E-2</v>
      </c>
      <c r="L683" s="28">
        <f t="shared" si="36"/>
        <v>-0.46915842478438208</v>
      </c>
      <c r="M683" s="28">
        <f t="shared" si="36"/>
        <v>0.14193458429298289</v>
      </c>
      <c r="N683" s="28">
        <f t="shared" si="36"/>
        <v>0.15101928374656381</v>
      </c>
    </row>
    <row r="684" spans="1:14" x14ac:dyDescent="0.4">
      <c r="A684" s="1">
        <v>42005</v>
      </c>
      <c r="B684" s="28">
        <v>6.4434584292939689E-2</v>
      </c>
      <c r="C684" s="28">
        <f t="shared" si="37"/>
        <v>0.12226928374661838</v>
      </c>
      <c r="D684" s="28">
        <f t="shared" si="36"/>
        <v>-0.11585230095289489</v>
      </c>
      <c r="E684" s="28">
        <f t="shared" si="36"/>
        <v>-0.23958180914968352</v>
      </c>
      <c r="F684" s="28">
        <f t="shared" si="36"/>
        <v>-0.4390080386578461</v>
      </c>
      <c r="G684" s="28">
        <f t="shared" si="36"/>
        <v>-0.24632361242834122</v>
      </c>
      <c r="H684" s="28">
        <f t="shared" si="36"/>
        <v>-0.35208180914963805</v>
      </c>
      <c r="I684" s="28">
        <f t="shared" si="36"/>
        <v>0.4195370433093899</v>
      </c>
      <c r="J684" s="28">
        <f t="shared" si="36"/>
        <v>0.43402474822738668</v>
      </c>
      <c r="K684" s="28">
        <f t="shared" si="36"/>
        <v>0.54320276159512559</v>
      </c>
      <c r="L684" s="28">
        <f t="shared" si="36"/>
        <v>6.3954240617817959E-2</v>
      </c>
      <c r="M684" s="28">
        <f t="shared" si="36"/>
        <v>-0.46915842478438208</v>
      </c>
      <c r="N684" s="28">
        <f t="shared" si="36"/>
        <v>0.14193458429298289</v>
      </c>
    </row>
    <row r="685" spans="1:14" x14ac:dyDescent="0.4">
      <c r="A685" s="1">
        <v>42036</v>
      </c>
      <c r="B685" s="28">
        <v>-0.29124175811767827</v>
      </c>
      <c r="C685" s="28">
        <f t="shared" si="37"/>
        <v>6.4434584292939689E-2</v>
      </c>
      <c r="D685" s="28">
        <f t="shared" si="36"/>
        <v>0.12226928374661838</v>
      </c>
      <c r="E685" s="28">
        <f t="shared" si="36"/>
        <v>-0.11585230095289489</v>
      </c>
      <c r="F685" s="28">
        <f t="shared" si="36"/>
        <v>-0.23958180914968352</v>
      </c>
      <c r="G685" s="28">
        <f t="shared" si="36"/>
        <v>-0.4390080386578461</v>
      </c>
      <c r="H685" s="28">
        <f t="shared" si="36"/>
        <v>-0.24632361242834122</v>
      </c>
      <c r="I685" s="28">
        <f t="shared" si="36"/>
        <v>-0.35208180914963805</v>
      </c>
      <c r="J685" s="28">
        <f t="shared" si="36"/>
        <v>0.4195370433093899</v>
      </c>
      <c r="K685" s="28">
        <f t="shared" si="36"/>
        <v>0.43402474822738668</v>
      </c>
      <c r="L685" s="28">
        <f t="shared" si="36"/>
        <v>0.54320276159512559</v>
      </c>
      <c r="M685" s="28">
        <f t="shared" si="36"/>
        <v>6.3954240617817959E-2</v>
      </c>
      <c r="N685" s="28">
        <f t="shared" si="36"/>
        <v>-0.46915842478438208</v>
      </c>
    </row>
    <row r="686" spans="1:14" x14ac:dyDescent="0.4">
      <c r="A686" s="1">
        <v>42064</v>
      </c>
      <c r="B686" s="28">
        <v>6.8537573951118702E-2</v>
      </c>
      <c r="C686" s="28">
        <f t="shared" si="37"/>
        <v>-0.29124175811767827</v>
      </c>
      <c r="D686" s="28">
        <f t="shared" si="36"/>
        <v>6.4434584292939689E-2</v>
      </c>
      <c r="E686" s="28">
        <f t="shared" si="36"/>
        <v>0.12226928374661838</v>
      </c>
      <c r="F686" s="28">
        <f t="shared" si="36"/>
        <v>-0.11585230095289489</v>
      </c>
      <c r="G686" s="28">
        <f t="shared" si="36"/>
        <v>-0.23958180914968352</v>
      </c>
      <c r="H686" s="28">
        <f t="shared" si="36"/>
        <v>-0.4390080386578461</v>
      </c>
      <c r="I686" s="28">
        <f t="shared" si="36"/>
        <v>-0.24632361242834122</v>
      </c>
      <c r="J686" s="28">
        <f t="shared" si="36"/>
        <v>-0.35208180914963805</v>
      </c>
      <c r="K686" s="28">
        <f t="shared" si="36"/>
        <v>0.4195370433093899</v>
      </c>
      <c r="L686" s="28">
        <f t="shared" si="36"/>
        <v>0.43402474822738668</v>
      </c>
      <c r="M686" s="28">
        <f t="shared" si="36"/>
        <v>0.54320276159512559</v>
      </c>
      <c r="N686" s="28">
        <f t="shared" si="36"/>
        <v>6.3954240617817959E-2</v>
      </c>
    </row>
    <row r="687" spans="1:14" x14ac:dyDescent="0.4">
      <c r="A687" s="1">
        <v>42095</v>
      </c>
      <c r="B687" s="28">
        <v>0.59570276159513469</v>
      </c>
      <c r="C687" s="28">
        <f t="shared" si="37"/>
        <v>6.8537573951118702E-2</v>
      </c>
      <c r="D687" s="28">
        <f t="shared" si="36"/>
        <v>-0.29124175811767827</v>
      </c>
      <c r="E687" s="28">
        <f t="shared" si="36"/>
        <v>6.4434584292939689E-2</v>
      </c>
      <c r="F687" s="28">
        <f t="shared" si="36"/>
        <v>0.12226928374661838</v>
      </c>
      <c r="G687" s="28">
        <f t="shared" si="36"/>
        <v>-0.11585230095289489</v>
      </c>
      <c r="H687" s="28">
        <f t="shared" si="36"/>
        <v>-0.23958180914968352</v>
      </c>
      <c r="I687" s="28">
        <f t="shared" si="36"/>
        <v>-0.4390080386578461</v>
      </c>
      <c r="J687" s="28">
        <f t="shared" si="36"/>
        <v>-0.24632361242834122</v>
      </c>
      <c r="K687" s="28">
        <f t="shared" si="36"/>
        <v>-0.35208180914963805</v>
      </c>
      <c r="L687" s="28">
        <f t="shared" si="36"/>
        <v>0.4195370433093899</v>
      </c>
      <c r="M687" s="28">
        <f t="shared" si="36"/>
        <v>0.43402474822738668</v>
      </c>
      <c r="N687" s="28">
        <f t="shared" si="36"/>
        <v>0.54320276159512559</v>
      </c>
    </row>
    <row r="688" spans="1:14" x14ac:dyDescent="0.4">
      <c r="A688" s="1">
        <v>42125</v>
      </c>
      <c r="B688" s="28">
        <v>0.51777474822739578</v>
      </c>
      <c r="C688" s="28">
        <f t="shared" si="37"/>
        <v>0.59570276159513469</v>
      </c>
      <c r="D688" s="28">
        <f t="shared" si="36"/>
        <v>6.8537573951118702E-2</v>
      </c>
      <c r="E688" s="28">
        <f t="shared" si="36"/>
        <v>-0.29124175811767827</v>
      </c>
      <c r="F688" s="28">
        <f t="shared" si="36"/>
        <v>6.4434584292939689E-2</v>
      </c>
      <c r="G688" s="28">
        <f t="shared" si="36"/>
        <v>0.12226928374661838</v>
      </c>
      <c r="H688" s="28">
        <f t="shared" si="36"/>
        <v>-0.11585230095289489</v>
      </c>
      <c r="I688" s="28">
        <f t="shared" si="36"/>
        <v>-0.23958180914968352</v>
      </c>
      <c r="J688" s="28">
        <f t="shared" si="36"/>
        <v>-0.4390080386578461</v>
      </c>
      <c r="K688" s="28">
        <f t="shared" si="36"/>
        <v>-0.24632361242834122</v>
      </c>
      <c r="L688" s="28">
        <f t="shared" si="36"/>
        <v>-0.35208180914963805</v>
      </c>
      <c r="M688" s="28">
        <f t="shared" si="36"/>
        <v>0.4195370433093899</v>
      </c>
      <c r="N688" s="28">
        <f t="shared" si="36"/>
        <v>0.43402474822738668</v>
      </c>
    </row>
    <row r="689" spans="1:14" x14ac:dyDescent="0.4">
      <c r="A689" s="1">
        <v>42156</v>
      </c>
      <c r="B689" s="28">
        <v>-0.23421295669061237</v>
      </c>
      <c r="C689" s="28">
        <f t="shared" si="37"/>
        <v>0.51777474822739578</v>
      </c>
      <c r="D689" s="28">
        <f t="shared" si="36"/>
        <v>0.59570276159513469</v>
      </c>
      <c r="E689" s="28">
        <f t="shared" si="36"/>
        <v>6.8537573951118702E-2</v>
      </c>
      <c r="F689" s="28">
        <f t="shared" si="36"/>
        <v>-0.29124175811767827</v>
      </c>
      <c r="G689" s="28">
        <f t="shared" si="36"/>
        <v>6.4434584292939689E-2</v>
      </c>
      <c r="H689" s="28">
        <f t="shared" si="36"/>
        <v>0.12226928374661838</v>
      </c>
      <c r="I689" s="28">
        <f t="shared" si="36"/>
        <v>-0.11585230095289489</v>
      </c>
      <c r="J689" s="28">
        <f t="shared" si="36"/>
        <v>-0.23958180914968352</v>
      </c>
      <c r="K689" s="28">
        <f t="shared" si="36"/>
        <v>-0.4390080386578461</v>
      </c>
      <c r="L689" s="28">
        <f t="shared" si="36"/>
        <v>-0.24632361242834122</v>
      </c>
      <c r="M689" s="28">
        <f t="shared" si="36"/>
        <v>-0.35208180914963805</v>
      </c>
      <c r="N689" s="28">
        <f t="shared" si="36"/>
        <v>0.4195370433093899</v>
      </c>
    </row>
    <row r="690" spans="1:14" x14ac:dyDescent="0.4">
      <c r="A690" s="1">
        <v>42186</v>
      </c>
      <c r="B690" s="28">
        <v>-0.11958180914967897</v>
      </c>
      <c r="C690" s="28">
        <f t="shared" si="37"/>
        <v>-0.23421295669061237</v>
      </c>
      <c r="D690" s="28">
        <f t="shared" si="36"/>
        <v>0.51777474822739578</v>
      </c>
      <c r="E690" s="28">
        <f t="shared" si="36"/>
        <v>0.59570276159513469</v>
      </c>
      <c r="F690" s="28">
        <f t="shared" si="36"/>
        <v>6.8537573951118702E-2</v>
      </c>
      <c r="G690" s="28">
        <f t="shared" si="36"/>
        <v>-0.29124175811767827</v>
      </c>
      <c r="H690" s="28">
        <f t="shared" si="36"/>
        <v>6.4434584292939689E-2</v>
      </c>
      <c r="I690" s="28">
        <f t="shared" si="36"/>
        <v>0.12226928374661838</v>
      </c>
      <c r="J690" s="28">
        <f t="shared" si="36"/>
        <v>-0.11585230095289489</v>
      </c>
      <c r="K690" s="28">
        <f t="shared" si="36"/>
        <v>-0.23958180914968352</v>
      </c>
      <c r="L690" s="28">
        <f t="shared" si="36"/>
        <v>-0.4390080386578461</v>
      </c>
      <c r="M690" s="28">
        <f t="shared" si="36"/>
        <v>-0.24632361242834122</v>
      </c>
      <c r="N690" s="28">
        <f t="shared" si="36"/>
        <v>-0.35208180914963805</v>
      </c>
    </row>
    <row r="691" spans="1:14" x14ac:dyDescent="0.4">
      <c r="A691" s="1">
        <v>42217</v>
      </c>
      <c r="B691" s="28">
        <v>-0.86882361242828665</v>
      </c>
      <c r="C691" s="28">
        <f t="shared" si="37"/>
        <v>-0.11958180914967897</v>
      </c>
      <c r="D691" s="28">
        <f t="shared" si="36"/>
        <v>-0.23421295669061237</v>
      </c>
      <c r="E691" s="28">
        <f t="shared" si="36"/>
        <v>0.51777474822739578</v>
      </c>
      <c r="F691" s="28">
        <f t="shared" si="36"/>
        <v>0.59570276159513469</v>
      </c>
      <c r="G691" s="28">
        <f t="shared" si="36"/>
        <v>6.8537573951118702E-2</v>
      </c>
      <c r="H691" s="28">
        <f t="shared" si="36"/>
        <v>-0.29124175811767827</v>
      </c>
      <c r="I691" s="28">
        <f t="shared" si="36"/>
        <v>6.4434584292939689E-2</v>
      </c>
      <c r="J691" s="28">
        <f t="shared" si="36"/>
        <v>0.12226928374661838</v>
      </c>
      <c r="K691" s="28">
        <f t="shared" si="36"/>
        <v>-0.11585230095289489</v>
      </c>
      <c r="L691" s="28">
        <f t="shared" si="36"/>
        <v>-0.23958180914968352</v>
      </c>
      <c r="M691" s="28">
        <f t="shared" si="36"/>
        <v>-0.4390080386578461</v>
      </c>
      <c r="N691" s="28">
        <f t="shared" si="36"/>
        <v>-0.24632361242834122</v>
      </c>
    </row>
    <row r="692" spans="1:14" x14ac:dyDescent="0.4">
      <c r="A692" s="1">
        <v>42248</v>
      </c>
      <c r="B692" s="28">
        <v>-0.87400803865779153</v>
      </c>
      <c r="C692" s="28">
        <f t="shared" si="37"/>
        <v>-0.86882361242828665</v>
      </c>
      <c r="D692" s="28">
        <f t="shared" si="36"/>
        <v>-0.11958180914967897</v>
      </c>
      <c r="E692" s="28">
        <f t="shared" si="36"/>
        <v>-0.23421295669061237</v>
      </c>
      <c r="F692" s="28">
        <f t="shared" si="36"/>
        <v>0.51777474822739578</v>
      </c>
      <c r="G692" s="28">
        <f t="shared" si="36"/>
        <v>0.59570276159513469</v>
      </c>
      <c r="H692" s="28">
        <f t="shared" si="36"/>
        <v>6.8537573951118702E-2</v>
      </c>
      <c r="I692" s="28">
        <f t="shared" si="36"/>
        <v>-0.29124175811767827</v>
      </c>
      <c r="J692" s="28">
        <f t="shared" si="36"/>
        <v>6.4434584292939689E-2</v>
      </c>
      <c r="K692" s="28">
        <f t="shared" si="36"/>
        <v>0.12226928374661838</v>
      </c>
      <c r="L692" s="28">
        <f t="shared" si="36"/>
        <v>-0.11585230095289489</v>
      </c>
      <c r="M692" s="28">
        <f t="shared" si="36"/>
        <v>-0.23958180914968352</v>
      </c>
      <c r="N692" s="28">
        <f t="shared" si="36"/>
        <v>-0.4390080386578461</v>
      </c>
    </row>
    <row r="693" spans="1:14" x14ac:dyDescent="0.4">
      <c r="A693" s="1">
        <v>42278</v>
      </c>
      <c r="B693" s="28">
        <v>-0.28208180914964487</v>
      </c>
      <c r="C693" s="28">
        <f t="shared" si="37"/>
        <v>-0.87400803865779153</v>
      </c>
      <c r="D693" s="28">
        <f t="shared" si="36"/>
        <v>-0.86882361242828665</v>
      </c>
      <c r="E693" s="28">
        <f t="shared" si="36"/>
        <v>-0.11958180914967897</v>
      </c>
      <c r="F693" s="28">
        <f t="shared" si="36"/>
        <v>-0.23421295669061237</v>
      </c>
      <c r="G693" s="28">
        <f t="shared" si="36"/>
        <v>0.51777474822739578</v>
      </c>
      <c r="H693" s="28">
        <f t="shared" si="36"/>
        <v>0.59570276159513469</v>
      </c>
      <c r="I693" s="28">
        <f t="shared" si="36"/>
        <v>6.8537573951118702E-2</v>
      </c>
      <c r="J693" s="28">
        <f t="shared" si="36"/>
        <v>-0.29124175811767827</v>
      </c>
      <c r="K693" s="28">
        <f t="shared" si="36"/>
        <v>6.4434584292939689E-2</v>
      </c>
      <c r="L693" s="28">
        <f t="shared" si="36"/>
        <v>0.12226928374661838</v>
      </c>
      <c r="M693" s="28">
        <f t="shared" si="36"/>
        <v>-0.11585230095289489</v>
      </c>
      <c r="N693" s="28">
        <f t="shared" si="36"/>
        <v>-0.23958180914968352</v>
      </c>
    </row>
    <row r="694" spans="1:14" x14ac:dyDescent="0.4">
      <c r="A694" s="1">
        <v>42309</v>
      </c>
      <c r="B694" s="28">
        <v>8.2481032380428587E-2</v>
      </c>
      <c r="C694" s="28">
        <f t="shared" si="37"/>
        <v>-0.28208180914964487</v>
      </c>
      <c r="D694" s="28">
        <f t="shared" si="36"/>
        <v>-0.87400803865779153</v>
      </c>
      <c r="E694" s="28">
        <f t="shared" si="36"/>
        <v>-0.86882361242828665</v>
      </c>
      <c r="F694" s="28">
        <f t="shared" si="36"/>
        <v>-0.11958180914967897</v>
      </c>
      <c r="G694" s="28">
        <f t="shared" si="36"/>
        <v>-0.23421295669061237</v>
      </c>
      <c r="H694" s="28">
        <f t="shared" si="36"/>
        <v>0.51777474822739578</v>
      </c>
      <c r="I694" s="28">
        <f t="shared" si="36"/>
        <v>0.59570276159513469</v>
      </c>
      <c r="J694" s="28">
        <f t="shared" si="36"/>
        <v>6.8537573951118702E-2</v>
      </c>
      <c r="K694" s="28">
        <f t="shared" si="36"/>
        <v>-0.29124175811767827</v>
      </c>
      <c r="L694" s="28">
        <f t="shared" si="36"/>
        <v>6.4434584292939689E-2</v>
      </c>
      <c r="M694" s="28">
        <f t="shared" si="36"/>
        <v>0.12226928374661838</v>
      </c>
      <c r="N694" s="28">
        <f t="shared" si="36"/>
        <v>-0.11585230095289489</v>
      </c>
    </row>
    <row r="695" spans="1:14" x14ac:dyDescent="0.4">
      <c r="A695" s="1">
        <v>42339</v>
      </c>
      <c r="B695" s="28">
        <v>0.24851928374658883</v>
      </c>
      <c r="C695" s="28">
        <f t="shared" si="37"/>
        <v>8.2481032380428587E-2</v>
      </c>
      <c r="D695" s="28">
        <f t="shared" si="37"/>
        <v>-0.28208180914964487</v>
      </c>
      <c r="E695" s="28">
        <f t="shared" si="37"/>
        <v>-0.87400803865779153</v>
      </c>
      <c r="F695" s="28">
        <f t="shared" si="37"/>
        <v>-0.86882361242828665</v>
      </c>
      <c r="G695" s="28">
        <f t="shared" si="37"/>
        <v>-0.11958180914967897</v>
      </c>
      <c r="H695" s="28">
        <f t="shared" si="37"/>
        <v>-0.23421295669061237</v>
      </c>
      <c r="I695" s="28">
        <f t="shared" si="37"/>
        <v>0.51777474822739578</v>
      </c>
      <c r="J695" s="28">
        <f t="shared" si="37"/>
        <v>0.59570276159513469</v>
      </c>
      <c r="K695" s="28">
        <f t="shared" si="37"/>
        <v>6.8537573951118702E-2</v>
      </c>
      <c r="L695" s="28">
        <f t="shared" si="37"/>
        <v>-0.29124175811767827</v>
      </c>
      <c r="M695" s="28">
        <f t="shared" si="37"/>
        <v>6.4434584292939689E-2</v>
      </c>
      <c r="N695" s="28">
        <f t="shared" si="37"/>
        <v>0.12226928374661838</v>
      </c>
    </row>
    <row r="696" spans="1:14" x14ac:dyDescent="0.4">
      <c r="A696" s="1">
        <v>42370</v>
      </c>
      <c r="B696" s="28">
        <v>-0.23014874904032467</v>
      </c>
      <c r="C696" s="28">
        <f t="shared" si="37"/>
        <v>0.24851928374658883</v>
      </c>
      <c r="D696" s="28">
        <f t="shared" si="37"/>
        <v>8.2481032380428587E-2</v>
      </c>
      <c r="E696" s="28">
        <f t="shared" si="37"/>
        <v>-0.28208180914964487</v>
      </c>
      <c r="F696" s="28">
        <f t="shared" si="37"/>
        <v>-0.87400803865779153</v>
      </c>
      <c r="G696" s="28">
        <f t="shared" si="37"/>
        <v>-0.86882361242828665</v>
      </c>
      <c r="H696" s="28">
        <f t="shared" si="37"/>
        <v>-0.11958180914967897</v>
      </c>
      <c r="I696" s="28">
        <f t="shared" si="37"/>
        <v>-0.23421295669061237</v>
      </c>
      <c r="J696" s="28">
        <f t="shared" si="37"/>
        <v>0.51777474822739578</v>
      </c>
      <c r="K696" s="28">
        <f t="shared" si="37"/>
        <v>0.59570276159513469</v>
      </c>
      <c r="L696" s="28">
        <f t="shared" si="37"/>
        <v>6.8537573951118702E-2</v>
      </c>
      <c r="M696" s="28">
        <f t="shared" si="37"/>
        <v>-0.29124175811767827</v>
      </c>
      <c r="N696" s="28">
        <f t="shared" si="37"/>
        <v>6.4434584292939689E-2</v>
      </c>
    </row>
    <row r="697" spans="1:14" x14ac:dyDescent="0.4">
      <c r="A697" s="1">
        <v>42401</v>
      </c>
      <c r="B697" s="28">
        <v>0.3891749085490801</v>
      </c>
      <c r="C697" s="28">
        <f t="shared" si="37"/>
        <v>-0.23014874904032467</v>
      </c>
      <c r="D697" s="28">
        <f t="shared" si="37"/>
        <v>0.24851928374658883</v>
      </c>
      <c r="E697" s="28">
        <f t="shared" si="37"/>
        <v>8.2481032380428587E-2</v>
      </c>
      <c r="F697" s="28">
        <f t="shared" si="37"/>
        <v>-0.28208180914964487</v>
      </c>
      <c r="G697" s="28">
        <f t="shared" si="37"/>
        <v>-0.87400803865779153</v>
      </c>
      <c r="H697" s="28">
        <f t="shared" si="37"/>
        <v>-0.86882361242828665</v>
      </c>
      <c r="I697" s="28">
        <f t="shared" si="37"/>
        <v>-0.11958180914967897</v>
      </c>
      <c r="J697" s="28">
        <f t="shared" si="37"/>
        <v>-0.23421295669061237</v>
      </c>
      <c r="K697" s="28">
        <f t="shared" si="37"/>
        <v>0.51777474822739578</v>
      </c>
      <c r="L697" s="28">
        <f t="shared" si="37"/>
        <v>0.59570276159513469</v>
      </c>
      <c r="M697" s="28">
        <f t="shared" si="37"/>
        <v>6.8537573951118702E-2</v>
      </c>
      <c r="N697" s="28">
        <f t="shared" si="37"/>
        <v>-0.29124175811767827</v>
      </c>
    </row>
    <row r="698" spans="1:14" x14ac:dyDescent="0.4">
      <c r="A698" s="1">
        <v>42430</v>
      </c>
      <c r="B698" s="28">
        <v>0.1197875739512142</v>
      </c>
      <c r="C698" s="28">
        <f t="shared" si="37"/>
        <v>0.3891749085490801</v>
      </c>
      <c r="D698" s="28">
        <f t="shared" si="37"/>
        <v>-0.23014874904032467</v>
      </c>
      <c r="E698" s="28">
        <f t="shared" si="37"/>
        <v>0.24851928374658883</v>
      </c>
      <c r="F698" s="28">
        <f t="shared" si="37"/>
        <v>8.2481032380428587E-2</v>
      </c>
      <c r="G698" s="28">
        <f t="shared" si="37"/>
        <v>-0.28208180914964487</v>
      </c>
      <c r="H698" s="28">
        <f t="shared" si="37"/>
        <v>-0.87400803865779153</v>
      </c>
      <c r="I698" s="28">
        <f t="shared" si="37"/>
        <v>-0.86882361242828665</v>
      </c>
      <c r="J698" s="28">
        <f t="shared" si="37"/>
        <v>-0.11958180914967897</v>
      </c>
      <c r="K698" s="28">
        <f t="shared" si="37"/>
        <v>-0.23421295669061237</v>
      </c>
      <c r="L698" s="28">
        <f t="shared" si="37"/>
        <v>0.51777474822739578</v>
      </c>
      <c r="M698" s="28">
        <f t="shared" si="37"/>
        <v>0.59570276159513469</v>
      </c>
      <c r="N698" s="28">
        <f t="shared" si="37"/>
        <v>6.8537573951118702E-2</v>
      </c>
    </row>
    <row r="699" spans="1:14" x14ac:dyDescent="0.4">
      <c r="A699" s="1">
        <v>42461</v>
      </c>
      <c r="B699" s="28">
        <v>1.3436194282617748</v>
      </c>
      <c r="C699" s="28">
        <f t="shared" si="37"/>
        <v>0.1197875739512142</v>
      </c>
      <c r="D699" s="28">
        <f t="shared" si="37"/>
        <v>0.3891749085490801</v>
      </c>
      <c r="E699" s="28">
        <f t="shared" si="37"/>
        <v>-0.23014874904032467</v>
      </c>
      <c r="F699" s="28">
        <f t="shared" si="37"/>
        <v>0.24851928374658883</v>
      </c>
      <c r="G699" s="28">
        <f t="shared" si="37"/>
        <v>8.2481032380428587E-2</v>
      </c>
      <c r="H699" s="28">
        <f t="shared" si="37"/>
        <v>-0.28208180914964487</v>
      </c>
      <c r="I699" s="28">
        <f t="shared" si="37"/>
        <v>-0.87400803865779153</v>
      </c>
      <c r="J699" s="28">
        <f t="shared" si="37"/>
        <v>-0.86882361242828665</v>
      </c>
      <c r="K699" s="28">
        <f t="shared" si="37"/>
        <v>-0.11958180914967897</v>
      </c>
      <c r="L699" s="28">
        <f t="shared" si="37"/>
        <v>-0.23421295669061237</v>
      </c>
      <c r="M699" s="28">
        <f t="shared" si="37"/>
        <v>0.51777474822739578</v>
      </c>
      <c r="N699" s="28">
        <f t="shared" si="37"/>
        <v>0.59570276159513469</v>
      </c>
    </row>
    <row r="700" spans="1:14" x14ac:dyDescent="0.4">
      <c r="A700" s="1">
        <v>42491</v>
      </c>
      <c r="B700" s="28">
        <v>0.66485808156073745</v>
      </c>
      <c r="C700" s="28">
        <f t="shared" si="37"/>
        <v>1.3436194282617748</v>
      </c>
      <c r="D700" s="28">
        <f t="shared" si="37"/>
        <v>0.1197875739512142</v>
      </c>
      <c r="E700" s="28">
        <f t="shared" si="37"/>
        <v>0.3891749085490801</v>
      </c>
      <c r="F700" s="28">
        <f t="shared" si="37"/>
        <v>-0.23014874904032467</v>
      </c>
      <c r="G700" s="28">
        <f t="shared" si="37"/>
        <v>0.24851928374658883</v>
      </c>
      <c r="H700" s="28">
        <f t="shared" si="37"/>
        <v>8.2481032380428587E-2</v>
      </c>
      <c r="I700" s="28">
        <f t="shared" si="37"/>
        <v>-0.28208180914964487</v>
      </c>
      <c r="J700" s="28">
        <f t="shared" si="37"/>
        <v>-0.87400803865779153</v>
      </c>
      <c r="K700" s="28">
        <f t="shared" si="37"/>
        <v>-0.86882361242828665</v>
      </c>
      <c r="L700" s="28">
        <f t="shared" si="37"/>
        <v>-0.11958180914967897</v>
      </c>
      <c r="M700" s="28">
        <f t="shared" si="37"/>
        <v>-0.23421295669061237</v>
      </c>
      <c r="N700" s="28">
        <f t="shared" si="37"/>
        <v>0.51777474822739578</v>
      </c>
    </row>
    <row r="701" spans="1:14" x14ac:dyDescent="0.4">
      <c r="A701" s="1">
        <v>42522</v>
      </c>
      <c r="B701" s="28">
        <v>0.47495370997603459</v>
      </c>
      <c r="C701" s="28">
        <f t="shared" si="37"/>
        <v>0.66485808156073745</v>
      </c>
      <c r="D701" s="28">
        <f t="shared" si="37"/>
        <v>1.3436194282617748</v>
      </c>
      <c r="E701" s="28">
        <f t="shared" si="37"/>
        <v>0.1197875739512142</v>
      </c>
      <c r="F701" s="28">
        <f t="shared" si="37"/>
        <v>0.3891749085490801</v>
      </c>
      <c r="G701" s="28">
        <f t="shared" si="37"/>
        <v>-0.23014874904032467</v>
      </c>
      <c r="H701" s="28">
        <f t="shared" si="37"/>
        <v>0.24851928374658883</v>
      </c>
      <c r="I701" s="28">
        <f t="shared" si="37"/>
        <v>8.2481032380428587E-2</v>
      </c>
      <c r="J701" s="28">
        <f t="shared" si="37"/>
        <v>-0.28208180914964487</v>
      </c>
      <c r="K701" s="28">
        <f t="shared" si="37"/>
        <v>-0.87400803865779153</v>
      </c>
      <c r="L701" s="28">
        <f t="shared" si="37"/>
        <v>-0.86882361242828665</v>
      </c>
      <c r="M701" s="28">
        <f t="shared" si="37"/>
        <v>-0.11958180914967897</v>
      </c>
      <c r="N701" s="28">
        <f t="shared" si="37"/>
        <v>-0.23421295669061237</v>
      </c>
    </row>
    <row r="702" spans="1:14" x14ac:dyDescent="0.4">
      <c r="A702" s="1">
        <v>42552</v>
      </c>
      <c r="B702" s="28">
        <v>-0.64791514248298654</v>
      </c>
      <c r="C702" s="28">
        <f t="shared" si="37"/>
        <v>0.47495370997603459</v>
      </c>
      <c r="D702" s="28">
        <f t="shared" si="37"/>
        <v>0.66485808156073745</v>
      </c>
      <c r="E702" s="28">
        <f t="shared" si="37"/>
        <v>1.3436194282617748</v>
      </c>
      <c r="F702" s="28">
        <f t="shared" si="37"/>
        <v>0.1197875739512142</v>
      </c>
      <c r="G702" s="28">
        <f t="shared" si="37"/>
        <v>0.3891749085490801</v>
      </c>
      <c r="H702" s="28">
        <f t="shared" si="37"/>
        <v>-0.23014874904032467</v>
      </c>
      <c r="I702" s="28">
        <f t="shared" si="37"/>
        <v>0.24851928374658883</v>
      </c>
      <c r="J702" s="28">
        <f t="shared" si="37"/>
        <v>8.2481032380428587E-2</v>
      </c>
      <c r="K702" s="28">
        <f t="shared" si="37"/>
        <v>-0.28208180914964487</v>
      </c>
      <c r="L702" s="28">
        <f t="shared" si="37"/>
        <v>-0.87400803865779153</v>
      </c>
      <c r="M702" s="28">
        <f t="shared" si="37"/>
        <v>-0.86882361242828665</v>
      </c>
      <c r="N702" s="28">
        <f t="shared" si="37"/>
        <v>-0.11958180914967897</v>
      </c>
    </row>
    <row r="703" spans="1:14" x14ac:dyDescent="0.4">
      <c r="A703" s="1">
        <v>42583</v>
      </c>
      <c r="B703" s="28">
        <v>-1.0159069457615715</v>
      </c>
      <c r="C703" s="28">
        <f t="shared" si="37"/>
        <v>-0.64791514248298654</v>
      </c>
      <c r="D703" s="28">
        <f t="shared" si="37"/>
        <v>0.47495370997603459</v>
      </c>
      <c r="E703" s="28">
        <f t="shared" si="37"/>
        <v>0.66485808156073745</v>
      </c>
      <c r="F703" s="28">
        <f t="shared" si="37"/>
        <v>1.3436194282617748</v>
      </c>
      <c r="G703" s="28">
        <f t="shared" si="37"/>
        <v>0.1197875739512142</v>
      </c>
      <c r="H703" s="28">
        <f t="shared" si="37"/>
        <v>0.3891749085490801</v>
      </c>
      <c r="I703" s="28">
        <f t="shared" si="37"/>
        <v>-0.23014874904032467</v>
      </c>
      <c r="J703" s="28">
        <f t="shared" si="37"/>
        <v>0.24851928374658883</v>
      </c>
      <c r="K703" s="28">
        <f t="shared" si="37"/>
        <v>8.2481032380428587E-2</v>
      </c>
      <c r="L703" s="28">
        <f t="shared" si="37"/>
        <v>-0.28208180914964487</v>
      </c>
      <c r="M703" s="28">
        <f t="shared" si="37"/>
        <v>-0.87400803865779153</v>
      </c>
      <c r="N703" s="28">
        <f t="shared" si="37"/>
        <v>-0.86882361242828665</v>
      </c>
    </row>
    <row r="704" spans="1:14" x14ac:dyDescent="0.4">
      <c r="A704" s="1">
        <v>42614</v>
      </c>
      <c r="B704" s="28">
        <v>-0.64650803865788475</v>
      </c>
      <c r="C704" s="28">
        <f t="shared" si="37"/>
        <v>-1.0159069457615715</v>
      </c>
      <c r="D704" s="28">
        <f t="shared" si="37"/>
        <v>-0.64791514248298654</v>
      </c>
      <c r="E704" s="28">
        <f t="shared" si="37"/>
        <v>0.47495370997603459</v>
      </c>
      <c r="F704" s="28">
        <f t="shared" si="37"/>
        <v>0.66485808156073745</v>
      </c>
      <c r="G704" s="28">
        <f t="shared" si="37"/>
        <v>1.3436194282617748</v>
      </c>
      <c r="H704" s="28">
        <f t="shared" si="37"/>
        <v>0.1197875739512142</v>
      </c>
      <c r="I704" s="28">
        <f t="shared" si="37"/>
        <v>0.3891749085490801</v>
      </c>
      <c r="J704" s="28">
        <f t="shared" si="37"/>
        <v>-0.23014874904032467</v>
      </c>
      <c r="K704" s="28">
        <f t="shared" si="37"/>
        <v>0.24851928374658883</v>
      </c>
      <c r="L704" s="28">
        <f t="shared" si="37"/>
        <v>8.2481032380428587E-2</v>
      </c>
      <c r="M704" s="28">
        <f t="shared" si="37"/>
        <v>-0.28208180914964487</v>
      </c>
      <c r="N704" s="28">
        <f t="shared" si="37"/>
        <v>-0.87400803865779153</v>
      </c>
    </row>
    <row r="705" spans="1:14" x14ac:dyDescent="0.4">
      <c r="A705" s="1">
        <v>42644</v>
      </c>
      <c r="B705" s="28">
        <v>-0.18291514248295471</v>
      </c>
      <c r="C705" s="28">
        <f t="shared" si="37"/>
        <v>-0.64650803865788475</v>
      </c>
      <c r="D705" s="28">
        <f t="shared" si="37"/>
        <v>-1.0159069457615715</v>
      </c>
      <c r="E705" s="28">
        <f t="shared" si="37"/>
        <v>-0.64791514248298654</v>
      </c>
      <c r="F705" s="28">
        <f t="shared" si="37"/>
        <v>0.47495370997603459</v>
      </c>
      <c r="G705" s="28">
        <f t="shared" si="37"/>
        <v>0.66485808156073745</v>
      </c>
      <c r="H705" s="28">
        <f t="shared" si="37"/>
        <v>1.3436194282617748</v>
      </c>
      <c r="I705" s="28">
        <f t="shared" si="37"/>
        <v>0.1197875739512142</v>
      </c>
      <c r="J705" s="28">
        <f t="shared" si="37"/>
        <v>0.3891749085490801</v>
      </c>
      <c r="K705" s="28">
        <f t="shared" si="37"/>
        <v>-0.23014874904032467</v>
      </c>
      <c r="L705" s="28">
        <f t="shared" si="37"/>
        <v>0.24851928374658883</v>
      </c>
      <c r="M705" s="28">
        <f t="shared" si="37"/>
        <v>8.2481032380428587E-2</v>
      </c>
      <c r="N705" s="28">
        <f t="shared" si="37"/>
        <v>-0.28208180914964487</v>
      </c>
    </row>
    <row r="706" spans="1:14" x14ac:dyDescent="0.4">
      <c r="A706" s="1">
        <v>42675</v>
      </c>
      <c r="B706" s="28">
        <v>0.53039769904717105</v>
      </c>
      <c r="C706" s="28">
        <f t="shared" si="37"/>
        <v>-0.18291514248295471</v>
      </c>
      <c r="D706" s="28">
        <f t="shared" si="37"/>
        <v>-0.64650803865788475</v>
      </c>
      <c r="E706" s="28">
        <f t="shared" si="37"/>
        <v>-1.0159069457615715</v>
      </c>
      <c r="F706" s="28">
        <f t="shared" si="37"/>
        <v>-0.64791514248298654</v>
      </c>
      <c r="G706" s="28">
        <f t="shared" si="37"/>
        <v>0.47495370997603459</v>
      </c>
      <c r="H706" s="28">
        <f t="shared" si="37"/>
        <v>0.66485808156073745</v>
      </c>
      <c r="I706" s="28">
        <f t="shared" si="37"/>
        <v>1.3436194282617748</v>
      </c>
      <c r="J706" s="28">
        <f t="shared" si="37"/>
        <v>0.1197875739512142</v>
      </c>
      <c r="K706" s="28">
        <f t="shared" si="37"/>
        <v>0.3891749085490801</v>
      </c>
      <c r="L706" s="28">
        <f t="shared" si="37"/>
        <v>-0.23014874904032467</v>
      </c>
      <c r="M706" s="28">
        <f t="shared" si="37"/>
        <v>0.24851928374658883</v>
      </c>
      <c r="N706" s="28">
        <f t="shared" si="37"/>
        <v>8.2481032380428587E-2</v>
      </c>
    </row>
    <row r="707" spans="1:14" x14ac:dyDescent="0.4">
      <c r="A707" s="1">
        <v>42705</v>
      </c>
      <c r="B707" s="28">
        <v>9.4352617079948686E-2</v>
      </c>
      <c r="C707" s="28">
        <f t="shared" si="37"/>
        <v>0.53039769904717105</v>
      </c>
      <c r="D707" s="28">
        <f t="shared" si="37"/>
        <v>-0.18291514248295471</v>
      </c>
      <c r="E707" s="28">
        <f t="shared" si="37"/>
        <v>-0.64650803865788475</v>
      </c>
      <c r="F707" s="28">
        <f t="shared" si="37"/>
        <v>-1.0159069457615715</v>
      </c>
      <c r="G707" s="28">
        <f t="shared" si="37"/>
        <v>-0.64791514248298654</v>
      </c>
      <c r="H707" s="28">
        <f t="shared" si="37"/>
        <v>0.47495370997603459</v>
      </c>
      <c r="I707" s="28">
        <f t="shared" si="37"/>
        <v>0.66485808156073745</v>
      </c>
      <c r="J707" s="28">
        <f t="shared" si="37"/>
        <v>1.3436194282617748</v>
      </c>
      <c r="K707" s="28">
        <f t="shared" si="37"/>
        <v>0.1197875739512142</v>
      </c>
      <c r="L707" s="28">
        <f t="shared" si="37"/>
        <v>0.3891749085490801</v>
      </c>
      <c r="M707" s="28">
        <f t="shared" si="37"/>
        <v>-0.23014874904032467</v>
      </c>
      <c r="N707" s="28">
        <f t="shared" si="37"/>
        <v>0.24851928374658883</v>
      </c>
    </row>
    <row r="708" spans="1:14" x14ac:dyDescent="0.4">
      <c r="A708" s="1">
        <v>42736</v>
      </c>
      <c r="B708" s="28">
        <v>0.46693458429302837</v>
      </c>
      <c r="C708" s="28">
        <f t="shared" si="37"/>
        <v>9.4352617079948686E-2</v>
      </c>
      <c r="D708" s="28">
        <f t="shared" si="37"/>
        <v>0.53039769904717105</v>
      </c>
      <c r="E708" s="28">
        <f t="shared" si="37"/>
        <v>-0.18291514248295471</v>
      </c>
      <c r="F708" s="28">
        <f t="shared" si="37"/>
        <v>-0.64650803865788475</v>
      </c>
      <c r="G708" s="28">
        <f t="shared" si="37"/>
        <v>-1.0159069457615715</v>
      </c>
      <c r="H708" s="28">
        <f t="shared" si="37"/>
        <v>-0.64791514248298654</v>
      </c>
      <c r="I708" s="28">
        <f t="shared" si="37"/>
        <v>0.47495370997603459</v>
      </c>
      <c r="J708" s="28">
        <f t="shared" si="37"/>
        <v>0.66485808156073745</v>
      </c>
      <c r="K708" s="28">
        <f t="shared" si="37"/>
        <v>1.3436194282617748</v>
      </c>
      <c r="L708" s="28">
        <f t="shared" si="37"/>
        <v>0.1197875739512142</v>
      </c>
      <c r="M708" s="28">
        <f t="shared" si="37"/>
        <v>0.3891749085490801</v>
      </c>
      <c r="N708" s="28">
        <f t="shared" si="37"/>
        <v>-0.23014874904032467</v>
      </c>
    </row>
    <row r="709" spans="1:14" x14ac:dyDescent="0.4">
      <c r="A709" s="1">
        <v>42767</v>
      </c>
      <c r="B709" s="28">
        <v>0.16417490854894368</v>
      </c>
      <c r="C709" s="28">
        <f t="shared" si="37"/>
        <v>0.46693458429302837</v>
      </c>
      <c r="D709" s="28">
        <f t="shared" si="37"/>
        <v>9.4352617079948686E-2</v>
      </c>
      <c r="E709" s="28">
        <f t="shared" si="37"/>
        <v>0.53039769904717105</v>
      </c>
      <c r="F709" s="28">
        <f t="shared" si="37"/>
        <v>-0.18291514248295471</v>
      </c>
      <c r="G709" s="28">
        <f t="shared" si="37"/>
        <v>-0.64650803865788475</v>
      </c>
      <c r="H709" s="28">
        <f t="shared" si="37"/>
        <v>-1.0159069457615715</v>
      </c>
      <c r="I709" s="28">
        <f t="shared" si="37"/>
        <v>-0.64791514248298654</v>
      </c>
      <c r="J709" s="28">
        <f t="shared" si="37"/>
        <v>0.47495370997603459</v>
      </c>
      <c r="K709" s="28">
        <f t="shared" si="37"/>
        <v>0.66485808156073745</v>
      </c>
      <c r="L709" s="28">
        <f t="shared" si="37"/>
        <v>1.3436194282617748</v>
      </c>
      <c r="M709" s="28">
        <f t="shared" si="37"/>
        <v>0.1197875739512142</v>
      </c>
      <c r="N709" s="28">
        <f t="shared" si="37"/>
        <v>0.3891749085490801</v>
      </c>
    </row>
    <row r="710" spans="1:14" x14ac:dyDescent="0.4">
      <c r="A710" s="1">
        <v>42795</v>
      </c>
      <c r="B710" s="28">
        <v>-0.32312909271553281</v>
      </c>
      <c r="C710" s="28">
        <f t="shared" si="37"/>
        <v>0.16417490854894368</v>
      </c>
      <c r="D710" s="28">
        <f t="shared" si="37"/>
        <v>0.46693458429302837</v>
      </c>
      <c r="E710" s="28">
        <f t="shared" si="37"/>
        <v>9.4352617079948686E-2</v>
      </c>
      <c r="F710" s="28">
        <f t="shared" si="37"/>
        <v>0.53039769904717105</v>
      </c>
      <c r="G710" s="28">
        <f t="shared" si="37"/>
        <v>-0.18291514248295471</v>
      </c>
      <c r="H710" s="28">
        <f t="shared" si="37"/>
        <v>-0.64650803865788475</v>
      </c>
      <c r="I710" s="28">
        <f t="shared" si="37"/>
        <v>-1.0159069457615715</v>
      </c>
      <c r="J710" s="28">
        <f t="shared" si="37"/>
        <v>-0.64791514248298654</v>
      </c>
      <c r="K710" s="28">
        <f t="shared" si="37"/>
        <v>0.47495370997603459</v>
      </c>
      <c r="L710" s="28">
        <f t="shared" si="37"/>
        <v>0.66485808156073745</v>
      </c>
      <c r="M710" s="28">
        <f t="shared" si="37"/>
        <v>1.3436194282617748</v>
      </c>
      <c r="N710" s="28">
        <f t="shared" si="37"/>
        <v>0.1197875739512142</v>
      </c>
    </row>
    <row r="711" spans="1:14" x14ac:dyDescent="0.4">
      <c r="A711" s="1">
        <v>42826</v>
      </c>
      <c r="B711" s="28">
        <v>0.17778609492836495</v>
      </c>
      <c r="C711" s="28">
        <f t="shared" si="37"/>
        <v>-0.32312909271553281</v>
      </c>
      <c r="D711" s="28">
        <f t="shared" si="37"/>
        <v>0.16417490854894368</v>
      </c>
      <c r="E711" s="28">
        <f t="shared" si="37"/>
        <v>0.46693458429302837</v>
      </c>
      <c r="F711" s="28">
        <f t="shared" si="37"/>
        <v>9.4352617079948686E-2</v>
      </c>
      <c r="G711" s="28">
        <f t="shared" si="37"/>
        <v>0.53039769904717105</v>
      </c>
      <c r="H711" s="28">
        <f t="shared" si="37"/>
        <v>-0.18291514248295471</v>
      </c>
      <c r="I711" s="28">
        <f t="shared" si="37"/>
        <v>-0.64650803865788475</v>
      </c>
      <c r="J711" s="28">
        <f t="shared" si="37"/>
        <v>-1.0159069457615715</v>
      </c>
      <c r="K711" s="28">
        <f t="shared" si="37"/>
        <v>-0.64791514248298654</v>
      </c>
      <c r="L711" s="28">
        <f t="shared" si="37"/>
        <v>0.47495370997603459</v>
      </c>
      <c r="M711" s="28">
        <f t="shared" si="37"/>
        <v>0.66485808156073745</v>
      </c>
      <c r="N711" s="28">
        <f t="shared" si="37"/>
        <v>1.3436194282617748</v>
      </c>
    </row>
    <row r="712" spans="1:14" x14ac:dyDescent="0.4">
      <c r="A712" s="1">
        <v>42856</v>
      </c>
      <c r="B712" s="28">
        <v>0.49194141489408594</v>
      </c>
      <c r="C712" s="28">
        <f t="shared" si="37"/>
        <v>0.17778609492836495</v>
      </c>
      <c r="D712" s="28">
        <f t="shared" si="37"/>
        <v>-0.32312909271553281</v>
      </c>
      <c r="E712" s="28">
        <f t="shared" si="37"/>
        <v>0.16417490854894368</v>
      </c>
      <c r="F712" s="28">
        <f t="shared" si="37"/>
        <v>0.46693458429302837</v>
      </c>
      <c r="G712" s="28">
        <f t="shared" si="37"/>
        <v>9.4352617079948686E-2</v>
      </c>
      <c r="H712" s="28">
        <f t="shared" si="37"/>
        <v>0.53039769904717105</v>
      </c>
      <c r="I712" s="28">
        <f t="shared" si="37"/>
        <v>-0.18291514248295471</v>
      </c>
      <c r="J712" s="28">
        <f t="shared" si="37"/>
        <v>-0.64650803865788475</v>
      </c>
      <c r="K712" s="28">
        <f t="shared" si="37"/>
        <v>-1.0159069457615715</v>
      </c>
      <c r="L712" s="28">
        <f t="shared" si="37"/>
        <v>-0.64791514248298654</v>
      </c>
      <c r="M712" s="28">
        <f t="shared" si="37"/>
        <v>0.47495370997603459</v>
      </c>
      <c r="N712" s="28">
        <f t="shared" si="37"/>
        <v>0.66485808156073745</v>
      </c>
    </row>
    <row r="713" spans="1:14" x14ac:dyDescent="0.4">
      <c r="A713" s="1">
        <v>42887</v>
      </c>
      <c r="B713" s="28">
        <v>0.26912037664271793</v>
      </c>
      <c r="C713" s="28">
        <f t="shared" si="37"/>
        <v>0.49194141489408594</v>
      </c>
      <c r="D713" s="28">
        <f t="shared" si="37"/>
        <v>0.17778609492836495</v>
      </c>
      <c r="E713" s="28">
        <f t="shared" si="37"/>
        <v>-0.32312909271553281</v>
      </c>
      <c r="F713" s="28">
        <f t="shared" si="37"/>
        <v>0.16417490854894368</v>
      </c>
      <c r="G713" s="28">
        <f t="shared" si="37"/>
        <v>0.46693458429302837</v>
      </c>
      <c r="H713" s="28">
        <f t="shared" si="37"/>
        <v>9.4352617079948686E-2</v>
      </c>
      <c r="I713" s="28">
        <f t="shared" si="37"/>
        <v>0.53039769904717105</v>
      </c>
      <c r="J713" s="28">
        <f t="shared" si="37"/>
        <v>-0.18291514248295471</v>
      </c>
      <c r="K713" s="28">
        <f t="shared" si="37"/>
        <v>-0.64650803865788475</v>
      </c>
      <c r="L713" s="28">
        <f t="shared" si="37"/>
        <v>-1.0159069457615715</v>
      </c>
      <c r="M713" s="28">
        <f t="shared" si="37"/>
        <v>-0.64791514248298654</v>
      </c>
      <c r="N713" s="28">
        <f t="shared" si="37"/>
        <v>0.47495370997603459</v>
      </c>
    </row>
    <row r="714" spans="1:14" x14ac:dyDescent="0.4">
      <c r="A714" s="1">
        <v>42917</v>
      </c>
      <c r="B714" s="28">
        <v>-0.19458180914955392</v>
      </c>
      <c r="C714" s="28">
        <f t="shared" si="37"/>
        <v>0.26912037664271793</v>
      </c>
      <c r="D714" s="28">
        <f t="shared" si="37"/>
        <v>0.49194141489408594</v>
      </c>
      <c r="E714" s="28">
        <f t="shared" si="37"/>
        <v>0.17778609492836495</v>
      </c>
      <c r="F714" s="28">
        <f t="shared" si="37"/>
        <v>-0.32312909271553281</v>
      </c>
      <c r="G714" s="28">
        <f t="shared" si="37"/>
        <v>0.16417490854894368</v>
      </c>
      <c r="H714" s="28">
        <f t="shared" si="37"/>
        <v>0.46693458429302837</v>
      </c>
      <c r="I714" s="28">
        <f t="shared" si="37"/>
        <v>9.4352617079948686E-2</v>
      </c>
      <c r="J714" s="28">
        <f t="shared" si="37"/>
        <v>0.53039769904717105</v>
      </c>
      <c r="K714" s="28">
        <f t="shared" si="37"/>
        <v>-0.18291514248295471</v>
      </c>
      <c r="L714" s="28">
        <f t="shared" si="37"/>
        <v>-0.64650803865788475</v>
      </c>
      <c r="M714" s="28">
        <f t="shared" si="37"/>
        <v>-1.0159069457615715</v>
      </c>
      <c r="N714" s="28">
        <f t="shared" si="37"/>
        <v>-0.64791514248298654</v>
      </c>
    </row>
    <row r="715" spans="1:14" x14ac:dyDescent="0.4">
      <c r="A715" s="1">
        <v>42948</v>
      </c>
      <c r="B715" s="28">
        <v>-0.17007361242821162</v>
      </c>
      <c r="C715" s="28">
        <f t="shared" ref="C715:N754" si="38">IF(B714=0,"",B714)</f>
        <v>-0.19458180914955392</v>
      </c>
      <c r="D715" s="28">
        <f t="shared" si="38"/>
        <v>0.26912037664271793</v>
      </c>
      <c r="E715" s="28">
        <f t="shared" si="38"/>
        <v>0.49194141489408594</v>
      </c>
      <c r="F715" s="28">
        <f t="shared" si="38"/>
        <v>0.17778609492836495</v>
      </c>
      <c r="G715" s="28">
        <f t="shared" si="38"/>
        <v>-0.32312909271553281</v>
      </c>
      <c r="H715" s="28">
        <f t="shared" si="38"/>
        <v>0.16417490854894368</v>
      </c>
      <c r="I715" s="28">
        <f t="shared" si="38"/>
        <v>0.46693458429302837</v>
      </c>
      <c r="J715" s="28">
        <f t="shared" si="38"/>
        <v>9.4352617079948686E-2</v>
      </c>
      <c r="K715" s="28">
        <f t="shared" si="38"/>
        <v>0.53039769904717105</v>
      </c>
      <c r="L715" s="28">
        <f t="shared" si="38"/>
        <v>-0.18291514248295471</v>
      </c>
      <c r="M715" s="28">
        <f t="shared" si="38"/>
        <v>-0.64650803865788475</v>
      </c>
      <c r="N715" s="28">
        <f t="shared" si="38"/>
        <v>-1.0159069457615715</v>
      </c>
    </row>
    <row r="716" spans="1:14" x14ac:dyDescent="0.4">
      <c r="A716" s="1">
        <v>42979</v>
      </c>
      <c r="B716" s="28">
        <v>-0.5081747053245067</v>
      </c>
      <c r="C716" s="28">
        <f t="shared" si="38"/>
        <v>-0.17007361242821162</v>
      </c>
      <c r="D716" s="28">
        <f t="shared" si="38"/>
        <v>-0.19458180914955392</v>
      </c>
      <c r="E716" s="28">
        <f t="shared" si="38"/>
        <v>0.26912037664271793</v>
      </c>
      <c r="F716" s="28">
        <f t="shared" si="38"/>
        <v>0.49194141489408594</v>
      </c>
      <c r="G716" s="28">
        <f t="shared" si="38"/>
        <v>0.17778609492836495</v>
      </c>
      <c r="H716" s="28">
        <f t="shared" si="38"/>
        <v>-0.32312909271553281</v>
      </c>
      <c r="I716" s="28">
        <f t="shared" si="38"/>
        <v>0.16417490854894368</v>
      </c>
      <c r="J716" s="28">
        <f t="shared" si="38"/>
        <v>0.46693458429302837</v>
      </c>
      <c r="K716" s="28">
        <f t="shared" si="38"/>
        <v>9.4352617079948686E-2</v>
      </c>
      <c r="L716" s="28">
        <f t="shared" si="38"/>
        <v>0.53039769904717105</v>
      </c>
      <c r="M716" s="28">
        <f t="shared" si="38"/>
        <v>-0.18291514248295471</v>
      </c>
      <c r="N716" s="28">
        <f t="shared" si="38"/>
        <v>-0.64650803865788475</v>
      </c>
    </row>
    <row r="717" spans="1:14" x14ac:dyDescent="0.4">
      <c r="A717" s="1">
        <v>43009</v>
      </c>
      <c r="B717" s="28">
        <v>-0.16333180914961076</v>
      </c>
      <c r="C717" s="28">
        <f t="shared" si="38"/>
        <v>-0.5081747053245067</v>
      </c>
      <c r="D717" s="28">
        <f t="shared" si="38"/>
        <v>-0.17007361242821162</v>
      </c>
      <c r="E717" s="28">
        <f t="shared" si="38"/>
        <v>-0.19458180914955392</v>
      </c>
      <c r="F717" s="28">
        <f t="shared" si="38"/>
        <v>0.26912037664271793</v>
      </c>
      <c r="G717" s="28">
        <f t="shared" si="38"/>
        <v>0.49194141489408594</v>
      </c>
      <c r="H717" s="28">
        <f t="shared" si="38"/>
        <v>0.17778609492836495</v>
      </c>
      <c r="I717" s="28">
        <f t="shared" si="38"/>
        <v>-0.32312909271553281</v>
      </c>
      <c r="J717" s="28">
        <f t="shared" si="38"/>
        <v>0.16417490854894368</v>
      </c>
      <c r="K717" s="28">
        <f t="shared" si="38"/>
        <v>0.46693458429302837</v>
      </c>
      <c r="L717" s="28">
        <f t="shared" si="38"/>
        <v>9.4352617079948686E-2</v>
      </c>
      <c r="M717" s="28">
        <f t="shared" si="38"/>
        <v>0.53039769904717105</v>
      </c>
      <c r="N717" s="28">
        <f t="shared" si="38"/>
        <v>-0.18291514248295471</v>
      </c>
    </row>
    <row r="718" spans="1:14" x14ac:dyDescent="0.4">
      <c r="A718" s="1">
        <v>43040</v>
      </c>
      <c r="B718" s="28">
        <v>-2.2935634286170625E-2</v>
      </c>
      <c r="C718" s="28">
        <f t="shared" si="38"/>
        <v>-0.16333180914961076</v>
      </c>
      <c r="D718" s="28">
        <f t="shared" si="38"/>
        <v>-0.5081747053245067</v>
      </c>
      <c r="E718" s="28">
        <f t="shared" si="38"/>
        <v>-0.17007361242821162</v>
      </c>
      <c r="F718" s="28">
        <f t="shared" si="38"/>
        <v>-0.19458180914955392</v>
      </c>
      <c r="G718" s="28">
        <f t="shared" si="38"/>
        <v>0.26912037664271793</v>
      </c>
      <c r="H718" s="28">
        <f t="shared" si="38"/>
        <v>0.49194141489408594</v>
      </c>
      <c r="I718" s="28">
        <f t="shared" si="38"/>
        <v>0.17778609492836495</v>
      </c>
      <c r="J718" s="28">
        <f t="shared" si="38"/>
        <v>-0.32312909271553281</v>
      </c>
      <c r="K718" s="28">
        <f t="shared" si="38"/>
        <v>0.16417490854894368</v>
      </c>
      <c r="L718" s="28">
        <f t="shared" si="38"/>
        <v>0.46693458429302837</v>
      </c>
      <c r="M718" s="28">
        <f t="shared" si="38"/>
        <v>9.4352617079948686E-2</v>
      </c>
      <c r="N718" s="28">
        <f t="shared" si="38"/>
        <v>0.53039769904717105</v>
      </c>
    </row>
    <row r="719" spans="1:14" x14ac:dyDescent="0.4">
      <c r="A719" s="1">
        <v>43070</v>
      </c>
      <c r="B719" s="28">
        <v>0.26185261707996688</v>
      </c>
      <c r="C719" s="28">
        <f t="shared" si="38"/>
        <v>-2.2935634286170625E-2</v>
      </c>
      <c r="D719" s="28">
        <f t="shared" si="38"/>
        <v>-0.16333180914961076</v>
      </c>
      <c r="E719" s="28">
        <f t="shared" si="38"/>
        <v>-0.5081747053245067</v>
      </c>
      <c r="F719" s="28">
        <f t="shared" si="38"/>
        <v>-0.17007361242821162</v>
      </c>
      <c r="G719" s="28">
        <f t="shared" si="38"/>
        <v>-0.19458180914955392</v>
      </c>
      <c r="H719" s="28">
        <f t="shared" si="38"/>
        <v>0.26912037664271793</v>
      </c>
      <c r="I719" s="28">
        <f t="shared" si="38"/>
        <v>0.49194141489408594</v>
      </c>
      <c r="J719" s="28">
        <f t="shared" si="38"/>
        <v>0.17778609492836495</v>
      </c>
      <c r="K719" s="28">
        <f t="shared" si="38"/>
        <v>-0.32312909271553281</v>
      </c>
      <c r="L719" s="28">
        <f t="shared" si="38"/>
        <v>0.16417490854894368</v>
      </c>
      <c r="M719" s="28">
        <f t="shared" si="38"/>
        <v>0.46693458429302837</v>
      </c>
      <c r="N719" s="28">
        <f t="shared" si="38"/>
        <v>9.4352617079948686E-2</v>
      </c>
    </row>
    <row r="720" spans="1:14" x14ac:dyDescent="0.4">
      <c r="A720" s="1">
        <v>43101</v>
      </c>
      <c r="B720" s="28">
        <v>0.47110125095969124</v>
      </c>
      <c r="C720" s="28">
        <f t="shared" si="38"/>
        <v>0.26185261707996688</v>
      </c>
      <c r="D720" s="28">
        <f t="shared" si="38"/>
        <v>-2.2935634286170625E-2</v>
      </c>
      <c r="E720" s="28">
        <f t="shared" si="38"/>
        <v>-0.16333180914961076</v>
      </c>
      <c r="F720" s="28">
        <f t="shared" si="38"/>
        <v>-0.5081747053245067</v>
      </c>
      <c r="G720" s="28">
        <f t="shared" si="38"/>
        <v>-0.17007361242821162</v>
      </c>
      <c r="H720" s="28">
        <f t="shared" si="38"/>
        <v>-0.19458180914955392</v>
      </c>
      <c r="I720" s="28">
        <f t="shared" si="38"/>
        <v>0.26912037664271793</v>
      </c>
      <c r="J720" s="28">
        <f t="shared" si="38"/>
        <v>0.49194141489408594</v>
      </c>
      <c r="K720" s="28">
        <f t="shared" si="38"/>
        <v>0.17778609492836495</v>
      </c>
      <c r="L720" s="28">
        <f t="shared" si="38"/>
        <v>-0.32312909271553281</v>
      </c>
      <c r="M720" s="28">
        <f t="shared" si="38"/>
        <v>0.16417490854894368</v>
      </c>
      <c r="N720" s="28">
        <f t="shared" si="38"/>
        <v>0.46693458429302837</v>
      </c>
    </row>
    <row r="721" spans="1:14" x14ac:dyDescent="0.4">
      <c r="A721" s="1">
        <v>43132</v>
      </c>
      <c r="B721" s="28">
        <v>-2.2491758117666905E-2</v>
      </c>
      <c r="C721" s="28">
        <f t="shared" si="38"/>
        <v>0.47110125095969124</v>
      </c>
      <c r="D721" s="28">
        <f t="shared" si="38"/>
        <v>0.26185261707996688</v>
      </c>
      <c r="E721" s="28">
        <f t="shared" si="38"/>
        <v>-2.2935634286170625E-2</v>
      </c>
      <c r="F721" s="28">
        <f t="shared" si="38"/>
        <v>-0.16333180914961076</v>
      </c>
      <c r="G721" s="28">
        <f t="shared" si="38"/>
        <v>-0.5081747053245067</v>
      </c>
      <c r="H721" s="28">
        <f t="shared" si="38"/>
        <v>-0.17007361242821162</v>
      </c>
      <c r="I721" s="28">
        <f t="shared" si="38"/>
        <v>-0.19458180914955392</v>
      </c>
      <c r="J721" s="28">
        <f t="shared" si="38"/>
        <v>0.26912037664271793</v>
      </c>
      <c r="K721" s="28">
        <f t="shared" si="38"/>
        <v>0.49194141489408594</v>
      </c>
      <c r="L721" s="28">
        <f t="shared" si="38"/>
        <v>0.17778609492836495</v>
      </c>
      <c r="M721" s="28">
        <f t="shared" si="38"/>
        <v>-0.32312909271553281</v>
      </c>
      <c r="N721" s="28">
        <f t="shared" si="38"/>
        <v>0.16417490854894368</v>
      </c>
    </row>
    <row r="722" spans="1:14" x14ac:dyDescent="0.4">
      <c r="A722" s="1">
        <v>43160</v>
      </c>
      <c r="B722" s="28">
        <v>3.5204240617815685E-2</v>
      </c>
      <c r="C722" s="28">
        <f t="shared" si="38"/>
        <v>-2.2491758117666905E-2</v>
      </c>
      <c r="D722" s="28">
        <f t="shared" si="38"/>
        <v>0.47110125095969124</v>
      </c>
      <c r="E722" s="28">
        <f t="shared" si="38"/>
        <v>0.26185261707996688</v>
      </c>
      <c r="F722" s="28">
        <f t="shared" si="38"/>
        <v>-2.2935634286170625E-2</v>
      </c>
      <c r="G722" s="28">
        <f t="shared" si="38"/>
        <v>-0.16333180914961076</v>
      </c>
      <c r="H722" s="28">
        <f t="shared" si="38"/>
        <v>-0.5081747053245067</v>
      </c>
      <c r="I722" s="28">
        <f t="shared" si="38"/>
        <v>-0.17007361242821162</v>
      </c>
      <c r="J722" s="28">
        <f t="shared" si="38"/>
        <v>-0.19458180914955392</v>
      </c>
      <c r="K722" s="28">
        <f t="shared" si="38"/>
        <v>0.26912037664271793</v>
      </c>
      <c r="L722" s="28">
        <f t="shared" si="38"/>
        <v>0.49194141489408594</v>
      </c>
      <c r="M722" s="28">
        <f t="shared" si="38"/>
        <v>0.17778609492836495</v>
      </c>
      <c r="N722" s="28">
        <f t="shared" si="38"/>
        <v>-0.32312909271553281</v>
      </c>
    </row>
    <row r="723" spans="1:14" x14ac:dyDescent="0.4">
      <c r="A723" s="1">
        <v>43191</v>
      </c>
      <c r="B723" s="28">
        <v>-0.32513057173827065</v>
      </c>
      <c r="C723" s="28">
        <f t="shared" si="38"/>
        <v>3.5204240617815685E-2</v>
      </c>
      <c r="D723" s="28">
        <f t="shared" si="38"/>
        <v>-2.2491758117666905E-2</v>
      </c>
      <c r="E723" s="28">
        <f t="shared" si="38"/>
        <v>0.47110125095969124</v>
      </c>
      <c r="F723" s="28">
        <f t="shared" si="38"/>
        <v>0.26185261707996688</v>
      </c>
      <c r="G723" s="28">
        <f t="shared" si="38"/>
        <v>-2.2935634286170625E-2</v>
      </c>
      <c r="H723" s="28">
        <f t="shared" si="38"/>
        <v>-0.16333180914961076</v>
      </c>
      <c r="I723" s="28">
        <f t="shared" si="38"/>
        <v>-0.5081747053245067</v>
      </c>
      <c r="J723" s="28">
        <f t="shared" si="38"/>
        <v>-0.17007361242821162</v>
      </c>
      <c r="K723" s="28">
        <f t="shared" si="38"/>
        <v>-0.19458180914955392</v>
      </c>
      <c r="L723" s="28">
        <f t="shared" si="38"/>
        <v>0.26912037664271793</v>
      </c>
      <c r="M723" s="28">
        <f t="shared" si="38"/>
        <v>0.49194141489408594</v>
      </c>
      <c r="N723" s="28">
        <f t="shared" si="38"/>
        <v>0.17778609492836495</v>
      </c>
    </row>
    <row r="724" spans="1:14" x14ac:dyDescent="0.4">
      <c r="A724" s="1">
        <v>43221</v>
      </c>
      <c r="B724" s="28">
        <v>-3.8891918439276196E-2</v>
      </c>
      <c r="C724" s="28">
        <f t="shared" si="38"/>
        <v>-0.32513057173827065</v>
      </c>
      <c r="D724" s="28">
        <f t="shared" si="38"/>
        <v>3.5204240617815685E-2</v>
      </c>
      <c r="E724" s="28">
        <f t="shared" si="38"/>
        <v>-2.2491758117666905E-2</v>
      </c>
      <c r="F724" s="28">
        <f t="shared" si="38"/>
        <v>0.47110125095969124</v>
      </c>
      <c r="G724" s="28">
        <f t="shared" si="38"/>
        <v>0.26185261707996688</v>
      </c>
      <c r="H724" s="28">
        <f t="shared" si="38"/>
        <v>-2.2935634286170625E-2</v>
      </c>
      <c r="I724" s="28">
        <f t="shared" si="38"/>
        <v>-0.16333180914961076</v>
      </c>
      <c r="J724" s="28">
        <f t="shared" si="38"/>
        <v>-0.5081747053245067</v>
      </c>
      <c r="K724" s="28">
        <f t="shared" si="38"/>
        <v>-0.17007361242821162</v>
      </c>
      <c r="L724" s="28">
        <f t="shared" si="38"/>
        <v>-0.19458180914955392</v>
      </c>
      <c r="M724" s="28">
        <f t="shared" si="38"/>
        <v>0.26912037664271793</v>
      </c>
      <c r="N724" s="28">
        <f t="shared" si="38"/>
        <v>0.49194141489408594</v>
      </c>
    </row>
    <row r="725" spans="1:14" x14ac:dyDescent="0.4">
      <c r="A725" s="1">
        <v>43252</v>
      </c>
      <c r="B725" s="28">
        <v>3.7453709976091432E-2</v>
      </c>
      <c r="C725" s="28">
        <f t="shared" si="38"/>
        <v>-3.8891918439276196E-2</v>
      </c>
      <c r="D725" s="28">
        <f t="shared" si="38"/>
        <v>-0.32513057173827065</v>
      </c>
      <c r="E725" s="28">
        <f t="shared" si="38"/>
        <v>3.5204240617815685E-2</v>
      </c>
      <c r="F725" s="28">
        <f t="shared" si="38"/>
        <v>-2.2491758117666905E-2</v>
      </c>
      <c r="G725" s="28">
        <f t="shared" si="38"/>
        <v>0.47110125095969124</v>
      </c>
      <c r="H725" s="28">
        <f t="shared" si="38"/>
        <v>0.26185261707996688</v>
      </c>
      <c r="I725" s="28">
        <f t="shared" si="38"/>
        <v>-2.2935634286170625E-2</v>
      </c>
      <c r="J725" s="28">
        <f t="shared" si="38"/>
        <v>-0.16333180914961076</v>
      </c>
      <c r="K725" s="28">
        <f t="shared" si="38"/>
        <v>-0.5081747053245067</v>
      </c>
      <c r="L725" s="28">
        <f t="shared" si="38"/>
        <v>-0.17007361242821162</v>
      </c>
      <c r="M725" s="28">
        <f t="shared" si="38"/>
        <v>-0.19458180914955392</v>
      </c>
      <c r="N725" s="28">
        <f t="shared" si="38"/>
        <v>0.26912037664271793</v>
      </c>
    </row>
    <row r="726" spans="1:14" x14ac:dyDescent="0.4">
      <c r="A726" s="1">
        <v>43282</v>
      </c>
      <c r="B726" s="28">
        <v>-0.53499847581628046</v>
      </c>
      <c r="C726" s="28">
        <f t="shared" si="38"/>
        <v>3.7453709976091432E-2</v>
      </c>
      <c r="D726" s="28">
        <f t="shared" si="38"/>
        <v>-3.8891918439276196E-2</v>
      </c>
      <c r="E726" s="28">
        <f t="shared" si="38"/>
        <v>-0.32513057173827065</v>
      </c>
      <c r="F726" s="28">
        <f t="shared" si="38"/>
        <v>3.5204240617815685E-2</v>
      </c>
      <c r="G726" s="28">
        <f t="shared" si="38"/>
        <v>-2.2491758117666905E-2</v>
      </c>
      <c r="H726" s="28">
        <f t="shared" si="38"/>
        <v>0.47110125095969124</v>
      </c>
      <c r="I726" s="28">
        <f t="shared" si="38"/>
        <v>0.26185261707996688</v>
      </c>
      <c r="J726" s="28">
        <f t="shared" si="38"/>
        <v>-2.2935634286170625E-2</v>
      </c>
      <c r="K726" s="28">
        <f t="shared" si="38"/>
        <v>-0.16333180914961076</v>
      </c>
      <c r="L726" s="28">
        <f t="shared" si="38"/>
        <v>-0.5081747053245067</v>
      </c>
      <c r="M726" s="28">
        <f t="shared" si="38"/>
        <v>-0.17007361242821162</v>
      </c>
      <c r="N726" s="28">
        <f t="shared" si="38"/>
        <v>-0.19458180914955392</v>
      </c>
    </row>
    <row r="727" spans="1:14" x14ac:dyDescent="0.4">
      <c r="A727" s="1">
        <v>43313</v>
      </c>
      <c r="B727" s="28">
        <v>-0.45507361242835032</v>
      </c>
      <c r="C727" s="28">
        <f t="shared" si="38"/>
        <v>-0.53499847581628046</v>
      </c>
      <c r="D727" s="28">
        <f t="shared" si="38"/>
        <v>3.7453709976091432E-2</v>
      </c>
      <c r="E727" s="28">
        <f t="shared" si="38"/>
        <v>-3.8891918439276196E-2</v>
      </c>
      <c r="F727" s="28">
        <f t="shared" si="38"/>
        <v>-0.32513057173827065</v>
      </c>
      <c r="G727" s="28">
        <f t="shared" si="38"/>
        <v>3.5204240617815685E-2</v>
      </c>
      <c r="H727" s="28">
        <f t="shared" si="38"/>
        <v>-2.2491758117666905E-2</v>
      </c>
      <c r="I727" s="28">
        <f t="shared" si="38"/>
        <v>0.47110125095969124</v>
      </c>
      <c r="J727" s="28">
        <f t="shared" si="38"/>
        <v>0.26185261707996688</v>
      </c>
      <c r="K727" s="28">
        <f t="shared" si="38"/>
        <v>-2.2935634286170625E-2</v>
      </c>
      <c r="L727" s="28">
        <f t="shared" si="38"/>
        <v>-0.16333180914961076</v>
      </c>
      <c r="M727" s="28">
        <f t="shared" si="38"/>
        <v>-0.5081747053245067</v>
      </c>
      <c r="N727" s="28">
        <f t="shared" si="38"/>
        <v>-0.17007361242821162</v>
      </c>
    </row>
    <row r="728" spans="1:14" x14ac:dyDescent="0.4">
      <c r="A728" s="1">
        <v>43344</v>
      </c>
      <c r="B728" s="28">
        <v>-0.42359137199122188</v>
      </c>
      <c r="C728" s="28">
        <f t="shared" si="38"/>
        <v>-0.45507361242835032</v>
      </c>
      <c r="D728" s="28">
        <f t="shared" si="38"/>
        <v>-0.53499847581628046</v>
      </c>
      <c r="E728" s="28">
        <f t="shared" si="38"/>
        <v>3.7453709976091432E-2</v>
      </c>
      <c r="F728" s="28">
        <f t="shared" si="38"/>
        <v>-3.8891918439276196E-2</v>
      </c>
      <c r="G728" s="28">
        <f t="shared" si="38"/>
        <v>-0.32513057173827065</v>
      </c>
      <c r="H728" s="28">
        <f t="shared" si="38"/>
        <v>3.5204240617815685E-2</v>
      </c>
      <c r="I728" s="28">
        <f t="shared" si="38"/>
        <v>-2.2491758117666905E-2</v>
      </c>
      <c r="J728" s="28">
        <f t="shared" si="38"/>
        <v>0.47110125095969124</v>
      </c>
      <c r="K728" s="28">
        <f t="shared" si="38"/>
        <v>0.26185261707996688</v>
      </c>
      <c r="L728" s="28">
        <f t="shared" si="38"/>
        <v>-2.2935634286170625E-2</v>
      </c>
      <c r="M728" s="28">
        <f t="shared" si="38"/>
        <v>-0.16333180914961076</v>
      </c>
      <c r="N728" s="28">
        <f t="shared" si="38"/>
        <v>-0.5081747053245067</v>
      </c>
    </row>
    <row r="729" spans="1:14" x14ac:dyDescent="0.4">
      <c r="A729" s="1">
        <v>43374</v>
      </c>
      <c r="B729" s="28">
        <v>-0.14958180914959485</v>
      </c>
      <c r="C729" s="28">
        <f t="shared" si="38"/>
        <v>-0.42359137199122188</v>
      </c>
      <c r="D729" s="28">
        <f t="shared" si="38"/>
        <v>-0.45507361242835032</v>
      </c>
      <c r="E729" s="28">
        <f t="shared" si="38"/>
        <v>-0.53499847581628046</v>
      </c>
      <c r="F729" s="28">
        <f t="shared" si="38"/>
        <v>3.7453709976091432E-2</v>
      </c>
      <c r="G729" s="28">
        <f t="shared" si="38"/>
        <v>-3.8891918439276196E-2</v>
      </c>
      <c r="H729" s="28">
        <f t="shared" si="38"/>
        <v>-0.32513057173827065</v>
      </c>
      <c r="I729" s="28">
        <f t="shared" si="38"/>
        <v>3.5204240617815685E-2</v>
      </c>
      <c r="J729" s="28">
        <f t="shared" si="38"/>
        <v>-2.2491758117666905E-2</v>
      </c>
      <c r="K729" s="28">
        <f t="shared" si="38"/>
        <v>0.47110125095969124</v>
      </c>
      <c r="L729" s="28">
        <f t="shared" si="38"/>
        <v>0.26185261707996688</v>
      </c>
      <c r="M729" s="28">
        <f t="shared" si="38"/>
        <v>-2.2935634286170625E-2</v>
      </c>
      <c r="N729" s="28">
        <f t="shared" si="38"/>
        <v>-0.16333180914961076</v>
      </c>
    </row>
    <row r="730" spans="1:14" x14ac:dyDescent="0.4">
      <c r="A730" s="1">
        <v>43405</v>
      </c>
      <c r="B730" s="28">
        <v>0.4237310323804877</v>
      </c>
      <c r="C730" s="28">
        <f t="shared" si="38"/>
        <v>-0.14958180914959485</v>
      </c>
      <c r="D730" s="28">
        <f t="shared" si="38"/>
        <v>-0.42359137199122188</v>
      </c>
      <c r="E730" s="28">
        <f t="shared" si="38"/>
        <v>-0.45507361242835032</v>
      </c>
      <c r="F730" s="28">
        <f t="shared" si="38"/>
        <v>-0.53499847581628046</v>
      </c>
      <c r="G730" s="28">
        <f t="shared" si="38"/>
        <v>3.7453709976091432E-2</v>
      </c>
      <c r="H730" s="28">
        <f t="shared" si="38"/>
        <v>-3.8891918439276196E-2</v>
      </c>
      <c r="I730" s="28">
        <f t="shared" si="38"/>
        <v>-0.32513057173827065</v>
      </c>
      <c r="J730" s="28">
        <f t="shared" si="38"/>
        <v>3.5204240617815685E-2</v>
      </c>
      <c r="K730" s="28">
        <f t="shared" si="38"/>
        <v>-2.2491758117666905E-2</v>
      </c>
      <c r="L730" s="28">
        <f t="shared" si="38"/>
        <v>0.47110125095969124</v>
      </c>
      <c r="M730" s="28">
        <f t="shared" si="38"/>
        <v>0.26185261707996688</v>
      </c>
      <c r="N730" s="28">
        <f t="shared" si="38"/>
        <v>-2.2935634286170625E-2</v>
      </c>
    </row>
    <row r="731" spans="1:14" x14ac:dyDescent="0.4">
      <c r="A731" s="1">
        <v>43435</v>
      </c>
      <c r="B731" s="28">
        <v>9.4352617079948686E-2</v>
      </c>
      <c r="C731" s="28">
        <f t="shared" si="38"/>
        <v>0.4237310323804877</v>
      </c>
      <c r="D731" s="28">
        <f t="shared" si="38"/>
        <v>-0.14958180914959485</v>
      </c>
      <c r="E731" s="28">
        <f t="shared" si="38"/>
        <v>-0.42359137199122188</v>
      </c>
      <c r="F731" s="28">
        <f t="shared" si="38"/>
        <v>-0.45507361242835032</v>
      </c>
      <c r="G731" s="28">
        <f t="shared" si="38"/>
        <v>-0.53499847581628046</v>
      </c>
      <c r="H731" s="28">
        <f t="shared" si="38"/>
        <v>3.7453709976091432E-2</v>
      </c>
      <c r="I731" s="28">
        <f t="shared" si="38"/>
        <v>-3.8891918439276196E-2</v>
      </c>
      <c r="J731" s="28">
        <f t="shared" si="38"/>
        <v>-0.32513057173827065</v>
      </c>
      <c r="K731" s="28">
        <f t="shared" si="38"/>
        <v>3.5204240617815685E-2</v>
      </c>
      <c r="L731" s="28">
        <f t="shared" si="38"/>
        <v>-2.2491758117666905E-2</v>
      </c>
      <c r="M731" s="28">
        <f t="shared" si="38"/>
        <v>0.47110125095969124</v>
      </c>
      <c r="N731" s="28">
        <f t="shared" si="38"/>
        <v>0.26185261707996688</v>
      </c>
    </row>
    <row r="732" spans="1:14" x14ac:dyDescent="0.4">
      <c r="A732" s="1">
        <v>43466</v>
      </c>
      <c r="B732" s="28">
        <v>0.5865179176263382</v>
      </c>
      <c r="C732" s="28">
        <f t="shared" si="38"/>
        <v>9.4352617079948686E-2</v>
      </c>
      <c r="D732" s="28">
        <f t="shared" si="38"/>
        <v>0.4237310323804877</v>
      </c>
      <c r="E732" s="28">
        <f t="shared" si="38"/>
        <v>-0.14958180914959485</v>
      </c>
      <c r="F732" s="28">
        <f t="shared" si="38"/>
        <v>-0.42359137199122188</v>
      </c>
      <c r="G732" s="28">
        <f t="shared" si="38"/>
        <v>-0.45507361242835032</v>
      </c>
      <c r="H732" s="28">
        <f t="shared" si="38"/>
        <v>-0.53499847581628046</v>
      </c>
      <c r="I732" s="28">
        <f t="shared" si="38"/>
        <v>3.7453709976091432E-2</v>
      </c>
      <c r="J732" s="28">
        <f t="shared" si="38"/>
        <v>-3.8891918439276196E-2</v>
      </c>
      <c r="K732" s="28">
        <f t="shared" si="38"/>
        <v>-0.32513057173827065</v>
      </c>
      <c r="L732" s="28">
        <f t="shared" si="38"/>
        <v>3.5204240617815685E-2</v>
      </c>
      <c r="M732" s="28">
        <f t="shared" si="38"/>
        <v>-2.2491758117666905E-2</v>
      </c>
      <c r="N732" s="28">
        <f t="shared" si="38"/>
        <v>0.47110125095969124</v>
      </c>
    </row>
    <row r="733" spans="1:14" x14ac:dyDescent="0.4">
      <c r="A733" s="1">
        <v>43497</v>
      </c>
      <c r="B733" s="28">
        <v>0.44417490854908692</v>
      </c>
      <c r="C733" s="28">
        <f t="shared" si="38"/>
        <v>0.5865179176263382</v>
      </c>
      <c r="D733" s="28">
        <f t="shared" si="38"/>
        <v>9.4352617079948686E-2</v>
      </c>
      <c r="E733" s="28">
        <f t="shared" si="38"/>
        <v>0.4237310323804877</v>
      </c>
      <c r="F733" s="28">
        <f t="shared" si="38"/>
        <v>-0.14958180914959485</v>
      </c>
      <c r="G733" s="28">
        <f t="shared" si="38"/>
        <v>-0.42359137199122188</v>
      </c>
      <c r="H733" s="28">
        <f t="shared" si="38"/>
        <v>-0.45507361242835032</v>
      </c>
      <c r="I733" s="28">
        <f t="shared" si="38"/>
        <v>-0.53499847581628046</v>
      </c>
      <c r="J733" s="28">
        <f t="shared" si="38"/>
        <v>3.7453709976091432E-2</v>
      </c>
      <c r="K733" s="28">
        <f t="shared" si="38"/>
        <v>-3.8891918439276196E-2</v>
      </c>
      <c r="L733" s="28">
        <f t="shared" si="38"/>
        <v>-0.32513057173827065</v>
      </c>
      <c r="M733" s="28">
        <f t="shared" si="38"/>
        <v>3.5204240617815685E-2</v>
      </c>
      <c r="N733" s="28">
        <f t="shared" si="38"/>
        <v>-2.2491758117666905E-2</v>
      </c>
    </row>
    <row r="734" spans="1:14" x14ac:dyDescent="0.4">
      <c r="A734" s="1">
        <v>43525</v>
      </c>
      <c r="B734" s="28">
        <v>-0.14146242604886083</v>
      </c>
      <c r="C734" s="28">
        <f t="shared" si="38"/>
        <v>0.44417490854908692</v>
      </c>
      <c r="D734" s="28">
        <f t="shared" si="38"/>
        <v>0.5865179176263382</v>
      </c>
      <c r="E734" s="28">
        <f t="shared" si="38"/>
        <v>9.4352617079948686E-2</v>
      </c>
      <c r="F734" s="28">
        <f t="shared" si="38"/>
        <v>0.4237310323804877</v>
      </c>
      <c r="G734" s="28">
        <f t="shared" si="38"/>
        <v>-0.14958180914959485</v>
      </c>
      <c r="H734" s="28">
        <f t="shared" si="38"/>
        <v>-0.42359137199122188</v>
      </c>
      <c r="I734" s="28">
        <f t="shared" si="38"/>
        <v>-0.45507361242835032</v>
      </c>
      <c r="J734" s="28">
        <f t="shared" si="38"/>
        <v>-0.53499847581628046</v>
      </c>
      <c r="K734" s="28">
        <f t="shared" si="38"/>
        <v>3.7453709976091432E-2</v>
      </c>
      <c r="L734" s="28">
        <f t="shared" si="38"/>
        <v>-3.8891918439276196E-2</v>
      </c>
      <c r="M734" s="28">
        <f t="shared" si="38"/>
        <v>-0.32513057173827065</v>
      </c>
      <c r="N734" s="28">
        <f t="shared" si="38"/>
        <v>3.5204240617815685E-2</v>
      </c>
    </row>
    <row r="735" spans="1:14" x14ac:dyDescent="0.4">
      <c r="A735" s="1">
        <v>43556</v>
      </c>
      <c r="B735" s="28">
        <v>-6.2213905071473619E-2</v>
      </c>
      <c r="C735" s="28">
        <f t="shared" si="38"/>
        <v>-0.14146242604886083</v>
      </c>
      <c r="D735" s="28">
        <f t="shared" si="38"/>
        <v>0.44417490854908692</v>
      </c>
      <c r="E735" s="28">
        <f t="shared" si="38"/>
        <v>0.5865179176263382</v>
      </c>
      <c r="F735" s="28">
        <f t="shared" si="38"/>
        <v>9.4352617079948686E-2</v>
      </c>
      <c r="G735" s="28">
        <f t="shared" si="38"/>
        <v>0.4237310323804877</v>
      </c>
      <c r="H735" s="28">
        <f t="shared" si="38"/>
        <v>-0.14958180914959485</v>
      </c>
      <c r="I735" s="28">
        <f t="shared" si="38"/>
        <v>-0.42359137199122188</v>
      </c>
      <c r="J735" s="28">
        <f t="shared" si="38"/>
        <v>-0.45507361242835032</v>
      </c>
      <c r="K735" s="28">
        <f t="shared" si="38"/>
        <v>-0.53499847581628046</v>
      </c>
      <c r="L735" s="28">
        <f t="shared" si="38"/>
        <v>3.7453709976091432E-2</v>
      </c>
      <c r="M735" s="28">
        <f t="shared" si="38"/>
        <v>-3.8891918439276196E-2</v>
      </c>
      <c r="N735" s="28">
        <f t="shared" si="38"/>
        <v>-0.32513057173827065</v>
      </c>
    </row>
    <row r="736" spans="1:14" x14ac:dyDescent="0.4">
      <c r="A736" s="1">
        <v>43586</v>
      </c>
      <c r="B736" s="28">
        <v>0.56277474822741169</v>
      </c>
      <c r="C736" s="28">
        <f t="shared" si="38"/>
        <v>-6.2213905071473619E-2</v>
      </c>
      <c r="D736" s="28">
        <f t="shared" si="38"/>
        <v>-0.14146242604886083</v>
      </c>
      <c r="E736" s="28">
        <f t="shared" si="38"/>
        <v>0.44417490854908692</v>
      </c>
      <c r="F736" s="28">
        <f t="shared" ref="D736:P751" si="39">IF(E735=0,"",E735)</f>
        <v>0.5865179176263382</v>
      </c>
      <c r="G736" s="28">
        <f t="shared" si="39"/>
        <v>9.4352617079948686E-2</v>
      </c>
      <c r="H736" s="28">
        <f t="shared" si="39"/>
        <v>0.4237310323804877</v>
      </c>
      <c r="I736" s="28">
        <f t="shared" si="39"/>
        <v>-0.14958180914959485</v>
      </c>
      <c r="J736" s="28">
        <f t="shared" si="39"/>
        <v>-0.42359137199122188</v>
      </c>
      <c r="K736" s="28">
        <f t="shared" si="39"/>
        <v>-0.45507361242835032</v>
      </c>
      <c r="L736" s="28">
        <f t="shared" si="39"/>
        <v>-0.53499847581628046</v>
      </c>
      <c r="M736" s="28">
        <f t="shared" si="39"/>
        <v>3.7453709976091432E-2</v>
      </c>
      <c r="N736" s="28">
        <f t="shared" si="39"/>
        <v>-3.8891918439276196E-2</v>
      </c>
    </row>
    <row r="737" spans="1:14" x14ac:dyDescent="0.4">
      <c r="A737" s="1">
        <v>43617</v>
      </c>
      <c r="B737" s="28">
        <v>0.21578704330937626</v>
      </c>
      <c r="C737" s="28">
        <f t="shared" ref="C737:N776" si="40">IF(B736=0,"",B736)</f>
        <v>0.56277474822741169</v>
      </c>
      <c r="D737" s="28">
        <f t="shared" si="39"/>
        <v>-6.2213905071473619E-2</v>
      </c>
      <c r="E737" s="28">
        <f t="shared" si="39"/>
        <v>-0.14146242604886083</v>
      </c>
      <c r="F737" s="28">
        <f t="shared" si="39"/>
        <v>0.44417490854908692</v>
      </c>
      <c r="G737" s="28">
        <f t="shared" si="39"/>
        <v>0.5865179176263382</v>
      </c>
      <c r="H737" s="28">
        <f t="shared" si="39"/>
        <v>9.4352617079948686E-2</v>
      </c>
      <c r="I737" s="28">
        <f t="shared" si="39"/>
        <v>0.4237310323804877</v>
      </c>
      <c r="J737" s="28">
        <f t="shared" si="39"/>
        <v>-0.14958180914959485</v>
      </c>
      <c r="K737" s="28">
        <f t="shared" si="39"/>
        <v>-0.42359137199122188</v>
      </c>
      <c r="L737" s="28">
        <f t="shared" si="39"/>
        <v>-0.45507361242835032</v>
      </c>
      <c r="M737" s="28">
        <f t="shared" si="39"/>
        <v>-0.53499847581628046</v>
      </c>
      <c r="N737" s="28">
        <f t="shared" si="39"/>
        <v>3.7453709976091432E-2</v>
      </c>
    </row>
    <row r="738" spans="1:14" x14ac:dyDescent="0.4">
      <c r="A738" s="1">
        <v>43647</v>
      </c>
      <c r="B738" s="28">
        <v>-0.47499847581627819</v>
      </c>
      <c r="C738" s="28">
        <f t="shared" si="40"/>
        <v>0.21578704330937626</v>
      </c>
      <c r="D738" s="28">
        <f t="shared" si="39"/>
        <v>0.56277474822741169</v>
      </c>
      <c r="E738" s="28">
        <f t="shared" si="39"/>
        <v>-6.2213905071473619E-2</v>
      </c>
      <c r="F738" s="28">
        <f t="shared" si="39"/>
        <v>-0.14146242604886083</v>
      </c>
      <c r="G738" s="28">
        <f t="shared" si="39"/>
        <v>0.44417490854908692</v>
      </c>
      <c r="H738" s="28">
        <f t="shared" si="39"/>
        <v>0.5865179176263382</v>
      </c>
      <c r="I738" s="28">
        <f t="shared" si="39"/>
        <v>9.4352617079948686E-2</v>
      </c>
      <c r="J738" s="28">
        <f t="shared" si="39"/>
        <v>0.4237310323804877</v>
      </c>
      <c r="K738" s="28">
        <f t="shared" si="39"/>
        <v>-0.14958180914959485</v>
      </c>
      <c r="L738" s="28">
        <f t="shared" si="39"/>
        <v>-0.42359137199122188</v>
      </c>
      <c r="M738" s="28">
        <f t="shared" si="39"/>
        <v>-0.45507361242835032</v>
      </c>
      <c r="N738" s="28">
        <f t="shared" si="39"/>
        <v>-0.53499847581628046</v>
      </c>
    </row>
    <row r="739" spans="1:14" x14ac:dyDescent="0.4">
      <c r="A739" s="1">
        <v>43678</v>
      </c>
      <c r="B739" s="28">
        <v>-0.31049027909500637</v>
      </c>
      <c r="C739" s="28">
        <f t="shared" si="40"/>
        <v>-0.47499847581627819</v>
      </c>
      <c r="D739" s="28">
        <f t="shared" si="39"/>
        <v>0.21578704330937626</v>
      </c>
      <c r="E739" s="28">
        <f t="shared" si="39"/>
        <v>0.56277474822741169</v>
      </c>
      <c r="F739" s="28">
        <f t="shared" si="39"/>
        <v>-6.2213905071473619E-2</v>
      </c>
      <c r="G739" s="28">
        <f t="shared" si="39"/>
        <v>-0.14146242604886083</v>
      </c>
      <c r="H739" s="28">
        <f t="shared" si="39"/>
        <v>0.44417490854908692</v>
      </c>
      <c r="I739" s="28">
        <f t="shared" si="39"/>
        <v>0.5865179176263382</v>
      </c>
      <c r="J739" s="28">
        <f t="shared" si="39"/>
        <v>9.4352617079948686E-2</v>
      </c>
      <c r="K739" s="28">
        <f t="shared" si="39"/>
        <v>0.4237310323804877</v>
      </c>
      <c r="L739" s="28">
        <f t="shared" si="39"/>
        <v>-0.14958180914959485</v>
      </c>
      <c r="M739" s="28">
        <f t="shared" si="39"/>
        <v>-0.42359137199122188</v>
      </c>
      <c r="N739" s="28">
        <f t="shared" si="39"/>
        <v>-0.45507361242835032</v>
      </c>
    </row>
    <row r="740" spans="1:14" x14ac:dyDescent="0.4">
      <c r="A740" s="1">
        <v>43709</v>
      </c>
      <c r="B740" s="28">
        <v>-0.25192470532442712</v>
      </c>
      <c r="C740" s="28">
        <f t="shared" si="40"/>
        <v>-0.31049027909500637</v>
      </c>
      <c r="D740" s="28">
        <f t="shared" si="39"/>
        <v>-0.47499847581627819</v>
      </c>
      <c r="E740" s="28">
        <f t="shared" si="39"/>
        <v>0.21578704330937626</v>
      </c>
      <c r="F740" s="28">
        <f t="shared" si="39"/>
        <v>0.56277474822741169</v>
      </c>
      <c r="G740" s="28">
        <f t="shared" si="39"/>
        <v>-6.2213905071473619E-2</v>
      </c>
      <c r="H740" s="28">
        <f t="shared" si="39"/>
        <v>-0.14146242604886083</v>
      </c>
      <c r="I740" s="28">
        <f t="shared" si="39"/>
        <v>0.44417490854908692</v>
      </c>
      <c r="J740" s="28">
        <f t="shared" si="39"/>
        <v>0.5865179176263382</v>
      </c>
      <c r="K740" s="28">
        <f t="shared" si="39"/>
        <v>9.4352617079948686E-2</v>
      </c>
      <c r="L740" s="28">
        <f t="shared" si="39"/>
        <v>0.4237310323804877</v>
      </c>
      <c r="M740" s="28">
        <f t="shared" si="39"/>
        <v>-0.14958180914959485</v>
      </c>
      <c r="N740" s="28">
        <f t="shared" si="39"/>
        <v>-0.42359137199122188</v>
      </c>
    </row>
    <row r="741" spans="1:14" x14ac:dyDescent="0.4">
      <c r="A741" s="1">
        <v>43739</v>
      </c>
      <c r="B741" s="28">
        <v>-0.46458180914959257</v>
      </c>
      <c r="C741" s="28">
        <f t="shared" si="40"/>
        <v>-0.25192470532442712</v>
      </c>
      <c r="D741" s="28">
        <f t="shared" si="39"/>
        <v>-0.31049027909500637</v>
      </c>
      <c r="E741" s="28">
        <f t="shared" si="39"/>
        <v>-0.47499847581627819</v>
      </c>
      <c r="F741" s="28">
        <f t="shared" si="39"/>
        <v>0.21578704330937626</v>
      </c>
      <c r="G741" s="28">
        <f t="shared" si="39"/>
        <v>0.56277474822741169</v>
      </c>
      <c r="H741" s="28">
        <f t="shared" si="39"/>
        <v>-6.2213905071473619E-2</v>
      </c>
      <c r="I741" s="28">
        <f t="shared" si="39"/>
        <v>-0.14146242604886083</v>
      </c>
      <c r="J741" s="28">
        <f t="shared" si="39"/>
        <v>0.44417490854908692</v>
      </c>
      <c r="K741" s="28">
        <f t="shared" si="39"/>
        <v>0.5865179176263382</v>
      </c>
      <c r="L741" s="28">
        <f t="shared" si="39"/>
        <v>9.4352617079948686E-2</v>
      </c>
      <c r="M741" s="28">
        <f t="shared" si="39"/>
        <v>0.4237310323804877</v>
      </c>
      <c r="N741" s="28">
        <f t="shared" si="39"/>
        <v>-0.14958180914959485</v>
      </c>
    </row>
    <row r="742" spans="1:14" x14ac:dyDescent="0.4">
      <c r="A742" s="1">
        <v>43770</v>
      </c>
      <c r="C742" s="28">
        <f t="shared" si="40"/>
        <v>-0.46458180914959257</v>
      </c>
      <c r="D742" s="28">
        <f t="shared" si="39"/>
        <v>-0.25192470532442712</v>
      </c>
      <c r="E742" s="28">
        <f t="shared" si="39"/>
        <v>-0.31049027909500637</v>
      </c>
      <c r="F742" s="28">
        <f t="shared" si="39"/>
        <v>-0.47499847581627819</v>
      </c>
      <c r="G742" s="28">
        <f t="shared" si="39"/>
        <v>0.21578704330937626</v>
      </c>
      <c r="H742" s="28">
        <f t="shared" si="39"/>
        <v>0.56277474822741169</v>
      </c>
      <c r="I742" s="28">
        <f t="shared" si="39"/>
        <v>-6.2213905071473619E-2</v>
      </c>
      <c r="J742" s="28">
        <f t="shared" si="39"/>
        <v>-0.14146242604886083</v>
      </c>
      <c r="K742" s="28">
        <f t="shared" si="39"/>
        <v>0.44417490854908692</v>
      </c>
      <c r="L742" s="28">
        <f t="shared" si="39"/>
        <v>0.5865179176263382</v>
      </c>
      <c r="M742" s="28">
        <f t="shared" si="39"/>
        <v>9.4352617079948686E-2</v>
      </c>
      <c r="N742" s="28">
        <f t="shared" si="39"/>
        <v>0.4237310323804877</v>
      </c>
    </row>
    <row r="743" spans="1:14" x14ac:dyDescent="0.4">
      <c r="A743" s="1">
        <v>43800</v>
      </c>
      <c r="C743" s="28" t="str">
        <f t="shared" si="40"/>
        <v/>
      </c>
      <c r="D743" s="28">
        <f t="shared" si="39"/>
        <v>-0.46458180914959257</v>
      </c>
      <c r="E743" s="28">
        <f t="shared" si="39"/>
        <v>-0.25192470532442712</v>
      </c>
      <c r="F743" s="28">
        <f t="shared" si="39"/>
        <v>-0.31049027909500637</v>
      </c>
      <c r="G743" s="28">
        <f t="shared" si="39"/>
        <v>-0.47499847581627819</v>
      </c>
      <c r="H743" s="28">
        <f t="shared" si="39"/>
        <v>0.21578704330937626</v>
      </c>
      <c r="I743" s="28">
        <f t="shared" si="39"/>
        <v>0.56277474822741169</v>
      </c>
      <c r="J743" s="28">
        <f t="shared" si="39"/>
        <v>-6.2213905071473619E-2</v>
      </c>
      <c r="K743" s="28">
        <f t="shared" si="39"/>
        <v>-0.14146242604886083</v>
      </c>
      <c r="L743" s="28">
        <f t="shared" si="39"/>
        <v>0.44417490854908692</v>
      </c>
      <c r="M743" s="28">
        <f t="shared" si="39"/>
        <v>0.5865179176263382</v>
      </c>
      <c r="N743" s="28">
        <f t="shared" si="39"/>
        <v>9.4352617079948686E-2</v>
      </c>
    </row>
    <row r="744" spans="1:14" x14ac:dyDescent="0.4">
      <c r="A744" s="1">
        <v>43831</v>
      </c>
      <c r="C744" s="28" t="str">
        <f t="shared" si="40"/>
        <v/>
      </c>
      <c r="D744" s="28" t="str">
        <f t="shared" si="39"/>
        <v/>
      </c>
      <c r="E744" s="28">
        <f t="shared" si="39"/>
        <v>-0.46458180914959257</v>
      </c>
      <c r="F744" s="28">
        <f t="shared" si="39"/>
        <v>-0.25192470532442712</v>
      </c>
      <c r="G744" s="28">
        <f t="shared" si="39"/>
        <v>-0.31049027909500637</v>
      </c>
      <c r="H744" s="28">
        <f t="shared" si="39"/>
        <v>-0.47499847581627819</v>
      </c>
      <c r="I744" s="28">
        <f t="shared" si="39"/>
        <v>0.21578704330937626</v>
      </c>
      <c r="J744" s="28">
        <f t="shared" si="39"/>
        <v>0.56277474822741169</v>
      </c>
      <c r="K744" s="28">
        <f t="shared" si="39"/>
        <v>-6.2213905071473619E-2</v>
      </c>
      <c r="L744" s="28">
        <f t="shared" si="39"/>
        <v>-0.14146242604886083</v>
      </c>
      <c r="M744" s="28">
        <f t="shared" si="39"/>
        <v>0.44417490854908692</v>
      </c>
      <c r="N744" s="28">
        <f t="shared" si="39"/>
        <v>0.5865179176263382</v>
      </c>
    </row>
    <row r="745" spans="1:14" x14ac:dyDescent="0.4">
      <c r="A745" s="1">
        <v>43862</v>
      </c>
      <c r="C745" s="28" t="str">
        <f t="shared" si="40"/>
        <v/>
      </c>
      <c r="D745" s="28" t="str">
        <f t="shared" si="39"/>
        <v/>
      </c>
      <c r="E745" s="28" t="str">
        <f t="shared" si="39"/>
        <v/>
      </c>
      <c r="F745" s="28">
        <f t="shared" si="39"/>
        <v>-0.46458180914959257</v>
      </c>
      <c r="G745" s="28">
        <f t="shared" si="39"/>
        <v>-0.25192470532442712</v>
      </c>
      <c r="H745" s="28">
        <f t="shared" si="39"/>
        <v>-0.31049027909500637</v>
      </c>
      <c r="I745" s="28">
        <f t="shared" si="39"/>
        <v>-0.47499847581627819</v>
      </c>
      <c r="J745" s="28">
        <f t="shared" si="39"/>
        <v>0.21578704330937626</v>
      </c>
      <c r="K745" s="28">
        <f t="shared" si="39"/>
        <v>0.56277474822741169</v>
      </c>
      <c r="L745" s="28">
        <f t="shared" si="39"/>
        <v>-6.2213905071473619E-2</v>
      </c>
      <c r="M745" s="28">
        <f t="shared" si="39"/>
        <v>-0.14146242604886083</v>
      </c>
      <c r="N745" s="28">
        <f t="shared" si="39"/>
        <v>0.44417490854908692</v>
      </c>
    </row>
    <row r="746" spans="1:14" x14ac:dyDescent="0.4">
      <c r="A746" s="1">
        <v>43891</v>
      </c>
      <c r="C746" s="28" t="str">
        <f t="shared" si="40"/>
        <v/>
      </c>
      <c r="D746" s="28" t="str">
        <f t="shared" si="39"/>
        <v/>
      </c>
      <c r="E746" s="28" t="str">
        <f t="shared" si="39"/>
        <v/>
      </c>
      <c r="F746" s="28" t="str">
        <f t="shared" si="39"/>
        <v/>
      </c>
      <c r="G746" s="28">
        <f t="shared" si="39"/>
        <v>-0.46458180914959257</v>
      </c>
      <c r="H746" s="28">
        <f t="shared" si="39"/>
        <v>-0.25192470532442712</v>
      </c>
      <c r="I746" s="28">
        <f t="shared" si="39"/>
        <v>-0.31049027909500637</v>
      </c>
      <c r="J746" s="28">
        <f t="shared" si="39"/>
        <v>-0.47499847581627819</v>
      </c>
      <c r="K746" s="28">
        <f t="shared" si="39"/>
        <v>0.21578704330937626</v>
      </c>
      <c r="L746" s="28">
        <f t="shared" si="39"/>
        <v>0.56277474822741169</v>
      </c>
      <c r="M746" s="28">
        <f t="shared" si="39"/>
        <v>-6.2213905071473619E-2</v>
      </c>
      <c r="N746" s="28">
        <f t="shared" si="39"/>
        <v>-0.14146242604886083</v>
      </c>
    </row>
    <row r="747" spans="1:14" x14ac:dyDescent="0.4">
      <c r="A747" s="1">
        <v>43922</v>
      </c>
      <c r="C747" s="28" t="str">
        <f t="shared" si="40"/>
        <v/>
      </c>
      <c r="D747" s="28" t="str">
        <f t="shared" si="39"/>
        <v/>
      </c>
      <c r="E747" s="28" t="str">
        <f t="shared" si="39"/>
        <v/>
      </c>
      <c r="F747" s="28" t="str">
        <f t="shared" si="39"/>
        <v/>
      </c>
      <c r="G747" s="28" t="str">
        <f t="shared" si="39"/>
        <v/>
      </c>
      <c r="H747" s="28">
        <f t="shared" si="39"/>
        <v>-0.46458180914959257</v>
      </c>
      <c r="I747" s="28">
        <f t="shared" si="39"/>
        <v>-0.25192470532442712</v>
      </c>
      <c r="J747" s="28">
        <f t="shared" si="39"/>
        <v>-0.31049027909500637</v>
      </c>
      <c r="K747" s="28">
        <f t="shared" si="39"/>
        <v>-0.47499847581627819</v>
      </c>
      <c r="L747" s="28">
        <f t="shared" si="39"/>
        <v>0.21578704330937626</v>
      </c>
      <c r="M747" s="28">
        <f t="shared" si="39"/>
        <v>0.56277474822741169</v>
      </c>
      <c r="N747" s="28">
        <f t="shared" si="39"/>
        <v>-6.2213905071473619E-2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8</vt:i4>
      </vt:variant>
      <vt:variant>
        <vt:lpstr>グラフ</vt:lpstr>
      </vt:variant>
      <vt:variant>
        <vt:i4>3</vt:i4>
      </vt:variant>
      <vt:variant>
        <vt:lpstr>名前付き一覧</vt:lpstr>
      </vt:variant>
      <vt:variant>
        <vt:i4>20</vt:i4>
      </vt:variant>
    </vt:vector>
  </HeadingPairs>
  <TitlesOfParts>
    <vt:vector size="31" baseType="lpstr">
      <vt:lpstr>co2</vt:lpstr>
      <vt:lpstr>2次多項式モデル</vt:lpstr>
      <vt:lpstr>指数+定数モデル (2)</vt:lpstr>
      <vt:lpstr>co2 (2)</vt:lpstr>
      <vt:lpstr>co2偏相関</vt:lpstr>
      <vt:lpstr>TCI偏相関</vt:lpstr>
      <vt:lpstr>TC偏相関</vt:lpstr>
      <vt:lpstr>I偏相関</vt:lpstr>
      <vt:lpstr>グラフ1</vt:lpstr>
      <vt:lpstr>グラフ1 (2)</vt:lpstr>
      <vt:lpstr>グラフ7</vt:lpstr>
      <vt:lpstr>'2次多項式モデル'!_A</vt:lpstr>
      <vt:lpstr>'指数+定数モデル (2)'!_A</vt:lpstr>
      <vt:lpstr>'2次多項式モデル'!_B</vt:lpstr>
      <vt:lpstr>'指数+定数モデル (2)'!_B</vt:lpstr>
      <vt:lpstr>'2次多項式モデル'!_C</vt:lpstr>
      <vt:lpstr>'指数+定数モデル (2)'!_C</vt:lpstr>
      <vt:lpstr>I偏相関!_R</vt:lpstr>
      <vt:lpstr>TCI偏相関!_R</vt:lpstr>
      <vt:lpstr>TC偏相関!_R</vt:lpstr>
      <vt:lpstr>_R</vt:lpstr>
      <vt:lpstr>I偏相関!_R_1</vt:lpstr>
      <vt:lpstr>TCI偏相関!_R_1</vt:lpstr>
      <vt:lpstr>TC偏相関!_R_1</vt:lpstr>
      <vt:lpstr>_R_1</vt:lpstr>
      <vt:lpstr>I偏相関!RR</vt:lpstr>
      <vt:lpstr>TCI偏相関!RR</vt:lpstr>
      <vt:lpstr>TC偏相関!RR</vt:lpstr>
      <vt:lpstr>RR</vt:lpstr>
      <vt:lpstr>'2次多項式モデル'!Sm</vt:lpstr>
      <vt:lpstr>'指数+定数モデル (2)'!Sm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2023-01-09T07:15:29Z</dcterms:modified>
</cp:coreProperties>
</file>