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Misc\"/>
    </mc:Choice>
  </mc:AlternateContent>
  <xr:revisionPtr revIDLastSave="0" documentId="13_ncr:1_{F3029A8E-B7CB-4D70-967D-A65AE14713EB}" xr6:coauthVersionLast="36" xr6:coauthVersionMax="47" xr10:uidLastSave="{00000000-0000-0000-0000-000000000000}"/>
  <bookViews>
    <workbookView xWindow="-120" yWindow="1815" windowWidth="28095" windowHeight="16440" tabRatio="710" xr2:uid="{F09E30F0-484D-4ADE-8C37-A4C3D44EF12A}"/>
  </bookViews>
  <sheets>
    <sheet name="co2" sheetId="1" r:id="rId1"/>
    <sheet name="2次多項式モデル" sheetId="26" r:id="rId2"/>
    <sheet name="指数+定数モデル (2)" sheetId="30" r:id="rId3"/>
  </sheets>
  <definedNames>
    <definedName name="_A" localSheetId="1">'2次多項式モデル'!$B$6</definedName>
    <definedName name="_A" localSheetId="2">'指数+定数モデル (2)'!$B$6</definedName>
    <definedName name="_B" localSheetId="1">'2次多項式モデル'!$B$7</definedName>
    <definedName name="_B" localSheetId="2">'指数+定数モデル (2)'!$B$7</definedName>
    <definedName name="_C" localSheetId="1">'2次多項式モデル'!$B$8</definedName>
    <definedName name="_C" localSheetId="2">'指数+定数モデル (2)'!$B$8</definedName>
    <definedName name="Sm" localSheetId="1">'2次多項式モデル'!$B$14:$B$25</definedName>
    <definedName name="Sm" localSheetId="2">'指数+定数モデル (2)'!$B$14:$B$25</definedName>
    <definedName name="solver_adj" localSheetId="1" hidden="1">'2次多項式モデル'!$B$14:$B$25</definedName>
    <definedName name="solver_adj" localSheetId="2" hidden="1">'指数+定数モデル (2)'!$B$6,'指数+定数モデル (2)'!$B$7,'指数+定数モデル (2)'!$B$8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'2次多項式モデル'!$B$27</definedName>
    <definedName name="solver_lhs1" localSheetId="2" hidden="1">'指数+定数モデル (2)'!$B$27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'2次多項式モデル'!$B$29</definedName>
    <definedName name="solver_opt" localSheetId="2" hidden="1">'指数+定数モデル (2)'!$B$10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2</definedName>
    <definedName name="solver_rel1" localSheetId="2" hidden="1">2</definedName>
    <definedName name="solver_rhs1" localSheetId="1" hidden="1">0</definedName>
    <definedName name="solver_rhs1" localSheetId="2" hidden="1">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0" l="1"/>
  <c r="B6" i="26"/>
  <c r="B8" i="26"/>
  <c r="J2" i="30"/>
  <c r="H2" i="30"/>
  <c r="I2" i="30" s="1"/>
  <c r="B7" i="26"/>
  <c r="J2" i="26"/>
  <c r="B10" i="30" l="1"/>
  <c r="H2" i="26"/>
  <c r="I2" i="26" s="1"/>
  <c r="B14" i="26" l="1"/>
  <c r="B26" i="30" l="1"/>
  <c r="K2" i="30" a="1"/>
  <c r="K2" i="30" s="1"/>
  <c r="L2" i="30" s="1"/>
  <c r="M2" i="30" s="1"/>
  <c r="B27" i="30"/>
  <c r="B29" i="30" l="1"/>
  <c r="K2" i="26" a="1"/>
  <c r="K2" i="26" s="1"/>
  <c r="L2" i="26" s="1"/>
  <c r="M2" i="26" s="1"/>
  <c r="B27" i="26"/>
  <c r="B26" i="26"/>
  <c r="B29" i="26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<sst xmlns="http://schemas.openxmlformats.org/spreadsheetml/2006/main" count="97" uniqueCount="60">
  <si>
    <t>Date</t>
  </si>
  <si>
    <t>CO2</t>
  </si>
  <si>
    <t>季節変動</t>
    <rPh sb="0" eb="2">
      <t>キセツ</t>
    </rPh>
    <rPh sb="2" eb="4">
      <t>ヘンドウ</t>
    </rPh>
    <phoneticPr fontId="1"/>
  </si>
  <si>
    <t>：指数関数＋バイアス（dは測定年月(Date)）</t>
    <rPh sb="1" eb="3">
      <t>シスウ</t>
    </rPh>
    <rPh sb="3" eb="5">
      <t>カンスウ</t>
    </rPh>
    <rPh sb="13" eb="15">
      <t>ソクテイ</t>
    </rPh>
    <rPh sb="15" eb="16">
      <t>ネン</t>
    </rPh>
    <rPh sb="16" eb="17">
      <t>ゲツ</t>
    </rPh>
    <phoneticPr fontId="1"/>
  </si>
  <si>
    <t>A</t>
    <phoneticPr fontId="1"/>
  </si>
  <si>
    <t>B</t>
    <phoneticPr fontId="1"/>
  </si>
  <si>
    <t>C</t>
    <phoneticPr fontId="1"/>
  </si>
  <si>
    <t>m</t>
    <phoneticPr fontId="1"/>
  </si>
  <si>
    <t>total</t>
    <phoneticPr fontId="1"/>
  </si>
  <si>
    <t>m(d)</t>
    <phoneticPr fontId="1"/>
  </si>
  <si>
    <t>が最小になるように</t>
    <rPh sb="1" eb="3">
      <t>サイショウ</t>
    </rPh>
    <phoneticPr fontId="1"/>
  </si>
  <si>
    <t>の値を調整する</t>
    <rPh sb="1" eb="2">
      <t>アタイ</t>
    </rPh>
    <rPh sb="3" eb="5">
      <t>チョウセイ</t>
    </rPh>
    <phoneticPr fontId="1"/>
  </si>
  <si>
    <t>ソルバーアドインを使って，</t>
    <rPh sb="9" eb="10">
      <t>ツカ</t>
    </rPh>
    <phoneticPr fontId="1"/>
  </si>
  <si>
    <t>S(m(d))</t>
    <phoneticPr fontId="1"/>
  </si>
  <si>
    <t>S(m)</t>
    <phoneticPr fontId="1"/>
  </si>
  <si>
    <t>残差(I)</t>
    <rPh sb="0" eb="2">
      <t>ザンサ</t>
    </rPh>
    <phoneticPr fontId="1"/>
  </si>
  <si>
    <t xml:space="preserve"> = S(1)</t>
    <phoneticPr fontId="1"/>
  </si>
  <si>
    <t>T(d)</t>
    <phoneticPr fontId="1"/>
  </si>
  <si>
    <r>
      <t>T(d) = e</t>
    </r>
    <r>
      <rPr>
        <vertAlign val="superscript"/>
        <sz val="11"/>
        <color theme="1"/>
        <rFont val="游ゴシック"/>
        <family val="3"/>
        <charset val="128"/>
        <scheme val="minor"/>
      </rPr>
      <t>Ad+B</t>
    </r>
    <r>
      <rPr>
        <sz val="11"/>
        <color theme="1"/>
        <rFont val="游ゴシック"/>
        <family val="2"/>
        <charset val="128"/>
        <scheme val="minor"/>
      </rPr>
      <t>+C</t>
    </r>
    <phoneticPr fontId="1"/>
  </si>
  <si>
    <t>TS(d)=T(d)+S(m(d))</t>
    <phoneticPr fontId="1"/>
  </si>
  <si>
    <t>傾向変動</t>
  </si>
  <si>
    <t>傾向変動</t>
    <rPh sb="0" eb="4">
      <t>ケイコウヘンドウ</t>
    </rPh>
    <phoneticPr fontId="1"/>
  </si>
  <si>
    <t>：傾向変動からの変位（m(d) は d の月部分 ）</t>
    <rPh sb="8" eb="10">
      <t>ヘンイ</t>
    </rPh>
    <rPh sb="21" eb="22">
      <t>ツキ</t>
    </rPh>
    <rPh sb="22" eb="24">
      <t>ブブン</t>
    </rPh>
    <phoneticPr fontId="1"/>
  </si>
  <si>
    <t>：傾向変動と季節変動の加算</t>
    <rPh sb="6" eb="8">
      <t>キセツ</t>
    </rPh>
    <rPh sb="8" eb="10">
      <t>ヘンドウ</t>
    </rPh>
    <rPh sb="11" eb="13">
      <t>カサン</t>
    </rPh>
    <phoneticPr fontId="1"/>
  </si>
  <si>
    <t>TS(d)</t>
    <phoneticPr fontId="1"/>
  </si>
  <si>
    <t>残差平方の平均</t>
    <rPh sb="0" eb="4">
      <t>ザンサヘイホウ</t>
    </rPh>
    <rPh sb="5" eb="7">
      <t>ヘイキン</t>
    </rPh>
    <phoneticPr fontId="1"/>
  </si>
  <si>
    <t>：2次多項式（dは測定年月(Date)）</t>
    <rPh sb="2" eb="3">
      <t>ジ</t>
    </rPh>
    <rPh sb="3" eb="6">
      <t>タコウシキ</t>
    </rPh>
    <rPh sb="9" eb="11">
      <t>ソクテイ</t>
    </rPh>
    <rPh sb="11" eb="12">
      <t>ネン</t>
    </rPh>
    <rPh sb="12" eb="13">
      <t>ゲツ</t>
    </rPh>
    <phoneticPr fontId="1"/>
  </si>
  <si>
    <r>
      <t>T(d) = Ad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+Bd+C</t>
    </r>
    <phoneticPr fontId="1"/>
  </si>
  <si>
    <t>傾向変動のパラメータ（適当な初期値からソルバーで決定）</t>
    <rPh sb="11" eb="13">
      <t>テキトウ</t>
    </rPh>
    <rPh sb="14" eb="17">
      <t>ショキチ</t>
    </rPh>
    <rPh sb="24" eb="26">
      <t>ケッテイ</t>
    </rPh>
    <phoneticPr fontId="1"/>
  </si>
  <si>
    <t>目的変数</t>
    <rPh sb="0" eb="4">
      <t>モクテキヘンスウ</t>
    </rPh>
    <phoneticPr fontId="1"/>
  </si>
  <si>
    <t>変数セル</t>
    <rPh sb="0" eb="2">
      <t>ヘンスウ</t>
    </rPh>
    <phoneticPr fontId="1"/>
  </si>
  <si>
    <t>傾向変動のパラメータ（最小二乗法による2次多項式近似 — Excelの関数で計算）</t>
    <rPh sb="11" eb="16">
      <t>サイショウニジョウホウ</t>
    </rPh>
    <rPh sb="20" eb="26">
      <t>ジタコウシキキンジ</t>
    </rPh>
    <rPh sb="35" eb="37">
      <t>カンスウ</t>
    </rPh>
    <rPh sb="38" eb="40">
      <t>ケイサン</t>
    </rPh>
    <phoneticPr fontId="1"/>
  </si>
  <si>
    <t>手順</t>
    <rPh sb="0" eb="2">
      <t>テジュン</t>
    </rPh>
    <phoneticPr fontId="1"/>
  </si>
  <si>
    <t>ソルバーアドインを追加</t>
    <rPh sb="9" eb="11">
      <t>ツイカ</t>
    </rPh>
    <phoneticPr fontId="1"/>
  </si>
  <si>
    <t>「解決方法の選択」を GRG非線形 にして「解決」をクリック</t>
    <rPh sb="14" eb="17">
      <t>ヒセンケイ</t>
    </rPh>
    <rPh sb="22" eb="24">
      <t>カイケツ</t>
    </rPh>
    <phoneticPr fontId="1"/>
  </si>
  <si>
    <t>準備</t>
    <rPh sb="0" eb="2">
      <t>ジュンビ</t>
    </rPh>
    <phoneticPr fontId="1"/>
  </si>
  <si>
    <t>-</t>
    <phoneticPr fontId="1"/>
  </si>
  <si>
    <t>傾向変動のパラメータ（B6:B8）の数式を眺める</t>
    <rPh sb="0" eb="4">
      <t>ケイコウヘンドウ</t>
    </rPh>
    <rPh sb="18" eb="20">
      <t>スウシキ</t>
    </rPh>
    <rPh sb="21" eb="22">
      <t>ナガ</t>
    </rPh>
    <phoneticPr fontId="1"/>
  </si>
  <si>
    <t>先に作成したグラフをもう一度見てみる</t>
    <rPh sb="0" eb="1">
      <t>サキ</t>
    </rPh>
    <rPh sb="2" eb="4">
      <t>サクセイ</t>
    </rPh>
    <rPh sb="12" eb="14">
      <t>イチド</t>
    </rPh>
    <rPh sb="14" eb="15">
      <t>ミ</t>
    </rPh>
    <phoneticPr fontId="1"/>
  </si>
  <si>
    <r>
      <t>CO</t>
    </r>
    <r>
      <rPr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の近似</t>
    </r>
    <rPh sb="4" eb="6">
      <t>キンジ</t>
    </rPh>
    <phoneticPr fontId="1"/>
  </si>
  <si>
    <t>※ 指数+定数モデルは，増加率が指数関数的に増大するモデル</t>
    <rPh sb="12" eb="15">
      <t>ゾウカリツ</t>
    </rPh>
    <rPh sb="16" eb="21">
      <t>シスウカンスウテキ</t>
    </rPh>
    <rPh sb="22" eb="24">
      <t>ゾウダイ</t>
    </rPh>
    <phoneticPr fontId="1"/>
  </si>
  <si>
    <t>d</t>
    <phoneticPr fontId="1"/>
  </si>
  <si>
    <t>CO2-T(d)</t>
    <phoneticPr fontId="1"/>
  </si>
  <si>
    <t>季節変動（CO2-T(d) の月別平均値）</t>
    <rPh sb="0" eb="4">
      <t>キセツヘンドウ</t>
    </rPh>
    <rPh sb="15" eb="17">
      <t>ツキベツ</t>
    </rPh>
    <rPh sb="17" eb="20">
      <t>ヘイキンチ</t>
    </rPh>
    <phoneticPr fontId="1"/>
  </si>
  <si>
    <r>
      <t>(CO2-T(d))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 xml:space="preserve"> の平均</t>
    </r>
    <rPh sb="13" eb="15">
      <t>ヘイキン</t>
    </rPh>
    <phoneticPr fontId="1"/>
  </si>
  <si>
    <t>T(d), CO2-T(d), m(d)（H2～J2）の数式を確認して</t>
    <rPh sb="28" eb="30">
      <t>スウシキ</t>
    </rPh>
    <rPh sb="31" eb="33">
      <t>カクニン</t>
    </rPh>
    <phoneticPr fontId="1"/>
  </si>
  <si>
    <t>742行目までコピーする</t>
    <phoneticPr fontId="1"/>
  </si>
  <si>
    <t>季節変動（B14）の数式を確認して25行目までコピーする</t>
    <rPh sb="0" eb="2">
      <t>キセツ</t>
    </rPh>
    <rPh sb="2" eb="4">
      <t>ヘンドウ</t>
    </rPh>
    <rPh sb="10" eb="12">
      <t>スウシキ</t>
    </rPh>
    <rPh sb="13" eb="15">
      <t>カクニン</t>
    </rPh>
    <phoneticPr fontId="1"/>
  </si>
  <si>
    <t>H, J～L列の数式を200か月分（942行目 (2036/12/1) まで）</t>
    <rPh sb="6" eb="7">
      <t>レツ</t>
    </rPh>
    <rPh sb="8" eb="10">
      <t>スウシキ</t>
    </rPh>
    <rPh sb="15" eb="17">
      <t>ゲツブン</t>
    </rPh>
    <rPh sb="21" eb="23">
      <t>ギョウメ</t>
    </rPh>
    <phoneticPr fontId="1"/>
  </si>
  <si>
    <t>コピーする（将来予測）</t>
    <rPh sb="6" eb="10">
      <t>ショウライヨソク</t>
    </rPh>
    <phoneticPr fontId="1"/>
  </si>
  <si>
    <t>※ 2次多項式モデルは，増加率が線形に増加するモデである</t>
    <rPh sb="3" eb="4">
      <t>ジ</t>
    </rPh>
    <rPh sb="4" eb="7">
      <t>タコウシキ</t>
    </rPh>
    <rPh sb="12" eb="15">
      <t>ゾウカリツ</t>
    </rPh>
    <rPh sb="16" eb="18">
      <t>センケイ</t>
    </rPh>
    <rPh sb="19" eb="21">
      <t>ゾウカ</t>
    </rPh>
    <phoneticPr fontId="1"/>
  </si>
  <si>
    <t xml:space="preserve"> = S(1)</t>
  </si>
  <si>
    <t>d, CO2, TS(d)（F, G, L列）で散布図(平滑線)を描く</t>
    <rPh sb="21" eb="22">
      <t>レツ</t>
    </rPh>
    <rPh sb="24" eb="27">
      <t>サンプズ</t>
    </rPh>
    <rPh sb="28" eb="31">
      <t>ヘイカツセン</t>
    </rPh>
    <rPh sb="33" eb="34">
      <t>エガ</t>
    </rPh>
    <phoneticPr fontId="1"/>
  </si>
  <si>
    <t>d, CO2, T(d)（F～H列）で散布図(平滑線)を描く</t>
    <rPh sb="16" eb="17">
      <t>レツ</t>
    </rPh>
    <rPh sb="19" eb="22">
      <t>サンプズ</t>
    </rPh>
    <rPh sb="23" eb="26">
      <t>ヘイカツセン</t>
    </rPh>
    <rPh sb="28" eb="29">
      <t>エガ</t>
    </rPh>
    <phoneticPr fontId="1"/>
  </si>
  <si>
    <t>A13:B26を選択して，散布図(平滑線とマーカー)を描く</t>
    <rPh sb="8" eb="10">
      <t>センタク</t>
    </rPh>
    <rPh sb="13" eb="16">
      <t>サンプズ</t>
    </rPh>
    <rPh sb="17" eb="20">
      <t>ヘイカツセン</t>
    </rPh>
    <rPh sb="27" eb="28">
      <t>エガ</t>
    </rPh>
    <phoneticPr fontId="1"/>
  </si>
  <si>
    <t>d, 残差(I)（F,M列）で集合縦棒グラフを描く</t>
    <rPh sb="3" eb="5">
      <t>ザンサ</t>
    </rPh>
    <rPh sb="12" eb="13">
      <t>レツ</t>
    </rPh>
    <rPh sb="15" eb="17">
      <t>シュウゴウ</t>
    </rPh>
    <rPh sb="17" eb="19">
      <t>タテボウ</t>
    </rPh>
    <rPh sb="23" eb="24">
      <t>エガ</t>
    </rPh>
    <phoneticPr fontId="1"/>
  </si>
  <si>
    <t>742行目までコピーする</t>
    <rPh sb="3" eb="5">
      <t>ギョウメ</t>
    </rPh>
    <phoneticPr fontId="1"/>
  </si>
  <si>
    <t>S(m(d)), TS(d), 残差(I)（K2～M2）の数式を確認して</t>
    <phoneticPr fontId="1"/>
  </si>
  <si>
    <t>「目的セル」をB10に，「目標値」を最小値に，</t>
    <rPh sb="1" eb="3">
      <t>モクテキ</t>
    </rPh>
    <rPh sb="13" eb="16">
      <t>モクヒョウチ</t>
    </rPh>
    <rPh sb="18" eb="21">
      <t>サイショウチ</t>
    </rPh>
    <phoneticPr fontId="1"/>
  </si>
  <si>
    <t>「変数セルの変更」をB6:B8に，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</si>
</sst>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;[Red]\-0.00\ "/>
    <numFmt numFmtId="179" formatCode="0.000000000_ ;[Red]\-0.000000000\ 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NumberFormat="1" applyBorder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0" borderId="0" xfId="0" applyBorder="1">
      <alignment vertical="center"/>
    </xf>
    <xf numFmtId="0" fontId="0" fillId="0" borderId="0" xfId="0" applyNumberFormat="1" applyBorder="1">
      <alignment vertical="center"/>
    </xf>
    <xf numFmtId="0" fontId="3" fillId="0" borderId="0" xfId="0" applyFont="1" applyFill="1" applyBorder="1">
      <alignment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>
      <alignment vertical="center"/>
    </xf>
    <xf numFmtId="0" fontId="3" fillId="0" borderId="13" xfId="0" applyFont="1" applyFill="1" applyBorder="1">
      <alignment vertical="center"/>
    </xf>
    <xf numFmtId="0" fontId="6" fillId="0" borderId="12" xfId="0" applyFont="1" applyFill="1" applyBorder="1">
      <alignment vertical="center"/>
    </xf>
    <xf numFmtId="179" fontId="0" fillId="0" borderId="0" xfId="0" applyNumberFormat="1" applyBorder="1">
      <alignment vertical="center"/>
    </xf>
    <xf numFmtId="179" fontId="0" fillId="0" borderId="9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ED4-D569-4A52-8024-5A101C2AB103}">
  <dimension ref="A1:B742"/>
  <sheetViews>
    <sheetView tabSelected="1" zoomScaleNormal="100" workbookViewId="0"/>
  </sheetViews>
  <sheetFormatPr defaultRowHeight="18.75" x14ac:dyDescent="0.4"/>
  <cols>
    <col min="1" max="1" width="10.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21245</v>
      </c>
      <c r="B2">
        <v>315.7</v>
      </c>
    </row>
    <row r="3" spans="1:2" x14ac:dyDescent="0.4">
      <c r="A3" s="1">
        <v>21276</v>
      </c>
      <c r="B3">
        <v>317.45999999999998</v>
      </c>
    </row>
    <row r="4" spans="1:2" x14ac:dyDescent="0.4">
      <c r="A4" s="1">
        <v>21306</v>
      </c>
      <c r="B4">
        <v>317.51</v>
      </c>
    </row>
    <row r="5" spans="1:2" x14ac:dyDescent="0.4">
      <c r="A5" s="1">
        <v>21367</v>
      </c>
      <c r="B5">
        <v>315.86</v>
      </c>
    </row>
    <row r="6" spans="1:2" x14ac:dyDescent="0.4">
      <c r="A6" s="1">
        <v>21398</v>
      </c>
      <c r="B6">
        <v>314.93</v>
      </c>
    </row>
    <row r="7" spans="1:2" x14ac:dyDescent="0.4">
      <c r="A7" s="1">
        <v>21429</v>
      </c>
      <c r="B7">
        <v>313.20999999999998</v>
      </c>
    </row>
    <row r="8" spans="1:2" x14ac:dyDescent="0.4">
      <c r="A8" s="1">
        <v>21490</v>
      </c>
      <c r="B8">
        <v>313.33</v>
      </c>
    </row>
    <row r="9" spans="1:2" x14ac:dyDescent="0.4">
      <c r="A9" s="1">
        <v>21520</v>
      </c>
      <c r="B9">
        <v>314.67</v>
      </c>
    </row>
    <row r="10" spans="1:2" x14ac:dyDescent="0.4">
      <c r="A10" s="1">
        <v>21551</v>
      </c>
      <c r="B10">
        <v>315.58</v>
      </c>
    </row>
    <row r="11" spans="1:2" x14ac:dyDescent="0.4">
      <c r="A11" s="1">
        <v>21582</v>
      </c>
      <c r="B11">
        <v>316.49</v>
      </c>
    </row>
    <row r="12" spans="1:2" x14ac:dyDescent="0.4">
      <c r="A12" s="1">
        <v>21610</v>
      </c>
      <c r="B12">
        <v>316.64999999999998</v>
      </c>
    </row>
    <row r="13" spans="1:2" x14ac:dyDescent="0.4">
      <c r="A13" s="1">
        <v>21641</v>
      </c>
      <c r="B13">
        <v>317.72000000000003</v>
      </c>
    </row>
    <row r="14" spans="1:2" x14ac:dyDescent="0.4">
      <c r="A14" s="1">
        <v>21671</v>
      </c>
      <c r="B14">
        <v>318.29000000000002</v>
      </c>
    </row>
    <row r="15" spans="1:2" x14ac:dyDescent="0.4">
      <c r="A15" s="1">
        <v>21702</v>
      </c>
      <c r="B15">
        <v>318.14999999999998</v>
      </c>
    </row>
    <row r="16" spans="1:2" x14ac:dyDescent="0.4">
      <c r="A16" s="1">
        <v>21732</v>
      </c>
      <c r="B16">
        <v>316.54000000000002</v>
      </c>
    </row>
    <row r="17" spans="1:2" x14ac:dyDescent="0.4">
      <c r="A17" s="1">
        <v>21763</v>
      </c>
      <c r="B17">
        <v>314.8</v>
      </c>
    </row>
    <row r="18" spans="1:2" x14ac:dyDescent="0.4">
      <c r="A18" s="1">
        <v>21794</v>
      </c>
      <c r="B18">
        <v>313.83999999999997</v>
      </c>
    </row>
    <row r="19" spans="1:2" x14ac:dyDescent="0.4">
      <c r="A19" s="1">
        <v>21824</v>
      </c>
      <c r="B19">
        <v>313.33</v>
      </c>
    </row>
    <row r="20" spans="1:2" x14ac:dyDescent="0.4">
      <c r="A20" s="1">
        <v>21855</v>
      </c>
      <c r="B20">
        <v>314.81</v>
      </c>
    </row>
    <row r="21" spans="1:2" x14ac:dyDescent="0.4">
      <c r="A21" s="1">
        <v>21885</v>
      </c>
      <c r="B21">
        <v>315.58</v>
      </c>
    </row>
    <row r="22" spans="1:2" x14ac:dyDescent="0.4">
      <c r="A22" s="1">
        <v>21916</v>
      </c>
      <c r="B22">
        <v>316.43</v>
      </c>
    </row>
    <row r="23" spans="1:2" x14ac:dyDescent="0.4">
      <c r="A23" s="1">
        <v>21947</v>
      </c>
      <c r="B23">
        <v>316.98</v>
      </c>
    </row>
    <row r="24" spans="1:2" x14ac:dyDescent="0.4">
      <c r="A24" s="1">
        <v>21976</v>
      </c>
      <c r="B24">
        <v>317.58</v>
      </c>
    </row>
    <row r="25" spans="1:2" x14ac:dyDescent="0.4">
      <c r="A25" s="1">
        <v>22007</v>
      </c>
      <c r="B25">
        <v>319.02999999999997</v>
      </c>
    </row>
    <row r="26" spans="1:2" x14ac:dyDescent="0.4">
      <c r="A26" s="1">
        <v>22037</v>
      </c>
      <c r="B26">
        <v>320.04000000000002</v>
      </c>
    </row>
    <row r="27" spans="1:2" x14ac:dyDescent="0.4">
      <c r="A27" s="1">
        <v>22068</v>
      </c>
      <c r="B27">
        <v>319.58</v>
      </c>
    </row>
    <row r="28" spans="1:2" x14ac:dyDescent="0.4">
      <c r="A28" s="1">
        <v>22098</v>
      </c>
      <c r="B28">
        <v>318.18</v>
      </c>
    </row>
    <row r="29" spans="1:2" x14ac:dyDescent="0.4">
      <c r="A29" s="1">
        <v>22129</v>
      </c>
      <c r="B29">
        <v>315.89999999999998</v>
      </c>
    </row>
    <row r="30" spans="1:2" x14ac:dyDescent="0.4">
      <c r="A30" s="1">
        <v>22160</v>
      </c>
      <c r="B30">
        <v>314.17</v>
      </c>
    </row>
    <row r="31" spans="1:2" x14ac:dyDescent="0.4">
      <c r="A31" s="1">
        <v>22190</v>
      </c>
      <c r="B31">
        <v>313.83</v>
      </c>
    </row>
    <row r="32" spans="1:2" x14ac:dyDescent="0.4">
      <c r="A32" s="1">
        <v>22221</v>
      </c>
      <c r="B32">
        <v>315</v>
      </c>
    </row>
    <row r="33" spans="1:2" x14ac:dyDescent="0.4">
      <c r="A33" s="1">
        <v>22251</v>
      </c>
      <c r="B33">
        <v>316.19</v>
      </c>
    </row>
    <row r="34" spans="1:2" x14ac:dyDescent="0.4">
      <c r="A34" s="1">
        <v>22282</v>
      </c>
      <c r="B34">
        <v>316.89999999999998</v>
      </c>
    </row>
    <row r="35" spans="1:2" x14ac:dyDescent="0.4">
      <c r="A35" s="1">
        <v>22313</v>
      </c>
      <c r="B35">
        <v>317.7</v>
      </c>
    </row>
    <row r="36" spans="1:2" x14ac:dyDescent="0.4">
      <c r="A36" s="1">
        <v>22341</v>
      </c>
      <c r="B36">
        <v>318.54000000000002</v>
      </c>
    </row>
    <row r="37" spans="1:2" x14ac:dyDescent="0.4">
      <c r="A37" s="1">
        <v>22372</v>
      </c>
      <c r="B37">
        <v>319.48</v>
      </c>
    </row>
    <row r="38" spans="1:2" x14ac:dyDescent="0.4">
      <c r="A38" s="1">
        <v>22402</v>
      </c>
      <c r="B38">
        <v>320.58</v>
      </c>
    </row>
    <row r="39" spans="1:2" x14ac:dyDescent="0.4">
      <c r="A39" s="1">
        <v>22433</v>
      </c>
      <c r="B39">
        <v>319.77</v>
      </c>
    </row>
    <row r="40" spans="1:2" x14ac:dyDescent="0.4">
      <c r="A40" s="1">
        <v>22463</v>
      </c>
      <c r="B40">
        <v>318.57</v>
      </c>
    </row>
    <row r="41" spans="1:2" x14ac:dyDescent="0.4">
      <c r="A41" s="1">
        <v>22494</v>
      </c>
      <c r="B41">
        <v>316.79000000000002</v>
      </c>
    </row>
    <row r="42" spans="1:2" x14ac:dyDescent="0.4">
      <c r="A42" s="1">
        <v>22525</v>
      </c>
      <c r="B42">
        <v>314.99</v>
      </c>
    </row>
    <row r="43" spans="1:2" x14ac:dyDescent="0.4">
      <c r="A43" s="1">
        <v>22555</v>
      </c>
      <c r="B43">
        <v>315.31</v>
      </c>
    </row>
    <row r="44" spans="1:2" x14ac:dyDescent="0.4">
      <c r="A44" s="1">
        <v>22586</v>
      </c>
      <c r="B44">
        <v>316.10000000000002</v>
      </c>
    </row>
    <row r="45" spans="1:2" x14ac:dyDescent="0.4">
      <c r="A45" s="1">
        <v>22616</v>
      </c>
      <c r="B45">
        <v>317.01</v>
      </c>
    </row>
    <row r="46" spans="1:2" x14ac:dyDescent="0.4">
      <c r="A46" s="1">
        <v>22647</v>
      </c>
      <c r="B46">
        <v>317.94</v>
      </c>
    </row>
    <row r="47" spans="1:2" x14ac:dyDescent="0.4">
      <c r="A47" s="1">
        <v>22678</v>
      </c>
      <c r="B47">
        <v>318.55</v>
      </c>
    </row>
    <row r="48" spans="1:2" x14ac:dyDescent="0.4">
      <c r="A48" s="1">
        <v>22706</v>
      </c>
      <c r="B48">
        <v>319.68</v>
      </c>
    </row>
    <row r="49" spans="1:2" x14ac:dyDescent="0.4">
      <c r="A49" s="1">
        <v>22737</v>
      </c>
      <c r="B49">
        <v>320.57</v>
      </c>
    </row>
    <row r="50" spans="1:2" x14ac:dyDescent="0.4">
      <c r="A50" s="1">
        <v>22767</v>
      </c>
      <c r="B50">
        <v>321.02</v>
      </c>
    </row>
    <row r="51" spans="1:2" x14ac:dyDescent="0.4">
      <c r="A51" s="1">
        <v>22798</v>
      </c>
      <c r="B51">
        <v>320.62</v>
      </c>
    </row>
    <row r="52" spans="1:2" x14ac:dyDescent="0.4">
      <c r="A52" s="1">
        <v>22828</v>
      </c>
      <c r="B52">
        <v>319.61</v>
      </c>
    </row>
    <row r="53" spans="1:2" x14ac:dyDescent="0.4">
      <c r="A53" s="1">
        <v>22859</v>
      </c>
      <c r="B53">
        <v>317.39999999999998</v>
      </c>
    </row>
    <row r="54" spans="1:2" x14ac:dyDescent="0.4">
      <c r="A54" s="1">
        <v>22890</v>
      </c>
      <c r="B54">
        <v>316.25</v>
      </c>
    </row>
    <row r="55" spans="1:2" x14ac:dyDescent="0.4">
      <c r="A55" s="1">
        <v>22920</v>
      </c>
      <c r="B55">
        <v>315.42</v>
      </c>
    </row>
    <row r="56" spans="1:2" x14ac:dyDescent="0.4">
      <c r="A56" s="1">
        <v>22951</v>
      </c>
      <c r="B56">
        <v>316.69</v>
      </c>
    </row>
    <row r="57" spans="1:2" x14ac:dyDescent="0.4">
      <c r="A57" s="1">
        <v>22981</v>
      </c>
      <c r="B57">
        <v>317.7</v>
      </c>
    </row>
    <row r="58" spans="1:2" x14ac:dyDescent="0.4">
      <c r="A58" s="1">
        <v>23012</v>
      </c>
      <c r="B58">
        <v>318.74</v>
      </c>
    </row>
    <row r="59" spans="1:2" x14ac:dyDescent="0.4">
      <c r="A59" s="1">
        <v>23043</v>
      </c>
      <c r="B59">
        <v>319.07</v>
      </c>
    </row>
    <row r="60" spans="1:2" x14ac:dyDescent="0.4">
      <c r="A60" s="1">
        <v>23071</v>
      </c>
      <c r="B60">
        <v>319.86</v>
      </c>
    </row>
    <row r="61" spans="1:2" x14ac:dyDescent="0.4">
      <c r="A61" s="1">
        <v>23102</v>
      </c>
      <c r="B61">
        <v>321.38</v>
      </c>
    </row>
    <row r="62" spans="1:2" x14ac:dyDescent="0.4">
      <c r="A62" s="1">
        <v>23132</v>
      </c>
      <c r="B62">
        <v>322.25</v>
      </c>
    </row>
    <row r="63" spans="1:2" x14ac:dyDescent="0.4">
      <c r="A63" s="1">
        <v>23163</v>
      </c>
      <c r="B63">
        <v>321.48</v>
      </c>
    </row>
    <row r="64" spans="1:2" x14ac:dyDescent="0.4">
      <c r="A64" s="1">
        <v>23193</v>
      </c>
      <c r="B64">
        <v>319.74</v>
      </c>
    </row>
    <row r="65" spans="1:2" x14ac:dyDescent="0.4">
      <c r="A65" s="1">
        <v>23224</v>
      </c>
      <c r="B65">
        <v>317.77</v>
      </c>
    </row>
    <row r="66" spans="1:2" x14ac:dyDescent="0.4">
      <c r="A66" s="1">
        <v>23255</v>
      </c>
      <c r="B66">
        <v>316.20999999999998</v>
      </c>
    </row>
    <row r="67" spans="1:2" x14ac:dyDescent="0.4">
      <c r="A67" s="1">
        <v>23285</v>
      </c>
      <c r="B67">
        <v>315.99</v>
      </c>
    </row>
    <row r="68" spans="1:2" x14ac:dyDescent="0.4">
      <c r="A68" s="1">
        <v>23316</v>
      </c>
      <c r="B68">
        <v>317.07</v>
      </c>
    </row>
    <row r="69" spans="1:2" x14ac:dyDescent="0.4">
      <c r="A69" s="1">
        <v>23346</v>
      </c>
      <c r="B69">
        <v>318.35000000000002</v>
      </c>
    </row>
    <row r="70" spans="1:2" x14ac:dyDescent="0.4">
      <c r="A70" s="1">
        <v>23377</v>
      </c>
      <c r="B70">
        <v>319.57</v>
      </c>
    </row>
    <row r="71" spans="1:2" x14ac:dyDescent="0.4">
      <c r="A71" s="1">
        <v>23498</v>
      </c>
      <c r="B71">
        <v>322.26</v>
      </c>
    </row>
    <row r="72" spans="1:2" x14ac:dyDescent="0.4">
      <c r="A72" s="1">
        <v>23529</v>
      </c>
      <c r="B72">
        <v>321.89</v>
      </c>
    </row>
    <row r="73" spans="1:2" x14ac:dyDescent="0.4">
      <c r="A73" s="1">
        <v>23559</v>
      </c>
      <c r="B73">
        <v>320.44</v>
      </c>
    </row>
    <row r="74" spans="1:2" x14ac:dyDescent="0.4">
      <c r="A74" s="1">
        <v>23590</v>
      </c>
      <c r="B74">
        <v>318.69</v>
      </c>
    </row>
    <row r="75" spans="1:2" x14ac:dyDescent="0.4">
      <c r="A75" s="1">
        <v>23621</v>
      </c>
      <c r="B75">
        <v>316.7</v>
      </c>
    </row>
    <row r="76" spans="1:2" x14ac:dyDescent="0.4">
      <c r="A76" s="1">
        <v>23651</v>
      </c>
      <c r="B76">
        <v>316.87</v>
      </c>
    </row>
    <row r="77" spans="1:2" x14ac:dyDescent="0.4">
      <c r="A77" s="1">
        <v>23682</v>
      </c>
      <c r="B77">
        <v>317.68</v>
      </c>
    </row>
    <row r="78" spans="1:2" x14ac:dyDescent="0.4">
      <c r="A78" s="1">
        <v>23712</v>
      </c>
      <c r="B78">
        <v>318.70999999999998</v>
      </c>
    </row>
    <row r="79" spans="1:2" x14ac:dyDescent="0.4">
      <c r="A79" s="1">
        <v>23743</v>
      </c>
      <c r="B79">
        <v>319.44</v>
      </c>
    </row>
    <row r="80" spans="1:2" x14ac:dyDescent="0.4">
      <c r="A80" s="1">
        <v>23774</v>
      </c>
      <c r="B80">
        <v>320.44</v>
      </c>
    </row>
    <row r="81" spans="1:2" x14ac:dyDescent="0.4">
      <c r="A81" s="1">
        <v>23802</v>
      </c>
      <c r="B81">
        <v>320.89</v>
      </c>
    </row>
    <row r="82" spans="1:2" x14ac:dyDescent="0.4">
      <c r="A82" s="1">
        <v>23833</v>
      </c>
      <c r="B82">
        <v>322.14</v>
      </c>
    </row>
    <row r="83" spans="1:2" x14ac:dyDescent="0.4">
      <c r="A83" s="1">
        <v>23863</v>
      </c>
      <c r="B83">
        <v>322.17</v>
      </c>
    </row>
    <row r="84" spans="1:2" x14ac:dyDescent="0.4">
      <c r="A84" s="1">
        <v>23894</v>
      </c>
      <c r="B84">
        <v>321.87</v>
      </c>
    </row>
    <row r="85" spans="1:2" x14ac:dyDescent="0.4">
      <c r="A85" s="1">
        <v>23924</v>
      </c>
      <c r="B85">
        <v>321.20999999999998</v>
      </c>
    </row>
    <row r="86" spans="1:2" x14ac:dyDescent="0.4">
      <c r="A86" s="1">
        <v>23955</v>
      </c>
      <c r="B86">
        <v>318.87</v>
      </c>
    </row>
    <row r="87" spans="1:2" x14ac:dyDescent="0.4">
      <c r="A87" s="1">
        <v>23986</v>
      </c>
      <c r="B87">
        <v>317.81</v>
      </c>
    </row>
    <row r="88" spans="1:2" x14ac:dyDescent="0.4">
      <c r="A88" s="1">
        <v>24016</v>
      </c>
      <c r="B88">
        <v>317.3</v>
      </c>
    </row>
    <row r="89" spans="1:2" x14ac:dyDescent="0.4">
      <c r="A89" s="1">
        <v>24047</v>
      </c>
      <c r="B89">
        <v>318.87</v>
      </c>
    </row>
    <row r="90" spans="1:2" x14ac:dyDescent="0.4">
      <c r="A90" s="1">
        <v>24077</v>
      </c>
      <c r="B90">
        <v>319.42</v>
      </c>
    </row>
    <row r="91" spans="1:2" x14ac:dyDescent="0.4">
      <c r="A91" s="1">
        <v>24108</v>
      </c>
      <c r="B91">
        <v>320.62</v>
      </c>
    </row>
    <row r="92" spans="1:2" x14ac:dyDescent="0.4">
      <c r="A92" s="1">
        <v>24139</v>
      </c>
      <c r="B92">
        <v>321.60000000000002</v>
      </c>
    </row>
    <row r="93" spans="1:2" x14ac:dyDescent="0.4">
      <c r="A93" s="1">
        <v>24167</v>
      </c>
      <c r="B93">
        <v>322.39</v>
      </c>
    </row>
    <row r="94" spans="1:2" x14ac:dyDescent="0.4">
      <c r="A94" s="1">
        <v>24198</v>
      </c>
      <c r="B94">
        <v>323.7</v>
      </c>
    </row>
    <row r="95" spans="1:2" x14ac:dyDescent="0.4">
      <c r="A95" s="1">
        <v>24228</v>
      </c>
      <c r="B95">
        <v>324.08</v>
      </c>
    </row>
    <row r="96" spans="1:2" x14ac:dyDescent="0.4">
      <c r="A96" s="1">
        <v>24259</v>
      </c>
      <c r="B96">
        <v>323.75</v>
      </c>
    </row>
    <row r="97" spans="1:2" x14ac:dyDescent="0.4">
      <c r="A97" s="1">
        <v>24289</v>
      </c>
      <c r="B97">
        <v>322.38</v>
      </c>
    </row>
    <row r="98" spans="1:2" x14ac:dyDescent="0.4">
      <c r="A98" s="1">
        <v>24320</v>
      </c>
      <c r="B98">
        <v>320.36</v>
      </c>
    </row>
    <row r="99" spans="1:2" x14ac:dyDescent="0.4">
      <c r="A99" s="1">
        <v>24351</v>
      </c>
      <c r="B99">
        <v>318.64</v>
      </c>
    </row>
    <row r="100" spans="1:2" x14ac:dyDescent="0.4">
      <c r="A100" s="1">
        <v>24381</v>
      </c>
      <c r="B100">
        <v>318.10000000000002</v>
      </c>
    </row>
    <row r="101" spans="1:2" x14ac:dyDescent="0.4">
      <c r="A101" s="1">
        <v>24412</v>
      </c>
      <c r="B101">
        <v>319.77999999999997</v>
      </c>
    </row>
    <row r="102" spans="1:2" x14ac:dyDescent="0.4">
      <c r="A102" s="1">
        <v>24442</v>
      </c>
      <c r="B102">
        <v>321.02999999999997</v>
      </c>
    </row>
    <row r="103" spans="1:2" x14ac:dyDescent="0.4">
      <c r="A103" s="1">
        <v>24473</v>
      </c>
      <c r="B103">
        <v>322.33</v>
      </c>
    </row>
    <row r="104" spans="1:2" x14ac:dyDescent="0.4">
      <c r="A104" s="1">
        <v>24504</v>
      </c>
      <c r="B104">
        <v>322.5</v>
      </c>
    </row>
    <row r="105" spans="1:2" x14ac:dyDescent="0.4">
      <c r="A105" s="1">
        <v>24532</v>
      </c>
      <c r="B105">
        <v>323.04000000000002</v>
      </c>
    </row>
    <row r="106" spans="1:2" x14ac:dyDescent="0.4">
      <c r="A106" s="1">
        <v>24563</v>
      </c>
      <c r="B106">
        <v>324.42</v>
      </c>
    </row>
    <row r="107" spans="1:2" x14ac:dyDescent="0.4">
      <c r="A107" s="1">
        <v>24593</v>
      </c>
      <c r="B107">
        <v>325</v>
      </c>
    </row>
    <row r="108" spans="1:2" x14ac:dyDescent="0.4">
      <c r="A108" s="1">
        <v>24624</v>
      </c>
      <c r="B108">
        <v>324.08999999999997</v>
      </c>
    </row>
    <row r="109" spans="1:2" x14ac:dyDescent="0.4">
      <c r="A109" s="1">
        <v>24654</v>
      </c>
      <c r="B109">
        <v>322.54000000000002</v>
      </c>
    </row>
    <row r="110" spans="1:2" x14ac:dyDescent="0.4">
      <c r="A110" s="1">
        <v>24685</v>
      </c>
      <c r="B110">
        <v>320.92</v>
      </c>
    </row>
    <row r="111" spans="1:2" x14ac:dyDescent="0.4">
      <c r="A111" s="1">
        <v>24716</v>
      </c>
      <c r="B111">
        <v>319.25</v>
      </c>
    </row>
    <row r="112" spans="1:2" x14ac:dyDescent="0.4">
      <c r="A112" s="1">
        <v>24746</v>
      </c>
      <c r="B112">
        <v>319.39</v>
      </c>
    </row>
    <row r="113" spans="1:2" x14ac:dyDescent="0.4">
      <c r="A113" s="1">
        <v>24777</v>
      </c>
      <c r="B113">
        <v>320.73</v>
      </c>
    </row>
    <row r="114" spans="1:2" x14ac:dyDescent="0.4">
      <c r="A114" s="1">
        <v>24807</v>
      </c>
      <c r="B114">
        <v>321.95999999999998</v>
      </c>
    </row>
    <row r="115" spans="1:2" x14ac:dyDescent="0.4">
      <c r="A115" s="1">
        <v>24838</v>
      </c>
      <c r="B115">
        <v>322.57</v>
      </c>
    </row>
    <row r="116" spans="1:2" x14ac:dyDescent="0.4">
      <c r="A116" s="1">
        <v>24869</v>
      </c>
      <c r="B116">
        <v>323.14999999999998</v>
      </c>
    </row>
    <row r="117" spans="1:2" x14ac:dyDescent="0.4">
      <c r="A117" s="1">
        <v>24898</v>
      </c>
      <c r="B117">
        <v>323.89</v>
      </c>
    </row>
    <row r="118" spans="1:2" x14ac:dyDescent="0.4">
      <c r="A118" s="1">
        <v>24929</v>
      </c>
      <c r="B118">
        <v>325.02</v>
      </c>
    </row>
    <row r="119" spans="1:2" x14ac:dyDescent="0.4">
      <c r="A119" s="1">
        <v>24959</v>
      </c>
      <c r="B119">
        <v>325.57</v>
      </c>
    </row>
    <row r="120" spans="1:2" x14ac:dyDescent="0.4">
      <c r="A120" s="1">
        <v>24990</v>
      </c>
      <c r="B120">
        <v>325.36</v>
      </c>
    </row>
    <row r="121" spans="1:2" x14ac:dyDescent="0.4">
      <c r="A121" s="1">
        <v>25020</v>
      </c>
      <c r="B121">
        <v>324.14</v>
      </c>
    </row>
    <row r="122" spans="1:2" x14ac:dyDescent="0.4">
      <c r="A122" s="1">
        <v>25051</v>
      </c>
      <c r="B122">
        <v>322.11</v>
      </c>
    </row>
    <row r="123" spans="1:2" x14ac:dyDescent="0.4">
      <c r="A123" s="1">
        <v>25082</v>
      </c>
      <c r="B123">
        <v>320.33</v>
      </c>
    </row>
    <row r="124" spans="1:2" x14ac:dyDescent="0.4">
      <c r="A124" s="1">
        <v>25112</v>
      </c>
      <c r="B124">
        <v>320.25</v>
      </c>
    </row>
    <row r="125" spans="1:2" x14ac:dyDescent="0.4">
      <c r="A125" s="1">
        <v>25143</v>
      </c>
      <c r="B125">
        <v>321.32</v>
      </c>
    </row>
    <row r="126" spans="1:2" x14ac:dyDescent="0.4">
      <c r="A126" s="1">
        <v>25173</v>
      </c>
      <c r="B126">
        <v>322.89</v>
      </c>
    </row>
    <row r="127" spans="1:2" x14ac:dyDescent="0.4">
      <c r="A127" s="1">
        <v>25204</v>
      </c>
      <c r="B127">
        <v>324</v>
      </c>
    </row>
    <row r="128" spans="1:2" x14ac:dyDescent="0.4">
      <c r="A128" s="1">
        <v>25235</v>
      </c>
      <c r="B128">
        <v>324.41000000000003</v>
      </c>
    </row>
    <row r="129" spans="1:2" x14ac:dyDescent="0.4">
      <c r="A129" s="1">
        <v>25263</v>
      </c>
      <c r="B129">
        <v>325.63</v>
      </c>
    </row>
    <row r="130" spans="1:2" x14ac:dyDescent="0.4">
      <c r="A130" s="1">
        <v>25294</v>
      </c>
      <c r="B130">
        <v>326.66000000000003</v>
      </c>
    </row>
    <row r="131" spans="1:2" x14ac:dyDescent="0.4">
      <c r="A131" s="1">
        <v>25324</v>
      </c>
      <c r="B131">
        <v>327.38</v>
      </c>
    </row>
    <row r="132" spans="1:2" x14ac:dyDescent="0.4">
      <c r="A132" s="1">
        <v>25355</v>
      </c>
      <c r="B132">
        <v>326.70999999999998</v>
      </c>
    </row>
    <row r="133" spans="1:2" x14ac:dyDescent="0.4">
      <c r="A133" s="1">
        <v>25385</v>
      </c>
      <c r="B133">
        <v>325.88</v>
      </c>
    </row>
    <row r="134" spans="1:2" x14ac:dyDescent="0.4">
      <c r="A134" s="1">
        <v>25416</v>
      </c>
      <c r="B134">
        <v>323.66000000000003</v>
      </c>
    </row>
    <row r="135" spans="1:2" x14ac:dyDescent="0.4">
      <c r="A135" s="1">
        <v>25447</v>
      </c>
      <c r="B135">
        <v>322.38</v>
      </c>
    </row>
    <row r="136" spans="1:2" x14ac:dyDescent="0.4">
      <c r="A136" s="1">
        <v>25477</v>
      </c>
      <c r="B136">
        <v>321.77999999999997</v>
      </c>
    </row>
    <row r="137" spans="1:2" x14ac:dyDescent="0.4">
      <c r="A137" s="1">
        <v>25508</v>
      </c>
      <c r="B137">
        <v>322.85000000000002</v>
      </c>
    </row>
    <row r="138" spans="1:2" x14ac:dyDescent="0.4">
      <c r="A138" s="1">
        <v>25538</v>
      </c>
      <c r="B138">
        <v>324.12</v>
      </c>
    </row>
    <row r="139" spans="1:2" x14ac:dyDescent="0.4">
      <c r="A139" s="1">
        <v>25569</v>
      </c>
      <c r="B139">
        <v>325.06</v>
      </c>
    </row>
    <row r="140" spans="1:2" x14ac:dyDescent="0.4">
      <c r="A140" s="1">
        <v>25600</v>
      </c>
      <c r="B140">
        <v>325.98</v>
      </c>
    </row>
    <row r="141" spans="1:2" x14ac:dyDescent="0.4">
      <c r="A141" s="1">
        <v>25628</v>
      </c>
      <c r="B141">
        <v>326.93</v>
      </c>
    </row>
    <row r="142" spans="1:2" x14ac:dyDescent="0.4">
      <c r="A142" s="1">
        <v>25659</v>
      </c>
      <c r="B142">
        <v>328.13</v>
      </c>
    </row>
    <row r="143" spans="1:2" x14ac:dyDescent="0.4">
      <c r="A143" s="1">
        <v>25689</v>
      </c>
      <c r="B143">
        <v>328.08</v>
      </c>
    </row>
    <row r="144" spans="1:2" x14ac:dyDescent="0.4">
      <c r="A144" s="1">
        <v>25720</v>
      </c>
      <c r="B144">
        <v>327.67</v>
      </c>
    </row>
    <row r="145" spans="1:2" x14ac:dyDescent="0.4">
      <c r="A145" s="1">
        <v>25750</v>
      </c>
      <c r="B145">
        <v>326.33999999999997</v>
      </c>
    </row>
    <row r="146" spans="1:2" x14ac:dyDescent="0.4">
      <c r="A146" s="1">
        <v>25781</v>
      </c>
      <c r="B146">
        <v>324.69</v>
      </c>
    </row>
    <row r="147" spans="1:2" x14ac:dyDescent="0.4">
      <c r="A147" s="1">
        <v>25812</v>
      </c>
      <c r="B147">
        <v>323.10000000000002</v>
      </c>
    </row>
    <row r="148" spans="1:2" x14ac:dyDescent="0.4">
      <c r="A148" s="1">
        <v>25842</v>
      </c>
      <c r="B148">
        <v>323.06</v>
      </c>
    </row>
    <row r="149" spans="1:2" x14ac:dyDescent="0.4">
      <c r="A149" s="1">
        <v>25873</v>
      </c>
      <c r="B149">
        <v>324.01</v>
      </c>
    </row>
    <row r="150" spans="1:2" x14ac:dyDescent="0.4">
      <c r="A150" s="1">
        <v>25903</v>
      </c>
      <c r="B150">
        <v>325.13</v>
      </c>
    </row>
    <row r="151" spans="1:2" x14ac:dyDescent="0.4">
      <c r="A151" s="1">
        <v>25934</v>
      </c>
      <c r="B151">
        <v>326.17</v>
      </c>
    </row>
    <row r="152" spans="1:2" x14ac:dyDescent="0.4">
      <c r="A152" s="1">
        <v>25965</v>
      </c>
      <c r="B152">
        <v>326.68</v>
      </c>
    </row>
    <row r="153" spans="1:2" x14ac:dyDescent="0.4">
      <c r="A153" s="1">
        <v>25993</v>
      </c>
      <c r="B153">
        <v>327.17</v>
      </c>
    </row>
    <row r="154" spans="1:2" x14ac:dyDescent="0.4">
      <c r="A154" s="1">
        <v>26024</v>
      </c>
      <c r="B154">
        <v>327.79</v>
      </c>
    </row>
    <row r="155" spans="1:2" x14ac:dyDescent="0.4">
      <c r="A155" s="1">
        <v>26054</v>
      </c>
      <c r="B155">
        <v>328.93</v>
      </c>
    </row>
    <row r="156" spans="1:2" x14ac:dyDescent="0.4">
      <c r="A156" s="1">
        <v>26085</v>
      </c>
      <c r="B156">
        <v>328.57</v>
      </c>
    </row>
    <row r="157" spans="1:2" x14ac:dyDescent="0.4">
      <c r="A157" s="1">
        <v>26115</v>
      </c>
      <c r="B157">
        <v>327.36</v>
      </c>
    </row>
    <row r="158" spans="1:2" x14ac:dyDescent="0.4">
      <c r="A158" s="1">
        <v>26146</v>
      </c>
      <c r="B158">
        <v>325.43</v>
      </c>
    </row>
    <row r="159" spans="1:2" x14ac:dyDescent="0.4">
      <c r="A159" s="1">
        <v>26177</v>
      </c>
      <c r="B159">
        <v>323.36</v>
      </c>
    </row>
    <row r="160" spans="1:2" x14ac:dyDescent="0.4">
      <c r="A160" s="1">
        <v>26207</v>
      </c>
      <c r="B160">
        <v>323.56</v>
      </c>
    </row>
    <row r="161" spans="1:2" x14ac:dyDescent="0.4">
      <c r="A161" s="1">
        <v>26238</v>
      </c>
      <c r="B161">
        <v>324.8</v>
      </c>
    </row>
    <row r="162" spans="1:2" x14ac:dyDescent="0.4">
      <c r="A162" s="1">
        <v>26268</v>
      </c>
      <c r="B162">
        <v>326.01</v>
      </c>
    </row>
    <row r="163" spans="1:2" x14ac:dyDescent="0.4">
      <c r="A163" s="1">
        <v>26299</v>
      </c>
      <c r="B163">
        <v>326.77</v>
      </c>
    </row>
    <row r="164" spans="1:2" x14ac:dyDescent="0.4">
      <c r="A164" s="1">
        <v>26330</v>
      </c>
      <c r="B164">
        <v>327.63</v>
      </c>
    </row>
    <row r="165" spans="1:2" x14ac:dyDescent="0.4">
      <c r="A165" s="1">
        <v>26359</v>
      </c>
      <c r="B165">
        <v>327.75</v>
      </c>
    </row>
    <row r="166" spans="1:2" x14ac:dyDescent="0.4">
      <c r="A166" s="1">
        <v>26390</v>
      </c>
      <c r="B166">
        <v>329.72</v>
      </c>
    </row>
    <row r="167" spans="1:2" x14ac:dyDescent="0.4">
      <c r="A167" s="1">
        <v>26420</v>
      </c>
      <c r="B167">
        <v>330.07</v>
      </c>
    </row>
    <row r="168" spans="1:2" x14ac:dyDescent="0.4">
      <c r="A168" s="1">
        <v>26451</v>
      </c>
      <c r="B168">
        <v>329.09</v>
      </c>
    </row>
    <row r="169" spans="1:2" x14ac:dyDescent="0.4">
      <c r="A169" s="1">
        <v>26481</v>
      </c>
      <c r="B169">
        <v>328.04</v>
      </c>
    </row>
    <row r="170" spans="1:2" x14ac:dyDescent="0.4">
      <c r="A170" s="1">
        <v>26512</v>
      </c>
      <c r="B170">
        <v>326.32</v>
      </c>
    </row>
    <row r="171" spans="1:2" x14ac:dyDescent="0.4">
      <c r="A171" s="1">
        <v>26543</v>
      </c>
      <c r="B171">
        <v>324.83999999999997</v>
      </c>
    </row>
    <row r="172" spans="1:2" x14ac:dyDescent="0.4">
      <c r="A172" s="1">
        <v>26573</v>
      </c>
      <c r="B172">
        <v>325.2</v>
      </c>
    </row>
    <row r="173" spans="1:2" x14ac:dyDescent="0.4">
      <c r="A173" s="1">
        <v>26604</v>
      </c>
      <c r="B173">
        <v>326.5</v>
      </c>
    </row>
    <row r="174" spans="1:2" x14ac:dyDescent="0.4">
      <c r="A174" s="1">
        <v>26634</v>
      </c>
      <c r="B174">
        <v>327.55</v>
      </c>
    </row>
    <row r="175" spans="1:2" x14ac:dyDescent="0.4">
      <c r="A175" s="1">
        <v>26665</v>
      </c>
      <c r="B175">
        <v>328.55</v>
      </c>
    </row>
    <row r="176" spans="1:2" x14ac:dyDescent="0.4">
      <c r="A176" s="1">
        <v>26696</v>
      </c>
      <c r="B176">
        <v>329.56</v>
      </c>
    </row>
    <row r="177" spans="1:2" x14ac:dyDescent="0.4">
      <c r="A177" s="1">
        <v>26724</v>
      </c>
      <c r="B177">
        <v>330.3</v>
      </c>
    </row>
    <row r="178" spans="1:2" x14ac:dyDescent="0.4">
      <c r="A178" s="1">
        <v>26755</v>
      </c>
      <c r="B178">
        <v>331.5</v>
      </c>
    </row>
    <row r="179" spans="1:2" x14ac:dyDescent="0.4">
      <c r="A179" s="1">
        <v>26785</v>
      </c>
      <c r="B179">
        <v>332.48</v>
      </c>
    </row>
    <row r="180" spans="1:2" x14ac:dyDescent="0.4">
      <c r="A180" s="1">
        <v>26816</v>
      </c>
      <c r="B180">
        <v>332.07</v>
      </c>
    </row>
    <row r="181" spans="1:2" x14ac:dyDescent="0.4">
      <c r="A181" s="1">
        <v>26846</v>
      </c>
      <c r="B181">
        <v>330.87</v>
      </c>
    </row>
    <row r="182" spans="1:2" x14ac:dyDescent="0.4">
      <c r="A182" s="1">
        <v>26877</v>
      </c>
      <c r="B182">
        <v>329.31</v>
      </c>
    </row>
    <row r="183" spans="1:2" x14ac:dyDescent="0.4">
      <c r="A183" s="1">
        <v>26908</v>
      </c>
      <c r="B183">
        <v>327.51</v>
      </c>
    </row>
    <row r="184" spans="1:2" x14ac:dyDescent="0.4">
      <c r="A184" s="1">
        <v>26938</v>
      </c>
      <c r="B184">
        <v>327.18</v>
      </c>
    </row>
    <row r="185" spans="1:2" x14ac:dyDescent="0.4">
      <c r="A185" s="1">
        <v>26969</v>
      </c>
      <c r="B185">
        <v>328.16</v>
      </c>
    </row>
    <row r="186" spans="1:2" x14ac:dyDescent="0.4">
      <c r="A186" s="1">
        <v>26999</v>
      </c>
      <c r="B186">
        <v>328.64</v>
      </c>
    </row>
    <row r="187" spans="1:2" x14ac:dyDescent="0.4">
      <c r="A187" s="1">
        <v>27030</v>
      </c>
      <c r="B187">
        <v>329.35</v>
      </c>
    </row>
    <row r="188" spans="1:2" x14ac:dyDescent="0.4">
      <c r="A188" s="1">
        <v>27061</v>
      </c>
      <c r="B188">
        <v>330.71</v>
      </c>
    </row>
    <row r="189" spans="1:2" x14ac:dyDescent="0.4">
      <c r="A189" s="1">
        <v>27089</v>
      </c>
      <c r="B189">
        <v>331.48</v>
      </c>
    </row>
    <row r="190" spans="1:2" x14ac:dyDescent="0.4">
      <c r="A190" s="1">
        <v>27120</v>
      </c>
      <c r="B190">
        <v>332.65</v>
      </c>
    </row>
    <row r="191" spans="1:2" x14ac:dyDescent="0.4">
      <c r="A191" s="1">
        <v>27150</v>
      </c>
      <c r="B191">
        <v>333.09</v>
      </c>
    </row>
    <row r="192" spans="1:2" x14ac:dyDescent="0.4">
      <c r="A192" s="1">
        <v>27181</v>
      </c>
      <c r="B192">
        <v>332.25</v>
      </c>
    </row>
    <row r="193" spans="1:2" x14ac:dyDescent="0.4">
      <c r="A193" s="1">
        <v>27211</v>
      </c>
      <c r="B193">
        <v>331.18</v>
      </c>
    </row>
    <row r="194" spans="1:2" x14ac:dyDescent="0.4">
      <c r="A194" s="1">
        <v>27242</v>
      </c>
      <c r="B194">
        <v>329.39</v>
      </c>
    </row>
    <row r="195" spans="1:2" x14ac:dyDescent="0.4">
      <c r="A195" s="1">
        <v>27273</v>
      </c>
      <c r="B195">
        <v>327.43</v>
      </c>
    </row>
    <row r="196" spans="1:2" x14ac:dyDescent="0.4">
      <c r="A196" s="1">
        <v>27303</v>
      </c>
      <c r="B196">
        <v>327.37</v>
      </c>
    </row>
    <row r="197" spans="1:2" x14ac:dyDescent="0.4">
      <c r="A197" s="1">
        <v>27334</v>
      </c>
      <c r="B197">
        <v>328.46</v>
      </c>
    </row>
    <row r="198" spans="1:2" x14ac:dyDescent="0.4">
      <c r="A198" s="1">
        <v>27364</v>
      </c>
      <c r="B198">
        <v>329.57</v>
      </c>
    </row>
    <row r="199" spans="1:2" x14ac:dyDescent="0.4">
      <c r="A199" s="1">
        <v>27395</v>
      </c>
      <c r="B199">
        <v>330.4</v>
      </c>
    </row>
    <row r="200" spans="1:2" x14ac:dyDescent="0.4">
      <c r="A200" s="1">
        <v>27426</v>
      </c>
      <c r="B200">
        <v>331.4</v>
      </c>
    </row>
    <row r="201" spans="1:2" x14ac:dyDescent="0.4">
      <c r="A201" s="1">
        <v>27454</v>
      </c>
      <c r="B201">
        <v>332.04</v>
      </c>
    </row>
    <row r="202" spans="1:2" x14ac:dyDescent="0.4">
      <c r="A202" s="1">
        <v>27485</v>
      </c>
      <c r="B202">
        <v>333.31</v>
      </c>
    </row>
    <row r="203" spans="1:2" x14ac:dyDescent="0.4">
      <c r="A203" s="1">
        <v>27515</v>
      </c>
      <c r="B203">
        <v>333.97</v>
      </c>
    </row>
    <row r="204" spans="1:2" x14ac:dyDescent="0.4">
      <c r="A204" s="1">
        <v>27546</v>
      </c>
      <c r="B204">
        <v>333.6</v>
      </c>
    </row>
    <row r="205" spans="1:2" x14ac:dyDescent="0.4">
      <c r="A205" s="1">
        <v>27576</v>
      </c>
      <c r="B205">
        <v>331.9</v>
      </c>
    </row>
    <row r="206" spans="1:2" x14ac:dyDescent="0.4">
      <c r="A206" s="1">
        <v>27607</v>
      </c>
      <c r="B206">
        <v>330.06</v>
      </c>
    </row>
    <row r="207" spans="1:2" x14ac:dyDescent="0.4">
      <c r="A207" s="1">
        <v>27638</v>
      </c>
      <c r="B207">
        <v>328.56</v>
      </c>
    </row>
    <row r="208" spans="1:2" x14ac:dyDescent="0.4">
      <c r="A208" s="1">
        <v>27668</v>
      </c>
      <c r="B208">
        <v>328.34</v>
      </c>
    </row>
    <row r="209" spans="1:2" x14ac:dyDescent="0.4">
      <c r="A209" s="1">
        <v>27699</v>
      </c>
      <c r="B209">
        <v>329.49</v>
      </c>
    </row>
    <row r="210" spans="1:2" x14ac:dyDescent="0.4">
      <c r="A210" s="1">
        <v>27729</v>
      </c>
      <c r="B210">
        <v>330.76</v>
      </c>
    </row>
    <row r="211" spans="1:2" x14ac:dyDescent="0.4">
      <c r="A211" s="1">
        <v>27760</v>
      </c>
      <c r="B211">
        <v>331.75</v>
      </c>
    </row>
    <row r="212" spans="1:2" x14ac:dyDescent="0.4">
      <c r="A212" s="1">
        <v>27791</v>
      </c>
      <c r="B212">
        <v>332.57</v>
      </c>
    </row>
    <row r="213" spans="1:2" x14ac:dyDescent="0.4">
      <c r="A213" s="1">
        <v>27820</v>
      </c>
      <c r="B213">
        <v>333.5</v>
      </c>
    </row>
    <row r="214" spans="1:2" x14ac:dyDescent="0.4">
      <c r="A214" s="1">
        <v>27851</v>
      </c>
      <c r="B214">
        <v>334.58</v>
      </c>
    </row>
    <row r="215" spans="1:2" x14ac:dyDescent="0.4">
      <c r="A215" s="1">
        <v>27881</v>
      </c>
      <c r="B215">
        <v>334.88</v>
      </c>
    </row>
    <row r="216" spans="1:2" x14ac:dyDescent="0.4">
      <c r="A216" s="1">
        <v>27912</v>
      </c>
      <c r="B216">
        <v>334.33</v>
      </c>
    </row>
    <row r="217" spans="1:2" x14ac:dyDescent="0.4">
      <c r="A217" s="1">
        <v>27942</v>
      </c>
      <c r="B217">
        <v>333.05</v>
      </c>
    </row>
    <row r="218" spans="1:2" x14ac:dyDescent="0.4">
      <c r="A218" s="1">
        <v>27973</v>
      </c>
      <c r="B218">
        <v>330.94</v>
      </c>
    </row>
    <row r="219" spans="1:2" x14ac:dyDescent="0.4">
      <c r="A219" s="1">
        <v>28004</v>
      </c>
      <c r="B219">
        <v>329.3</v>
      </c>
    </row>
    <row r="220" spans="1:2" x14ac:dyDescent="0.4">
      <c r="A220" s="1">
        <v>28034</v>
      </c>
      <c r="B220">
        <v>328.94</v>
      </c>
    </row>
    <row r="221" spans="1:2" x14ac:dyDescent="0.4">
      <c r="A221" s="1">
        <v>28065</v>
      </c>
      <c r="B221">
        <v>330.31</v>
      </c>
    </row>
    <row r="222" spans="1:2" x14ac:dyDescent="0.4">
      <c r="A222" s="1">
        <v>28095</v>
      </c>
      <c r="B222">
        <v>331.68</v>
      </c>
    </row>
    <row r="223" spans="1:2" x14ac:dyDescent="0.4">
      <c r="A223" s="1">
        <v>28126</v>
      </c>
      <c r="B223">
        <v>332.93</v>
      </c>
    </row>
    <row r="224" spans="1:2" x14ac:dyDescent="0.4">
      <c r="A224" s="1">
        <v>28157</v>
      </c>
      <c r="B224">
        <v>333.42</v>
      </c>
    </row>
    <row r="225" spans="1:2" x14ac:dyDescent="0.4">
      <c r="A225" s="1">
        <v>28185</v>
      </c>
      <c r="B225">
        <v>334.7</v>
      </c>
    </row>
    <row r="226" spans="1:2" x14ac:dyDescent="0.4">
      <c r="A226" s="1">
        <v>28216</v>
      </c>
      <c r="B226">
        <v>336.07</v>
      </c>
    </row>
    <row r="227" spans="1:2" x14ac:dyDescent="0.4">
      <c r="A227" s="1">
        <v>28246</v>
      </c>
      <c r="B227">
        <v>336.75</v>
      </c>
    </row>
    <row r="228" spans="1:2" x14ac:dyDescent="0.4">
      <c r="A228" s="1">
        <v>28277</v>
      </c>
      <c r="B228">
        <v>336.27</v>
      </c>
    </row>
    <row r="229" spans="1:2" x14ac:dyDescent="0.4">
      <c r="A229" s="1">
        <v>28307</v>
      </c>
      <c r="B229">
        <v>334.92</v>
      </c>
    </row>
    <row r="230" spans="1:2" x14ac:dyDescent="0.4">
      <c r="A230" s="1">
        <v>28338</v>
      </c>
      <c r="B230">
        <v>332.75</v>
      </c>
    </row>
    <row r="231" spans="1:2" x14ac:dyDescent="0.4">
      <c r="A231" s="1">
        <v>28369</v>
      </c>
      <c r="B231">
        <v>331.59</v>
      </c>
    </row>
    <row r="232" spans="1:2" x14ac:dyDescent="0.4">
      <c r="A232" s="1">
        <v>28399</v>
      </c>
      <c r="B232">
        <v>331.16</v>
      </c>
    </row>
    <row r="233" spans="1:2" x14ac:dyDescent="0.4">
      <c r="A233" s="1">
        <v>28430</v>
      </c>
      <c r="B233">
        <v>332.4</v>
      </c>
    </row>
    <row r="234" spans="1:2" x14ac:dyDescent="0.4">
      <c r="A234" s="1">
        <v>28460</v>
      </c>
      <c r="B234">
        <v>333.85</v>
      </c>
    </row>
    <row r="235" spans="1:2" x14ac:dyDescent="0.4">
      <c r="A235" s="1">
        <v>28491</v>
      </c>
      <c r="B235">
        <v>334.97</v>
      </c>
    </row>
    <row r="236" spans="1:2" x14ac:dyDescent="0.4">
      <c r="A236" s="1">
        <v>28522</v>
      </c>
      <c r="B236">
        <v>335.39</v>
      </c>
    </row>
    <row r="237" spans="1:2" x14ac:dyDescent="0.4">
      <c r="A237" s="1">
        <v>28550</v>
      </c>
      <c r="B237">
        <v>336.64</v>
      </c>
    </row>
    <row r="238" spans="1:2" x14ac:dyDescent="0.4">
      <c r="A238" s="1">
        <v>28581</v>
      </c>
      <c r="B238">
        <v>337.76</v>
      </c>
    </row>
    <row r="239" spans="1:2" x14ac:dyDescent="0.4">
      <c r="A239" s="1">
        <v>28611</v>
      </c>
      <c r="B239">
        <v>338.01</v>
      </c>
    </row>
    <row r="240" spans="1:2" x14ac:dyDescent="0.4">
      <c r="A240" s="1">
        <v>28642</v>
      </c>
      <c r="B240">
        <v>337.9</v>
      </c>
    </row>
    <row r="241" spans="1:2" x14ac:dyDescent="0.4">
      <c r="A241" s="1">
        <v>28672</v>
      </c>
      <c r="B241">
        <v>336.54</v>
      </c>
    </row>
    <row r="242" spans="1:2" x14ac:dyDescent="0.4">
      <c r="A242" s="1">
        <v>28703</v>
      </c>
      <c r="B242">
        <v>334.68</v>
      </c>
    </row>
    <row r="243" spans="1:2" x14ac:dyDescent="0.4">
      <c r="A243" s="1">
        <v>28734</v>
      </c>
      <c r="B243">
        <v>332.76</v>
      </c>
    </row>
    <row r="244" spans="1:2" x14ac:dyDescent="0.4">
      <c r="A244" s="1">
        <v>28764</v>
      </c>
      <c r="B244">
        <v>332.55</v>
      </c>
    </row>
    <row r="245" spans="1:2" x14ac:dyDescent="0.4">
      <c r="A245" s="1">
        <v>28795</v>
      </c>
      <c r="B245">
        <v>333.92</v>
      </c>
    </row>
    <row r="246" spans="1:2" x14ac:dyDescent="0.4">
      <c r="A246" s="1">
        <v>28825</v>
      </c>
      <c r="B246">
        <v>334.95</v>
      </c>
    </row>
    <row r="247" spans="1:2" x14ac:dyDescent="0.4">
      <c r="A247" s="1">
        <v>28856</v>
      </c>
      <c r="B247">
        <v>336.23</v>
      </c>
    </row>
    <row r="248" spans="1:2" x14ac:dyDescent="0.4">
      <c r="A248" s="1">
        <v>28887</v>
      </c>
      <c r="B248">
        <v>336.76</v>
      </c>
    </row>
    <row r="249" spans="1:2" x14ac:dyDescent="0.4">
      <c r="A249" s="1">
        <v>28915</v>
      </c>
      <c r="B249">
        <v>337.96</v>
      </c>
    </row>
    <row r="250" spans="1:2" x14ac:dyDescent="0.4">
      <c r="A250" s="1">
        <v>28946</v>
      </c>
      <c r="B250">
        <v>338.88</v>
      </c>
    </row>
    <row r="251" spans="1:2" x14ac:dyDescent="0.4">
      <c r="A251" s="1">
        <v>28976</v>
      </c>
      <c r="B251">
        <v>339.47</v>
      </c>
    </row>
    <row r="252" spans="1:2" x14ac:dyDescent="0.4">
      <c r="A252" s="1">
        <v>29007</v>
      </c>
      <c r="B252">
        <v>339.29</v>
      </c>
    </row>
    <row r="253" spans="1:2" x14ac:dyDescent="0.4">
      <c r="A253" s="1">
        <v>29037</v>
      </c>
      <c r="B253">
        <v>337.73</v>
      </c>
    </row>
    <row r="254" spans="1:2" x14ac:dyDescent="0.4">
      <c r="A254" s="1">
        <v>29068</v>
      </c>
      <c r="B254">
        <v>336.09</v>
      </c>
    </row>
    <row r="255" spans="1:2" x14ac:dyDescent="0.4">
      <c r="A255" s="1">
        <v>29099</v>
      </c>
      <c r="B255">
        <v>333.92</v>
      </c>
    </row>
    <row r="256" spans="1:2" x14ac:dyDescent="0.4">
      <c r="A256" s="1">
        <v>29129</v>
      </c>
      <c r="B256">
        <v>333.86</v>
      </c>
    </row>
    <row r="257" spans="1:2" x14ac:dyDescent="0.4">
      <c r="A257" s="1">
        <v>29160</v>
      </c>
      <c r="B257">
        <v>335.29</v>
      </c>
    </row>
    <row r="258" spans="1:2" x14ac:dyDescent="0.4">
      <c r="A258" s="1">
        <v>29190</v>
      </c>
      <c r="B258">
        <v>336.73</v>
      </c>
    </row>
    <row r="259" spans="1:2" x14ac:dyDescent="0.4">
      <c r="A259" s="1">
        <v>29221</v>
      </c>
      <c r="B259">
        <v>338.01</v>
      </c>
    </row>
    <row r="260" spans="1:2" x14ac:dyDescent="0.4">
      <c r="A260" s="1">
        <v>29252</v>
      </c>
      <c r="B260">
        <v>338.36</v>
      </c>
    </row>
    <row r="261" spans="1:2" x14ac:dyDescent="0.4">
      <c r="A261" s="1">
        <v>29281</v>
      </c>
      <c r="B261">
        <v>340.07</v>
      </c>
    </row>
    <row r="262" spans="1:2" x14ac:dyDescent="0.4">
      <c r="A262" s="1">
        <v>29312</v>
      </c>
      <c r="B262">
        <v>340.76</v>
      </c>
    </row>
    <row r="263" spans="1:2" x14ac:dyDescent="0.4">
      <c r="A263" s="1">
        <v>29342</v>
      </c>
      <c r="B263">
        <v>341.47</v>
      </c>
    </row>
    <row r="264" spans="1:2" x14ac:dyDescent="0.4">
      <c r="A264" s="1">
        <v>29373</v>
      </c>
      <c r="B264">
        <v>341.17</v>
      </c>
    </row>
    <row r="265" spans="1:2" x14ac:dyDescent="0.4">
      <c r="A265" s="1">
        <v>29403</v>
      </c>
      <c r="B265">
        <v>339.56</v>
      </c>
    </row>
    <row r="266" spans="1:2" x14ac:dyDescent="0.4">
      <c r="A266" s="1">
        <v>29434</v>
      </c>
      <c r="B266">
        <v>337.6</v>
      </c>
    </row>
    <row r="267" spans="1:2" x14ac:dyDescent="0.4">
      <c r="A267" s="1">
        <v>29465</v>
      </c>
      <c r="B267">
        <v>335.88</v>
      </c>
    </row>
    <row r="268" spans="1:2" x14ac:dyDescent="0.4">
      <c r="A268" s="1">
        <v>29495</v>
      </c>
      <c r="B268">
        <v>336.02</v>
      </c>
    </row>
    <row r="269" spans="1:2" x14ac:dyDescent="0.4">
      <c r="A269" s="1">
        <v>29526</v>
      </c>
      <c r="B269">
        <v>337.1</v>
      </c>
    </row>
    <row r="270" spans="1:2" x14ac:dyDescent="0.4">
      <c r="A270" s="1">
        <v>29556</v>
      </c>
      <c r="B270">
        <v>338.21</v>
      </c>
    </row>
    <row r="271" spans="1:2" x14ac:dyDescent="0.4">
      <c r="A271" s="1">
        <v>29587</v>
      </c>
      <c r="B271">
        <v>339.24</v>
      </c>
    </row>
    <row r="272" spans="1:2" x14ac:dyDescent="0.4">
      <c r="A272" s="1">
        <v>29618</v>
      </c>
      <c r="B272">
        <v>340.48</v>
      </c>
    </row>
    <row r="273" spans="1:2" x14ac:dyDescent="0.4">
      <c r="A273" s="1">
        <v>29646</v>
      </c>
      <c r="B273">
        <v>341.38</v>
      </c>
    </row>
    <row r="274" spans="1:2" x14ac:dyDescent="0.4">
      <c r="A274" s="1">
        <v>29677</v>
      </c>
      <c r="B274">
        <v>342.5</v>
      </c>
    </row>
    <row r="275" spans="1:2" x14ac:dyDescent="0.4">
      <c r="A275" s="1">
        <v>29707</v>
      </c>
      <c r="B275">
        <v>342.91</v>
      </c>
    </row>
    <row r="276" spans="1:2" x14ac:dyDescent="0.4">
      <c r="A276" s="1">
        <v>29738</v>
      </c>
      <c r="B276">
        <v>342.25</v>
      </c>
    </row>
    <row r="277" spans="1:2" x14ac:dyDescent="0.4">
      <c r="A277" s="1">
        <v>29768</v>
      </c>
      <c r="B277">
        <v>340.49</v>
      </c>
    </row>
    <row r="278" spans="1:2" x14ac:dyDescent="0.4">
      <c r="A278" s="1">
        <v>29799</v>
      </c>
      <c r="B278">
        <v>338.43</v>
      </c>
    </row>
    <row r="279" spans="1:2" x14ac:dyDescent="0.4">
      <c r="A279" s="1">
        <v>29830</v>
      </c>
      <c r="B279">
        <v>336.69</v>
      </c>
    </row>
    <row r="280" spans="1:2" x14ac:dyDescent="0.4">
      <c r="A280" s="1">
        <v>29860</v>
      </c>
      <c r="B280">
        <v>336.86</v>
      </c>
    </row>
    <row r="281" spans="1:2" x14ac:dyDescent="0.4">
      <c r="A281" s="1">
        <v>29891</v>
      </c>
      <c r="B281">
        <v>338.36</v>
      </c>
    </row>
    <row r="282" spans="1:2" x14ac:dyDescent="0.4">
      <c r="A282" s="1">
        <v>29921</v>
      </c>
      <c r="B282">
        <v>339.61</v>
      </c>
    </row>
    <row r="283" spans="1:2" x14ac:dyDescent="0.4">
      <c r="A283" s="1">
        <v>29952</v>
      </c>
      <c r="B283">
        <v>340.75</v>
      </c>
    </row>
    <row r="284" spans="1:2" x14ac:dyDescent="0.4">
      <c r="A284" s="1">
        <v>29983</v>
      </c>
      <c r="B284">
        <v>341.61</v>
      </c>
    </row>
    <row r="285" spans="1:2" x14ac:dyDescent="0.4">
      <c r="A285" s="1">
        <v>30011</v>
      </c>
      <c r="B285">
        <v>342.7</v>
      </c>
    </row>
    <row r="286" spans="1:2" x14ac:dyDescent="0.4">
      <c r="A286" s="1">
        <v>30042</v>
      </c>
      <c r="B286">
        <v>343.57</v>
      </c>
    </row>
    <row r="287" spans="1:2" x14ac:dyDescent="0.4">
      <c r="A287" s="1">
        <v>30072</v>
      </c>
      <c r="B287">
        <v>344.14</v>
      </c>
    </row>
    <row r="288" spans="1:2" x14ac:dyDescent="0.4">
      <c r="A288" s="1">
        <v>30103</v>
      </c>
      <c r="B288">
        <v>343.35</v>
      </c>
    </row>
    <row r="289" spans="1:2" x14ac:dyDescent="0.4">
      <c r="A289" s="1">
        <v>30133</v>
      </c>
      <c r="B289">
        <v>342.06</v>
      </c>
    </row>
    <row r="290" spans="1:2" x14ac:dyDescent="0.4">
      <c r="A290" s="1">
        <v>30164</v>
      </c>
      <c r="B290">
        <v>339.81</v>
      </c>
    </row>
    <row r="291" spans="1:2" x14ac:dyDescent="0.4">
      <c r="A291" s="1">
        <v>30195</v>
      </c>
      <c r="B291">
        <v>337.98</v>
      </c>
    </row>
    <row r="292" spans="1:2" x14ac:dyDescent="0.4">
      <c r="A292" s="1">
        <v>30225</v>
      </c>
      <c r="B292">
        <v>337.86</v>
      </c>
    </row>
    <row r="293" spans="1:2" x14ac:dyDescent="0.4">
      <c r="A293" s="1">
        <v>30256</v>
      </c>
      <c r="B293">
        <v>339.26</v>
      </c>
    </row>
    <row r="294" spans="1:2" x14ac:dyDescent="0.4">
      <c r="A294" s="1">
        <v>30286</v>
      </c>
      <c r="B294">
        <v>340.49</v>
      </c>
    </row>
    <row r="295" spans="1:2" x14ac:dyDescent="0.4">
      <c r="A295" s="1">
        <v>30317</v>
      </c>
      <c r="B295">
        <v>341.38</v>
      </c>
    </row>
    <row r="296" spans="1:2" x14ac:dyDescent="0.4">
      <c r="A296" s="1">
        <v>30348</v>
      </c>
      <c r="B296">
        <v>342.52</v>
      </c>
    </row>
    <row r="297" spans="1:2" x14ac:dyDescent="0.4">
      <c r="A297" s="1">
        <v>30376</v>
      </c>
      <c r="B297">
        <v>343.1</v>
      </c>
    </row>
    <row r="298" spans="1:2" x14ac:dyDescent="0.4">
      <c r="A298" s="1">
        <v>30407</v>
      </c>
      <c r="B298">
        <v>344.94</v>
      </c>
    </row>
    <row r="299" spans="1:2" x14ac:dyDescent="0.4">
      <c r="A299" s="1">
        <v>30437</v>
      </c>
      <c r="B299">
        <v>345.76</v>
      </c>
    </row>
    <row r="300" spans="1:2" x14ac:dyDescent="0.4">
      <c r="A300" s="1">
        <v>30468</v>
      </c>
      <c r="B300">
        <v>345.32</v>
      </c>
    </row>
    <row r="301" spans="1:2" x14ac:dyDescent="0.4">
      <c r="A301" s="1">
        <v>30498</v>
      </c>
      <c r="B301">
        <v>343.98</v>
      </c>
    </row>
    <row r="302" spans="1:2" x14ac:dyDescent="0.4">
      <c r="A302" s="1">
        <v>30529</v>
      </c>
      <c r="B302">
        <v>342.38</v>
      </c>
    </row>
    <row r="303" spans="1:2" x14ac:dyDescent="0.4">
      <c r="A303" s="1">
        <v>30560</v>
      </c>
      <c r="B303">
        <v>339.87</v>
      </c>
    </row>
    <row r="304" spans="1:2" x14ac:dyDescent="0.4">
      <c r="A304" s="1">
        <v>30590</v>
      </c>
      <c r="B304">
        <v>339.99</v>
      </c>
    </row>
    <row r="305" spans="1:2" x14ac:dyDescent="0.4">
      <c r="A305" s="1">
        <v>30621</v>
      </c>
      <c r="B305">
        <v>341.15</v>
      </c>
    </row>
    <row r="306" spans="1:2" x14ac:dyDescent="0.4">
      <c r="A306" s="1">
        <v>30651</v>
      </c>
      <c r="B306">
        <v>342.99</v>
      </c>
    </row>
    <row r="307" spans="1:2" x14ac:dyDescent="0.4">
      <c r="A307" s="1">
        <v>30682</v>
      </c>
      <c r="B307">
        <v>343.7</v>
      </c>
    </row>
    <row r="308" spans="1:2" x14ac:dyDescent="0.4">
      <c r="A308" s="1">
        <v>30713</v>
      </c>
      <c r="B308">
        <v>344.5</v>
      </c>
    </row>
    <row r="309" spans="1:2" x14ac:dyDescent="0.4">
      <c r="A309" s="1">
        <v>30742</v>
      </c>
      <c r="B309">
        <v>345.28</v>
      </c>
    </row>
    <row r="310" spans="1:2" x14ac:dyDescent="0.4">
      <c r="A310" s="1">
        <v>30773</v>
      </c>
      <c r="B310">
        <v>347.05</v>
      </c>
    </row>
    <row r="311" spans="1:2" x14ac:dyDescent="0.4">
      <c r="A311" s="1">
        <v>30803</v>
      </c>
      <c r="B311">
        <v>347.43</v>
      </c>
    </row>
    <row r="312" spans="1:2" x14ac:dyDescent="0.4">
      <c r="A312" s="1">
        <v>30834</v>
      </c>
      <c r="B312">
        <v>346.8</v>
      </c>
    </row>
    <row r="313" spans="1:2" x14ac:dyDescent="0.4">
      <c r="A313" s="1">
        <v>30864</v>
      </c>
      <c r="B313">
        <v>345.39</v>
      </c>
    </row>
    <row r="314" spans="1:2" x14ac:dyDescent="0.4">
      <c r="A314" s="1">
        <v>30895</v>
      </c>
      <c r="B314">
        <v>343.28</v>
      </c>
    </row>
    <row r="315" spans="1:2" x14ac:dyDescent="0.4">
      <c r="A315" s="1">
        <v>30926</v>
      </c>
      <c r="B315">
        <v>341.07</v>
      </c>
    </row>
    <row r="316" spans="1:2" x14ac:dyDescent="0.4">
      <c r="A316" s="1">
        <v>30956</v>
      </c>
      <c r="B316">
        <v>341.35</v>
      </c>
    </row>
    <row r="317" spans="1:2" x14ac:dyDescent="0.4">
      <c r="A317" s="1">
        <v>30987</v>
      </c>
      <c r="B317">
        <v>342.98</v>
      </c>
    </row>
    <row r="318" spans="1:2" x14ac:dyDescent="0.4">
      <c r="A318" s="1">
        <v>31017</v>
      </c>
      <c r="B318">
        <v>344.22</v>
      </c>
    </row>
    <row r="319" spans="1:2" x14ac:dyDescent="0.4">
      <c r="A319" s="1">
        <v>31048</v>
      </c>
      <c r="B319">
        <v>344.97</v>
      </c>
    </row>
    <row r="320" spans="1:2" x14ac:dyDescent="0.4">
      <c r="A320" s="1">
        <v>31079</v>
      </c>
      <c r="B320">
        <v>345.99</v>
      </c>
    </row>
    <row r="321" spans="1:2" x14ac:dyDescent="0.4">
      <c r="A321" s="1">
        <v>31107</v>
      </c>
      <c r="B321">
        <v>347.42</v>
      </c>
    </row>
    <row r="322" spans="1:2" x14ac:dyDescent="0.4">
      <c r="A322" s="1">
        <v>31138</v>
      </c>
      <c r="B322">
        <v>348.35</v>
      </c>
    </row>
    <row r="323" spans="1:2" x14ac:dyDescent="0.4">
      <c r="A323" s="1">
        <v>31168</v>
      </c>
      <c r="B323">
        <v>348.93</v>
      </c>
    </row>
    <row r="324" spans="1:2" x14ac:dyDescent="0.4">
      <c r="A324" s="1">
        <v>31199</v>
      </c>
      <c r="B324">
        <v>348.25</v>
      </c>
    </row>
    <row r="325" spans="1:2" x14ac:dyDescent="0.4">
      <c r="A325" s="1">
        <v>31229</v>
      </c>
      <c r="B325">
        <v>346.56</v>
      </c>
    </row>
    <row r="326" spans="1:2" x14ac:dyDescent="0.4">
      <c r="A326" s="1">
        <v>31260</v>
      </c>
      <c r="B326">
        <v>344.67</v>
      </c>
    </row>
    <row r="327" spans="1:2" x14ac:dyDescent="0.4">
      <c r="A327" s="1">
        <v>31291</v>
      </c>
      <c r="B327">
        <v>343.09</v>
      </c>
    </row>
    <row r="328" spans="1:2" x14ac:dyDescent="0.4">
      <c r="A328" s="1">
        <v>31321</v>
      </c>
      <c r="B328">
        <v>342.8</v>
      </c>
    </row>
    <row r="329" spans="1:2" x14ac:dyDescent="0.4">
      <c r="A329" s="1">
        <v>31352</v>
      </c>
      <c r="B329">
        <v>344.24</v>
      </c>
    </row>
    <row r="330" spans="1:2" x14ac:dyDescent="0.4">
      <c r="A330" s="1">
        <v>31382</v>
      </c>
      <c r="B330">
        <v>345.56</v>
      </c>
    </row>
    <row r="331" spans="1:2" x14ac:dyDescent="0.4">
      <c r="A331" s="1">
        <v>31413</v>
      </c>
      <c r="B331">
        <v>346.3</v>
      </c>
    </row>
    <row r="332" spans="1:2" x14ac:dyDescent="0.4">
      <c r="A332" s="1">
        <v>31444</v>
      </c>
      <c r="B332">
        <v>346.95</v>
      </c>
    </row>
    <row r="333" spans="1:2" x14ac:dyDescent="0.4">
      <c r="A333" s="1">
        <v>31472</v>
      </c>
      <c r="B333">
        <v>347.85</v>
      </c>
    </row>
    <row r="334" spans="1:2" x14ac:dyDescent="0.4">
      <c r="A334" s="1">
        <v>31503</v>
      </c>
      <c r="B334">
        <v>349.55</v>
      </c>
    </row>
    <row r="335" spans="1:2" x14ac:dyDescent="0.4">
      <c r="A335" s="1">
        <v>31533</v>
      </c>
      <c r="B335">
        <v>350.22</v>
      </c>
    </row>
    <row r="336" spans="1:2" x14ac:dyDescent="0.4">
      <c r="A336" s="1">
        <v>31564</v>
      </c>
      <c r="B336">
        <v>349.55</v>
      </c>
    </row>
    <row r="337" spans="1:2" x14ac:dyDescent="0.4">
      <c r="A337" s="1">
        <v>31594</v>
      </c>
      <c r="B337">
        <v>347.94</v>
      </c>
    </row>
    <row r="338" spans="1:2" x14ac:dyDescent="0.4">
      <c r="A338" s="1">
        <v>31625</v>
      </c>
      <c r="B338">
        <v>345.9</v>
      </c>
    </row>
    <row r="339" spans="1:2" x14ac:dyDescent="0.4">
      <c r="A339" s="1">
        <v>31656</v>
      </c>
      <c r="B339">
        <v>344.85</v>
      </c>
    </row>
    <row r="340" spans="1:2" x14ac:dyDescent="0.4">
      <c r="A340" s="1">
        <v>31686</v>
      </c>
      <c r="B340">
        <v>344.17</v>
      </c>
    </row>
    <row r="341" spans="1:2" x14ac:dyDescent="0.4">
      <c r="A341" s="1">
        <v>31717</v>
      </c>
      <c r="B341">
        <v>345.66</v>
      </c>
    </row>
    <row r="342" spans="1:2" x14ac:dyDescent="0.4">
      <c r="A342" s="1">
        <v>31747</v>
      </c>
      <c r="B342">
        <v>346.9</v>
      </c>
    </row>
    <row r="343" spans="1:2" x14ac:dyDescent="0.4">
      <c r="A343" s="1">
        <v>31778</v>
      </c>
      <c r="B343">
        <v>348.02</v>
      </c>
    </row>
    <row r="344" spans="1:2" x14ac:dyDescent="0.4">
      <c r="A344" s="1">
        <v>31809</v>
      </c>
      <c r="B344">
        <v>348.48</v>
      </c>
    </row>
    <row r="345" spans="1:2" x14ac:dyDescent="0.4">
      <c r="A345" s="1">
        <v>31837</v>
      </c>
      <c r="B345">
        <v>349.42</v>
      </c>
    </row>
    <row r="346" spans="1:2" x14ac:dyDescent="0.4">
      <c r="A346" s="1">
        <v>31868</v>
      </c>
      <c r="B346">
        <v>350.98</v>
      </c>
    </row>
    <row r="347" spans="1:2" x14ac:dyDescent="0.4">
      <c r="A347" s="1">
        <v>31898</v>
      </c>
      <c r="B347">
        <v>351.85</v>
      </c>
    </row>
    <row r="348" spans="1:2" x14ac:dyDescent="0.4">
      <c r="A348" s="1">
        <v>31929</v>
      </c>
      <c r="B348">
        <v>351.26</v>
      </c>
    </row>
    <row r="349" spans="1:2" x14ac:dyDescent="0.4">
      <c r="A349" s="1">
        <v>31959</v>
      </c>
      <c r="B349">
        <v>349.51</v>
      </c>
    </row>
    <row r="350" spans="1:2" x14ac:dyDescent="0.4">
      <c r="A350" s="1">
        <v>31990</v>
      </c>
      <c r="B350">
        <v>348.1</v>
      </c>
    </row>
    <row r="351" spans="1:2" x14ac:dyDescent="0.4">
      <c r="A351" s="1">
        <v>32021</v>
      </c>
      <c r="B351">
        <v>346.45</v>
      </c>
    </row>
    <row r="352" spans="1:2" x14ac:dyDescent="0.4">
      <c r="A352" s="1">
        <v>32051</v>
      </c>
      <c r="B352">
        <v>346.36</v>
      </c>
    </row>
    <row r="353" spans="1:2" x14ac:dyDescent="0.4">
      <c r="A353" s="1">
        <v>32082</v>
      </c>
      <c r="B353">
        <v>347.81</v>
      </c>
    </row>
    <row r="354" spans="1:2" x14ac:dyDescent="0.4">
      <c r="A354" s="1">
        <v>32112</v>
      </c>
      <c r="B354">
        <v>348.96</v>
      </c>
    </row>
    <row r="355" spans="1:2" x14ac:dyDescent="0.4">
      <c r="A355" s="1">
        <v>32143</v>
      </c>
      <c r="B355">
        <v>350.43</v>
      </c>
    </row>
    <row r="356" spans="1:2" x14ac:dyDescent="0.4">
      <c r="A356" s="1">
        <v>32174</v>
      </c>
      <c r="B356">
        <v>351.73</v>
      </c>
    </row>
    <row r="357" spans="1:2" x14ac:dyDescent="0.4">
      <c r="A357" s="1">
        <v>32203</v>
      </c>
      <c r="B357">
        <v>352.22</v>
      </c>
    </row>
    <row r="358" spans="1:2" x14ac:dyDescent="0.4">
      <c r="A358" s="1">
        <v>32234</v>
      </c>
      <c r="B358">
        <v>353.59</v>
      </c>
    </row>
    <row r="359" spans="1:2" x14ac:dyDescent="0.4">
      <c r="A359" s="1">
        <v>32264</v>
      </c>
      <c r="B359">
        <v>354.22</v>
      </c>
    </row>
    <row r="360" spans="1:2" x14ac:dyDescent="0.4">
      <c r="A360" s="1">
        <v>32295</v>
      </c>
      <c r="B360">
        <v>353.8</v>
      </c>
    </row>
    <row r="361" spans="1:2" x14ac:dyDescent="0.4">
      <c r="A361" s="1">
        <v>32325</v>
      </c>
      <c r="B361">
        <v>352.38</v>
      </c>
    </row>
    <row r="362" spans="1:2" x14ac:dyDescent="0.4">
      <c r="A362" s="1">
        <v>32356</v>
      </c>
      <c r="B362">
        <v>350.43</v>
      </c>
    </row>
    <row r="363" spans="1:2" x14ac:dyDescent="0.4">
      <c r="A363" s="1">
        <v>32387</v>
      </c>
      <c r="B363">
        <v>348.73</v>
      </c>
    </row>
    <row r="364" spans="1:2" x14ac:dyDescent="0.4">
      <c r="A364" s="1">
        <v>32417</v>
      </c>
      <c r="B364">
        <v>348.88</v>
      </c>
    </row>
    <row r="365" spans="1:2" x14ac:dyDescent="0.4">
      <c r="A365" s="1">
        <v>32448</v>
      </c>
      <c r="B365">
        <v>350.07</v>
      </c>
    </row>
    <row r="366" spans="1:2" x14ac:dyDescent="0.4">
      <c r="A366" s="1">
        <v>32478</v>
      </c>
      <c r="B366">
        <v>351.34</v>
      </c>
    </row>
    <row r="367" spans="1:2" x14ac:dyDescent="0.4">
      <c r="A367" s="1">
        <v>32509</v>
      </c>
      <c r="B367">
        <v>352.76</v>
      </c>
    </row>
    <row r="368" spans="1:2" x14ac:dyDescent="0.4">
      <c r="A368" s="1">
        <v>32540</v>
      </c>
      <c r="B368">
        <v>353.07</v>
      </c>
    </row>
    <row r="369" spans="1:2" x14ac:dyDescent="0.4">
      <c r="A369" s="1">
        <v>32568</v>
      </c>
      <c r="B369">
        <v>353.68</v>
      </c>
    </row>
    <row r="370" spans="1:2" x14ac:dyDescent="0.4">
      <c r="A370" s="1">
        <v>32599</v>
      </c>
      <c r="B370">
        <v>355.42</v>
      </c>
    </row>
    <row r="371" spans="1:2" x14ac:dyDescent="0.4">
      <c r="A371" s="1">
        <v>32629</v>
      </c>
      <c r="B371">
        <v>355.67</v>
      </c>
    </row>
    <row r="372" spans="1:2" x14ac:dyDescent="0.4">
      <c r="A372" s="1">
        <v>32660</v>
      </c>
      <c r="B372">
        <v>355.12</v>
      </c>
    </row>
    <row r="373" spans="1:2" x14ac:dyDescent="0.4">
      <c r="A373" s="1">
        <v>32690</v>
      </c>
      <c r="B373">
        <v>353.9</v>
      </c>
    </row>
    <row r="374" spans="1:2" x14ac:dyDescent="0.4">
      <c r="A374" s="1">
        <v>32721</v>
      </c>
      <c r="B374">
        <v>351.67</v>
      </c>
    </row>
    <row r="375" spans="1:2" x14ac:dyDescent="0.4">
      <c r="A375" s="1">
        <v>32752</v>
      </c>
      <c r="B375">
        <v>349.81</v>
      </c>
    </row>
    <row r="376" spans="1:2" x14ac:dyDescent="0.4">
      <c r="A376" s="1">
        <v>32782</v>
      </c>
      <c r="B376">
        <v>349.99</v>
      </c>
    </row>
    <row r="377" spans="1:2" x14ac:dyDescent="0.4">
      <c r="A377" s="1">
        <v>32813</v>
      </c>
      <c r="B377">
        <v>351.3</v>
      </c>
    </row>
    <row r="378" spans="1:2" x14ac:dyDescent="0.4">
      <c r="A378" s="1">
        <v>32843</v>
      </c>
      <c r="B378">
        <v>352.52</v>
      </c>
    </row>
    <row r="379" spans="1:2" x14ac:dyDescent="0.4">
      <c r="A379" s="1">
        <v>32874</v>
      </c>
      <c r="B379">
        <v>353.66</v>
      </c>
    </row>
    <row r="380" spans="1:2" x14ac:dyDescent="0.4">
      <c r="A380" s="1">
        <v>32905</v>
      </c>
      <c r="B380">
        <v>354.7</v>
      </c>
    </row>
    <row r="381" spans="1:2" x14ac:dyDescent="0.4">
      <c r="A381" s="1">
        <v>32933</v>
      </c>
      <c r="B381">
        <v>355.38</v>
      </c>
    </row>
    <row r="382" spans="1:2" x14ac:dyDescent="0.4">
      <c r="A382" s="1">
        <v>32964</v>
      </c>
      <c r="B382">
        <v>356.2</v>
      </c>
    </row>
    <row r="383" spans="1:2" x14ac:dyDescent="0.4">
      <c r="A383" s="1">
        <v>32994</v>
      </c>
      <c r="B383">
        <v>357.16</v>
      </c>
    </row>
    <row r="384" spans="1:2" x14ac:dyDescent="0.4">
      <c r="A384" s="1">
        <v>33025</v>
      </c>
      <c r="B384">
        <v>356.23</v>
      </c>
    </row>
    <row r="385" spans="1:2" x14ac:dyDescent="0.4">
      <c r="A385" s="1">
        <v>33055</v>
      </c>
      <c r="B385">
        <v>354.81</v>
      </c>
    </row>
    <row r="386" spans="1:2" x14ac:dyDescent="0.4">
      <c r="A386" s="1">
        <v>33086</v>
      </c>
      <c r="B386">
        <v>352.91</v>
      </c>
    </row>
    <row r="387" spans="1:2" x14ac:dyDescent="0.4">
      <c r="A387" s="1">
        <v>33117</v>
      </c>
      <c r="B387">
        <v>350.96</v>
      </c>
    </row>
    <row r="388" spans="1:2" x14ac:dyDescent="0.4">
      <c r="A388" s="1">
        <v>33147</v>
      </c>
      <c r="B388">
        <v>351.18</v>
      </c>
    </row>
    <row r="389" spans="1:2" x14ac:dyDescent="0.4">
      <c r="A389" s="1">
        <v>33178</v>
      </c>
      <c r="B389">
        <v>352.83</v>
      </c>
    </row>
    <row r="390" spans="1:2" x14ac:dyDescent="0.4">
      <c r="A390" s="1">
        <v>33208</v>
      </c>
      <c r="B390">
        <v>354.21</v>
      </c>
    </row>
    <row r="391" spans="1:2" x14ac:dyDescent="0.4">
      <c r="A391" s="1">
        <v>33239</v>
      </c>
      <c r="B391">
        <v>354.72</v>
      </c>
    </row>
    <row r="392" spans="1:2" x14ac:dyDescent="0.4">
      <c r="A392" s="1">
        <v>33270</v>
      </c>
      <c r="B392">
        <v>355.75</v>
      </c>
    </row>
    <row r="393" spans="1:2" x14ac:dyDescent="0.4">
      <c r="A393" s="1">
        <v>33298</v>
      </c>
      <c r="B393">
        <v>357.16</v>
      </c>
    </row>
    <row r="394" spans="1:2" x14ac:dyDescent="0.4">
      <c r="A394" s="1">
        <v>33329</v>
      </c>
      <c r="B394">
        <v>358.6</v>
      </c>
    </row>
    <row r="395" spans="1:2" x14ac:dyDescent="0.4">
      <c r="A395" s="1">
        <v>33359</v>
      </c>
      <c r="B395">
        <v>359.34</v>
      </c>
    </row>
    <row r="396" spans="1:2" x14ac:dyDescent="0.4">
      <c r="A396" s="1">
        <v>33390</v>
      </c>
      <c r="B396">
        <v>358.24</v>
      </c>
    </row>
    <row r="397" spans="1:2" x14ac:dyDescent="0.4">
      <c r="A397" s="1">
        <v>33420</v>
      </c>
      <c r="B397">
        <v>356.17</v>
      </c>
    </row>
    <row r="398" spans="1:2" x14ac:dyDescent="0.4">
      <c r="A398" s="1">
        <v>33451</v>
      </c>
      <c r="B398">
        <v>354.01</v>
      </c>
    </row>
    <row r="399" spans="1:2" x14ac:dyDescent="0.4">
      <c r="A399" s="1">
        <v>33482</v>
      </c>
      <c r="B399">
        <v>352.15</v>
      </c>
    </row>
    <row r="400" spans="1:2" x14ac:dyDescent="0.4">
      <c r="A400" s="1">
        <v>33512</v>
      </c>
      <c r="B400">
        <v>352.21</v>
      </c>
    </row>
    <row r="401" spans="1:2" x14ac:dyDescent="0.4">
      <c r="A401" s="1">
        <v>33543</v>
      </c>
      <c r="B401">
        <v>353.75</v>
      </c>
    </row>
    <row r="402" spans="1:2" x14ac:dyDescent="0.4">
      <c r="A402" s="1">
        <v>33573</v>
      </c>
      <c r="B402">
        <v>354.99</v>
      </c>
    </row>
    <row r="403" spans="1:2" x14ac:dyDescent="0.4">
      <c r="A403" s="1">
        <v>33604</v>
      </c>
      <c r="B403">
        <v>355.99</v>
      </c>
    </row>
    <row r="404" spans="1:2" x14ac:dyDescent="0.4">
      <c r="A404" s="1">
        <v>33635</v>
      </c>
      <c r="B404">
        <v>356.72</v>
      </c>
    </row>
    <row r="405" spans="1:2" x14ac:dyDescent="0.4">
      <c r="A405" s="1">
        <v>33664</v>
      </c>
      <c r="B405">
        <v>357.81</v>
      </c>
    </row>
    <row r="406" spans="1:2" x14ac:dyDescent="0.4">
      <c r="A406" s="1">
        <v>33695</v>
      </c>
      <c r="B406">
        <v>359.15</v>
      </c>
    </row>
    <row r="407" spans="1:2" x14ac:dyDescent="0.4">
      <c r="A407" s="1">
        <v>33725</v>
      </c>
      <c r="B407">
        <v>359.66</v>
      </c>
    </row>
    <row r="408" spans="1:2" x14ac:dyDescent="0.4">
      <c r="A408" s="1">
        <v>33756</v>
      </c>
      <c r="B408">
        <v>359.25</v>
      </c>
    </row>
    <row r="409" spans="1:2" x14ac:dyDescent="0.4">
      <c r="A409" s="1">
        <v>33786</v>
      </c>
      <c r="B409">
        <v>357.02</v>
      </c>
    </row>
    <row r="410" spans="1:2" x14ac:dyDescent="0.4">
      <c r="A410" s="1">
        <v>33817</v>
      </c>
      <c r="B410">
        <v>355</v>
      </c>
    </row>
    <row r="411" spans="1:2" x14ac:dyDescent="0.4">
      <c r="A411" s="1">
        <v>33848</v>
      </c>
      <c r="B411">
        <v>353.01</v>
      </c>
    </row>
    <row r="412" spans="1:2" x14ac:dyDescent="0.4">
      <c r="A412" s="1">
        <v>33878</v>
      </c>
      <c r="B412">
        <v>353.31</v>
      </c>
    </row>
    <row r="413" spans="1:2" x14ac:dyDescent="0.4">
      <c r="A413" s="1">
        <v>33909</v>
      </c>
      <c r="B413">
        <v>354.16</v>
      </c>
    </row>
    <row r="414" spans="1:2" x14ac:dyDescent="0.4">
      <c r="A414" s="1">
        <v>33939</v>
      </c>
      <c r="B414">
        <v>355.4</v>
      </c>
    </row>
    <row r="415" spans="1:2" x14ac:dyDescent="0.4">
      <c r="A415" s="1">
        <v>33970</v>
      </c>
      <c r="B415">
        <v>356.7</v>
      </c>
    </row>
    <row r="416" spans="1:2" x14ac:dyDescent="0.4">
      <c r="A416" s="1">
        <v>34001</v>
      </c>
      <c r="B416">
        <v>357.17</v>
      </c>
    </row>
    <row r="417" spans="1:2" x14ac:dyDescent="0.4">
      <c r="A417" s="1">
        <v>34029</v>
      </c>
      <c r="B417">
        <v>358.38</v>
      </c>
    </row>
    <row r="418" spans="1:2" x14ac:dyDescent="0.4">
      <c r="A418" s="1">
        <v>34060</v>
      </c>
      <c r="B418">
        <v>359.46</v>
      </c>
    </row>
    <row r="419" spans="1:2" x14ac:dyDescent="0.4">
      <c r="A419" s="1">
        <v>34090</v>
      </c>
      <c r="B419">
        <v>360.28</v>
      </c>
    </row>
    <row r="420" spans="1:2" x14ac:dyDescent="0.4">
      <c r="A420" s="1">
        <v>34121</v>
      </c>
      <c r="B420">
        <v>359.6</v>
      </c>
    </row>
    <row r="421" spans="1:2" x14ac:dyDescent="0.4">
      <c r="A421" s="1">
        <v>34151</v>
      </c>
      <c r="B421">
        <v>357.57</v>
      </c>
    </row>
    <row r="422" spans="1:2" x14ac:dyDescent="0.4">
      <c r="A422" s="1">
        <v>34182</v>
      </c>
      <c r="B422">
        <v>355.52</v>
      </c>
    </row>
    <row r="423" spans="1:2" x14ac:dyDescent="0.4">
      <c r="A423" s="1">
        <v>34213</v>
      </c>
      <c r="B423">
        <v>353.69</v>
      </c>
    </row>
    <row r="424" spans="1:2" x14ac:dyDescent="0.4">
      <c r="A424" s="1">
        <v>34243</v>
      </c>
      <c r="B424">
        <v>353.99</v>
      </c>
    </row>
    <row r="425" spans="1:2" x14ac:dyDescent="0.4">
      <c r="A425" s="1">
        <v>34274</v>
      </c>
      <c r="B425">
        <v>355.34</v>
      </c>
    </row>
    <row r="426" spans="1:2" x14ac:dyDescent="0.4">
      <c r="A426" s="1">
        <v>34304</v>
      </c>
      <c r="B426">
        <v>356.8</v>
      </c>
    </row>
    <row r="427" spans="1:2" x14ac:dyDescent="0.4">
      <c r="A427" s="1">
        <v>34335</v>
      </c>
      <c r="B427">
        <v>358.37</v>
      </c>
    </row>
    <row r="428" spans="1:2" x14ac:dyDescent="0.4">
      <c r="A428" s="1">
        <v>34366</v>
      </c>
      <c r="B428">
        <v>358.91</v>
      </c>
    </row>
    <row r="429" spans="1:2" x14ac:dyDescent="0.4">
      <c r="A429" s="1">
        <v>34394</v>
      </c>
      <c r="B429">
        <v>359.97</v>
      </c>
    </row>
    <row r="430" spans="1:2" x14ac:dyDescent="0.4">
      <c r="A430" s="1">
        <v>34425</v>
      </c>
      <c r="B430">
        <v>361.26</v>
      </c>
    </row>
    <row r="431" spans="1:2" x14ac:dyDescent="0.4">
      <c r="A431" s="1">
        <v>34455</v>
      </c>
      <c r="B431">
        <v>361.69</v>
      </c>
    </row>
    <row r="432" spans="1:2" x14ac:dyDescent="0.4">
      <c r="A432" s="1">
        <v>34486</v>
      </c>
      <c r="B432">
        <v>360.94</v>
      </c>
    </row>
    <row r="433" spans="1:2" x14ac:dyDescent="0.4">
      <c r="A433" s="1">
        <v>34516</v>
      </c>
      <c r="B433">
        <v>359.55</v>
      </c>
    </row>
    <row r="434" spans="1:2" x14ac:dyDescent="0.4">
      <c r="A434" s="1">
        <v>34547</v>
      </c>
      <c r="B434">
        <v>357.48</v>
      </c>
    </row>
    <row r="435" spans="1:2" x14ac:dyDescent="0.4">
      <c r="A435" s="1">
        <v>34578</v>
      </c>
      <c r="B435">
        <v>355.84</v>
      </c>
    </row>
    <row r="436" spans="1:2" x14ac:dyDescent="0.4">
      <c r="A436" s="1">
        <v>34608</v>
      </c>
      <c r="B436">
        <v>356</v>
      </c>
    </row>
    <row r="437" spans="1:2" x14ac:dyDescent="0.4">
      <c r="A437" s="1">
        <v>34639</v>
      </c>
      <c r="B437">
        <v>357.58</v>
      </c>
    </row>
    <row r="438" spans="1:2" x14ac:dyDescent="0.4">
      <c r="A438" s="1">
        <v>34669</v>
      </c>
      <c r="B438">
        <v>359.04</v>
      </c>
    </row>
    <row r="439" spans="1:2" x14ac:dyDescent="0.4">
      <c r="A439" s="1">
        <v>34700</v>
      </c>
      <c r="B439">
        <v>359.97</v>
      </c>
    </row>
    <row r="440" spans="1:2" x14ac:dyDescent="0.4">
      <c r="A440" s="1">
        <v>34731</v>
      </c>
      <c r="B440">
        <v>361</v>
      </c>
    </row>
    <row r="441" spans="1:2" x14ac:dyDescent="0.4">
      <c r="A441" s="1">
        <v>34759</v>
      </c>
      <c r="B441">
        <v>361.63</v>
      </c>
    </row>
    <row r="442" spans="1:2" x14ac:dyDescent="0.4">
      <c r="A442" s="1">
        <v>34790</v>
      </c>
      <c r="B442">
        <v>363.45</v>
      </c>
    </row>
    <row r="443" spans="1:2" x14ac:dyDescent="0.4">
      <c r="A443" s="1">
        <v>34820</v>
      </c>
      <c r="B443">
        <v>363.8</v>
      </c>
    </row>
    <row r="444" spans="1:2" x14ac:dyDescent="0.4">
      <c r="A444" s="1">
        <v>34851</v>
      </c>
      <c r="B444">
        <v>363.26</v>
      </c>
    </row>
    <row r="445" spans="1:2" x14ac:dyDescent="0.4">
      <c r="A445" s="1">
        <v>34881</v>
      </c>
      <c r="B445">
        <v>361.89</v>
      </c>
    </row>
    <row r="446" spans="1:2" x14ac:dyDescent="0.4">
      <c r="A446" s="1">
        <v>34912</v>
      </c>
      <c r="B446">
        <v>359.45</v>
      </c>
    </row>
    <row r="447" spans="1:2" x14ac:dyDescent="0.4">
      <c r="A447" s="1">
        <v>34943</v>
      </c>
      <c r="B447">
        <v>358.05</v>
      </c>
    </row>
    <row r="448" spans="1:2" x14ac:dyDescent="0.4">
      <c r="A448" s="1">
        <v>34973</v>
      </c>
      <c r="B448">
        <v>357.75</v>
      </c>
    </row>
    <row r="449" spans="1:2" x14ac:dyDescent="0.4">
      <c r="A449" s="1">
        <v>35004</v>
      </c>
      <c r="B449">
        <v>359.56</v>
      </c>
    </row>
    <row r="450" spans="1:2" x14ac:dyDescent="0.4">
      <c r="A450" s="1">
        <v>35034</v>
      </c>
      <c r="B450">
        <v>360.7</v>
      </c>
    </row>
    <row r="451" spans="1:2" x14ac:dyDescent="0.4">
      <c r="A451" s="1">
        <v>35065</v>
      </c>
      <c r="B451">
        <v>362.05</v>
      </c>
    </row>
    <row r="452" spans="1:2" x14ac:dyDescent="0.4">
      <c r="A452" s="1">
        <v>35096</v>
      </c>
      <c r="B452">
        <v>363.24</v>
      </c>
    </row>
    <row r="453" spans="1:2" x14ac:dyDescent="0.4">
      <c r="A453" s="1">
        <v>35125</v>
      </c>
      <c r="B453">
        <v>364.02</v>
      </c>
    </row>
    <row r="454" spans="1:2" x14ac:dyDescent="0.4">
      <c r="A454" s="1">
        <v>35156</v>
      </c>
      <c r="B454">
        <v>364.71</v>
      </c>
    </row>
    <row r="455" spans="1:2" x14ac:dyDescent="0.4">
      <c r="A455" s="1">
        <v>35186</v>
      </c>
      <c r="B455">
        <v>365.42</v>
      </c>
    </row>
    <row r="456" spans="1:2" x14ac:dyDescent="0.4">
      <c r="A456" s="1">
        <v>35217</v>
      </c>
      <c r="B456">
        <v>364.97</v>
      </c>
    </row>
    <row r="457" spans="1:2" x14ac:dyDescent="0.4">
      <c r="A457" s="1">
        <v>35247</v>
      </c>
      <c r="B457">
        <v>363.65</v>
      </c>
    </row>
    <row r="458" spans="1:2" x14ac:dyDescent="0.4">
      <c r="A458" s="1">
        <v>35278</v>
      </c>
      <c r="B458">
        <v>361.48</v>
      </c>
    </row>
    <row r="459" spans="1:2" x14ac:dyDescent="0.4">
      <c r="A459" s="1">
        <v>35309</v>
      </c>
      <c r="B459">
        <v>359.45</v>
      </c>
    </row>
    <row r="460" spans="1:2" x14ac:dyDescent="0.4">
      <c r="A460" s="1">
        <v>35339</v>
      </c>
      <c r="B460">
        <v>359.61</v>
      </c>
    </row>
    <row r="461" spans="1:2" x14ac:dyDescent="0.4">
      <c r="A461" s="1">
        <v>35370</v>
      </c>
      <c r="B461">
        <v>360.76</v>
      </c>
    </row>
    <row r="462" spans="1:2" x14ac:dyDescent="0.4">
      <c r="A462" s="1">
        <v>35400</v>
      </c>
      <c r="B462">
        <v>362.33</v>
      </c>
    </row>
    <row r="463" spans="1:2" x14ac:dyDescent="0.4">
      <c r="A463" s="1">
        <v>35431</v>
      </c>
      <c r="B463">
        <v>363.19</v>
      </c>
    </row>
    <row r="464" spans="1:2" x14ac:dyDescent="0.4">
      <c r="A464" s="1">
        <v>35462</v>
      </c>
      <c r="B464">
        <v>363.99</v>
      </c>
    </row>
    <row r="465" spans="1:2" x14ac:dyDescent="0.4">
      <c r="A465" s="1">
        <v>35490</v>
      </c>
      <c r="B465">
        <v>364.56</v>
      </c>
    </row>
    <row r="466" spans="1:2" x14ac:dyDescent="0.4">
      <c r="A466" s="1">
        <v>35521</v>
      </c>
      <c r="B466">
        <v>366.36</v>
      </c>
    </row>
    <row r="467" spans="1:2" x14ac:dyDescent="0.4">
      <c r="A467" s="1">
        <v>35551</v>
      </c>
      <c r="B467">
        <v>366.8</v>
      </c>
    </row>
    <row r="468" spans="1:2" x14ac:dyDescent="0.4">
      <c r="A468" s="1">
        <v>35582</v>
      </c>
      <c r="B468">
        <v>365.63</v>
      </c>
    </row>
    <row r="469" spans="1:2" x14ac:dyDescent="0.4">
      <c r="A469" s="1">
        <v>35612</v>
      </c>
      <c r="B469">
        <v>364.47</v>
      </c>
    </row>
    <row r="470" spans="1:2" x14ac:dyDescent="0.4">
      <c r="A470" s="1">
        <v>35643</v>
      </c>
      <c r="B470">
        <v>362.5</v>
      </c>
    </row>
    <row r="471" spans="1:2" x14ac:dyDescent="0.4">
      <c r="A471" s="1">
        <v>35674</v>
      </c>
      <c r="B471">
        <v>360.19</v>
      </c>
    </row>
    <row r="472" spans="1:2" x14ac:dyDescent="0.4">
      <c r="A472" s="1">
        <v>35704</v>
      </c>
      <c r="B472">
        <v>360.78</v>
      </c>
    </row>
    <row r="473" spans="1:2" x14ac:dyDescent="0.4">
      <c r="A473" s="1">
        <v>35735</v>
      </c>
      <c r="B473">
        <v>362.43</v>
      </c>
    </row>
    <row r="474" spans="1:2" x14ac:dyDescent="0.4">
      <c r="A474" s="1">
        <v>35765</v>
      </c>
      <c r="B474">
        <v>364.28</v>
      </c>
    </row>
    <row r="475" spans="1:2" x14ac:dyDescent="0.4">
      <c r="A475" s="1">
        <v>35796</v>
      </c>
      <c r="B475">
        <v>365.33</v>
      </c>
    </row>
    <row r="476" spans="1:2" x14ac:dyDescent="0.4">
      <c r="A476" s="1">
        <v>35827</v>
      </c>
      <c r="B476">
        <v>366.15</v>
      </c>
    </row>
    <row r="477" spans="1:2" x14ac:dyDescent="0.4">
      <c r="A477" s="1">
        <v>35855</v>
      </c>
      <c r="B477">
        <v>367.31</v>
      </c>
    </row>
    <row r="478" spans="1:2" x14ac:dyDescent="0.4">
      <c r="A478" s="1">
        <v>35886</v>
      </c>
      <c r="B478">
        <v>368.61</v>
      </c>
    </row>
    <row r="479" spans="1:2" x14ac:dyDescent="0.4">
      <c r="A479" s="1">
        <v>35916</v>
      </c>
      <c r="B479">
        <v>369.3</v>
      </c>
    </row>
    <row r="480" spans="1:2" x14ac:dyDescent="0.4">
      <c r="A480" s="1">
        <v>35947</v>
      </c>
      <c r="B480">
        <v>368.88</v>
      </c>
    </row>
    <row r="481" spans="1:2" x14ac:dyDescent="0.4">
      <c r="A481" s="1">
        <v>35977</v>
      </c>
      <c r="B481">
        <v>367.64</v>
      </c>
    </row>
    <row r="482" spans="1:2" x14ac:dyDescent="0.4">
      <c r="A482" s="1">
        <v>36008</v>
      </c>
      <c r="B482">
        <v>365.78</v>
      </c>
    </row>
    <row r="483" spans="1:2" x14ac:dyDescent="0.4">
      <c r="A483" s="1">
        <v>36039</v>
      </c>
      <c r="B483">
        <v>363.9</v>
      </c>
    </row>
    <row r="484" spans="1:2" x14ac:dyDescent="0.4">
      <c r="A484" s="1">
        <v>36069</v>
      </c>
      <c r="B484">
        <v>364.23</v>
      </c>
    </row>
    <row r="485" spans="1:2" x14ac:dyDescent="0.4">
      <c r="A485" s="1">
        <v>36100</v>
      </c>
      <c r="B485">
        <v>365.46</v>
      </c>
    </row>
    <row r="486" spans="1:2" x14ac:dyDescent="0.4">
      <c r="A486" s="1">
        <v>36130</v>
      </c>
      <c r="B486">
        <v>366.97</v>
      </c>
    </row>
    <row r="487" spans="1:2" x14ac:dyDescent="0.4">
      <c r="A487" s="1">
        <v>36161</v>
      </c>
      <c r="B487">
        <v>368.15</v>
      </c>
    </row>
    <row r="488" spans="1:2" x14ac:dyDescent="0.4">
      <c r="A488" s="1">
        <v>36192</v>
      </c>
      <c r="B488">
        <v>368.87</v>
      </c>
    </row>
    <row r="489" spans="1:2" x14ac:dyDescent="0.4">
      <c r="A489" s="1">
        <v>36220</v>
      </c>
      <c r="B489">
        <v>369.59</v>
      </c>
    </row>
    <row r="490" spans="1:2" x14ac:dyDescent="0.4">
      <c r="A490" s="1">
        <v>36251</v>
      </c>
      <c r="B490">
        <v>371.14</v>
      </c>
    </row>
    <row r="491" spans="1:2" x14ac:dyDescent="0.4">
      <c r="A491" s="1">
        <v>36281</v>
      </c>
      <c r="B491">
        <v>371</v>
      </c>
    </row>
    <row r="492" spans="1:2" x14ac:dyDescent="0.4">
      <c r="A492" s="1">
        <v>36312</v>
      </c>
      <c r="B492">
        <v>370.35</v>
      </c>
    </row>
    <row r="493" spans="1:2" x14ac:dyDescent="0.4">
      <c r="A493" s="1">
        <v>36342</v>
      </c>
      <c r="B493">
        <v>369.27</v>
      </c>
    </row>
    <row r="494" spans="1:2" x14ac:dyDescent="0.4">
      <c r="A494" s="1">
        <v>36373</v>
      </c>
      <c r="B494">
        <v>366.93</v>
      </c>
    </row>
    <row r="495" spans="1:2" x14ac:dyDescent="0.4">
      <c r="A495" s="1">
        <v>36404</v>
      </c>
      <c r="B495">
        <v>364.64</v>
      </c>
    </row>
    <row r="496" spans="1:2" x14ac:dyDescent="0.4">
      <c r="A496" s="1">
        <v>36434</v>
      </c>
      <c r="B496">
        <v>365.13</v>
      </c>
    </row>
    <row r="497" spans="1:2" x14ac:dyDescent="0.4">
      <c r="A497" s="1">
        <v>36465</v>
      </c>
      <c r="B497">
        <v>366.68</v>
      </c>
    </row>
    <row r="498" spans="1:2" x14ac:dyDescent="0.4">
      <c r="A498" s="1">
        <v>36495</v>
      </c>
      <c r="B498">
        <v>368</v>
      </c>
    </row>
    <row r="499" spans="1:2" x14ac:dyDescent="0.4">
      <c r="A499" s="1">
        <v>36526</v>
      </c>
      <c r="B499">
        <v>369.14</v>
      </c>
    </row>
    <row r="500" spans="1:2" x14ac:dyDescent="0.4">
      <c r="A500" s="1">
        <v>36557</v>
      </c>
      <c r="B500">
        <v>369.46</v>
      </c>
    </row>
    <row r="501" spans="1:2" x14ac:dyDescent="0.4">
      <c r="A501" s="1">
        <v>36586</v>
      </c>
      <c r="B501">
        <v>370.51</v>
      </c>
    </row>
    <row r="502" spans="1:2" x14ac:dyDescent="0.4">
      <c r="A502" s="1">
        <v>36617</v>
      </c>
      <c r="B502">
        <v>371.66</v>
      </c>
    </row>
    <row r="503" spans="1:2" x14ac:dyDescent="0.4">
      <c r="A503" s="1">
        <v>36647</v>
      </c>
      <c r="B503">
        <v>371.83</v>
      </c>
    </row>
    <row r="504" spans="1:2" x14ac:dyDescent="0.4">
      <c r="A504" s="1">
        <v>36678</v>
      </c>
      <c r="B504">
        <v>371.69</v>
      </c>
    </row>
    <row r="505" spans="1:2" x14ac:dyDescent="0.4">
      <c r="A505" s="1">
        <v>36708</v>
      </c>
      <c r="B505">
        <v>370.12</v>
      </c>
    </row>
    <row r="506" spans="1:2" x14ac:dyDescent="0.4">
      <c r="A506" s="1">
        <v>36739</v>
      </c>
      <c r="B506">
        <v>368.12</v>
      </c>
    </row>
    <row r="507" spans="1:2" x14ac:dyDescent="0.4">
      <c r="A507" s="1">
        <v>36770</v>
      </c>
      <c r="B507">
        <v>366.62</v>
      </c>
    </row>
    <row r="508" spans="1:2" x14ac:dyDescent="0.4">
      <c r="A508" s="1">
        <v>36800</v>
      </c>
      <c r="B508">
        <v>366.73</v>
      </c>
    </row>
    <row r="509" spans="1:2" x14ac:dyDescent="0.4">
      <c r="A509" s="1">
        <v>36831</v>
      </c>
      <c r="B509">
        <v>368.29</v>
      </c>
    </row>
    <row r="510" spans="1:2" x14ac:dyDescent="0.4">
      <c r="A510" s="1">
        <v>36861</v>
      </c>
      <c r="B510">
        <v>369.52</v>
      </c>
    </row>
    <row r="511" spans="1:2" x14ac:dyDescent="0.4">
      <c r="A511" s="1">
        <v>36892</v>
      </c>
      <c r="B511">
        <v>370.28</v>
      </c>
    </row>
    <row r="512" spans="1:2" x14ac:dyDescent="0.4">
      <c r="A512" s="1">
        <v>36923</v>
      </c>
      <c r="B512">
        <v>371.5</v>
      </c>
    </row>
    <row r="513" spans="1:2" x14ac:dyDescent="0.4">
      <c r="A513" s="1">
        <v>36951</v>
      </c>
      <c r="B513">
        <v>372.12</v>
      </c>
    </row>
    <row r="514" spans="1:2" x14ac:dyDescent="0.4">
      <c r="A514" s="1">
        <v>36982</v>
      </c>
      <c r="B514">
        <v>372.86</v>
      </c>
    </row>
    <row r="515" spans="1:2" x14ac:dyDescent="0.4">
      <c r="A515" s="1">
        <v>37012</v>
      </c>
      <c r="B515">
        <v>374.02</v>
      </c>
    </row>
    <row r="516" spans="1:2" x14ac:dyDescent="0.4">
      <c r="A516" s="1">
        <v>37043</v>
      </c>
      <c r="B516">
        <v>373.31</v>
      </c>
    </row>
    <row r="517" spans="1:2" x14ac:dyDescent="0.4">
      <c r="A517" s="1">
        <v>37073</v>
      </c>
      <c r="B517">
        <v>371.62</v>
      </c>
    </row>
    <row r="518" spans="1:2" x14ac:dyDescent="0.4">
      <c r="A518" s="1">
        <v>37104</v>
      </c>
      <c r="B518">
        <v>369.55</v>
      </c>
    </row>
    <row r="519" spans="1:2" x14ac:dyDescent="0.4">
      <c r="A519" s="1">
        <v>37135</v>
      </c>
      <c r="B519">
        <v>367.96</v>
      </c>
    </row>
    <row r="520" spans="1:2" x14ac:dyDescent="0.4">
      <c r="A520" s="1">
        <v>37165</v>
      </c>
      <c r="B520">
        <v>368.09</v>
      </c>
    </row>
    <row r="521" spans="1:2" x14ac:dyDescent="0.4">
      <c r="A521" s="1">
        <v>37196</v>
      </c>
      <c r="B521">
        <v>369.68</v>
      </c>
    </row>
    <row r="522" spans="1:2" x14ac:dyDescent="0.4">
      <c r="A522" s="1">
        <v>37226</v>
      </c>
      <c r="B522">
        <v>371.24</v>
      </c>
    </row>
    <row r="523" spans="1:2" x14ac:dyDescent="0.4">
      <c r="A523" s="1">
        <v>37257</v>
      </c>
      <c r="B523">
        <v>372.44</v>
      </c>
    </row>
    <row r="524" spans="1:2" x14ac:dyDescent="0.4">
      <c r="A524" s="1">
        <v>37288</v>
      </c>
      <c r="B524">
        <v>373.08</v>
      </c>
    </row>
    <row r="525" spans="1:2" x14ac:dyDescent="0.4">
      <c r="A525" s="1">
        <v>37316</v>
      </c>
      <c r="B525">
        <v>373.52</v>
      </c>
    </row>
    <row r="526" spans="1:2" x14ac:dyDescent="0.4">
      <c r="A526" s="1">
        <v>37347</v>
      </c>
      <c r="B526">
        <v>374.85</v>
      </c>
    </row>
    <row r="527" spans="1:2" x14ac:dyDescent="0.4">
      <c r="A527" s="1">
        <v>37377</v>
      </c>
      <c r="B527">
        <v>375.55</v>
      </c>
    </row>
    <row r="528" spans="1:2" x14ac:dyDescent="0.4">
      <c r="A528" s="1">
        <v>37408</v>
      </c>
      <c r="B528">
        <v>375.4</v>
      </c>
    </row>
    <row r="529" spans="1:2" x14ac:dyDescent="0.4">
      <c r="A529" s="1">
        <v>37438</v>
      </c>
      <c r="B529">
        <v>374.02</v>
      </c>
    </row>
    <row r="530" spans="1:2" x14ac:dyDescent="0.4">
      <c r="A530" s="1">
        <v>37469</v>
      </c>
      <c r="B530">
        <v>371.48</v>
      </c>
    </row>
    <row r="531" spans="1:2" x14ac:dyDescent="0.4">
      <c r="A531" s="1">
        <v>37500</v>
      </c>
      <c r="B531">
        <v>370.7</v>
      </c>
    </row>
    <row r="532" spans="1:2" x14ac:dyDescent="0.4">
      <c r="A532" s="1">
        <v>37530</v>
      </c>
      <c r="B532">
        <v>370.25</v>
      </c>
    </row>
    <row r="533" spans="1:2" x14ac:dyDescent="0.4">
      <c r="A533" s="1">
        <v>37561</v>
      </c>
      <c r="B533">
        <v>372.08</v>
      </c>
    </row>
    <row r="534" spans="1:2" x14ac:dyDescent="0.4">
      <c r="A534" s="1">
        <v>37591</v>
      </c>
      <c r="B534">
        <v>373.78</v>
      </c>
    </row>
    <row r="535" spans="1:2" x14ac:dyDescent="0.4">
      <c r="A535" s="1">
        <v>37622</v>
      </c>
      <c r="B535">
        <v>374.68</v>
      </c>
    </row>
    <row r="536" spans="1:2" x14ac:dyDescent="0.4">
      <c r="A536" s="1">
        <v>37653</v>
      </c>
      <c r="B536">
        <v>375.62</v>
      </c>
    </row>
    <row r="537" spans="1:2" x14ac:dyDescent="0.4">
      <c r="A537" s="1">
        <v>37681</v>
      </c>
      <c r="B537">
        <v>376.11</v>
      </c>
    </row>
    <row r="538" spans="1:2" x14ac:dyDescent="0.4">
      <c r="A538" s="1">
        <v>37712</v>
      </c>
      <c r="B538">
        <v>377.65</v>
      </c>
    </row>
    <row r="539" spans="1:2" x14ac:dyDescent="0.4">
      <c r="A539" s="1">
        <v>37742</v>
      </c>
      <c r="B539">
        <v>378.35</v>
      </c>
    </row>
    <row r="540" spans="1:2" x14ac:dyDescent="0.4">
      <c r="A540" s="1">
        <v>37773</v>
      </c>
      <c r="B540">
        <v>378.13</v>
      </c>
    </row>
    <row r="541" spans="1:2" x14ac:dyDescent="0.4">
      <c r="A541" s="1">
        <v>37803</v>
      </c>
      <c r="B541">
        <v>376.6</v>
      </c>
    </row>
    <row r="542" spans="1:2" x14ac:dyDescent="0.4">
      <c r="A542" s="1">
        <v>37834</v>
      </c>
      <c r="B542">
        <v>374.48</v>
      </c>
    </row>
    <row r="543" spans="1:2" x14ac:dyDescent="0.4">
      <c r="A543" s="1">
        <v>37865</v>
      </c>
      <c r="B543">
        <v>372.98</v>
      </c>
    </row>
    <row r="544" spans="1:2" x14ac:dyDescent="0.4">
      <c r="A544" s="1">
        <v>37895</v>
      </c>
      <c r="B544">
        <v>373</v>
      </c>
    </row>
    <row r="545" spans="1:2" x14ac:dyDescent="0.4">
      <c r="A545" s="1">
        <v>37926</v>
      </c>
      <c r="B545">
        <v>374.35</v>
      </c>
    </row>
    <row r="546" spans="1:2" x14ac:dyDescent="0.4">
      <c r="A546" s="1">
        <v>37956</v>
      </c>
      <c r="B546">
        <v>375.69</v>
      </c>
    </row>
    <row r="547" spans="1:2" x14ac:dyDescent="0.4">
      <c r="A547" s="1">
        <v>37987</v>
      </c>
      <c r="B547">
        <v>376.79</v>
      </c>
    </row>
    <row r="548" spans="1:2" x14ac:dyDescent="0.4">
      <c r="A548" s="1">
        <v>38018</v>
      </c>
      <c r="B548">
        <v>377.37</v>
      </c>
    </row>
    <row r="549" spans="1:2" x14ac:dyDescent="0.4">
      <c r="A549" s="1">
        <v>38047</v>
      </c>
      <c r="B549">
        <v>378.39</v>
      </c>
    </row>
    <row r="550" spans="1:2" x14ac:dyDescent="0.4">
      <c r="A550" s="1">
        <v>38078</v>
      </c>
      <c r="B550">
        <v>380.5</v>
      </c>
    </row>
    <row r="551" spans="1:2" x14ac:dyDescent="0.4">
      <c r="A551" s="1">
        <v>38108</v>
      </c>
      <c r="B551">
        <v>380.62</v>
      </c>
    </row>
    <row r="552" spans="1:2" x14ac:dyDescent="0.4">
      <c r="A552" s="1">
        <v>38139</v>
      </c>
      <c r="B552">
        <v>379.55</v>
      </c>
    </row>
    <row r="553" spans="1:2" x14ac:dyDescent="0.4">
      <c r="A553" s="1">
        <v>38169</v>
      </c>
      <c r="B553">
        <v>377.76</v>
      </c>
    </row>
    <row r="554" spans="1:2" x14ac:dyDescent="0.4">
      <c r="A554" s="1">
        <v>38200</v>
      </c>
      <c r="B554">
        <v>375.83</v>
      </c>
    </row>
    <row r="555" spans="1:2" x14ac:dyDescent="0.4">
      <c r="A555" s="1">
        <v>38231</v>
      </c>
      <c r="B555">
        <v>374.05</v>
      </c>
    </row>
    <row r="556" spans="1:2" x14ac:dyDescent="0.4">
      <c r="A556" s="1">
        <v>38261</v>
      </c>
      <c r="B556">
        <v>374.22</v>
      </c>
    </row>
    <row r="557" spans="1:2" x14ac:dyDescent="0.4">
      <c r="A557" s="1">
        <v>38292</v>
      </c>
      <c r="B557">
        <v>375.84</v>
      </c>
    </row>
    <row r="558" spans="1:2" x14ac:dyDescent="0.4">
      <c r="A558" s="1">
        <v>38322</v>
      </c>
      <c r="B558">
        <v>377.44</v>
      </c>
    </row>
    <row r="559" spans="1:2" x14ac:dyDescent="0.4">
      <c r="A559" s="1">
        <v>38353</v>
      </c>
      <c r="B559">
        <v>378.34</v>
      </c>
    </row>
    <row r="560" spans="1:2" x14ac:dyDescent="0.4">
      <c r="A560" s="1">
        <v>38384</v>
      </c>
      <c r="B560">
        <v>379.61</v>
      </c>
    </row>
    <row r="561" spans="1:2" x14ac:dyDescent="0.4">
      <c r="A561" s="1">
        <v>38412</v>
      </c>
      <c r="B561">
        <v>380.08</v>
      </c>
    </row>
    <row r="562" spans="1:2" x14ac:dyDescent="0.4">
      <c r="A562" s="1">
        <v>38443</v>
      </c>
      <c r="B562">
        <v>382.05</v>
      </c>
    </row>
    <row r="563" spans="1:2" x14ac:dyDescent="0.4">
      <c r="A563" s="1">
        <v>38473</v>
      </c>
      <c r="B563">
        <v>382.24</v>
      </c>
    </row>
    <row r="564" spans="1:2" x14ac:dyDescent="0.4">
      <c r="A564" s="1">
        <v>38504</v>
      </c>
      <c r="B564">
        <v>382.08</v>
      </c>
    </row>
    <row r="565" spans="1:2" x14ac:dyDescent="0.4">
      <c r="A565" s="1">
        <v>38534</v>
      </c>
      <c r="B565">
        <v>380.66</v>
      </c>
    </row>
    <row r="566" spans="1:2" x14ac:dyDescent="0.4">
      <c r="A566" s="1">
        <v>38565</v>
      </c>
      <c r="B566">
        <v>378.67</v>
      </c>
    </row>
    <row r="567" spans="1:2" x14ac:dyDescent="0.4">
      <c r="A567" s="1">
        <v>38596</v>
      </c>
      <c r="B567">
        <v>376.42</v>
      </c>
    </row>
    <row r="568" spans="1:2" x14ac:dyDescent="0.4">
      <c r="A568" s="1">
        <v>38626</v>
      </c>
      <c r="B568">
        <v>376.8</v>
      </c>
    </row>
    <row r="569" spans="1:2" x14ac:dyDescent="0.4">
      <c r="A569" s="1">
        <v>38657</v>
      </c>
      <c r="B569">
        <v>378.31</v>
      </c>
    </row>
    <row r="570" spans="1:2" x14ac:dyDescent="0.4">
      <c r="A570" s="1">
        <v>38687</v>
      </c>
      <c r="B570">
        <v>379.96</v>
      </c>
    </row>
    <row r="571" spans="1:2" x14ac:dyDescent="0.4">
      <c r="A571" s="1">
        <v>38718</v>
      </c>
      <c r="B571">
        <v>381.37</v>
      </c>
    </row>
    <row r="572" spans="1:2" x14ac:dyDescent="0.4">
      <c r="A572" s="1">
        <v>38749</v>
      </c>
      <c r="B572">
        <v>382.02</v>
      </c>
    </row>
    <row r="573" spans="1:2" x14ac:dyDescent="0.4">
      <c r="A573" s="1">
        <v>38777</v>
      </c>
      <c r="B573">
        <v>382.56</v>
      </c>
    </row>
    <row r="574" spans="1:2" x14ac:dyDescent="0.4">
      <c r="A574" s="1">
        <v>38808</v>
      </c>
      <c r="B574">
        <v>384.36</v>
      </c>
    </row>
    <row r="575" spans="1:2" x14ac:dyDescent="0.4">
      <c r="A575" s="1">
        <v>38838</v>
      </c>
      <c r="B575">
        <v>384.92</v>
      </c>
    </row>
    <row r="576" spans="1:2" x14ac:dyDescent="0.4">
      <c r="A576" s="1">
        <v>38869</v>
      </c>
      <c r="B576">
        <v>384.03</v>
      </c>
    </row>
    <row r="577" spans="1:2" x14ac:dyDescent="0.4">
      <c r="A577" s="1">
        <v>38899</v>
      </c>
      <c r="B577">
        <v>382.28</v>
      </c>
    </row>
    <row r="578" spans="1:2" x14ac:dyDescent="0.4">
      <c r="A578" s="1">
        <v>38930</v>
      </c>
      <c r="B578">
        <v>380.48</v>
      </c>
    </row>
    <row r="579" spans="1:2" x14ac:dyDescent="0.4">
      <c r="A579" s="1">
        <v>38961</v>
      </c>
      <c r="B579">
        <v>378.81</v>
      </c>
    </row>
    <row r="580" spans="1:2" x14ac:dyDescent="0.4">
      <c r="A580" s="1">
        <v>38991</v>
      </c>
      <c r="B580">
        <v>379.06</v>
      </c>
    </row>
    <row r="581" spans="1:2" x14ac:dyDescent="0.4">
      <c r="A581" s="1">
        <v>39022</v>
      </c>
      <c r="B581">
        <v>380.14</v>
      </c>
    </row>
    <row r="582" spans="1:2" x14ac:dyDescent="0.4">
      <c r="A582" s="1">
        <v>39052</v>
      </c>
      <c r="B582">
        <v>381.66</v>
      </c>
    </row>
    <row r="583" spans="1:2" x14ac:dyDescent="0.4">
      <c r="A583" s="1">
        <v>39083</v>
      </c>
      <c r="B583">
        <v>382.58</v>
      </c>
    </row>
    <row r="584" spans="1:2" x14ac:dyDescent="0.4">
      <c r="A584" s="1">
        <v>39114</v>
      </c>
      <c r="B584">
        <v>383.71</v>
      </c>
    </row>
    <row r="585" spans="1:2" x14ac:dyDescent="0.4">
      <c r="A585" s="1">
        <v>39142</v>
      </c>
      <c r="B585">
        <v>384.34</v>
      </c>
    </row>
    <row r="586" spans="1:2" x14ac:dyDescent="0.4">
      <c r="A586" s="1">
        <v>39173</v>
      </c>
      <c r="B586">
        <v>386.23</v>
      </c>
    </row>
    <row r="587" spans="1:2" x14ac:dyDescent="0.4">
      <c r="A587" s="1">
        <v>39203</v>
      </c>
      <c r="B587">
        <v>386.41</v>
      </c>
    </row>
    <row r="588" spans="1:2" x14ac:dyDescent="0.4">
      <c r="A588" s="1">
        <v>39234</v>
      </c>
      <c r="B588">
        <v>385.87</v>
      </c>
    </row>
    <row r="589" spans="1:2" x14ac:dyDescent="0.4">
      <c r="A589" s="1">
        <v>39264</v>
      </c>
      <c r="B589">
        <v>384.44</v>
      </c>
    </row>
    <row r="590" spans="1:2" x14ac:dyDescent="0.4">
      <c r="A590" s="1">
        <v>39295</v>
      </c>
      <c r="B590">
        <v>381.84</v>
      </c>
    </row>
    <row r="591" spans="1:2" x14ac:dyDescent="0.4">
      <c r="A591" s="1">
        <v>39326</v>
      </c>
      <c r="B591">
        <v>380.86</v>
      </c>
    </row>
    <row r="592" spans="1:2" x14ac:dyDescent="0.4">
      <c r="A592" s="1">
        <v>39356</v>
      </c>
      <c r="B592">
        <v>380.86</v>
      </c>
    </row>
    <row r="593" spans="1:2" x14ac:dyDescent="0.4">
      <c r="A593" s="1">
        <v>39387</v>
      </c>
      <c r="B593">
        <v>382.36</v>
      </c>
    </row>
    <row r="594" spans="1:2" x14ac:dyDescent="0.4">
      <c r="A594" s="1">
        <v>39417</v>
      </c>
      <c r="B594">
        <v>383.61</v>
      </c>
    </row>
    <row r="595" spans="1:2" x14ac:dyDescent="0.4">
      <c r="A595" s="1">
        <v>39448</v>
      </c>
      <c r="B595">
        <v>385.07</v>
      </c>
    </row>
    <row r="596" spans="1:2" x14ac:dyDescent="0.4">
      <c r="A596" s="1">
        <v>39479</v>
      </c>
      <c r="B596">
        <v>385.84</v>
      </c>
    </row>
    <row r="597" spans="1:2" x14ac:dyDescent="0.4">
      <c r="A597" s="1">
        <v>39508</v>
      </c>
      <c r="B597">
        <v>385.83</v>
      </c>
    </row>
    <row r="598" spans="1:2" x14ac:dyDescent="0.4">
      <c r="A598" s="1">
        <v>39539</v>
      </c>
      <c r="B598">
        <v>386.77</v>
      </c>
    </row>
    <row r="599" spans="1:2" x14ac:dyDescent="0.4">
      <c r="A599" s="1">
        <v>39569</v>
      </c>
      <c r="B599">
        <v>388.51</v>
      </c>
    </row>
    <row r="600" spans="1:2" x14ac:dyDescent="0.4">
      <c r="A600" s="1">
        <v>39600</v>
      </c>
      <c r="B600">
        <v>388.05</v>
      </c>
    </row>
    <row r="601" spans="1:2" x14ac:dyDescent="0.4">
      <c r="A601" s="1">
        <v>39630</v>
      </c>
      <c r="B601">
        <v>386.25</v>
      </c>
    </row>
    <row r="602" spans="1:2" x14ac:dyDescent="0.4">
      <c r="A602" s="1">
        <v>39661</v>
      </c>
      <c r="B602">
        <v>384.08</v>
      </c>
    </row>
    <row r="603" spans="1:2" x14ac:dyDescent="0.4">
      <c r="A603" s="1">
        <v>39692</v>
      </c>
      <c r="B603">
        <v>383.09</v>
      </c>
    </row>
    <row r="604" spans="1:2" x14ac:dyDescent="0.4">
      <c r="A604" s="1">
        <v>39722</v>
      </c>
      <c r="B604">
        <v>382.78</v>
      </c>
    </row>
    <row r="605" spans="1:2" x14ac:dyDescent="0.4">
      <c r="A605" s="1">
        <v>39753</v>
      </c>
      <c r="B605">
        <v>384.01</v>
      </c>
    </row>
    <row r="606" spans="1:2" x14ac:dyDescent="0.4">
      <c r="A606" s="1">
        <v>39783</v>
      </c>
      <c r="B606">
        <v>385.11</v>
      </c>
    </row>
    <row r="607" spans="1:2" x14ac:dyDescent="0.4">
      <c r="A607" s="1">
        <v>39814</v>
      </c>
      <c r="B607">
        <v>386.65</v>
      </c>
    </row>
    <row r="608" spans="1:2" x14ac:dyDescent="0.4">
      <c r="A608" s="1">
        <v>39845</v>
      </c>
      <c r="B608">
        <v>387.12</v>
      </c>
    </row>
    <row r="609" spans="1:2" x14ac:dyDescent="0.4">
      <c r="A609" s="1">
        <v>39873</v>
      </c>
      <c r="B609">
        <v>388.52</v>
      </c>
    </row>
    <row r="610" spans="1:2" x14ac:dyDescent="0.4">
      <c r="A610" s="1">
        <v>39904</v>
      </c>
      <c r="B610">
        <v>389.57</v>
      </c>
    </row>
    <row r="611" spans="1:2" x14ac:dyDescent="0.4">
      <c r="A611" s="1">
        <v>39934</v>
      </c>
      <c r="B611">
        <v>390.17</v>
      </c>
    </row>
    <row r="612" spans="1:2" x14ac:dyDescent="0.4">
      <c r="A612" s="1">
        <v>39965</v>
      </c>
      <c r="B612">
        <v>389.62</v>
      </c>
    </row>
    <row r="613" spans="1:2" x14ac:dyDescent="0.4">
      <c r="A613" s="1">
        <v>39995</v>
      </c>
      <c r="B613">
        <v>388.07</v>
      </c>
    </row>
    <row r="614" spans="1:2" x14ac:dyDescent="0.4">
      <c r="A614" s="1">
        <v>40026</v>
      </c>
      <c r="B614">
        <v>386.08</v>
      </c>
    </row>
    <row r="615" spans="1:2" x14ac:dyDescent="0.4">
      <c r="A615" s="1">
        <v>40057</v>
      </c>
      <c r="B615">
        <v>384.65</v>
      </c>
    </row>
    <row r="616" spans="1:2" x14ac:dyDescent="0.4">
      <c r="A616" s="1">
        <v>40087</v>
      </c>
      <c r="B616">
        <v>384.33</v>
      </c>
    </row>
    <row r="617" spans="1:2" x14ac:dyDescent="0.4">
      <c r="A617" s="1">
        <v>40118</v>
      </c>
      <c r="B617">
        <v>386.05</v>
      </c>
    </row>
    <row r="618" spans="1:2" x14ac:dyDescent="0.4">
      <c r="A618" s="1">
        <v>40148</v>
      </c>
      <c r="B618">
        <v>387.49</v>
      </c>
    </row>
    <row r="619" spans="1:2" x14ac:dyDescent="0.4">
      <c r="A619" s="1">
        <v>40179</v>
      </c>
      <c r="B619">
        <v>388.55</v>
      </c>
    </row>
    <row r="620" spans="1:2" x14ac:dyDescent="0.4">
      <c r="A620" s="1">
        <v>40210</v>
      </c>
      <c r="B620">
        <v>390.08</v>
      </c>
    </row>
    <row r="621" spans="1:2" x14ac:dyDescent="0.4">
      <c r="A621" s="1">
        <v>40238</v>
      </c>
      <c r="B621">
        <v>391.01</v>
      </c>
    </row>
    <row r="622" spans="1:2" x14ac:dyDescent="0.4">
      <c r="A622" s="1">
        <v>40269</v>
      </c>
      <c r="B622">
        <v>392.38</v>
      </c>
    </row>
    <row r="623" spans="1:2" x14ac:dyDescent="0.4">
      <c r="A623" s="1">
        <v>40299</v>
      </c>
      <c r="B623">
        <v>393.22</v>
      </c>
    </row>
    <row r="624" spans="1:2" x14ac:dyDescent="0.4">
      <c r="A624" s="1">
        <v>40330</v>
      </c>
      <c r="B624">
        <v>392.24</v>
      </c>
    </row>
    <row r="625" spans="1:2" x14ac:dyDescent="0.4">
      <c r="A625" s="1">
        <v>40360</v>
      </c>
      <c r="B625">
        <v>390.33</v>
      </c>
    </row>
    <row r="626" spans="1:2" x14ac:dyDescent="0.4">
      <c r="A626" s="1">
        <v>40391</v>
      </c>
      <c r="B626">
        <v>388.52</v>
      </c>
    </row>
    <row r="627" spans="1:2" x14ac:dyDescent="0.4">
      <c r="A627" s="1">
        <v>40422</v>
      </c>
      <c r="B627">
        <v>386.84</v>
      </c>
    </row>
    <row r="628" spans="1:2" x14ac:dyDescent="0.4">
      <c r="A628" s="1">
        <v>40452</v>
      </c>
      <c r="B628">
        <v>387.16</v>
      </c>
    </row>
    <row r="629" spans="1:2" x14ac:dyDescent="0.4">
      <c r="A629" s="1">
        <v>40483</v>
      </c>
      <c r="B629">
        <v>388.67</v>
      </c>
    </row>
    <row r="630" spans="1:2" x14ac:dyDescent="0.4">
      <c r="A630" s="1">
        <v>40513</v>
      </c>
      <c r="B630">
        <v>389.81</v>
      </c>
    </row>
    <row r="631" spans="1:2" x14ac:dyDescent="0.4">
      <c r="A631" s="1">
        <v>40544</v>
      </c>
      <c r="B631">
        <v>391.3</v>
      </c>
    </row>
    <row r="632" spans="1:2" x14ac:dyDescent="0.4">
      <c r="A632" s="1">
        <v>40575</v>
      </c>
      <c r="B632">
        <v>391.92</v>
      </c>
    </row>
    <row r="633" spans="1:2" x14ac:dyDescent="0.4">
      <c r="A633" s="1">
        <v>40603</v>
      </c>
      <c r="B633">
        <v>392.45</v>
      </c>
    </row>
    <row r="634" spans="1:2" x14ac:dyDescent="0.4">
      <c r="A634" s="1">
        <v>40634</v>
      </c>
      <c r="B634">
        <v>393.37</v>
      </c>
    </row>
    <row r="635" spans="1:2" x14ac:dyDescent="0.4">
      <c r="A635" s="1">
        <v>40664</v>
      </c>
      <c r="B635">
        <v>394.28</v>
      </c>
    </row>
    <row r="636" spans="1:2" x14ac:dyDescent="0.4">
      <c r="A636" s="1">
        <v>40695</v>
      </c>
      <c r="B636">
        <v>393.69</v>
      </c>
    </row>
    <row r="637" spans="1:2" x14ac:dyDescent="0.4">
      <c r="A637" s="1">
        <v>40725</v>
      </c>
      <c r="B637">
        <v>392.59</v>
      </c>
    </row>
    <row r="638" spans="1:2" x14ac:dyDescent="0.4">
      <c r="A638" s="1">
        <v>40756</v>
      </c>
      <c r="B638">
        <v>390.21</v>
      </c>
    </row>
    <row r="639" spans="1:2" x14ac:dyDescent="0.4">
      <c r="A639" s="1">
        <v>40787</v>
      </c>
      <c r="B639">
        <v>389</v>
      </c>
    </row>
    <row r="640" spans="1:2" x14ac:dyDescent="0.4">
      <c r="A640" s="1">
        <v>40817</v>
      </c>
      <c r="B640">
        <v>388.93</v>
      </c>
    </row>
    <row r="641" spans="1:2" x14ac:dyDescent="0.4">
      <c r="A641" s="1">
        <v>40848</v>
      </c>
      <c r="B641">
        <v>390.24</v>
      </c>
    </row>
    <row r="642" spans="1:2" x14ac:dyDescent="0.4">
      <c r="A642" s="1">
        <v>40878</v>
      </c>
      <c r="B642">
        <v>391.8</v>
      </c>
    </row>
    <row r="643" spans="1:2" x14ac:dyDescent="0.4">
      <c r="A643" s="1">
        <v>40909</v>
      </c>
      <c r="B643">
        <v>393.07</v>
      </c>
    </row>
    <row r="644" spans="1:2" x14ac:dyDescent="0.4">
      <c r="A644" s="1">
        <v>40940</v>
      </c>
      <c r="B644">
        <v>393.35</v>
      </c>
    </row>
    <row r="645" spans="1:2" x14ac:dyDescent="0.4">
      <c r="A645" s="1">
        <v>40969</v>
      </c>
      <c r="B645">
        <v>394.36</v>
      </c>
    </row>
    <row r="646" spans="1:2" x14ac:dyDescent="0.4">
      <c r="A646" s="1">
        <v>41000</v>
      </c>
      <c r="B646">
        <v>396.43</v>
      </c>
    </row>
    <row r="647" spans="1:2" x14ac:dyDescent="0.4">
      <c r="A647" s="1">
        <v>41030</v>
      </c>
      <c r="B647">
        <v>396.87</v>
      </c>
    </row>
    <row r="648" spans="1:2" x14ac:dyDescent="0.4">
      <c r="A648" s="1">
        <v>41061</v>
      </c>
      <c r="B648">
        <v>395.88</v>
      </c>
    </row>
    <row r="649" spans="1:2" x14ac:dyDescent="0.4">
      <c r="A649" s="1">
        <v>41091</v>
      </c>
      <c r="B649">
        <v>394.52</v>
      </c>
    </row>
    <row r="650" spans="1:2" x14ac:dyDescent="0.4">
      <c r="A650" s="1">
        <v>41122</v>
      </c>
      <c r="B650">
        <v>392.54</v>
      </c>
    </row>
    <row r="651" spans="1:2" x14ac:dyDescent="0.4">
      <c r="A651" s="1">
        <v>41153</v>
      </c>
      <c r="B651">
        <v>391.13</v>
      </c>
    </row>
    <row r="652" spans="1:2" x14ac:dyDescent="0.4">
      <c r="A652" s="1">
        <v>41183</v>
      </c>
      <c r="B652">
        <v>391.01</v>
      </c>
    </row>
    <row r="653" spans="1:2" x14ac:dyDescent="0.4">
      <c r="A653" s="1">
        <v>41214</v>
      </c>
      <c r="B653">
        <v>392.95</v>
      </c>
    </row>
    <row r="654" spans="1:2" x14ac:dyDescent="0.4">
      <c r="A654" s="1">
        <v>41244</v>
      </c>
      <c r="B654">
        <v>394.33</v>
      </c>
    </row>
    <row r="655" spans="1:2" x14ac:dyDescent="0.4">
      <c r="A655" s="1">
        <v>41275</v>
      </c>
      <c r="B655">
        <v>395.61</v>
      </c>
    </row>
    <row r="656" spans="1:2" x14ac:dyDescent="0.4">
      <c r="A656" s="1">
        <v>41306</v>
      </c>
      <c r="B656">
        <v>396.85</v>
      </c>
    </row>
    <row r="657" spans="1:2" x14ac:dyDescent="0.4">
      <c r="A657" s="1">
        <v>41334</v>
      </c>
      <c r="B657">
        <v>397.26</v>
      </c>
    </row>
    <row r="658" spans="1:2" x14ac:dyDescent="0.4">
      <c r="A658" s="1">
        <v>41365</v>
      </c>
      <c r="B658">
        <v>398.35</v>
      </c>
    </row>
    <row r="659" spans="1:2" x14ac:dyDescent="0.4">
      <c r="A659" s="1">
        <v>41395</v>
      </c>
      <c r="B659">
        <v>399.98</v>
      </c>
    </row>
    <row r="660" spans="1:2" x14ac:dyDescent="0.4">
      <c r="A660" s="1">
        <v>41426</v>
      </c>
      <c r="B660">
        <v>398.87</v>
      </c>
    </row>
    <row r="661" spans="1:2" x14ac:dyDescent="0.4">
      <c r="A661" s="1">
        <v>41456</v>
      </c>
      <c r="B661">
        <v>397.37</v>
      </c>
    </row>
    <row r="662" spans="1:2" x14ac:dyDescent="0.4">
      <c r="A662" s="1">
        <v>41487</v>
      </c>
      <c r="B662">
        <v>395.41</v>
      </c>
    </row>
    <row r="663" spans="1:2" x14ac:dyDescent="0.4">
      <c r="A663" s="1">
        <v>41518</v>
      </c>
      <c r="B663">
        <v>393.39</v>
      </c>
    </row>
    <row r="664" spans="1:2" x14ac:dyDescent="0.4">
      <c r="A664" s="1">
        <v>41548</v>
      </c>
      <c r="B664">
        <v>393.7</v>
      </c>
    </row>
    <row r="665" spans="1:2" x14ac:dyDescent="0.4">
      <c r="A665" s="1">
        <v>41579</v>
      </c>
      <c r="B665">
        <v>395.19</v>
      </c>
    </row>
    <row r="666" spans="1:2" x14ac:dyDescent="0.4">
      <c r="A666" s="1">
        <v>41609</v>
      </c>
      <c r="B666">
        <v>396.82</v>
      </c>
    </row>
    <row r="667" spans="1:2" x14ac:dyDescent="0.4">
      <c r="A667" s="1">
        <v>41640</v>
      </c>
      <c r="B667">
        <v>397.93</v>
      </c>
    </row>
    <row r="668" spans="1:2" x14ac:dyDescent="0.4">
      <c r="A668" s="1">
        <v>41671</v>
      </c>
      <c r="B668">
        <v>398.1</v>
      </c>
    </row>
    <row r="669" spans="1:2" x14ac:dyDescent="0.4">
      <c r="A669" s="1">
        <v>41699</v>
      </c>
      <c r="B669">
        <v>399.47</v>
      </c>
    </row>
    <row r="670" spans="1:2" x14ac:dyDescent="0.4">
      <c r="A670" s="1">
        <v>41730</v>
      </c>
      <c r="B670">
        <v>401.33</v>
      </c>
    </row>
    <row r="671" spans="1:2" x14ac:dyDescent="0.4">
      <c r="A671" s="1">
        <v>41760</v>
      </c>
      <c r="B671">
        <v>401.88</v>
      </c>
    </row>
    <row r="672" spans="1:2" x14ac:dyDescent="0.4">
      <c r="A672" s="1">
        <v>41791</v>
      </c>
      <c r="B672">
        <v>401.31</v>
      </c>
    </row>
    <row r="673" spans="1:2" x14ac:dyDescent="0.4">
      <c r="A673" s="1">
        <v>41821</v>
      </c>
      <c r="B673">
        <v>399.07</v>
      </c>
    </row>
    <row r="674" spans="1:2" x14ac:dyDescent="0.4">
      <c r="A674" s="1">
        <v>41852</v>
      </c>
      <c r="B674">
        <v>397.21</v>
      </c>
    </row>
    <row r="675" spans="1:2" x14ac:dyDescent="0.4">
      <c r="A675" s="1">
        <v>41883</v>
      </c>
      <c r="B675">
        <v>395.4</v>
      </c>
    </row>
    <row r="676" spans="1:2" x14ac:dyDescent="0.4">
      <c r="A676" s="1">
        <v>41913</v>
      </c>
      <c r="B676">
        <v>395.65</v>
      </c>
    </row>
    <row r="677" spans="1:2" x14ac:dyDescent="0.4">
      <c r="A677" s="1">
        <v>41944</v>
      </c>
      <c r="B677">
        <v>397.23</v>
      </c>
    </row>
    <row r="678" spans="1:2" x14ac:dyDescent="0.4">
      <c r="A678" s="1">
        <v>41974</v>
      </c>
      <c r="B678">
        <v>398.79</v>
      </c>
    </row>
    <row r="679" spans="1:2" x14ac:dyDescent="0.4">
      <c r="A679" s="1">
        <v>42005</v>
      </c>
      <c r="B679">
        <v>399.85</v>
      </c>
    </row>
    <row r="680" spans="1:2" x14ac:dyDescent="0.4">
      <c r="A680" s="1">
        <v>42036</v>
      </c>
      <c r="B680">
        <v>400.31</v>
      </c>
    </row>
    <row r="681" spans="1:2" x14ac:dyDescent="0.4">
      <c r="A681" s="1">
        <v>42064</v>
      </c>
      <c r="B681">
        <v>401.51</v>
      </c>
    </row>
    <row r="682" spans="1:2" x14ac:dyDescent="0.4">
      <c r="A682" s="1">
        <v>42095</v>
      </c>
      <c r="B682">
        <v>403.45</v>
      </c>
    </row>
    <row r="683" spans="1:2" x14ac:dyDescent="0.4">
      <c r="A683" s="1">
        <v>42125</v>
      </c>
      <c r="B683">
        <v>404.1</v>
      </c>
    </row>
    <row r="684" spans="1:2" x14ac:dyDescent="0.4">
      <c r="A684" s="1">
        <v>42156</v>
      </c>
      <c r="B684">
        <v>402.88</v>
      </c>
    </row>
    <row r="685" spans="1:2" x14ac:dyDescent="0.4">
      <c r="A685" s="1">
        <v>42186</v>
      </c>
      <c r="B685">
        <v>401.61</v>
      </c>
    </row>
    <row r="686" spans="1:2" x14ac:dyDescent="0.4">
      <c r="A686" s="1">
        <v>42217</v>
      </c>
      <c r="B686">
        <v>399</v>
      </c>
    </row>
    <row r="687" spans="1:2" x14ac:dyDescent="0.4">
      <c r="A687" s="1">
        <v>42248</v>
      </c>
      <c r="B687">
        <v>397.5</v>
      </c>
    </row>
    <row r="688" spans="1:2" x14ac:dyDescent="0.4">
      <c r="A688" s="1">
        <v>42278</v>
      </c>
      <c r="B688">
        <v>398.28</v>
      </c>
    </row>
    <row r="689" spans="1:2" x14ac:dyDescent="0.4">
      <c r="A689" s="1">
        <v>42309</v>
      </c>
      <c r="B689">
        <v>400.24</v>
      </c>
    </row>
    <row r="690" spans="1:2" x14ac:dyDescent="0.4">
      <c r="A690" s="1">
        <v>42339</v>
      </c>
      <c r="B690">
        <v>401.89</v>
      </c>
    </row>
    <row r="691" spans="1:2" x14ac:dyDescent="0.4">
      <c r="A691" s="1">
        <v>42370</v>
      </c>
      <c r="B691">
        <v>402.65</v>
      </c>
    </row>
    <row r="692" spans="1:2" x14ac:dyDescent="0.4">
      <c r="A692" s="1">
        <v>42401</v>
      </c>
      <c r="B692">
        <v>404.16</v>
      </c>
    </row>
    <row r="693" spans="1:2" x14ac:dyDescent="0.4">
      <c r="A693" s="1">
        <v>42430</v>
      </c>
      <c r="B693">
        <v>404.85</v>
      </c>
    </row>
    <row r="694" spans="1:2" x14ac:dyDescent="0.4">
      <c r="A694" s="1">
        <v>42461</v>
      </c>
      <c r="B694">
        <v>407.57</v>
      </c>
    </row>
    <row r="695" spans="1:2" x14ac:dyDescent="0.4">
      <c r="A695" s="1">
        <v>42491</v>
      </c>
      <c r="B695">
        <v>407.66</v>
      </c>
    </row>
    <row r="696" spans="1:2" x14ac:dyDescent="0.4">
      <c r="A696" s="1">
        <v>42522</v>
      </c>
      <c r="B696">
        <v>407</v>
      </c>
    </row>
    <row r="697" spans="1:2" x14ac:dyDescent="0.4">
      <c r="A697" s="1">
        <v>42552</v>
      </c>
      <c r="B697">
        <v>404.5</v>
      </c>
    </row>
    <row r="698" spans="1:2" x14ac:dyDescent="0.4">
      <c r="A698" s="1">
        <v>42583</v>
      </c>
      <c r="B698">
        <v>402.24</v>
      </c>
    </row>
    <row r="699" spans="1:2" x14ac:dyDescent="0.4">
      <c r="A699" s="1">
        <v>42614</v>
      </c>
      <c r="B699">
        <v>401.01</v>
      </c>
    </row>
    <row r="700" spans="1:2" x14ac:dyDescent="0.4">
      <c r="A700" s="1">
        <v>42644</v>
      </c>
      <c r="B700">
        <v>401.5</v>
      </c>
    </row>
    <row r="701" spans="1:2" x14ac:dyDescent="0.4">
      <c r="A701" s="1">
        <v>42675</v>
      </c>
      <c r="B701">
        <v>403.64</v>
      </c>
    </row>
    <row r="702" spans="1:2" x14ac:dyDescent="0.4">
      <c r="A702" s="1">
        <v>42705</v>
      </c>
      <c r="B702">
        <v>404.55</v>
      </c>
    </row>
    <row r="703" spans="1:2" x14ac:dyDescent="0.4">
      <c r="A703" s="1">
        <v>42736</v>
      </c>
      <c r="B703">
        <v>406.07</v>
      </c>
    </row>
    <row r="704" spans="1:2" x14ac:dyDescent="0.4">
      <c r="A704" s="1">
        <v>42767</v>
      </c>
      <c r="B704">
        <v>406.64</v>
      </c>
    </row>
    <row r="705" spans="1:2" x14ac:dyDescent="0.4">
      <c r="A705" s="1">
        <v>42795</v>
      </c>
      <c r="B705">
        <v>407.05</v>
      </c>
    </row>
    <row r="706" spans="1:2" x14ac:dyDescent="0.4">
      <c r="A706" s="1">
        <v>42826</v>
      </c>
      <c r="B706">
        <v>408.95</v>
      </c>
    </row>
    <row r="707" spans="1:2" x14ac:dyDescent="0.4">
      <c r="A707" s="1">
        <v>42856</v>
      </c>
      <c r="B707">
        <v>409.91</v>
      </c>
    </row>
    <row r="708" spans="1:2" x14ac:dyDescent="0.4">
      <c r="A708" s="1">
        <v>42887</v>
      </c>
      <c r="B708">
        <v>409.12</v>
      </c>
    </row>
    <row r="709" spans="1:2" x14ac:dyDescent="0.4">
      <c r="A709" s="1">
        <v>42917</v>
      </c>
      <c r="B709">
        <v>407.2</v>
      </c>
    </row>
    <row r="710" spans="1:2" x14ac:dyDescent="0.4">
      <c r="A710" s="1">
        <v>42948</v>
      </c>
      <c r="B710">
        <v>405.24</v>
      </c>
    </row>
    <row r="711" spans="1:2" x14ac:dyDescent="0.4">
      <c r="A711" s="1">
        <v>42979</v>
      </c>
      <c r="B711">
        <v>403.27</v>
      </c>
    </row>
    <row r="712" spans="1:2" x14ac:dyDescent="0.4">
      <c r="A712" s="1">
        <v>43009</v>
      </c>
      <c r="B712">
        <v>403.64</v>
      </c>
    </row>
    <row r="713" spans="1:2" x14ac:dyDescent="0.4">
      <c r="A713" s="1">
        <v>43040</v>
      </c>
      <c r="B713">
        <v>405.17</v>
      </c>
    </row>
    <row r="714" spans="1:2" x14ac:dyDescent="0.4">
      <c r="A714" s="1">
        <v>43070</v>
      </c>
      <c r="B714">
        <v>406.75</v>
      </c>
    </row>
    <row r="715" spans="1:2" x14ac:dyDescent="0.4">
      <c r="A715" s="1">
        <v>43101</v>
      </c>
      <c r="B715">
        <v>408.05</v>
      </c>
    </row>
    <row r="716" spans="1:2" x14ac:dyDescent="0.4">
      <c r="A716" s="1">
        <v>43132</v>
      </c>
      <c r="B716">
        <v>408.34</v>
      </c>
    </row>
    <row r="717" spans="1:2" x14ac:dyDescent="0.4">
      <c r="A717" s="1">
        <v>43160</v>
      </c>
      <c r="B717">
        <v>409.25</v>
      </c>
    </row>
    <row r="718" spans="1:2" x14ac:dyDescent="0.4">
      <c r="A718" s="1">
        <v>43191</v>
      </c>
      <c r="B718">
        <v>410.3</v>
      </c>
    </row>
    <row r="719" spans="1:2" x14ac:dyDescent="0.4">
      <c r="A719" s="1">
        <v>43221</v>
      </c>
      <c r="B719">
        <v>411.3</v>
      </c>
    </row>
    <row r="720" spans="1:2" x14ac:dyDescent="0.4">
      <c r="A720" s="1">
        <v>43252</v>
      </c>
      <c r="B720">
        <v>410.88</v>
      </c>
    </row>
    <row r="721" spans="1:2" x14ac:dyDescent="0.4">
      <c r="A721" s="1">
        <v>43282</v>
      </c>
      <c r="B721">
        <v>408.9</v>
      </c>
    </row>
    <row r="722" spans="1:2" x14ac:dyDescent="0.4">
      <c r="A722" s="1">
        <v>43313</v>
      </c>
      <c r="B722">
        <v>407.1</v>
      </c>
    </row>
    <row r="723" spans="1:2" x14ac:dyDescent="0.4">
      <c r="A723" s="1">
        <v>43344</v>
      </c>
      <c r="B723">
        <v>405.59</v>
      </c>
    </row>
    <row r="724" spans="1:2" x14ac:dyDescent="0.4">
      <c r="A724" s="1">
        <v>43374</v>
      </c>
      <c r="B724">
        <v>405.99</v>
      </c>
    </row>
    <row r="725" spans="1:2" x14ac:dyDescent="0.4">
      <c r="A725" s="1">
        <v>43405</v>
      </c>
      <c r="B725">
        <v>408.12</v>
      </c>
    </row>
    <row r="726" spans="1:2" x14ac:dyDescent="0.4">
      <c r="A726" s="1">
        <v>43435</v>
      </c>
      <c r="B726">
        <v>409.23</v>
      </c>
    </row>
    <row r="727" spans="1:2" x14ac:dyDescent="0.4">
      <c r="A727" s="1">
        <v>43466</v>
      </c>
      <c r="B727">
        <v>410.92</v>
      </c>
    </row>
    <row r="728" spans="1:2" x14ac:dyDescent="0.4">
      <c r="A728" s="1">
        <v>43497</v>
      </c>
      <c r="B728">
        <v>411.66</v>
      </c>
    </row>
    <row r="729" spans="1:2" x14ac:dyDescent="0.4">
      <c r="A729" s="1">
        <v>43525</v>
      </c>
      <c r="B729">
        <v>412</v>
      </c>
    </row>
    <row r="730" spans="1:2" x14ac:dyDescent="0.4">
      <c r="A730" s="1">
        <v>43556</v>
      </c>
      <c r="B730">
        <v>413.52</v>
      </c>
    </row>
    <row r="731" spans="1:2" x14ac:dyDescent="0.4">
      <c r="A731" s="1">
        <v>43586</v>
      </c>
      <c r="B731">
        <v>414.83</v>
      </c>
    </row>
    <row r="732" spans="1:2" x14ac:dyDescent="0.4">
      <c r="A732" s="1">
        <v>43617</v>
      </c>
      <c r="B732">
        <v>413.96</v>
      </c>
    </row>
    <row r="733" spans="1:2" x14ac:dyDescent="0.4">
      <c r="A733" s="1">
        <v>43647</v>
      </c>
      <c r="B733">
        <v>411.85</v>
      </c>
    </row>
    <row r="734" spans="1:2" x14ac:dyDescent="0.4">
      <c r="A734" s="1">
        <v>43678</v>
      </c>
      <c r="B734">
        <v>410.08</v>
      </c>
    </row>
    <row r="735" spans="1:2" x14ac:dyDescent="0.4">
      <c r="A735" s="1">
        <v>43709</v>
      </c>
      <c r="B735">
        <v>408.55</v>
      </c>
    </row>
    <row r="736" spans="1:2" x14ac:dyDescent="0.4">
      <c r="A736" s="1">
        <v>43739</v>
      </c>
      <c r="B736">
        <v>408.43</v>
      </c>
    </row>
    <row r="737" spans="1:2" x14ac:dyDescent="0.4">
      <c r="A737" s="1">
        <v>43770</v>
      </c>
      <c r="B737">
        <v>410.29</v>
      </c>
    </row>
    <row r="738" spans="1:2" x14ac:dyDescent="0.4">
      <c r="A738" s="1">
        <v>43800</v>
      </c>
      <c r="B738">
        <v>411.85</v>
      </c>
    </row>
    <row r="739" spans="1:2" x14ac:dyDescent="0.4">
      <c r="A739" s="1">
        <v>43831</v>
      </c>
      <c r="B739">
        <v>413.37</v>
      </c>
    </row>
    <row r="740" spans="1:2" x14ac:dyDescent="0.4">
      <c r="A740" s="1">
        <v>43862</v>
      </c>
      <c r="B740">
        <v>414.09</v>
      </c>
    </row>
    <row r="741" spans="1:2" x14ac:dyDescent="0.4">
      <c r="A741" s="1">
        <v>43891</v>
      </c>
      <c r="B741">
        <v>414.51</v>
      </c>
    </row>
    <row r="742" spans="1:2" x14ac:dyDescent="0.4">
      <c r="A742" s="1">
        <v>43922</v>
      </c>
      <c r="B742">
        <v>416.18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C93C-E887-4A30-8467-8CB7A39EC3AE}">
  <dimension ref="A1:P942"/>
  <sheetViews>
    <sheetView workbookViewId="0"/>
  </sheetViews>
  <sheetFormatPr defaultRowHeight="18.75" customHeight="1" x14ac:dyDescent="0.4"/>
  <cols>
    <col min="1" max="1" width="19" style="2" customWidth="1"/>
    <col min="2" max="2" width="12.75" customWidth="1"/>
    <col min="3" max="3" width="10" customWidth="1"/>
    <col min="4" max="4" width="9" customWidth="1"/>
    <col min="5" max="5" width="33.375" customWidth="1"/>
    <col min="6" max="6" width="10.25" bestFit="1" customWidth="1"/>
    <col min="7" max="8" width="7.5" style="14" bestFit="1" customWidth="1"/>
    <col min="9" max="9" width="9.75" bestFit="1" customWidth="1"/>
    <col min="10" max="10" width="5.75" bestFit="1" customWidth="1"/>
    <col min="11" max="11" width="8.375" style="14" bestFit="1" customWidth="1"/>
    <col min="12" max="12" width="7.5" style="14" customWidth="1"/>
    <col min="13" max="13" width="7.25" style="14" bestFit="1" customWidth="1"/>
  </cols>
  <sheetData>
    <row r="1" spans="1:16" ht="18.75" customHeight="1" x14ac:dyDescent="0.4">
      <c r="A1" s="2" t="s">
        <v>20</v>
      </c>
      <c r="B1" s="16" t="s">
        <v>27</v>
      </c>
      <c r="D1" t="s">
        <v>26</v>
      </c>
      <c r="F1" s="3" t="s">
        <v>41</v>
      </c>
      <c r="G1" s="13" t="s">
        <v>1</v>
      </c>
      <c r="H1" s="13" t="s">
        <v>17</v>
      </c>
      <c r="I1" s="3" t="s">
        <v>42</v>
      </c>
      <c r="J1" s="3" t="s">
        <v>9</v>
      </c>
      <c r="K1" s="13" t="s">
        <v>13</v>
      </c>
      <c r="L1" s="13" t="s">
        <v>24</v>
      </c>
      <c r="M1" s="13" t="s">
        <v>15</v>
      </c>
      <c r="O1" s="20" t="s">
        <v>32</v>
      </c>
    </row>
    <row r="2" spans="1:16" ht="18.75" customHeight="1" x14ac:dyDescent="0.4">
      <c r="A2" s="2" t="s">
        <v>2</v>
      </c>
      <c r="B2" s="16" t="s">
        <v>13</v>
      </c>
      <c r="D2" t="s">
        <v>22</v>
      </c>
      <c r="F2" s="1">
        <v>21245</v>
      </c>
      <c r="G2" s="14">
        <v>315.7</v>
      </c>
      <c r="H2" s="14">
        <f t="shared" ref="H2" si="0">_A*F2*F2+_B*F2+_C</f>
        <v>314.61155003735519</v>
      </c>
      <c r="I2" s="14">
        <f>G2-H2</f>
        <v>1.0884499626448019</v>
      </c>
      <c r="J2">
        <f>MONTH(F2)</f>
        <v>3</v>
      </c>
      <c r="K2" s="14" cm="1">
        <f t="array" ref="K2">INDEX(Sm,J2)</f>
        <v>0</v>
      </c>
      <c r="L2" s="14">
        <f>H2+K2</f>
        <v>314.61155003735519</v>
      </c>
      <c r="M2" s="14">
        <f>G2-L2</f>
        <v>1.0884499626448019</v>
      </c>
      <c r="O2" s="21">
        <v>1</v>
      </c>
      <c r="P2" t="s">
        <v>37</v>
      </c>
    </row>
    <row r="3" spans="1:16" ht="18.75" customHeight="1" x14ac:dyDescent="0.4">
      <c r="A3" s="2" t="s">
        <v>39</v>
      </c>
      <c r="B3" s="16" t="s">
        <v>19</v>
      </c>
      <c r="D3" t="s">
        <v>23</v>
      </c>
      <c r="F3" s="1">
        <v>21276</v>
      </c>
      <c r="G3" s="14">
        <v>317.45999999999998</v>
      </c>
      <c r="I3" s="14"/>
      <c r="O3" s="21">
        <v>2</v>
      </c>
      <c r="P3" t="s">
        <v>45</v>
      </c>
    </row>
    <row r="4" spans="1:16" ht="18.75" customHeight="1" x14ac:dyDescent="0.4">
      <c r="F4" s="1">
        <v>21306</v>
      </c>
      <c r="G4" s="14">
        <v>317.51</v>
      </c>
      <c r="I4" s="14"/>
      <c r="O4" s="21"/>
      <c r="P4" t="s">
        <v>46</v>
      </c>
    </row>
    <row r="5" spans="1:16" ht="18.75" customHeight="1" x14ac:dyDescent="0.4">
      <c r="A5" s="4" t="s">
        <v>31</v>
      </c>
      <c r="F5" s="1">
        <v>21367</v>
      </c>
      <c r="G5" s="14">
        <v>315.86</v>
      </c>
      <c r="I5" s="14"/>
      <c r="O5" s="21">
        <v>3</v>
      </c>
      <c r="P5" t="s">
        <v>53</v>
      </c>
    </row>
    <row r="6" spans="1:16" ht="18.75" customHeight="1" x14ac:dyDescent="0.4">
      <c r="A6" s="2" t="s">
        <v>4</v>
      </c>
      <c r="B6" s="17">
        <f>INDEX(LINEST($G$2:$G$742,$F$2:$F$742^{2,1}),1,2)</f>
        <v>9.8047310770192954E-8</v>
      </c>
      <c r="F6" s="1">
        <v>21398</v>
      </c>
      <c r="G6" s="14">
        <v>314.93</v>
      </c>
      <c r="I6" s="14"/>
      <c r="O6" s="21">
        <v>4</v>
      </c>
      <c r="P6" t="s">
        <v>47</v>
      </c>
    </row>
    <row r="7" spans="1:16" ht="18.75" customHeight="1" x14ac:dyDescent="0.4">
      <c r="A7" s="2" t="s">
        <v>5</v>
      </c>
      <c r="B7" s="18">
        <f>INDEX(LINEST($G$2:$G$742,$F$2:$F$742^{2,1}),1,1)</f>
        <v>-2.0821734412079227E-3</v>
      </c>
      <c r="F7" s="1">
        <v>21429</v>
      </c>
      <c r="G7" s="14">
        <v>313.20999999999998</v>
      </c>
      <c r="I7" s="14"/>
      <c r="O7" s="21">
        <v>5</v>
      </c>
      <c r="P7" t="s">
        <v>57</v>
      </c>
    </row>
    <row r="8" spans="1:16" ht="18.75" customHeight="1" x14ac:dyDescent="0.4">
      <c r="A8" s="2" t="s">
        <v>6</v>
      </c>
      <c r="B8" s="19">
        <f>INDEX(LINEST($G$2:$G$742,$F$2:$F$742^{2,1}),1,3)</f>
        <v>314.59366862850817</v>
      </c>
      <c r="F8" s="1">
        <v>21490</v>
      </c>
      <c r="G8" s="14">
        <v>313.33</v>
      </c>
      <c r="I8" s="14"/>
      <c r="O8" s="21"/>
      <c r="P8" t="s">
        <v>56</v>
      </c>
    </row>
    <row r="9" spans="1:16" ht="18.75" customHeight="1" x14ac:dyDescent="0.4">
      <c r="F9" s="1">
        <v>21520</v>
      </c>
      <c r="G9" s="14">
        <v>314.67</v>
      </c>
      <c r="I9" s="14"/>
      <c r="O9" s="21">
        <v>6</v>
      </c>
      <c r="P9" t="s">
        <v>52</v>
      </c>
    </row>
    <row r="10" spans="1:16" ht="18.75" customHeight="1" x14ac:dyDescent="0.4">
      <c r="F10" s="1">
        <v>21551</v>
      </c>
      <c r="G10" s="14">
        <v>315.58</v>
      </c>
      <c r="I10" s="14"/>
      <c r="O10" s="21">
        <v>7</v>
      </c>
      <c r="P10" t="s">
        <v>54</v>
      </c>
    </row>
    <row r="11" spans="1:16" ht="18.75" customHeight="1" x14ac:dyDescent="0.4">
      <c r="F11" s="1">
        <v>21582</v>
      </c>
      <c r="G11" s="14">
        <v>316.49</v>
      </c>
      <c r="I11" s="14"/>
      <c r="O11" s="21">
        <v>8</v>
      </c>
      <c r="P11" t="s">
        <v>55</v>
      </c>
    </row>
    <row r="12" spans="1:16" ht="18.75" customHeight="1" x14ac:dyDescent="0.4">
      <c r="A12" s="4" t="s">
        <v>43</v>
      </c>
      <c r="F12" s="1">
        <v>21610</v>
      </c>
      <c r="G12" s="14">
        <v>316.64999999999998</v>
      </c>
      <c r="I12" s="14"/>
      <c r="O12" s="21">
        <v>9</v>
      </c>
      <c r="P12" t="s">
        <v>48</v>
      </c>
    </row>
    <row r="13" spans="1:16" ht="18.75" customHeight="1" x14ac:dyDescent="0.4">
      <c r="A13" s="2" t="s">
        <v>7</v>
      </c>
      <c r="B13" s="25" t="s">
        <v>14</v>
      </c>
      <c r="D13" s="22"/>
      <c r="F13" s="1">
        <v>21641</v>
      </c>
      <c r="G13" s="14">
        <v>317.72000000000003</v>
      </c>
      <c r="I13" s="14"/>
      <c r="O13" s="21"/>
      <c r="P13" t="s">
        <v>49</v>
      </c>
    </row>
    <row r="14" spans="1:16" ht="18.75" customHeight="1" x14ac:dyDescent="0.4">
      <c r="A14" s="26">
        <v>1</v>
      </c>
      <c r="B14" s="30" t="e">
        <f>AVERAGEIF(J:J,A14,I:I)</f>
        <v>#DIV/0!</v>
      </c>
      <c r="C14" s="27"/>
      <c r="D14" s="22"/>
      <c r="F14" s="1">
        <v>21671</v>
      </c>
      <c r="G14" s="14">
        <v>318.29000000000002</v>
      </c>
      <c r="I14" s="14"/>
      <c r="O14" s="21">
        <v>10</v>
      </c>
      <c r="P14" t="s">
        <v>38</v>
      </c>
    </row>
    <row r="15" spans="1:16" ht="18.75" customHeight="1" x14ac:dyDescent="0.4">
      <c r="A15" s="26">
        <v>2</v>
      </c>
      <c r="B15" s="30"/>
      <c r="C15" s="27"/>
      <c r="D15" s="23"/>
      <c r="F15" s="1">
        <v>21702</v>
      </c>
      <c r="G15" s="14">
        <v>318.14999999999998</v>
      </c>
      <c r="I15" s="14"/>
    </row>
    <row r="16" spans="1:16" ht="18.75" customHeight="1" x14ac:dyDescent="0.4">
      <c r="A16" s="26">
        <v>3</v>
      </c>
      <c r="B16" s="30"/>
      <c r="C16" s="27"/>
      <c r="D16" s="22"/>
      <c r="F16" s="1">
        <v>21732</v>
      </c>
      <c r="G16" s="14">
        <v>316.54000000000002</v>
      </c>
      <c r="I16" s="14"/>
      <c r="O16" t="s">
        <v>50</v>
      </c>
    </row>
    <row r="17" spans="1:9" ht="18.75" customHeight="1" x14ac:dyDescent="0.4">
      <c r="A17" s="26">
        <v>4</v>
      </c>
      <c r="B17" s="30"/>
      <c r="C17" s="27"/>
      <c r="D17" s="22"/>
      <c r="F17" s="1">
        <v>21763</v>
      </c>
      <c r="G17" s="14">
        <v>314.8</v>
      </c>
      <c r="I17" s="14"/>
    </row>
    <row r="18" spans="1:9" ht="18.75" customHeight="1" x14ac:dyDescent="0.4">
      <c r="A18" s="26">
        <v>5</v>
      </c>
      <c r="B18" s="30"/>
      <c r="C18" s="27"/>
      <c r="F18" s="1">
        <v>21794</v>
      </c>
      <c r="G18" s="14">
        <v>313.83999999999997</v>
      </c>
      <c r="I18" s="14"/>
    </row>
    <row r="19" spans="1:9" ht="18.75" customHeight="1" x14ac:dyDescent="0.4">
      <c r="A19" s="26">
        <v>6</v>
      </c>
      <c r="B19" s="30"/>
      <c r="C19" s="27"/>
      <c r="F19" s="1">
        <v>21824</v>
      </c>
      <c r="G19" s="14">
        <v>313.33</v>
      </c>
      <c r="I19" s="14"/>
    </row>
    <row r="20" spans="1:9" ht="18.75" customHeight="1" x14ac:dyDescent="0.4">
      <c r="A20" s="26">
        <v>7</v>
      </c>
      <c r="B20" s="30"/>
      <c r="C20" s="27"/>
      <c r="F20" s="1">
        <v>21855</v>
      </c>
      <c r="G20" s="14">
        <v>314.81</v>
      </c>
      <c r="I20" s="14"/>
    </row>
    <row r="21" spans="1:9" ht="18.75" customHeight="1" x14ac:dyDescent="0.4">
      <c r="A21" s="26">
        <v>8</v>
      </c>
      <c r="B21" s="30"/>
      <c r="C21" s="27"/>
      <c r="F21" s="1">
        <v>21885</v>
      </c>
      <c r="G21" s="14">
        <v>315.58</v>
      </c>
      <c r="I21" s="14"/>
    </row>
    <row r="22" spans="1:9" ht="18.75" customHeight="1" x14ac:dyDescent="0.4">
      <c r="A22" s="26">
        <v>9</v>
      </c>
      <c r="B22" s="30"/>
      <c r="C22" s="27"/>
      <c r="F22" s="1">
        <v>21916</v>
      </c>
      <c r="G22" s="14">
        <v>316.43</v>
      </c>
      <c r="I22" s="14"/>
    </row>
    <row r="23" spans="1:9" ht="18.75" customHeight="1" x14ac:dyDescent="0.4">
      <c r="A23" s="26">
        <v>10</v>
      </c>
      <c r="B23" s="30"/>
      <c r="C23" s="27"/>
      <c r="F23" s="1">
        <v>21947</v>
      </c>
      <c r="G23" s="14">
        <v>316.98</v>
      </c>
      <c r="I23" s="14"/>
    </row>
    <row r="24" spans="1:9" ht="18.75" customHeight="1" x14ac:dyDescent="0.4">
      <c r="A24" s="26">
        <v>11</v>
      </c>
      <c r="B24" s="30"/>
      <c r="C24" s="29"/>
      <c r="D24" s="12"/>
      <c r="F24" s="1">
        <v>21976</v>
      </c>
      <c r="G24" s="14">
        <v>317.58</v>
      </c>
      <c r="I24" s="14"/>
    </row>
    <row r="25" spans="1:9" ht="18.75" customHeight="1" x14ac:dyDescent="0.4">
      <c r="A25" s="26">
        <v>12</v>
      </c>
      <c r="B25" s="30"/>
      <c r="C25" s="27"/>
      <c r="F25" s="1">
        <v>22007</v>
      </c>
      <c r="G25" s="14">
        <v>319.02999999999997</v>
      </c>
      <c r="I25" s="14"/>
    </row>
    <row r="26" spans="1:9" ht="18.75" customHeight="1" x14ac:dyDescent="0.4">
      <c r="A26" s="11">
        <v>13</v>
      </c>
      <c r="B26" s="28" t="e">
        <f>B14</f>
        <v>#DIV/0!</v>
      </c>
      <c r="C26" s="24" t="s">
        <v>51</v>
      </c>
      <c r="F26" s="1">
        <v>22037</v>
      </c>
      <c r="G26" s="14">
        <v>320.04000000000002</v>
      </c>
      <c r="I26" s="14"/>
    </row>
    <row r="27" spans="1:9" ht="18.75" customHeight="1" x14ac:dyDescent="0.4">
      <c r="A27" s="5" t="s">
        <v>8</v>
      </c>
      <c r="B27" s="31" t="e">
        <f>SUM(B14:B25)</f>
        <v>#DIV/0!</v>
      </c>
      <c r="F27" s="1">
        <v>22068</v>
      </c>
      <c r="G27" s="14">
        <v>319.58</v>
      </c>
      <c r="I27" s="14"/>
    </row>
    <row r="28" spans="1:9" ht="18.75" customHeight="1" x14ac:dyDescent="0.4">
      <c r="F28" s="1">
        <v>22098</v>
      </c>
      <c r="G28" s="14">
        <v>318.18</v>
      </c>
      <c r="I28" s="14"/>
    </row>
    <row r="29" spans="1:9" ht="18.75" customHeight="1" x14ac:dyDescent="0.4">
      <c r="A29" s="2" t="s">
        <v>25</v>
      </c>
      <c r="B29" s="31">
        <f>SUMSQ(M:M)/COUNT(M:M)</f>
        <v>1.1847233211814705</v>
      </c>
      <c r="F29" s="1">
        <v>22129</v>
      </c>
      <c r="G29" s="14">
        <v>315.89999999999998</v>
      </c>
      <c r="I29" s="14"/>
    </row>
    <row r="30" spans="1:9" ht="18.75" customHeight="1" x14ac:dyDescent="0.4">
      <c r="F30" s="1">
        <v>22160</v>
      </c>
      <c r="G30" s="14">
        <v>314.17</v>
      </c>
      <c r="I30" s="14"/>
    </row>
    <row r="31" spans="1:9" ht="18.75" customHeight="1" x14ac:dyDescent="0.4">
      <c r="F31" s="1">
        <v>22190</v>
      </c>
      <c r="G31" s="14">
        <v>313.83</v>
      </c>
      <c r="I31" s="14"/>
    </row>
    <row r="32" spans="1:9" ht="18.75" customHeight="1" x14ac:dyDescent="0.4">
      <c r="F32" s="1">
        <v>22221</v>
      </c>
      <c r="G32" s="14">
        <v>315</v>
      </c>
      <c r="I32" s="14"/>
    </row>
    <row r="33" spans="6:9" ht="18.75" customHeight="1" x14ac:dyDescent="0.4">
      <c r="F33" s="1">
        <v>22251</v>
      </c>
      <c r="G33" s="14">
        <v>316.19</v>
      </c>
      <c r="I33" s="14"/>
    </row>
    <row r="34" spans="6:9" ht="18.75" customHeight="1" x14ac:dyDescent="0.4">
      <c r="F34" s="1">
        <v>22282</v>
      </c>
      <c r="G34" s="14">
        <v>316.89999999999998</v>
      </c>
      <c r="I34" s="14"/>
    </row>
    <row r="35" spans="6:9" ht="18.75" customHeight="1" x14ac:dyDescent="0.4">
      <c r="F35" s="1">
        <v>22313</v>
      </c>
      <c r="G35" s="14">
        <v>317.7</v>
      </c>
      <c r="I35" s="14"/>
    </row>
    <row r="36" spans="6:9" ht="18.75" customHeight="1" x14ac:dyDescent="0.4">
      <c r="F36" s="1">
        <v>22341</v>
      </c>
      <c r="G36" s="14">
        <v>318.54000000000002</v>
      </c>
      <c r="I36" s="14"/>
    </row>
    <row r="37" spans="6:9" ht="18.75" customHeight="1" x14ac:dyDescent="0.4">
      <c r="F37" s="1">
        <v>22372</v>
      </c>
      <c r="G37" s="14">
        <v>319.48</v>
      </c>
      <c r="I37" s="14"/>
    </row>
    <row r="38" spans="6:9" ht="18.75" customHeight="1" x14ac:dyDescent="0.4">
      <c r="F38" s="1">
        <v>22402</v>
      </c>
      <c r="G38" s="14">
        <v>320.58</v>
      </c>
      <c r="I38" s="14"/>
    </row>
    <row r="39" spans="6:9" ht="18.75" customHeight="1" x14ac:dyDescent="0.4">
      <c r="F39" s="1">
        <v>22433</v>
      </c>
      <c r="G39" s="14">
        <v>319.77</v>
      </c>
      <c r="I39" s="14"/>
    </row>
    <row r="40" spans="6:9" ht="18.75" customHeight="1" x14ac:dyDescent="0.4">
      <c r="F40" s="1">
        <v>22463</v>
      </c>
      <c r="G40" s="14">
        <v>318.57</v>
      </c>
      <c r="I40" s="14"/>
    </row>
    <row r="41" spans="6:9" ht="18.75" customHeight="1" x14ac:dyDescent="0.4">
      <c r="F41" s="1">
        <v>22494</v>
      </c>
      <c r="G41" s="14">
        <v>316.79000000000002</v>
      </c>
      <c r="I41" s="14"/>
    </row>
    <row r="42" spans="6:9" ht="18.75" customHeight="1" x14ac:dyDescent="0.4">
      <c r="F42" s="1">
        <v>22525</v>
      </c>
      <c r="G42" s="14">
        <v>314.99</v>
      </c>
      <c r="I42" s="14"/>
    </row>
    <row r="43" spans="6:9" ht="18.75" customHeight="1" x14ac:dyDescent="0.4">
      <c r="F43" s="1">
        <v>22555</v>
      </c>
      <c r="G43" s="14">
        <v>315.31</v>
      </c>
      <c r="I43" s="14"/>
    </row>
    <row r="44" spans="6:9" ht="18.75" customHeight="1" x14ac:dyDescent="0.4">
      <c r="F44" s="1">
        <v>22586</v>
      </c>
      <c r="G44" s="14">
        <v>316.10000000000002</v>
      </c>
      <c r="I44" s="14"/>
    </row>
    <row r="45" spans="6:9" ht="18.75" customHeight="1" x14ac:dyDescent="0.4">
      <c r="F45" s="1">
        <v>22616</v>
      </c>
      <c r="G45" s="14">
        <v>317.01</v>
      </c>
      <c r="I45" s="14"/>
    </row>
    <row r="46" spans="6:9" ht="18.75" customHeight="1" x14ac:dyDescent="0.4">
      <c r="F46" s="1">
        <v>22647</v>
      </c>
      <c r="G46" s="14">
        <v>317.94</v>
      </c>
      <c r="I46" s="14"/>
    </row>
    <row r="47" spans="6:9" ht="18.75" customHeight="1" x14ac:dyDescent="0.4">
      <c r="F47" s="1">
        <v>22678</v>
      </c>
      <c r="G47" s="14">
        <v>318.55</v>
      </c>
      <c r="I47" s="14"/>
    </row>
    <row r="48" spans="6:9" ht="18.75" customHeight="1" x14ac:dyDescent="0.4">
      <c r="F48" s="1">
        <v>22706</v>
      </c>
      <c r="G48" s="14">
        <v>319.68</v>
      </c>
      <c r="I48" s="14"/>
    </row>
    <row r="49" spans="6:9" ht="18.75" customHeight="1" x14ac:dyDescent="0.4">
      <c r="F49" s="1">
        <v>22737</v>
      </c>
      <c r="G49" s="14">
        <v>320.57</v>
      </c>
      <c r="I49" s="14"/>
    </row>
    <row r="50" spans="6:9" ht="18.75" customHeight="1" x14ac:dyDescent="0.4">
      <c r="F50" s="1">
        <v>22767</v>
      </c>
      <c r="G50" s="14">
        <v>321.02</v>
      </c>
      <c r="I50" s="14"/>
    </row>
    <row r="51" spans="6:9" ht="18.75" customHeight="1" x14ac:dyDescent="0.4">
      <c r="F51" s="1">
        <v>22798</v>
      </c>
      <c r="G51" s="14">
        <v>320.62</v>
      </c>
      <c r="I51" s="14"/>
    </row>
    <row r="52" spans="6:9" ht="18.75" customHeight="1" x14ac:dyDescent="0.4">
      <c r="F52" s="1">
        <v>22828</v>
      </c>
      <c r="G52" s="14">
        <v>319.61</v>
      </c>
      <c r="I52" s="14"/>
    </row>
    <row r="53" spans="6:9" ht="18.75" customHeight="1" x14ac:dyDescent="0.4">
      <c r="F53" s="1">
        <v>22859</v>
      </c>
      <c r="G53" s="14">
        <v>317.39999999999998</v>
      </c>
      <c r="I53" s="14"/>
    </row>
    <row r="54" spans="6:9" ht="18.75" customHeight="1" x14ac:dyDescent="0.4">
      <c r="F54" s="1">
        <v>22890</v>
      </c>
      <c r="G54" s="14">
        <v>316.25</v>
      </c>
      <c r="I54" s="14"/>
    </row>
    <row r="55" spans="6:9" ht="18.75" customHeight="1" x14ac:dyDescent="0.4">
      <c r="F55" s="1">
        <v>22920</v>
      </c>
      <c r="G55" s="14">
        <v>315.42</v>
      </c>
      <c r="I55" s="14"/>
    </row>
    <row r="56" spans="6:9" ht="18.75" customHeight="1" x14ac:dyDescent="0.4">
      <c r="F56" s="1">
        <v>22951</v>
      </c>
      <c r="G56" s="14">
        <v>316.69</v>
      </c>
      <c r="I56" s="14"/>
    </row>
    <row r="57" spans="6:9" ht="18.75" customHeight="1" x14ac:dyDescent="0.4">
      <c r="F57" s="1">
        <v>22981</v>
      </c>
      <c r="G57" s="14">
        <v>317.7</v>
      </c>
      <c r="I57" s="14"/>
    </row>
    <row r="58" spans="6:9" ht="18.75" customHeight="1" x14ac:dyDescent="0.4">
      <c r="F58" s="1">
        <v>23012</v>
      </c>
      <c r="G58" s="14">
        <v>318.74</v>
      </c>
      <c r="I58" s="14"/>
    </row>
    <row r="59" spans="6:9" ht="18.75" customHeight="1" x14ac:dyDescent="0.4">
      <c r="F59" s="1">
        <v>23043</v>
      </c>
      <c r="G59" s="14">
        <v>319.07</v>
      </c>
      <c r="I59" s="14"/>
    </row>
    <row r="60" spans="6:9" ht="18.75" customHeight="1" x14ac:dyDescent="0.4">
      <c r="F60" s="1">
        <v>23071</v>
      </c>
      <c r="G60" s="14">
        <v>319.86</v>
      </c>
      <c r="I60" s="14"/>
    </row>
    <row r="61" spans="6:9" ht="18.75" customHeight="1" x14ac:dyDescent="0.4">
      <c r="F61" s="1">
        <v>23102</v>
      </c>
      <c r="G61" s="14">
        <v>321.38</v>
      </c>
      <c r="I61" s="14"/>
    </row>
    <row r="62" spans="6:9" ht="18.75" customHeight="1" x14ac:dyDescent="0.4">
      <c r="F62" s="1">
        <v>23132</v>
      </c>
      <c r="G62" s="14">
        <v>322.25</v>
      </c>
      <c r="I62" s="14"/>
    </row>
    <row r="63" spans="6:9" ht="18.75" customHeight="1" x14ac:dyDescent="0.4">
      <c r="F63" s="1">
        <v>23163</v>
      </c>
      <c r="G63" s="14">
        <v>321.48</v>
      </c>
      <c r="I63" s="14"/>
    </row>
    <row r="64" spans="6:9" ht="18.75" customHeight="1" x14ac:dyDescent="0.4">
      <c r="F64" s="1">
        <v>23193</v>
      </c>
      <c r="G64" s="14">
        <v>319.74</v>
      </c>
      <c r="I64" s="14"/>
    </row>
    <row r="65" spans="6:9" ht="18.75" customHeight="1" x14ac:dyDescent="0.4">
      <c r="F65" s="1">
        <v>23224</v>
      </c>
      <c r="G65" s="14">
        <v>317.77</v>
      </c>
      <c r="I65" s="14"/>
    </row>
    <row r="66" spans="6:9" ht="18.75" customHeight="1" x14ac:dyDescent="0.4">
      <c r="F66" s="1">
        <v>23255</v>
      </c>
      <c r="G66" s="14">
        <v>316.20999999999998</v>
      </c>
      <c r="I66" s="14"/>
    </row>
    <row r="67" spans="6:9" ht="18.75" customHeight="1" x14ac:dyDescent="0.4">
      <c r="F67" s="1">
        <v>23285</v>
      </c>
      <c r="G67" s="14">
        <v>315.99</v>
      </c>
      <c r="I67" s="14"/>
    </row>
    <row r="68" spans="6:9" ht="18.75" customHeight="1" x14ac:dyDescent="0.4">
      <c r="F68" s="1">
        <v>23316</v>
      </c>
      <c r="G68" s="14">
        <v>317.07</v>
      </c>
      <c r="I68" s="14"/>
    </row>
    <row r="69" spans="6:9" ht="18.75" customHeight="1" x14ac:dyDescent="0.4">
      <c r="F69" s="1">
        <v>23346</v>
      </c>
      <c r="G69" s="14">
        <v>318.35000000000002</v>
      </c>
      <c r="I69" s="14"/>
    </row>
    <row r="70" spans="6:9" ht="18.75" customHeight="1" x14ac:dyDescent="0.4">
      <c r="F70" s="1">
        <v>23377</v>
      </c>
      <c r="G70" s="14">
        <v>319.57</v>
      </c>
      <c r="I70" s="14"/>
    </row>
    <row r="71" spans="6:9" ht="18.75" customHeight="1" x14ac:dyDescent="0.4">
      <c r="F71" s="1">
        <v>23498</v>
      </c>
      <c r="G71" s="14">
        <v>322.26</v>
      </c>
      <c r="I71" s="14"/>
    </row>
    <row r="72" spans="6:9" ht="18.75" customHeight="1" x14ac:dyDescent="0.4">
      <c r="F72" s="1">
        <v>23529</v>
      </c>
      <c r="G72" s="14">
        <v>321.89</v>
      </c>
      <c r="I72" s="14"/>
    </row>
    <row r="73" spans="6:9" ht="18.75" customHeight="1" x14ac:dyDescent="0.4">
      <c r="F73" s="1">
        <v>23559</v>
      </c>
      <c r="G73" s="14">
        <v>320.44</v>
      </c>
      <c r="I73" s="14"/>
    </row>
    <row r="74" spans="6:9" ht="18.75" customHeight="1" x14ac:dyDescent="0.4">
      <c r="F74" s="1">
        <v>23590</v>
      </c>
      <c r="G74" s="14">
        <v>318.69</v>
      </c>
      <c r="I74" s="14"/>
    </row>
    <row r="75" spans="6:9" ht="18.75" customHeight="1" x14ac:dyDescent="0.4">
      <c r="F75" s="1">
        <v>23621</v>
      </c>
      <c r="G75" s="14">
        <v>316.7</v>
      </c>
      <c r="I75" s="14"/>
    </row>
    <row r="76" spans="6:9" ht="18.75" customHeight="1" x14ac:dyDescent="0.4">
      <c r="F76" s="1">
        <v>23651</v>
      </c>
      <c r="G76" s="14">
        <v>316.87</v>
      </c>
      <c r="I76" s="14"/>
    </row>
    <row r="77" spans="6:9" ht="18.75" customHeight="1" x14ac:dyDescent="0.4">
      <c r="F77" s="1">
        <v>23682</v>
      </c>
      <c r="G77" s="14">
        <v>317.68</v>
      </c>
      <c r="I77" s="14"/>
    </row>
    <row r="78" spans="6:9" ht="18.75" customHeight="1" x14ac:dyDescent="0.4">
      <c r="F78" s="1">
        <v>23712</v>
      </c>
      <c r="G78" s="14">
        <v>318.70999999999998</v>
      </c>
      <c r="I78" s="14"/>
    </row>
    <row r="79" spans="6:9" ht="18.75" customHeight="1" x14ac:dyDescent="0.4">
      <c r="F79" s="1">
        <v>23743</v>
      </c>
      <c r="G79" s="14">
        <v>319.44</v>
      </c>
      <c r="I79" s="14"/>
    </row>
    <row r="80" spans="6:9" ht="18.75" customHeight="1" x14ac:dyDescent="0.4">
      <c r="F80" s="1">
        <v>23774</v>
      </c>
      <c r="G80" s="14">
        <v>320.44</v>
      </c>
      <c r="I80" s="14"/>
    </row>
    <row r="81" spans="6:9" ht="18.75" customHeight="1" x14ac:dyDescent="0.4">
      <c r="F81" s="1">
        <v>23802</v>
      </c>
      <c r="G81" s="14">
        <v>320.89</v>
      </c>
      <c r="I81" s="14"/>
    </row>
    <row r="82" spans="6:9" ht="18.75" customHeight="1" x14ac:dyDescent="0.4">
      <c r="F82" s="1">
        <v>23833</v>
      </c>
      <c r="G82" s="14">
        <v>322.14</v>
      </c>
      <c r="I82" s="14"/>
    </row>
    <row r="83" spans="6:9" ht="18.75" customHeight="1" x14ac:dyDescent="0.4">
      <c r="F83" s="1">
        <v>23863</v>
      </c>
      <c r="G83" s="14">
        <v>322.17</v>
      </c>
      <c r="I83" s="14"/>
    </row>
    <row r="84" spans="6:9" ht="18.75" customHeight="1" x14ac:dyDescent="0.4">
      <c r="F84" s="1">
        <v>23894</v>
      </c>
      <c r="G84" s="14">
        <v>321.87</v>
      </c>
      <c r="I84" s="14"/>
    </row>
    <row r="85" spans="6:9" ht="18.75" customHeight="1" x14ac:dyDescent="0.4">
      <c r="F85" s="1">
        <v>23924</v>
      </c>
      <c r="G85" s="14">
        <v>321.20999999999998</v>
      </c>
      <c r="I85" s="14"/>
    </row>
    <row r="86" spans="6:9" ht="18.75" customHeight="1" x14ac:dyDescent="0.4">
      <c r="F86" s="1">
        <v>23955</v>
      </c>
      <c r="G86" s="14">
        <v>318.87</v>
      </c>
      <c r="I86" s="14"/>
    </row>
    <row r="87" spans="6:9" ht="18.75" customHeight="1" x14ac:dyDescent="0.4">
      <c r="F87" s="1">
        <v>23986</v>
      </c>
      <c r="G87" s="14">
        <v>317.81</v>
      </c>
      <c r="I87" s="14"/>
    </row>
    <row r="88" spans="6:9" ht="18.75" customHeight="1" x14ac:dyDescent="0.4">
      <c r="F88" s="1">
        <v>24016</v>
      </c>
      <c r="G88" s="14">
        <v>317.3</v>
      </c>
      <c r="I88" s="14"/>
    </row>
    <row r="89" spans="6:9" ht="18.75" customHeight="1" x14ac:dyDescent="0.4">
      <c r="F89" s="1">
        <v>24047</v>
      </c>
      <c r="G89" s="14">
        <v>318.87</v>
      </c>
      <c r="I89" s="14"/>
    </row>
    <row r="90" spans="6:9" ht="18.75" customHeight="1" x14ac:dyDescent="0.4">
      <c r="F90" s="1">
        <v>24077</v>
      </c>
      <c r="G90" s="14">
        <v>319.42</v>
      </c>
      <c r="I90" s="14"/>
    </row>
    <row r="91" spans="6:9" ht="18.75" customHeight="1" x14ac:dyDescent="0.4">
      <c r="F91" s="1">
        <v>24108</v>
      </c>
      <c r="G91" s="14">
        <v>320.62</v>
      </c>
      <c r="I91" s="14"/>
    </row>
    <row r="92" spans="6:9" ht="18.75" customHeight="1" x14ac:dyDescent="0.4">
      <c r="F92" s="1">
        <v>24139</v>
      </c>
      <c r="G92" s="14">
        <v>321.60000000000002</v>
      </c>
      <c r="I92" s="14"/>
    </row>
    <row r="93" spans="6:9" ht="18.75" customHeight="1" x14ac:dyDescent="0.4">
      <c r="F93" s="1">
        <v>24167</v>
      </c>
      <c r="G93" s="14">
        <v>322.39</v>
      </c>
      <c r="I93" s="14"/>
    </row>
    <row r="94" spans="6:9" ht="18.75" customHeight="1" x14ac:dyDescent="0.4">
      <c r="F94" s="1">
        <v>24198</v>
      </c>
      <c r="G94" s="14">
        <v>323.7</v>
      </c>
      <c r="I94" s="14"/>
    </row>
    <row r="95" spans="6:9" ht="18.75" customHeight="1" x14ac:dyDescent="0.4">
      <c r="F95" s="1">
        <v>24228</v>
      </c>
      <c r="G95" s="14">
        <v>324.08</v>
      </c>
      <c r="I95" s="14"/>
    </row>
    <row r="96" spans="6:9" ht="18.75" customHeight="1" x14ac:dyDescent="0.4">
      <c r="F96" s="1">
        <v>24259</v>
      </c>
      <c r="G96" s="14">
        <v>323.75</v>
      </c>
      <c r="I96" s="14"/>
    </row>
    <row r="97" spans="6:9" ht="18.75" customHeight="1" x14ac:dyDescent="0.4">
      <c r="F97" s="1">
        <v>24289</v>
      </c>
      <c r="G97" s="14">
        <v>322.38</v>
      </c>
      <c r="I97" s="14"/>
    </row>
    <row r="98" spans="6:9" ht="18.75" customHeight="1" x14ac:dyDescent="0.4">
      <c r="F98" s="1">
        <v>24320</v>
      </c>
      <c r="G98" s="14">
        <v>320.36</v>
      </c>
      <c r="I98" s="14"/>
    </row>
    <row r="99" spans="6:9" ht="18.75" customHeight="1" x14ac:dyDescent="0.4">
      <c r="F99" s="1">
        <v>24351</v>
      </c>
      <c r="G99" s="14">
        <v>318.64</v>
      </c>
      <c r="I99" s="14"/>
    </row>
    <row r="100" spans="6:9" ht="18.75" customHeight="1" x14ac:dyDescent="0.4">
      <c r="F100" s="1">
        <v>24381</v>
      </c>
      <c r="G100" s="14">
        <v>318.10000000000002</v>
      </c>
      <c r="I100" s="14"/>
    </row>
    <row r="101" spans="6:9" ht="18.75" customHeight="1" x14ac:dyDescent="0.4">
      <c r="F101" s="1">
        <v>24412</v>
      </c>
      <c r="G101" s="14">
        <v>319.77999999999997</v>
      </c>
      <c r="I101" s="14"/>
    </row>
    <row r="102" spans="6:9" ht="18.75" customHeight="1" x14ac:dyDescent="0.4">
      <c r="F102" s="1">
        <v>24442</v>
      </c>
      <c r="G102" s="14">
        <v>321.02999999999997</v>
      </c>
      <c r="I102" s="14"/>
    </row>
    <row r="103" spans="6:9" ht="18.75" customHeight="1" x14ac:dyDescent="0.4">
      <c r="F103" s="1">
        <v>24473</v>
      </c>
      <c r="G103" s="14">
        <v>322.33</v>
      </c>
      <c r="I103" s="14"/>
    </row>
    <row r="104" spans="6:9" ht="18.75" customHeight="1" x14ac:dyDescent="0.4">
      <c r="F104" s="1">
        <v>24504</v>
      </c>
      <c r="G104" s="14">
        <v>322.5</v>
      </c>
      <c r="I104" s="14"/>
    </row>
    <row r="105" spans="6:9" ht="18.75" customHeight="1" x14ac:dyDescent="0.4">
      <c r="F105" s="1">
        <v>24532</v>
      </c>
      <c r="G105" s="14">
        <v>323.04000000000002</v>
      </c>
      <c r="I105" s="14"/>
    </row>
    <row r="106" spans="6:9" ht="18.75" customHeight="1" x14ac:dyDescent="0.4">
      <c r="F106" s="1">
        <v>24563</v>
      </c>
      <c r="G106" s="14">
        <v>324.42</v>
      </c>
      <c r="I106" s="14"/>
    </row>
    <row r="107" spans="6:9" ht="18.75" customHeight="1" x14ac:dyDescent="0.4">
      <c r="F107" s="1">
        <v>24593</v>
      </c>
      <c r="G107" s="14">
        <v>325</v>
      </c>
      <c r="I107" s="14"/>
    </row>
    <row r="108" spans="6:9" ht="18.75" customHeight="1" x14ac:dyDescent="0.4">
      <c r="F108" s="1">
        <v>24624</v>
      </c>
      <c r="G108" s="14">
        <v>324.08999999999997</v>
      </c>
      <c r="I108" s="14"/>
    </row>
    <row r="109" spans="6:9" ht="18.75" customHeight="1" x14ac:dyDescent="0.4">
      <c r="F109" s="1">
        <v>24654</v>
      </c>
      <c r="G109" s="14">
        <v>322.54000000000002</v>
      </c>
      <c r="I109" s="14"/>
    </row>
    <row r="110" spans="6:9" ht="18.75" customHeight="1" x14ac:dyDescent="0.4">
      <c r="F110" s="1">
        <v>24685</v>
      </c>
      <c r="G110" s="14">
        <v>320.92</v>
      </c>
      <c r="I110" s="14"/>
    </row>
    <row r="111" spans="6:9" ht="18.75" customHeight="1" x14ac:dyDescent="0.4">
      <c r="F111" s="1">
        <v>24716</v>
      </c>
      <c r="G111" s="14">
        <v>319.25</v>
      </c>
      <c r="I111" s="14"/>
    </row>
    <row r="112" spans="6:9" ht="18.75" customHeight="1" x14ac:dyDescent="0.4">
      <c r="F112" s="1">
        <v>24746</v>
      </c>
      <c r="G112" s="14">
        <v>319.39</v>
      </c>
      <c r="I112" s="14"/>
    </row>
    <row r="113" spans="6:9" ht="18.75" customHeight="1" x14ac:dyDescent="0.4">
      <c r="F113" s="1">
        <v>24777</v>
      </c>
      <c r="G113" s="14">
        <v>320.73</v>
      </c>
      <c r="I113" s="14"/>
    </row>
    <row r="114" spans="6:9" ht="18.75" customHeight="1" x14ac:dyDescent="0.4">
      <c r="F114" s="1">
        <v>24807</v>
      </c>
      <c r="G114" s="14">
        <v>321.95999999999998</v>
      </c>
      <c r="I114" s="14"/>
    </row>
    <row r="115" spans="6:9" ht="18.75" customHeight="1" x14ac:dyDescent="0.4">
      <c r="F115" s="1">
        <v>24838</v>
      </c>
      <c r="G115" s="14">
        <v>322.57</v>
      </c>
      <c r="I115" s="14"/>
    </row>
    <row r="116" spans="6:9" ht="18.75" customHeight="1" x14ac:dyDescent="0.4">
      <c r="F116" s="1">
        <v>24869</v>
      </c>
      <c r="G116" s="14">
        <v>323.14999999999998</v>
      </c>
      <c r="I116" s="14"/>
    </row>
    <row r="117" spans="6:9" ht="18.75" customHeight="1" x14ac:dyDescent="0.4">
      <c r="F117" s="1">
        <v>24898</v>
      </c>
      <c r="G117" s="14">
        <v>323.89</v>
      </c>
      <c r="I117" s="14"/>
    </row>
    <row r="118" spans="6:9" ht="18.75" customHeight="1" x14ac:dyDescent="0.4">
      <c r="F118" s="1">
        <v>24929</v>
      </c>
      <c r="G118" s="14">
        <v>325.02</v>
      </c>
      <c r="I118" s="14"/>
    </row>
    <row r="119" spans="6:9" ht="18.75" customHeight="1" x14ac:dyDescent="0.4">
      <c r="F119" s="1">
        <v>24959</v>
      </c>
      <c r="G119" s="14">
        <v>325.57</v>
      </c>
      <c r="I119" s="14"/>
    </row>
    <row r="120" spans="6:9" ht="18.75" customHeight="1" x14ac:dyDescent="0.4">
      <c r="F120" s="1">
        <v>24990</v>
      </c>
      <c r="G120" s="14">
        <v>325.36</v>
      </c>
      <c r="I120" s="14"/>
    </row>
    <row r="121" spans="6:9" ht="18.75" customHeight="1" x14ac:dyDescent="0.4">
      <c r="F121" s="1">
        <v>25020</v>
      </c>
      <c r="G121" s="14">
        <v>324.14</v>
      </c>
      <c r="I121" s="14"/>
    </row>
    <row r="122" spans="6:9" ht="18.75" customHeight="1" x14ac:dyDescent="0.4">
      <c r="F122" s="1">
        <v>25051</v>
      </c>
      <c r="G122" s="14">
        <v>322.11</v>
      </c>
      <c r="I122" s="14"/>
    </row>
    <row r="123" spans="6:9" ht="18.75" customHeight="1" x14ac:dyDescent="0.4">
      <c r="F123" s="1">
        <v>25082</v>
      </c>
      <c r="G123" s="14">
        <v>320.33</v>
      </c>
      <c r="I123" s="14"/>
    </row>
    <row r="124" spans="6:9" ht="18.75" customHeight="1" x14ac:dyDescent="0.4">
      <c r="F124" s="1">
        <v>25112</v>
      </c>
      <c r="G124" s="14">
        <v>320.25</v>
      </c>
      <c r="I124" s="14"/>
    </row>
    <row r="125" spans="6:9" ht="18.75" customHeight="1" x14ac:dyDescent="0.4">
      <c r="F125" s="1">
        <v>25143</v>
      </c>
      <c r="G125" s="14">
        <v>321.32</v>
      </c>
      <c r="I125" s="14"/>
    </row>
    <row r="126" spans="6:9" ht="18.75" customHeight="1" x14ac:dyDescent="0.4">
      <c r="F126" s="1">
        <v>25173</v>
      </c>
      <c r="G126" s="14">
        <v>322.89</v>
      </c>
      <c r="I126" s="14"/>
    </row>
    <row r="127" spans="6:9" ht="18.75" customHeight="1" x14ac:dyDescent="0.4">
      <c r="F127" s="1">
        <v>25204</v>
      </c>
      <c r="G127" s="14">
        <v>324</v>
      </c>
      <c r="I127" s="14"/>
    </row>
    <row r="128" spans="6:9" ht="18.75" customHeight="1" x14ac:dyDescent="0.4">
      <c r="F128" s="1">
        <v>25235</v>
      </c>
      <c r="G128" s="14">
        <v>324.41000000000003</v>
      </c>
      <c r="I128" s="14"/>
    </row>
    <row r="129" spans="6:9" ht="18.75" customHeight="1" x14ac:dyDescent="0.4">
      <c r="F129" s="1">
        <v>25263</v>
      </c>
      <c r="G129" s="14">
        <v>325.63</v>
      </c>
      <c r="I129" s="14"/>
    </row>
    <row r="130" spans="6:9" ht="18.75" customHeight="1" x14ac:dyDescent="0.4">
      <c r="F130" s="1">
        <v>25294</v>
      </c>
      <c r="G130" s="14">
        <v>326.66000000000003</v>
      </c>
      <c r="I130" s="14"/>
    </row>
    <row r="131" spans="6:9" ht="18.75" customHeight="1" x14ac:dyDescent="0.4">
      <c r="F131" s="1">
        <v>25324</v>
      </c>
      <c r="G131" s="14">
        <v>327.38</v>
      </c>
      <c r="I131" s="14"/>
    </row>
    <row r="132" spans="6:9" ht="18.75" customHeight="1" x14ac:dyDescent="0.4">
      <c r="F132" s="1">
        <v>25355</v>
      </c>
      <c r="G132" s="14">
        <v>326.70999999999998</v>
      </c>
      <c r="I132" s="14"/>
    </row>
    <row r="133" spans="6:9" ht="18.75" customHeight="1" x14ac:dyDescent="0.4">
      <c r="F133" s="1">
        <v>25385</v>
      </c>
      <c r="G133" s="14">
        <v>325.88</v>
      </c>
      <c r="I133" s="14"/>
    </row>
    <row r="134" spans="6:9" ht="18.75" customHeight="1" x14ac:dyDescent="0.4">
      <c r="F134" s="1">
        <v>25416</v>
      </c>
      <c r="G134" s="14">
        <v>323.66000000000003</v>
      </c>
      <c r="I134" s="14"/>
    </row>
    <row r="135" spans="6:9" ht="18.75" customHeight="1" x14ac:dyDescent="0.4">
      <c r="F135" s="1">
        <v>25447</v>
      </c>
      <c r="G135" s="14">
        <v>322.38</v>
      </c>
      <c r="I135" s="14"/>
    </row>
    <row r="136" spans="6:9" ht="18.75" customHeight="1" x14ac:dyDescent="0.4">
      <c r="F136" s="1">
        <v>25477</v>
      </c>
      <c r="G136" s="14">
        <v>321.77999999999997</v>
      </c>
      <c r="I136" s="14"/>
    </row>
    <row r="137" spans="6:9" ht="18.75" customHeight="1" x14ac:dyDescent="0.4">
      <c r="F137" s="1">
        <v>25508</v>
      </c>
      <c r="G137" s="14">
        <v>322.85000000000002</v>
      </c>
      <c r="I137" s="14"/>
    </row>
    <row r="138" spans="6:9" ht="18.75" customHeight="1" x14ac:dyDescent="0.4">
      <c r="F138" s="1">
        <v>25538</v>
      </c>
      <c r="G138" s="14">
        <v>324.12</v>
      </c>
      <c r="I138" s="14"/>
    </row>
    <row r="139" spans="6:9" ht="18.75" customHeight="1" x14ac:dyDescent="0.4">
      <c r="F139" s="1">
        <v>25569</v>
      </c>
      <c r="G139" s="14">
        <v>325.06</v>
      </c>
      <c r="I139" s="14"/>
    </row>
    <row r="140" spans="6:9" ht="18.75" customHeight="1" x14ac:dyDescent="0.4">
      <c r="F140" s="1">
        <v>25600</v>
      </c>
      <c r="G140" s="14">
        <v>325.98</v>
      </c>
      <c r="I140" s="14"/>
    </row>
    <row r="141" spans="6:9" ht="18.75" customHeight="1" x14ac:dyDescent="0.4">
      <c r="F141" s="1">
        <v>25628</v>
      </c>
      <c r="G141" s="14">
        <v>326.93</v>
      </c>
      <c r="I141" s="14"/>
    </row>
    <row r="142" spans="6:9" ht="18.75" customHeight="1" x14ac:dyDescent="0.4">
      <c r="F142" s="1">
        <v>25659</v>
      </c>
      <c r="G142" s="14">
        <v>328.13</v>
      </c>
      <c r="I142" s="14"/>
    </row>
    <row r="143" spans="6:9" ht="18.75" customHeight="1" x14ac:dyDescent="0.4">
      <c r="F143" s="1">
        <v>25689</v>
      </c>
      <c r="G143" s="14">
        <v>328.08</v>
      </c>
      <c r="I143" s="14"/>
    </row>
    <row r="144" spans="6:9" ht="18.75" customHeight="1" x14ac:dyDescent="0.4">
      <c r="F144" s="1">
        <v>25720</v>
      </c>
      <c r="G144" s="14">
        <v>327.67</v>
      </c>
      <c r="I144" s="14"/>
    </row>
    <row r="145" spans="6:9" ht="18.75" customHeight="1" x14ac:dyDescent="0.4">
      <c r="F145" s="1">
        <v>25750</v>
      </c>
      <c r="G145" s="14">
        <v>326.33999999999997</v>
      </c>
      <c r="I145" s="14"/>
    </row>
    <row r="146" spans="6:9" ht="18.75" customHeight="1" x14ac:dyDescent="0.4">
      <c r="F146" s="1">
        <v>25781</v>
      </c>
      <c r="G146" s="14">
        <v>324.69</v>
      </c>
      <c r="I146" s="14"/>
    </row>
    <row r="147" spans="6:9" ht="18.75" customHeight="1" x14ac:dyDescent="0.4">
      <c r="F147" s="1">
        <v>25812</v>
      </c>
      <c r="G147" s="14">
        <v>323.10000000000002</v>
      </c>
      <c r="I147" s="14"/>
    </row>
    <row r="148" spans="6:9" ht="18.75" customHeight="1" x14ac:dyDescent="0.4">
      <c r="F148" s="1">
        <v>25842</v>
      </c>
      <c r="G148" s="14">
        <v>323.06</v>
      </c>
      <c r="I148" s="14"/>
    </row>
    <row r="149" spans="6:9" ht="18.75" customHeight="1" x14ac:dyDescent="0.4">
      <c r="F149" s="1">
        <v>25873</v>
      </c>
      <c r="G149" s="14">
        <v>324.01</v>
      </c>
      <c r="I149" s="14"/>
    </row>
    <row r="150" spans="6:9" ht="18.75" customHeight="1" x14ac:dyDescent="0.4">
      <c r="F150" s="1">
        <v>25903</v>
      </c>
      <c r="G150" s="14">
        <v>325.13</v>
      </c>
      <c r="I150" s="14"/>
    </row>
    <row r="151" spans="6:9" ht="18.75" customHeight="1" x14ac:dyDescent="0.4">
      <c r="F151" s="1">
        <v>25934</v>
      </c>
      <c r="G151" s="14">
        <v>326.17</v>
      </c>
      <c r="I151" s="14"/>
    </row>
    <row r="152" spans="6:9" ht="18.75" customHeight="1" x14ac:dyDescent="0.4">
      <c r="F152" s="1">
        <v>25965</v>
      </c>
      <c r="G152" s="14">
        <v>326.68</v>
      </c>
      <c r="I152" s="14"/>
    </row>
    <row r="153" spans="6:9" ht="18.75" customHeight="1" x14ac:dyDescent="0.4">
      <c r="F153" s="1">
        <v>25993</v>
      </c>
      <c r="G153" s="14">
        <v>327.17</v>
      </c>
      <c r="I153" s="14"/>
    </row>
    <row r="154" spans="6:9" ht="18.75" customHeight="1" x14ac:dyDescent="0.4">
      <c r="F154" s="1">
        <v>26024</v>
      </c>
      <c r="G154" s="14">
        <v>327.79</v>
      </c>
      <c r="I154" s="14"/>
    </row>
    <row r="155" spans="6:9" ht="18.75" customHeight="1" x14ac:dyDescent="0.4">
      <c r="F155" s="1">
        <v>26054</v>
      </c>
      <c r="G155" s="14">
        <v>328.93</v>
      </c>
      <c r="I155" s="14"/>
    </row>
    <row r="156" spans="6:9" ht="18.75" customHeight="1" x14ac:dyDescent="0.4">
      <c r="F156" s="1">
        <v>26085</v>
      </c>
      <c r="G156" s="14">
        <v>328.57</v>
      </c>
      <c r="I156" s="14"/>
    </row>
    <row r="157" spans="6:9" ht="18.75" customHeight="1" x14ac:dyDescent="0.4">
      <c r="F157" s="1">
        <v>26115</v>
      </c>
      <c r="G157" s="14">
        <v>327.36</v>
      </c>
      <c r="I157" s="14"/>
    </row>
    <row r="158" spans="6:9" ht="18.75" customHeight="1" x14ac:dyDescent="0.4">
      <c r="F158" s="1">
        <v>26146</v>
      </c>
      <c r="G158" s="14">
        <v>325.43</v>
      </c>
      <c r="I158" s="14"/>
    </row>
    <row r="159" spans="6:9" ht="18.75" customHeight="1" x14ac:dyDescent="0.4">
      <c r="F159" s="1">
        <v>26177</v>
      </c>
      <c r="G159" s="14">
        <v>323.36</v>
      </c>
      <c r="I159" s="14"/>
    </row>
    <row r="160" spans="6:9" ht="18.75" customHeight="1" x14ac:dyDescent="0.4">
      <c r="F160" s="1">
        <v>26207</v>
      </c>
      <c r="G160" s="14">
        <v>323.56</v>
      </c>
      <c r="I160" s="14"/>
    </row>
    <row r="161" spans="6:9" ht="18.75" customHeight="1" x14ac:dyDescent="0.4">
      <c r="F161" s="1">
        <v>26238</v>
      </c>
      <c r="G161" s="14">
        <v>324.8</v>
      </c>
      <c r="I161" s="14"/>
    </row>
    <row r="162" spans="6:9" ht="18.75" customHeight="1" x14ac:dyDescent="0.4">
      <c r="F162" s="1">
        <v>26268</v>
      </c>
      <c r="G162" s="14">
        <v>326.01</v>
      </c>
      <c r="I162" s="14"/>
    </row>
    <row r="163" spans="6:9" ht="18.75" customHeight="1" x14ac:dyDescent="0.4">
      <c r="F163" s="1">
        <v>26299</v>
      </c>
      <c r="G163" s="14">
        <v>326.77</v>
      </c>
      <c r="I163" s="14"/>
    </row>
    <row r="164" spans="6:9" ht="18.75" customHeight="1" x14ac:dyDescent="0.4">
      <c r="F164" s="1">
        <v>26330</v>
      </c>
      <c r="G164" s="14">
        <v>327.63</v>
      </c>
      <c r="I164" s="14"/>
    </row>
    <row r="165" spans="6:9" ht="18.75" customHeight="1" x14ac:dyDescent="0.4">
      <c r="F165" s="1">
        <v>26359</v>
      </c>
      <c r="G165" s="14">
        <v>327.75</v>
      </c>
      <c r="I165" s="14"/>
    </row>
    <row r="166" spans="6:9" ht="18.75" customHeight="1" x14ac:dyDescent="0.4">
      <c r="F166" s="1">
        <v>26390</v>
      </c>
      <c r="G166" s="14">
        <v>329.72</v>
      </c>
      <c r="I166" s="14"/>
    </row>
    <row r="167" spans="6:9" ht="18.75" customHeight="1" x14ac:dyDescent="0.4">
      <c r="F167" s="1">
        <v>26420</v>
      </c>
      <c r="G167" s="14">
        <v>330.07</v>
      </c>
      <c r="I167" s="14"/>
    </row>
    <row r="168" spans="6:9" ht="18.75" customHeight="1" x14ac:dyDescent="0.4">
      <c r="F168" s="1">
        <v>26451</v>
      </c>
      <c r="G168" s="14">
        <v>329.09</v>
      </c>
      <c r="I168" s="14"/>
    </row>
    <row r="169" spans="6:9" ht="18.75" customHeight="1" x14ac:dyDescent="0.4">
      <c r="F169" s="1">
        <v>26481</v>
      </c>
      <c r="G169" s="14">
        <v>328.04</v>
      </c>
      <c r="I169" s="14"/>
    </row>
    <row r="170" spans="6:9" ht="18.75" customHeight="1" x14ac:dyDescent="0.4">
      <c r="F170" s="1">
        <v>26512</v>
      </c>
      <c r="G170" s="14">
        <v>326.32</v>
      </c>
      <c r="I170" s="14"/>
    </row>
    <row r="171" spans="6:9" ht="18.75" customHeight="1" x14ac:dyDescent="0.4">
      <c r="F171" s="1">
        <v>26543</v>
      </c>
      <c r="G171" s="14">
        <v>324.83999999999997</v>
      </c>
      <c r="I171" s="14"/>
    </row>
    <row r="172" spans="6:9" ht="18.75" customHeight="1" x14ac:dyDescent="0.4">
      <c r="F172" s="1">
        <v>26573</v>
      </c>
      <c r="G172" s="14">
        <v>325.2</v>
      </c>
      <c r="I172" s="14"/>
    </row>
    <row r="173" spans="6:9" ht="18.75" customHeight="1" x14ac:dyDescent="0.4">
      <c r="F173" s="1">
        <v>26604</v>
      </c>
      <c r="G173" s="14">
        <v>326.5</v>
      </c>
      <c r="I173" s="14"/>
    </row>
    <row r="174" spans="6:9" ht="18.75" customHeight="1" x14ac:dyDescent="0.4">
      <c r="F174" s="1">
        <v>26634</v>
      </c>
      <c r="G174" s="14">
        <v>327.55</v>
      </c>
      <c r="I174" s="14"/>
    </row>
    <row r="175" spans="6:9" ht="18.75" customHeight="1" x14ac:dyDescent="0.4">
      <c r="F175" s="1">
        <v>26665</v>
      </c>
      <c r="G175" s="14">
        <v>328.55</v>
      </c>
      <c r="I175" s="14"/>
    </row>
    <row r="176" spans="6:9" ht="18.75" customHeight="1" x14ac:dyDescent="0.4">
      <c r="F176" s="1">
        <v>26696</v>
      </c>
      <c r="G176" s="14">
        <v>329.56</v>
      </c>
      <c r="I176" s="14"/>
    </row>
    <row r="177" spans="6:9" ht="18.75" customHeight="1" x14ac:dyDescent="0.4">
      <c r="F177" s="1">
        <v>26724</v>
      </c>
      <c r="G177" s="14">
        <v>330.3</v>
      </c>
      <c r="I177" s="14"/>
    </row>
    <row r="178" spans="6:9" ht="18.75" customHeight="1" x14ac:dyDescent="0.4">
      <c r="F178" s="1">
        <v>26755</v>
      </c>
      <c r="G178" s="14">
        <v>331.5</v>
      </c>
      <c r="I178" s="14"/>
    </row>
    <row r="179" spans="6:9" ht="18.75" customHeight="1" x14ac:dyDescent="0.4">
      <c r="F179" s="1">
        <v>26785</v>
      </c>
      <c r="G179" s="14">
        <v>332.48</v>
      </c>
      <c r="I179" s="14"/>
    </row>
    <row r="180" spans="6:9" ht="18.75" customHeight="1" x14ac:dyDescent="0.4">
      <c r="F180" s="1">
        <v>26816</v>
      </c>
      <c r="G180" s="14">
        <v>332.07</v>
      </c>
      <c r="I180" s="14"/>
    </row>
    <row r="181" spans="6:9" ht="18.75" customHeight="1" x14ac:dyDescent="0.4">
      <c r="F181" s="1">
        <v>26846</v>
      </c>
      <c r="G181" s="14">
        <v>330.87</v>
      </c>
      <c r="I181" s="14"/>
    </row>
    <row r="182" spans="6:9" ht="18.75" customHeight="1" x14ac:dyDescent="0.4">
      <c r="F182" s="1">
        <v>26877</v>
      </c>
      <c r="G182" s="14">
        <v>329.31</v>
      </c>
      <c r="I182" s="14"/>
    </row>
    <row r="183" spans="6:9" ht="18.75" customHeight="1" x14ac:dyDescent="0.4">
      <c r="F183" s="1">
        <v>26908</v>
      </c>
      <c r="G183" s="14">
        <v>327.51</v>
      </c>
      <c r="I183" s="14"/>
    </row>
    <row r="184" spans="6:9" ht="18.75" customHeight="1" x14ac:dyDescent="0.4">
      <c r="F184" s="1">
        <v>26938</v>
      </c>
      <c r="G184" s="14">
        <v>327.18</v>
      </c>
      <c r="I184" s="14"/>
    </row>
    <row r="185" spans="6:9" ht="18.75" customHeight="1" x14ac:dyDescent="0.4">
      <c r="F185" s="1">
        <v>26969</v>
      </c>
      <c r="G185" s="14">
        <v>328.16</v>
      </c>
      <c r="I185" s="14"/>
    </row>
    <row r="186" spans="6:9" ht="18.75" customHeight="1" x14ac:dyDescent="0.4">
      <c r="F186" s="1">
        <v>26999</v>
      </c>
      <c r="G186" s="14">
        <v>328.64</v>
      </c>
      <c r="I186" s="14"/>
    </row>
    <row r="187" spans="6:9" ht="18.75" customHeight="1" x14ac:dyDescent="0.4">
      <c r="F187" s="1">
        <v>27030</v>
      </c>
      <c r="G187" s="14">
        <v>329.35</v>
      </c>
      <c r="I187" s="14"/>
    </row>
    <row r="188" spans="6:9" ht="18.75" customHeight="1" x14ac:dyDescent="0.4">
      <c r="F188" s="1">
        <v>27061</v>
      </c>
      <c r="G188" s="14">
        <v>330.71</v>
      </c>
      <c r="I188" s="14"/>
    </row>
    <row r="189" spans="6:9" ht="18.75" customHeight="1" x14ac:dyDescent="0.4">
      <c r="F189" s="1">
        <v>27089</v>
      </c>
      <c r="G189" s="14">
        <v>331.48</v>
      </c>
      <c r="I189" s="14"/>
    </row>
    <row r="190" spans="6:9" ht="18.75" customHeight="1" x14ac:dyDescent="0.4">
      <c r="F190" s="1">
        <v>27120</v>
      </c>
      <c r="G190" s="14">
        <v>332.65</v>
      </c>
      <c r="I190" s="14"/>
    </row>
    <row r="191" spans="6:9" ht="18.75" customHeight="1" x14ac:dyDescent="0.4">
      <c r="F191" s="1">
        <v>27150</v>
      </c>
      <c r="G191" s="14">
        <v>333.09</v>
      </c>
      <c r="I191" s="14"/>
    </row>
    <row r="192" spans="6:9" ht="18.75" customHeight="1" x14ac:dyDescent="0.4">
      <c r="F192" s="1">
        <v>27181</v>
      </c>
      <c r="G192" s="14">
        <v>332.25</v>
      </c>
      <c r="I192" s="14"/>
    </row>
    <row r="193" spans="6:9" ht="18.75" customHeight="1" x14ac:dyDescent="0.4">
      <c r="F193" s="1">
        <v>27211</v>
      </c>
      <c r="G193" s="14">
        <v>331.18</v>
      </c>
      <c r="I193" s="14"/>
    </row>
    <row r="194" spans="6:9" ht="18.75" customHeight="1" x14ac:dyDescent="0.4">
      <c r="F194" s="1">
        <v>27242</v>
      </c>
      <c r="G194" s="14">
        <v>329.39</v>
      </c>
      <c r="I194" s="14"/>
    </row>
    <row r="195" spans="6:9" ht="18.75" customHeight="1" x14ac:dyDescent="0.4">
      <c r="F195" s="1">
        <v>27273</v>
      </c>
      <c r="G195" s="14">
        <v>327.43</v>
      </c>
      <c r="I195" s="14"/>
    </row>
    <row r="196" spans="6:9" ht="18.75" customHeight="1" x14ac:dyDescent="0.4">
      <c r="F196" s="1">
        <v>27303</v>
      </c>
      <c r="G196" s="14">
        <v>327.37</v>
      </c>
      <c r="I196" s="14"/>
    </row>
    <row r="197" spans="6:9" ht="18.75" customHeight="1" x14ac:dyDescent="0.4">
      <c r="F197" s="1">
        <v>27334</v>
      </c>
      <c r="G197" s="14">
        <v>328.46</v>
      </c>
      <c r="I197" s="14"/>
    </row>
    <row r="198" spans="6:9" ht="18.75" customHeight="1" x14ac:dyDescent="0.4">
      <c r="F198" s="1">
        <v>27364</v>
      </c>
      <c r="G198" s="14">
        <v>329.57</v>
      </c>
      <c r="I198" s="14"/>
    </row>
    <row r="199" spans="6:9" ht="18.75" customHeight="1" x14ac:dyDescent="0.4">
      <c r="F199" s="1">
        <v>27395</v>
      </c>
      <c r="G199" s="14">
        <v>330.4</v>
      </c>
      <c r="I199" s="14"/>
    </row>
    <row r="200" spans="6:9" ht="18.75" customHeight="1" x14ac:dyDescent="0.4">
      <c r="F200" s="1">
        <v>27426</v>
      </c>
      <c r="G200" s="14">
        <v>331.4</v>
      </c>
      <c r="I200" s="14"/>
    </row>
    <row r="201" spans="6:9" ht="18.75" customHeight="1" x14ac:dyDescent="0.4">
      <c r="F201" s="1">
        <v>27454</v>
      </c>
      <c r="G201" s="14">
        <v>332.04</v>
      </c>
      <c r="I201" s="14"/>
    </row>
    <row r="202" spans="6:9" ht="18.75" customHeight="1" x14ac:dyDescent="0.4">
      <c r="F202" s="1">
        <v>27485</v>
      </c>
      <c r="G202" s="14">
        <v>333.31</v>
      </c>
      <c r="I202" s="14"/>
    </row>
    <row r="203" spans="6:9" ht="18.75" customHeight="1" x14ac:dyDescent="0.4">
      <c r="F203" s="1">
        <v>27515</v>
      </c>
      <c r="G203" s="14">
        <v>333.97</v>
      </c>
      <c r="I203" s="14"/>
    </row>
    <row r="204" spans="6:9" ht="18.75" customHeight="1" x14ac:dyDescent="0.4">
      <c r="F204" s="1">
        <v>27546</v>
      </c>
      <c r="G204" s="14">
        <v>333.6</v>
      </c>
      <c r="I204" s="14"/>
    </row>
    <row r="205" spans="6:9" ht="18.75" customHeight="1" x14ac:dyDescent="0.4">
      <c r="F205" s="1">
        <v>27576</v>
      </c>
      <c r="G205" s="14">
        <v>331.9</v>
      </c>
      <c r="I205" s="14"/>
    </row>
    <row r="206" spans="6:9" ht="18.75" customHeight="1" x14ac:dyDescent="0.4">
      <c r="F206" s="1">
        <v>27607</v>
      </c>
      <c r="G206" s="14">
        <v>330.06</v>
      </c>
      <c r="I206" s="14"/>
    </row>
    <row r="207" spans="6:9" ht="18.75" customHeight="1" x14ac:dyDescent="0.4">
      <c r="F207" s="1">
        <v>27638</v>
      </c>
      <c r="G207" s="14">
        <v>328.56</v>
      </c>
      <c r="I207" s="14"/>
    </row>
    <row r="208" spans="6:9" ht="18.75" customHeight="1" x14ac:dyDescent="0.4">
      <c r="F208" s="1">
        <v>27668</v>
      </c>
      <c r="G208" s="14">
        <v>328.34</v>
      </c>
      <c r="I208" s="14"/>
    </row>
    <row r="209" spans="6:9" ht="18.75" customHeight="1" x14ac:dyDescent="0.4">
      <c r="F209" s="1">
        <v>27699</v>
      </c>
      <c r="G209" s="14">
        <v>329.49</v>
      </c>
      <c r="I209" s="14"/>
    </row>
    <row r="210" spans="6:9" ht="18.75" customHeight="1" x14ac:dyDescent="0.4">
      <c r="F210" s="1">
        <v>27729</v>
      </c>
      <c r="G210" s="14">
        <v>330.76</v>
      </c>
      <c r="I210" s="14"/>
    </row>
    <row r="211" spans="6:9" ht="18.75" customHeight="1" x14ac:dyDescent="0.4">
      <c r="F211" s="1">
        <v>27760</v>
      </c>
      <c r="G211" s="14">
        <v>331.75</v>
      </c>
      <c r="I211" s="14"/>
    </row>
    <row r="212" spans="6:9" ht="18.75" customHeight="1" x14ac:dyDescent="0.4">
      <c r="F212" s="1">
        <v>27791</v>
      </c>
      <c r="G212" s="14">
        <v>332.57</v>
      </c>
      <c r="I212" s="14"/>
    </row>
    <row r="213" spans="6:9" ht="18.75" customHeight="1" x14ac:dyDescent="0.4">
      <c r="F213" s="1">
        <v>27820</v>
      </c>
      <c r="G213" s="14">
        <v>333.5</v>
      </c>
      <c r="I213" s="14"/>
    </row>
    <row r="214" spans="6:9" ht="18.75" customHeight="1" x14ac:dyDescent="0.4">
      <c r="F214" s="1">
        <v>27851</v>
      </c>
      <c r="G214" s="14">
        <v>334.58</v>
      </c>
      <c r="I214" s="14"/>
    </row>
    <row r="215" spans="6:9" ht="18.75" customHeight="1" x14ac:dyDescent="0.4">
      <c r="F215" s="1">
        <v>27881</v>
      </c>
      <c r="G215" s="14">
        <v>334.88</v>
      </c>
      <c r="I215" s="14"/>
    </row>
    <row r="216" spans="6:9" ht="18.75" customHeight="1" x14ac:dyDescent="0.4">
      <c r="F216" s="1">
        <v>27912</v>
      </c>
      <c r="G216" s="14">
        <v>334.33</v>
      </c>
      <c r="I216" s="14"/>
    </row>
    <row r="217" spans="6:9" ht="18.75" customHeight="1" x14ac:dyDescent="0.4">
      <c r="F217" s="1">
        <v>27942</v>
      </c>
      <c r="G217" s="14">
        <v>333.05</v>
      </c>
      <c r="I217" s="14"/>
    </row>
    <row r="218" spans="6:9" ht="18.75" customHeight="1" x14ac:dyDescent="0.4">
      <c r="F218" s="1">
        <v>27973</v>
      </c>
      <c r="G218" s="14">
        <v>330.94</v>
      </c>
      <c r="I218" s="14"/>
    </row>
    <row r="219" spans="6:9" ht="18.75" customHeight="1" x14ac:dyDescent="0.4">
      <c r="F219" s="1">
        <v>28004</v>
      </c>
      <c r="G219" s="14">
        <v>329.3</v>
      </c>
      <c r="I219" s="14"/>
    </row>
    <row r="220" spans="6:9" ht="18.75" customHeight="1" x14ac:dyDescent="0.4">
      <c r="F220" s="1">
        <v>28034</v>
      </c>
      <c r="G220" s="14">
        <v>328.94</v>
      </c>
      <c r="I220" s="14"/>
    </row>
    <row r="221" spans="6:9" ht="18.75" customHeight="1" x14ac:dyDescent="0.4">
      <c r="F221" s="1">
        <v>28065</v>
      </c>
      <c r="G221" s="14">
        <v>330.31</v>
      </c>
      <c r="I221" s="14"/>
    </row>
    <row r="222" spans="6:9" ht="18.75" customHeight="1" x14ac:dyDescent="0.4">
      <c r="F222" s="1">
        <v>28095</v>
      </c>
      <c r="G222" s="14">
        <v>331.68</v>
      </c>
      <c r="I222" s="14"/>
    </row>
    <row r="223" spans="6:9" ht="18.75" customHeight="1" x14ac:dyDescent="0.4">
      <c r="F223" s="1">
        <v>28126</v>
      </c>
      <c r="G223" s="14">
        <v>332.93</v>
      </c>
      <c r="I223" s="14"/>
    </row>
    <row r="224" spans="6:9" ht="18.75" customHeight="1" x14ac:dyDescent="0.4">
      <c r="F224" s="1">
        <v>28157</v>
      </c>
      <c r="G224" s="14">
        <v>333.42</v>
      </c>
      <c r="I224" s="14"/>
    </row>
    <row r="225" spans="6:9" ht="18.75" customHeight="1" x14ac:dyDescent="0.4">
      <c r="F225" s="1">
        <v>28185</v>
      </c>
      <c r="G225" s="14">
        <v>334.7</v>
      </c>
      <c r="I225" s="14"/>
    </row>
    <row r="226" spans="6:9" ht="18.75" customHeight="1" x14ac:dyDescent="0.4">
      <c r="F226" s="1">
        <v>28216</v>
      </c>
      <c r="G226" s="14">
        <v>336.07</v>
      </c>
      <c r="I226" s="14"/>
    </row>
    <row r="227" spans="6:9" ht="18.75" customHeight="1" x14ac:dyDescent="0.4">
      <c r="F227" s="1">
        <v>28246</v>
      </c>
      <c r="G227" s="14">
        <v>336.75</v>
      </c>
      <c r="I227" s="14"/>
    </row>
    <row r="228" spans="6:9" ht="18.75" customHeight="1" x14ac:dyDescent="0.4">
      <c r="F228" s="1">
        <v>28277</v>
      </c>
      <c r="G228" s="14">
        <v>336.27</v>
      </c>
      <c r="I228" s="14"/>
    </row>
    <row r="229" spans="6:9" ht="18.75" customHeight="1" x14ac:dyDescent="0.4">
      <c r="F229" s="1">
        <v>28307</v>
      </c>
      <c r="G229" s="14">
        <v>334.92</v>
      </c>
      <c r="I229" s="14"/>
    </row>
    <row r="230" spans="6:9" ht="18.75" customHeight="1" x14ac:dyDescent="0.4">
      <c r="F230" s="1">
        <v>28338</v>
      </c>
      <c r="G230" s="14">
        <v>332.75</v>
      </c>
      <c r="I230" s="14"/>
    </row>
    <row r="231" spans="6:9" ht="18.75" customHeight="1" x14ac:dyDescent="0.4">
      <c r="F231" s="1">
        <v>28369</v>
      </c>
      <c r="G231" s="14">
        <v>331.59</v>
      </c>
      <c r="I231" s="14"/>
    </row>
    <row r="232" spans="6:9" ht="18.75" customHeight="1" x14ac:dyDescent="0.4">
      <c r="F232" s="1">
        <v>28399</v>
      </c>
      <c r="G232" s="14">
        <v>331.16</v>
      </c>
      <c r="I232" s="14"/>
    </row>
    <row r="233" spans="6:9" ht="18.75" customHeight="1" x14ac:dyDescent="0.4">
      <c r="F233" s="1">
        <v>28430</v>
      </c>
      <c r="G233" s="14">
        <v>332.4</v>
      </c>
      <c r="I233" s="14"/>
    </row>
    <row r="234" spans="6:9" ht="18.75" customHeight="1" x14ac:dyDescent="0.4">
      <c r="F234" s="1">
        <v>28460</v>
      </c>
      <c r="G234" s="14">
        <v>333.85</v>
      </c>
      <c r="I234" s="14"/>
    </row>
    <row r="235" spans="6:9" ht="18.75" customHeight="1" x14ac:dyDescent="0.4">
      <c r="F235" s="1">
        <v>28491</v>
      </c>
      <c r="G235" s="14">
        <v>334.97</v>
      </c>
      <c r="I235" s="14"/>
    </row>
    <row r="236" spans="6:9" ht="18.75" customHeight="1" x14ac:dyDescent="0.4">
      <c r="F236" s="1">
        <v>28522</v>
      </c>
      <c r="G236" s="14">
        <v>335.39</v>
      </c>
      <c r="I236" s="14"/>
    </row>
    <row r="237" spans="6:9" ht="18.75" customHeight="1" x14ac:dyDescent="0.4">
      <c r="F237" s="1">
        <v>28550</v>
      </c>
      <c r="G237" s="14">
        <v>336.64</v>
      </c>
      <c r="I237" s="14"/>
    </row>
    <row r="238" spans="6:9" ht="18.75" customHeight="1" x14ac:dyDescent="0.4">
      <c r="F238" s="1">
        <v>28581</v>
      </c>
      <c r="G238" s="14">
        <v>337.76</v>
      </c>
      <c r="I238" s="14"/>
    </row>
    <row r="239" spans="6:9" ht="18.75" customHeight="1" x14ac:dyDescent="0.4">
      <c r="F239" s="1">
        <v>28611</v>
      </c>
      <c r="G239" s="14">
        <v>338.01</v>
      </c>
      <c r="I239" s="14"/>
    </row>
    <row r="240" spans="6:9" ht="18.75" customHeight="1" x14ac:dyDescent="0.4">
      <c r="F240" s="1">
        <v>28642</v>
      </c>
      <c r="G240" s="14">
        <v>337.9</v>
      </c>
      <c r="I240" s="14"/>
    </row>
    <row r="241" spans="6:9" ht="18.75" customHeight="1" x14ac:dyDescent="0.4">
      <c r="F241" s="1">
        <v>28672</v>
      </c>
      <c r="G241" s="14">
        <v>336.54</v>
      </c>
      <c r="I241" s="14"/>
    </row>
    <row r="242" spans="6:9" ht="18.75" customHeight="1" x14ac:dyDescent="0.4">
      <c r="F242" s="1">
        <v>28703</v>
      </c>
      <c r="G242" s="14">
        <v>334.68</v>
      </c>
      <c r="I242" s="14"/>
    </row>
    <row r="243" spans="6:9" ht="18.75" customHeight="1" x14ac:dyDescent="0.4">
      <c r="F243" s="1">
        <v>28734</v>
      </c>
      <c r="G243" s="14">
        <v>332.76</v>
      </c>
      <c r="I243" s="14"/>
    </row>
    <row r="244" spans="6:9" ht="18.75" customHeight="1" x14ac:dyDescent="0.4">
      <c r="F244" s="1">
        <v>28764</v>
      </c>
      <c r="G244" s="14">
        <v>332.55</v>
      </c>
      <c r="I244" s="14"/>
    </row>
    <row r="245" spans="6:9" ht="18.75" customHeight="1" x14ac:dyDescent="0.4">
      <c r="F245" s="1">
        <v>28795</v>
      </c>
      <c r="G245" s="14">
        <v>333.92</v>
      </c>
      <c r="I245" s="14"/>
    </row>
    <row r="246" spans="6:9" ht="18.75" customHeight="1" x14ac:dyDescent="0.4">
      <c r="F246" s="1">
        <v>28825</v>
      </c>
      <c r="G246" s="14">
        <v>334.95</v>
      </c>
      <c r="I246" s="14"/>
    </row>
    <row r="247" spans="6:9" ht="18.75" customHeight="1" x14ac:dyDescent="0.4">
      <c r="F247" s="1">
        <v>28856</v>
      </c>
      <c r="G247" s="14">
        <v>336.23</v>
      </c>
      <c r="I247" s="14"/>
    </row>
    <row r="248" spans="6:9" ht="18.75" customHeight="1" x14ac:dyDescent="0.4">
      <c r="F248" s="1">
        <v>28887</v>
      </c>
      <c r="G248" s="14">
        <v>336.76</v>
      </c>
      <c r="I248" s="14"/>
    </row>
    <row r="249" spans="6:9" ht="18.75" customHeight="1" x14ac:dyDescent="0.4">
      <c r="F249" s="1">
        <v>28915</v>
      </c>
      <c r="G249" s="14">
        <v>337.96</v>
      </c>
      <c r="I249" s="14"/>
    </row>
    <row r="250" spans="6:9" ht="18.75" customHeight="1" x14ac:dyDescent="0.4">
      <c r="F250" s="1">
        <v>28946</v>
      </c>
      <c r="G250" s="14">
        <v>338.88</v>
      </c>
      <c r="I250" s="14"/>
    </row>
    <row r="251" spans="6:9" ht="18.75" customHeight="1" x14ac:dyDescent="0.4">
      <c r="F251" s="1">
        <v>28976</v>
      </c>
      <c r="G251" s="14">
        <v>339.47</v>
      </c>
      <c r="I251" s="14"/>
    </row>
    <row r="252" spans="6:9" ht="18.75" customHeight="1" x14ac:dyDescent="0.4">
      <c r="F252" s="1">
        <v>29007</v>
      </c>
      <c r="G252" s="14">
        <v>339.29</v>
      </c>
      <c r="I252" s="14"/>
    </row>
    <row r="253" spans="6:9" ht="18.75" customHeight="1" x14ac:dyDescent="0.4">
      <c r="F253" s="1">
        <v>29037</v>
      </c>
      <c r="G253" s="14">
        <v>337.73</v>
      </c>
      <c r="I253" s="14"/>
    </row>
    <row r="254" spans="6:9" ht="18.75" customHeight="1" x14ac:dyDescent="0.4">
      <c r="F254" s="1">
        <v>29068</v>
      </c>
      <c r="G254" s="14">
        <v>336.09</v>
      </c>
      <c r="I254" s="14"/>
    </row>
    <row r="255" spans="6:9" ht="18.75" customHeight="1" x14ac:dyDescent="0.4">
      <c r="F255" s="1">
        <v>29099</v>
      </c>
      <c r="G255" s="14">
        <v>333.92</v>
      </c>
      <c r="I255" s="14"/>
    </row>
    <row r="256" spans="6:9" ht="18.75" customHeight="1" x14ac:dyDescent="0.4">
      <c r="F256" s="1">
        <v>29129</v>
      </c>
      <c r="G256" s="14">
        <v>333.86</v>
      </c>
      <c r="I256" s="14"/>
    </row>
    <row r="257" spans="6:9" ht="18.75" customHeight="1" x14ac:dyDescent="0.4">
      <c r="F257" s="1">
        <v>29160</v>
      </c>
      <c r="G257" s="14">
        <v>335.29</v>
      </c>
      <c r="I257" s="14"/>
    </row>
    <row r="258" spans="6:9" ht="18.75" customHeight="1" x14ac:dyDescent="0.4">
      <c r="F258" s="1">
        <v>29190</v>
      </c>
      <c r="G258" s="14">
        <v>336.73</v>
      </c>
      <c r="I258" s="14"/>
    </row>
    <row r="259" spans="6:9" ht="18.75" customHeight="1" x14ac:dyDescent="0.4">
      <c r="F259" s="1">
        <v>29221</v>
      </c>
      <c r="G259" s="14">
        <v>338.01</v>
      </c>
      <c r="I259" s="14"/>
    </row>
    <row r="260" spans="6:9" ht="18.75" customHeight="1" x14ac:dyDescent="0.4">
      <c r="F260" s="1">
        <v>29252</v>
      </c>
      <c r="G260" s="14">
        <v>338.36</v>
      </c>
      <c r="I260" s="14"/>
    </row>
    <row r="261" spans="6:9" ht="18.75" customHeight="1" x14ac:dyDescent="0.4">
      <c r="F261" s="1">
        <v>29281</v>
      </c>
      <c r="G261" s="14">
        <v>340.07</v>
      </c>
      <c r="I261" s="14"/>
    </row>
    <row r="262" spans="6:9" ht="18.75" customHeight="1" x14ac:dyDescent="0.4">
      <c r="F262" s="1">
        <v>29312</v>
      </c>
      <c r="G262" s="14">
        <v>340.76</v>
      </c>
      <c r="I262" s="14"/>
    </row>
    <row r="263" spans="6:9" ht="18.75" customHeight="1" x14ac:dyDescent="0.4">
      <c r="F263" s="1">
        <v>29342</v>
      </c>
      <c r="G263" s="14">
        <v>341.47</v>
      </c>
      <c r="I263" s="14"/>
    </row>
    <row r="264" spans="6:9" ht="18.75" customHeight="1" x14ac:dyDescent="0.4">
      <c r="F264" s="1">
        <v>29373</v>
      </c>
      <c r="G264" s="14">
        <v>341.17</v>
      </c>
      <c r="I264" s="14"/>
    </row>
    <row r="265" spans="6:9" ht="18.75" customHeight="1" x14ac:dyDescent="0.4">
      <c r="F265" s="1">
        <v>29403</v>
      </c>
      <c r="G265" s="14">
        <v>339.56</v>
      </c>
      <c r="I265" s="14"/>
    </row>
    <row r="266" spans="6:9" ht="18.75" customHeight="1" x14ac:dyDescent="0.4">
      <c r="F266" s="1">
        <v>29434</v>
      </c>
      <c r="G266" s="14">
        <v>337.6</v>
      </c>
      <c r="I266" s="14"/>
    </row>
    <row r="267" spans="6:9" ht="18.75" customHeight="1" x14ac:dyDescent="0.4">
      <c r="F267" s="1">
        <v>29465</v>
      </c>
      <c r="G267" s="14">
        <v>335.88</v>
      </c>
      <c r="I267" s="14"/>
    </row>
    <row r="268" spans="6:9" ht="18.75" customHeight="1" x14ac:dyDescent="0.4">
      <c r="F268" s="1">
        <v>29495</v>
      </c>
      <c r="G268" s="14">
        <v>336.02</v>
      </c>
      <c r="I268" s="14"/>
    </row>
    <row r="269" spans="6:9" ht="18.75" customHeight="1" x14ac:dyDescent="0.4">
      <c r="F269" s="1">
        <v>29526</v>
      </c>
      <c r="G269" s="14">
        <v>337.1</v>
      </c>
      <c r="I269" s="14"/>
    </row>
    <row r="270" spans="6:9" ht="18.75" customHeight="1" x14ac:dyDescent="0.4">
      <c r="F270" s="1">
        <v>29556</v>
      </c>
      <c r="G270" s="14">
        <v>338.21</v>
      </c>
      <c r="I270" s="14"/>
    </row>
    <row r="271" spans="6:9" ht="18.75" customHeight="1" x14ac:dyDescent="0.4">
      <c r="F271" s="1">
        <v>29587</v>
      </c>
      <c r="G271" s="14">
        <v>339.24</v>
      </c>
      <c r="I271" s="14"/>
    </row>
    <row r="272" spans="6:9" ht="18.75" customHeight="1" x14ac:dyDescent="0.4">
      <c r="F272" s="1">
        <v>29618</v>
      </c>
      <c r="G272" s="14">
        <v>340.48</v>
      </c>
      <c r="I272" s="14"/>
    </row>
    <row r="273" spans="6:9" ht="18.75" customHeight="1" x14ac:dyDescent="0.4">
      <c r="F273" s="1">
        <v>29646</v>
      </c>
      <c r="G273" s="14">
        <v>341.38</v>
      </c>
      <c r="I273" s="14"/>
    </row>
    <row r="274" spans="6:9" ht="18.75" customHeight="1" x14ac:dyDescent="0.4">
      <c r="F274" s="1">
        <v>29677</v>
      </c>
      <c r="G274" s="14">
        <v>342.5</v>
      </c>
      <c r="I274" s="14"/>
    </row>
    <row r="275" spans="6:9" ht="18.75" customHeight="1" x14ac:dyDescent="0.4">
      <c r="F275" s="1">
        <v>29707</v>
      </c>
      <c r="G275" s="14">
        <v>342.91</v>
      </c>
      <c r="I275" s="14"/>
    </row>
    <row r="276" spans="6:9" ht="18.75" customHeight="1" x14ac:dyDescent="0.4">
      <c r="F276" s="1">
        <v>29738</v>
      </c>
      <c r="G276" s="14">
        <v>342.25</v>
      </c>
      <c r="I276" s="14"/>
    </row>
    <row r="277" spans="6:9" ht="18.75" customHeight="1" x14ac:dyDescent="0.4">
      <c r="F277" s="1">
        <v>29768</v>
      </c>
      <c r="G277" s="14">
        <v>340.49</v>
      </c>
      <c r="I277" s="14"/>
    </row>
    <row r="278" spans="6:9" ht="18.75" customHeight="1" x14ac:dyDescent="0.4">
      <c r="F278" s="1">
        <v>29799</v>
      </c>
      <c r="G278" s="14">
        <v>338.43</v>
      </c>
      <c r="I278" s="14"/>
    </row>
    <row r="279" spans="6:9" ht="18.75" customHeight="1" x14ac:dyDescent="0.4">
      <c r="F279" s="1">
        <v>29830</v>
      </c>
      <c r="G279" s="14">
        <v>336.69</v>
      </c>
      <c r="I279" s="14"/>
    </row>
    <row r="280" spans="6:9" ht="18.75" customHeight="1" x14ac:dyDescent="0.4">
      <c r="F280" s="1">
        <v>29860</v>
      </c>
      <c r="G280" s="14">
        <v>336.86</v>
      </c>
      <c r="I280" s="14"/>
    </row>
    <row r="281" spans="6:9" ht="18.75" customHeight="1" x14ac:dyDescent="0.4">
      <c r="F281" s="1">
        <v>29891</v>
      </c>
      <c r="G281" s="14">
        <v>338.36</v>
      </c>
      <c r="I281" s="14"/>
    </row>
    <row r="282" spans="6:9" ht="18.75" customHeight="1" x14ac:dyDescent="0.4">
      <c r="F282" s="1">
        <v>29921</v>
      </c>
      <c r="G282" s="14">
        <v>339.61</v>
      </c>
      <c r="I282" s="14"/>
    </row>
    <row r="283" spans="6:9" ht="18.75" customHeight="1" x14ac:dyDescent="0.4">
      <c r="F283" s="1">
        <v>29952</v>
      </c>
      <c r="G283" s="14">
        <v>340.75</v>
      </c>
      <c r="I283" s="14"/>
    </row>
    <row r="284" spans="6:9" ht="18.75" customHeight="1" x14ac:dyDescent="0.4">
      <c r="F284" s="1">
        <v>29983</v>
      </c>
      <c r="G284" s="14">
        <v>341.61</v>
      </c>
      <c r="I284" s="14"/>
    </row>
    <row r="285" spans="6:9" ht="18.75" customHeight="1" x14ac:dyDescent="0.4">
      <c r="F285" s="1">
        <v>30011</v>
      </c>
      <c r="G285" s="14">
        <v>342.7</v>
      </c>
      <c r="I285" s="14"/>
    </row>
    <row r="286" spans="6:9" ht="18.75" customHeight="1" x14ac:dyDescent="0.4">
      <c r="F286" s="1">
        <v>30042</v>
      </c>
      <c r="G286" s="14">
        <v>343.57</v>
      </c>
      <c r="I286" s="14"/>
    </row>
    <row r="287" spans="6:9" ht="18.75" customHeight="1" x14ac:dyDescent="0.4">
      <c r="F287" s="1">
        <v>30072</v>
      </c>
      <c r="G287" s="14">
        <v>344.14</v>
      </c>
      <c r="I287" s="14"/>
    </row>
    <row r="288" spans="6:9" ht="18.75" customHeight="1" x14ac:dyDescent="0.4">
      <c r="F288" s="1">
        <v>30103</v>
      </c>
      <c r="G288" s="14">
        <v>343.35</v>
      </c>
      <c r="I288" s="14"/>
    </row>
    <row r="289" spans="6:9" ht="18.75" customHeight="1" x14ac:dyDescent="0.4">
      <c r="F289" s="1">
        <v>30133</v>
      </c>
      <c r="G289" s="14">
        <v>342.06</v>
      </c>
      <c r="I289" s="14"/>
    </row>
    <row r="290" spans="6:9" ht="18.75" customHeight="1" x14ac:dyDescent="0.4">
      <c r="F290" s="1">
        <v>30164</v>
      </c>
      <c r="G290" s="14">
        <v>339.81</v>
      </c>
      <c r="I290" s="14"/>
    </row>
    <row r="291" spans="6:9" ht="18.75" customHeight="1" x14ac:dyDescent="0.4">
      <c r="F291" s="1">
        <v>30195</v>
      </c>
      <c r="G291" s="14">
        <v>337.98</v>
      </c>
      <c r="I291" s="14"/>
    </row>
    <row r="292" spans="6:9" ht="18.75" customHeight="1" x14ac:dyDescent="0.4">
      <c r="F292" s="1">
        <v>30225</v>
      </c>
      <c r="G292" s="14">
        <v>337.86</v>
      </c>
      <c r="I292" s="14"/>
    </row>
    <row r="293" spans="6:9" ht="18.75" customHeight="1" x14ac:dyDescent="0.4">
      <c r="F293" s="1">
        <v>30256</v>
      </c>
      <c r="G293" s="14">
        <v>339.26</v>
      </c>
      <c r="I293" s="14"/>
    </row>
    <row r="294" spans="6:9" ht="18.75" customHeight="1" x14ac:dyDescent="0.4">
      <c r="F294" s="1">
        <v>30286</v>
      </c>
      <c r="G294" s="14">
        <v>340.49</v>
      </c>
      <c r="I294" s="14"/>
    </row>
    <row r="295" spans="6:9" ht="18.75" customHeight="1" x14ac:dyDescent="0.4">
      <c r="F295" s="1">
        <v>30317</v>
      </c>
      <c r="G295" s="14">
        <v>341.38</v>
      </c>
      <c r="I295" s="14"/>
    </row>
    <row r="296" spans="6:9" ht="18.75" customHeight="1" x14ac:dyDescent="0.4">
      <c r="F296" s="1">
        <v>30348</v>
      </c>
      <c r="G296" s="14">
        <v>342.52</v>
      </c>
      <c r="I296" s="14"/>
    </row>
    <row r="297" spans="6:9" ht="18.75" customHeight="1" x14ac:dyDescent="0.4">
      <c r="F297" s="1">
        <v>30376</v>
      </c>
      <c r="G297" s="14">
        <v>343.1</v>
      </c>
      <c r="I297" s="14"/>
    </row>
    <row r="298" spans="6:9" ht="18.75" customHeight="1" x14ac:dyDescent="0.4">
      <c r="F298" s="1">
        <v>30407</v>
      </c>
      <c r="G298" s="14">
        <v>344.94</v>
      </c>
      <c r="I298" s="14"/>
    </row>
    <row r="299" spans="6:9" ht="18.75" customHeight="1" x14ac:dyDescent="0.4">
      <c r="F299" s="1">
        <v>30437</v>
      </c>
      <c r="G299" s="14">
        <v>345.76</v>
      </c>
      <c r="I299" s="14"/>
    </row>
    <row r="300" spans="6:9" ht="18.75" customHeight="1" x14ac:dyDescent="0.4">
      <c r="F300" s="1">
        <v>30468</v>
      </c>
      <c r="G300" s="14">
        <v>345.32</v>
      </c>
      <c r="I300" s="14"/>
    </row>
    <row r="301" spans="6:9" ht="18.75" customHeight="1" x14ac:dyDescent="0.4">
      <c r="F301" s="1">
        <v>30498</v>
      </c>
      <c r="G301" s="14">
        <v>343.98</v>
      </c>
      <c r="I301" s="14"/>
    </row>
    <row r="302" spans="6:9" ht="18.75" customHeight="1" x14ac:dyDescent="0.4">
      <c r="F302" s="1">
        <v>30529</v>
      </c>
      <c r="G302" s="14">
        <v>342.38</v>
      </c>
      <c r="I302" s="14"/>
    </row>
    <row r="303" spans="6:9" ht="18.75" customHeight="1" x14ac:dyDescent="0.4">
      <c r="F303" s="1">
        <v>30560</v>
      </c>
      <c r="G303" s="14">
        <v>339.87</v>
      </c>
      <c r="I303" s="14"/>
    </row>
    <row r="304" spans="6:9" ht="18.75" customHeight="1" x14ac:dyDescent="0.4">
      <c r="F304" s="1">
        <v>30590</v>
      </c>
      <c r="G304" s="14">
        <v>339.99</v>
      </c>
      <c r="I304" s="14"/>
    </row>
    <row r="305" spans="6:9" ht="18.75" customHeight="1" x14ac:dyDescent="0.4">
      <c r="F305" s="1">
        <v>30621</v>
      </c>
      <c r="G305" s="14">
        <v>341.15</v>
      </c>
      <c r="I305" s="14"/>
    </row>
    <row r="306" spans="6:9" ht="18.75" customHeight="1" x14ac:dyDescent="0.4">
      <c r="F306" s="1">
        <v>30651</v>
      </c>
      <c r="G306" s="14">
        <v>342.99</v>
      </c>
      <c r="I306" s="14"/>
    </row>
    <row r="307" spans="6:9" ht="18.75" customHeight="1" x14ac:dyDescent="0.4">
      <c r="F307" s="1">
        <v>30682</v>
      </c>
      <c r="G307" s="14">
        <v>343.7</v>
      </c>
      <c r="I307" s="14"/>
    </row>
    <row r="308" spans="6:9" ht="18.75" customHeight="1" x14ac:dyDescent="0.4">
      <c r="F308" s="1">
        <v>30713</v>
      </c>
      <c r="G308" s="14">
        <v>344.5</v>
      </c>
      <c r="I308" s="14"/>
    </row>
    <row r="309" spans="6:9" ht="18.75" customHeight="1" x14ac:dyDescent="0.4">
      <c r="F309" s="1">
        <v>30742</v>
      </c>
      <c r="G309" s="14">
        <v>345.28</v>
      </c>
      <c r="I309" s="14"/>
    </row>
    <row r="310" spans="6:9" ht="18.75" customHeight="1" x14ac:dyDescent="0.4">
      <c r="F310" s="1">
        <v>30773</v>
      </c>
      <c r="G310" s="14">
        <v>347.05</v>
      </c>
      <c r="I310" s="14"/>
    </row>
    <row r="311" spans="6:9" ht="18.75" customHeight="1" x14ac:dyDescent="0.4">
      <c r="F311" s="1">
        <v>30803</v>
      </c>
      <c r="G311" s="14">
        <v>347.43</v>
      </c>
      <c r="I311" s="14"/>
    </row>
    <row r="312" spans="6:9" ht="18.75" customHeight="1" x14ac:dyDescent="0.4">
      <c r="F312" s="1">
        <v>30834</v>
      </c>
      <c r="G312" s="14">
        <v>346.8</v>
      </c>
      <c r="I312" s="14"/>
    </row>
    <row r="313" spans="6:9" ht="18.75" customHeight="1" x14ac:dyDescent="0.4">
      <c r="F313" s="1">
        <v>30864</v>
      </c>
      <c r="G313" s="14">
        <v>345.39</v>
      </c>
      <c r="I313" s="14"/>
    </row>
    <row r="314" spans="6:9" ht="18.75" customHeight="1" x14ac:dyDescent="0.4">
      <c r="F314" s="1">
        <v>30895</v>
      </c>
      <c r="G314" s="14">
        <v>343.28</v>
      </c>
      <c r="I314" s="14"/>
    </row>
    <row r="315" spans="6:9" ht="18.75" customHeight="1" x14ac:dyDescent="0.4">
      <c r="F315" s="1">
        <v>30926</v>
      </c>
      <c r="G315" s="14">
        <v>341.07</v>
      </c>
      <c r="I315" s="14"/>
    </row>
    <row r="316" spans="6:9" ht="18.75" customHeight="1" x14ac:dyDescent="0.4">
      <c r="F316" s="1">
        <v>30956</v>
      </c>
      <c r="G316" s="14">
        <v>341.35</v>
      </c>
      <c r="I316" s="14"/>
    </row>
    <row r="317" spans="6:9" ht="18.75" customHeight="1" x14ac:dyDescent="0.4">
      <c r="F317" s="1">
        <v>30987</v>
      </c>
      <c r="G317" s="14">
        <v>342.98</v>
      </c>
      <c r="I317" s="14"/>
    </row>
    <row r="318" spans="6:9" ht="18.75" customHeight="1" x14ac:dyDescent="0.4">
      <c r="F318" s="1">
        <v>31017</v>
      </c>
      <c r="G318" s="14">
        <v>344.22</v>
      </c>
      <c r="I318" s="14"/>
    </row>
    <row r="319" spans="6:9" ht="18.75" customHeight="1" x14ac:dyDescent="0.4">
      <c r="F319" s="1">
        <v>31048</v>
      </c>
      <c r="G319" s="14">
        <v>344.97</v>
      </c>
      <c r="I319" s="14"/>
    </row>
    <row r="320" spans="6:9" ht="18.75" customHeight="1" x14ac:dyDescent="0.4">
      <c r="F320" s="1">
        <v>31079</v>
      </c>
      <c r="G320" s="14">
        <v>345.99</v>
      </c>
      <c r="I320" s="14"/>
    </row>
    <row r="321" spans="6:9" ht="18.75" customHeight="1" x14ac:dyDescent="0.4">
      <c r="F321" s="1">
        <v>31107</v>
      </c>
      <c r="G321" s="14">
        <v>347.42</v>
      </c>
      <c r="I321" s="14"/>
    </row>
    <row r="322" spans="6:9" ht="18.75" customHeight="1" x14ac:dyDescent="0.4">
      <c r="F322" s="1">
        <v>31138</v>
      </c>
      <c r="G322" s="14">
        <v>348.35</v>
      </c>
      <c r="I322" s="14"/>
    </row>
    <row r="323" spans="6:9" ht="18.75" customHeight="1" x14ac:dyDescent="0.4">
      <c r="F323" s="1">
        <v>31168</v>
      </c>
      <c r="G323" s="14">
        <v>348.93</v>
      </c>
      <c r="I323" s="14"/>
    </row>
    <row r="324" spans="6:9" ht="18.75" customHeight="1" x14ac:dyDescent="0.4">
      <c r="F324" s="1">
        <v>31199</v>
      </c>
      <c r="G324" s="14">
        <v>348.25</v>
      </c>
      <c r="I324" s="14"/>
    </row>
    <row r="325" spans="6:9" ht="18.75" customHeight="1" x14ac:dyDescent="0.4">
      <c r="F325" s="1">
        <v>31229</v>
      </c>
      <c r="G325" s="14">
        <v>346.56</v>
      </c>
      <c r="I325" s="14"/>
    </row>
    <row r="326" spans="6:9" ht="18.75" customHeight="1" x14ac:dyDescent="0.4">
      <c r="F326" s="1">
        <v>31260</v>
      </c>
      <c r="G326" s="14">
        <v>344.67</v>
      </c>
      <c r="I326" s="14"/>
    </row>
    <row r="327" spans="6:9" ht="18.75" customHeight="1" x14ac:dyDescent="0.4">
      <c r="F327" s="1">
        <v>31291</v>
      </c>
      <c r="G327" s="14">
        <v>343.09</v>
      </c>
      <c r="I327" s="14"/>
    </row>
    <row r="328" spans="6:9" ht="18.75" customHeight="1" x14ac:dyDescent="0.4">
      <c r="F328" s="1">
        <v>31321</v>
      </c>
      <c r="G328" s="14">
        <v>342.8</v>
      </c>
      <c r="I328" s="14"/>
    </row>
    <row r="329" spans="6:9" ht="18.75" customHeight="1" x14ac:dyDescent="0.4">
      <c r="F329" s="1">
        <v>31352</v>
      </c>
      <c r="G329" s="14">
        <v>344.24</v>
      </c>
      <c r="I329" s="14"/>
    </row>
    <row r="330" spans="6:9" ht="18.75" customHeight="1" x14ac:dyDescent="0.4">
      <c r="F330" s="1">
        <v>31382</v>
      </c>
      <c r="G330" s="14">
        <v>345.56</v>
      </c>
      <c r="I330" s="14"/>
    </row>
    <row r="331" spans="6:9" ht="18.75" customHeight="1" x14ac:dyDescent="0.4">
      <c r="F331" s="1">
        <v>31413</v>
      </c>
      <c r="G331" s="14">
        <v>346.3</v>
      </c>
      <c r="I331" s="14"/>
    </row>
    <row r="332" spans="6:9" ht="18.75" customHeight="1" x14ac:dyDescent="0.4">
      <c r="F332" s="1">
        <v>31444</v>
      </c>
      <c r="G332" s="14">
        <v>346.95</v>
      </c>
      <c r="I332" s="14"/>
    </row>
    <row r="333" spans="6:9" ht="18.75" customHeight="1" x14ac:dyDescent="0.4">
      <c r="F333" s="1">
        <v>31472</v>
      </c>
      <c r="G333" s="14">
        <v>347.85</v>
      </c>
      <c r="I333" s="14"/>
    </row>
    <row r="334" spans="6:9" ht="18.75" customHeight="1" x14ac:dyDescent="0.4">
      <c r="F334" s="1">
        <v>31503</v>
      </c>
      <c r="G334" s="14">
        <v>349.55</v>
      </c>
      <c r="I334" s="14"/>
    </row>
    <row r="335" spans="6:9" ht="18.75" customHeight="1" x14ac:dyDescent="0.4">
      <c r="F335" s="1">
        <v>31533</v>
      </c>
      <c r="G335" s="14">
        <v>350.22</v>
      </c>
      <c r="I335" s="14"/>
    </row>
    <row r="336" spans="6:9" ht="18.75" customHeight="1" x14ac:dyDescent="0.4">
      <c r="F336" s="1">
        <v>31564</v>
      </c>
      <c r="G336" s="14">
        <v>349.55</v>
      </c>
      <c r="I336" s="14"/>
    </row>
    <row r="337" spans="6:9" ht="18.75" customHeight="1" x14ac:dyDescent="0.4">
      <c r="F337" s="1">
        <v>31594</v>
      </c>
      <c r="G337" s="14">
        <v>347.94</v>
      </c>
      <c r="I337" s="14"/>
    </row>
    <row r="338" spans="6:9" ht="18.75" customHeight="1" x14ac:dyDescent="0.4">
      <c r="F338" s="1">
        <v>31625</v>
      </c>
      <c r="G338" s="14">
        <v>345.9</v>
      </c>
      <c r="I338" s="14"/>
    </row>
    <row r="339" spans="6:9" ht="18.75" customHeight="1" x14ac:dyDescent="0.4">
      <c r="F339" s="1">
        <v>31656</v>
      </c>
      <c r="G339" s="14">
        <v>344.85</v>
      </c>
      <c r="I339" s="14"/>
    </row>
    <row r="340" spans="6:9" ht="18.75" customHeight="1" x14ac:dyDescent="0.4">
      <c r="F340" s="1">
        <v>31686</v>
      </c>
      <c r="G340" s="14">
        <v>344.17</v>
      </c>
      <c r="I340" s="14"/>
    </row>
    <row r="341" spans="6:9" ht="18.75" customHeight="1" x14ac:dyDescent="0.4">
      <c r="F341" s="1">
        <v>31717</v>
      </c>
      <c r="G341" s="14">
        <v>345.66</v>
      </c>
      <c r="I341" s="14"/>
    </row>
    <row r="342" spans="6:9" ht="18.75" customHeight="1" x14ac:dyDescent="0.4">
      <c r="F342" s="1">
        <v>31747</v>
      </c>
      <c r="G342" s="14">
        <v>346.9</v>
      </c>
      <c r="I342" s="14"/>
    </row>
    <row r="343" spans="6:9" ht="18.75" customHeight="1" x14ac:dyDescent="0.4">
      <c r="F343" s="1">
        <v>31778</v>
      </c>
      <c r="G343" s="14">
        <v>348.02</v>
      </c>
      <c r="I343" s="14"/>
    </row>
    <row r="344" spans="6:9" ht="18.75" customHeight="1" x14ac:dyDescent="0.4">
      <c r="F344" s="1">
        <v>31809</v>
      </c>
      <c r="G344" s="14">
        <v>348.48</v>
      </c>
      <c r="I344" s="14"/>
    </row>
    <row r="345" spans="6:9" ht="18.75" customHeight="1" x14ac:dyDescent="0.4">
      <c r="F345" s="1">
        <v>31837</v>
      </c>
      <c r="G345" s="14">
        <v>349.42</v>
      </c>
      <c r="I345" s="14"/>
    </row>
    <row r="346" spans="6:9" ht="18.75" customHeight="1" x14ac:dyDescent="0.4">
      <c r="F346" s="1">
        <v>31868</v>
      </c>
      <c r="G346" s="14">
        <v>350.98</v>
      </c>
      <c r="I346" s="14"/>
    </row>
    <row r="347" spans="6:9" ht="18.75" customHeight="1" x14ac:dyDescent="0.4">
      <c r="F347" s="1">
        <v>31898</v>
      </c>
      <c r="G347" s="14">
        <v>351.85</v>
      </c>
      <c r="I347" s="14"/>
    </row>
    <row r="348" spans="6:9" ht="18.75" customHeight="1" x14ac:dyDescent="0.4">
      <c r="F348" s="1">
        <v>31929</v>
      </c>
      <c r="G348" s="14">
        <v>351.26</v>
      </c>
      <c r="I348" s="14"/>
    </row>
    <row r="349" spans="6:9" ht="18.75" customHeight="1" x14ac:dyDescent="0.4">
      <c r="F349" s="1">
        <v>31959</v>
      </c>
      <c r="G349" s="14">
        <v>349.51</v>
      </c>
      <c r="I349" s="14"/>
    </row>
    <row r="350" spans="6:9" ht="18.75" customHeight="1" x14ac:dyDescent="0.4">
      <c r="F350" s="1">
        <v>31990</v>
      </c>
      <c r="G350" s="14">
        <v>348.1</v>
      </c>
      <c r="I350" s="14"/>
    </row>
    <row r="351" spans="6:9" ht="18.75" customHeight="1" x14ac:dyDescent="0.4">
      <c r="F351" s="1">
        <v>32021</v>
      </c>
      <c r="G351" s="14">
        <v>346.45</v>
      </c>
      <c r="I351" s="14"/>
    </row>
    <row r="352" spans="6:9" ht="18.75" customHeight="1" x14ac:dyDescent="0.4">
      <c r="F352" s="1">
        <v>32051</v>
      </c>
      <c r="G352" s="14">
        <v>346.36</v>
      </c>
      <c r="I352" s="14"/>
    </row>
    <row r="353" spans="6:9" ht="18.75" customHeight="1" x14ac:dyDescent="0.4">
      <c r="F353" s="1">
        <v>32082</v>
      </c>
      <c r="G353" s="14">
        <v>347.81</v>
      </c>
      <c r="I353" s="14"/>
    </row>
    <row r="354" spans="6:9" ht="18.75" customHeight="1" x14ac:dyDescent="0.4">
      <c r="F354" s="1">
        <v>32112</v>
      </c>
      <c r="G354" s="14">
        <v>348.96</v>
      </c>
      <c r="I354" s="14"/>
    </row>
    <row r="355" spans="6:9" ht="18.75" customHeight="1" x14ac:dyDescent="0.4">
      <c r="F355" s="1">
        <v>32143</v>
      </c>
      <c r="G355" s="14">
        <v>350.43</v>
      </c>
      <c r="I355" s="14"/>
    </row>
    <row r="356" spans="6:9" ht="18.75" customHeight="1" x14ac:dyDescent="0.4">
      <c r="F356" s="1">
        <v>32174</v>
      </c>
      <c r="G356" s="14">
        <v>351.73</v>
      </c>
      <c r="I356" s="14"/>
    </row>
    <row r="357" spans="6:9" ht="18.75" customHeight="1" x14ac:dyDescent="0.4">
      <c r="F357" s="1">
        <v>32203</v>
      </c>
      <c r="G357" s="14">
        <v>352.22</v>
      </c>
      <c r="I357" s="14"/>
    </row>
    <row r="358" spans="6:9" ht="18.75" customHeight="1" x14ac:dyDescent="0.4">
      <c r="F358" s="1">
        <v>32234</v>
      </c>
      <c r="G358" s="14">
        <v>353.59</v>
      </c>
      <c r="I358" s="14"/>
    </row>
    <row r="359" spans="6:9" ht="18.75" customHeight="1" x14ac:dyDescent="0.4">
      <c r="F359" s="1">
        <v>32264</v>
      </c>
      <c r="G359" s="14">
        <v>354.22</v>
      </c>
      <c r="I359" s="14"/>
    </row>
    <row r="360" spans="6:9" ht="18.75" customHeight="1" x14ac:dyDescent="0.4">
      <c r="F360" s="1">
        <v>32295</v>
      </c>
      <c r="G360" s="14">
        <v>353.8</v>
      </c>
      <c r="I360" s="14"/>
    </row>
    <row r="361" spans="6:9" ht="18.75" customHeight="1" x14ac:dyDescent="0.4">
      <c r="F361" s="1">
        <v>32325</v>
      </c>
      <c r="G361" s="14">
        <v>352.38</v>
      </c>
      <c r="I361" s="14"/>
    </row>
    <row r="362" spans="6:9" ht="18.75" customHeight="1" x14ac:dyDescent="0.4">
      <c r="F362" s="1">
        <v>32356</v>
      </c>
      <c r="G362" s="14">
        <v>350.43</v>
      </c>
      <c r="I362" s="14"/>
    </row>
    <row r="363" spans="6:9" ht="18.75" customHeight="1" x14ac:dyDescent="0.4">
      <c r="F363" s="1">
        <v>32387</v>
      </c>
      <c r="G363" s="14">
        <v>348.73</v>
      </c>
      <c r="I363" s="14"/>
    </row>
    <row r="364" spans="6:9" ht="18.75" customHeight="1" x14ac:dyDescent="0.4">
      <c r="F364" s="1">
        <v>32417</v>
      </c>
      <c r="G364" s="14">
        <v>348.88</v>
      </c>
      <c r="I364" s="14"/>
    </row>
    <row r="365" spans="6:9" ht="18.75" customHeight="1" x14ac:dyDescent="0.4">
      <c r="F365" s="1">
        <v>32448</v>
      </c>
      <c r="G365" s="14">
        <v>350.07</v>
      </c>
      <c r="I365" s="14"/>
    </row>
    <row r="366" spans="6:9" ht="18.75" customHeight="1" x14ac:dyDescent="0.4">
      <c r="F366" s="1">
        <v>32478</v>
      </c>
      <c r="G366" s="14">
        <v>351.34</v>
      </c>
      <c r="I366" s="14"/>
    </row>
    <row r="367" spans="6:9" ht="18.75" customHeight="1" x14ac:dyDescent="0.4">
      <c r="F367" s="1">
        <v>32509</v>
      </c>
      <c r="G367" s="14">
        <v>352.76</v>
      </c>
      <c r="I367" s="14"/>
    </row>
    <row r="368" spans="6:9" ht="18.75" customHeight="1" x14ac:dyDescent="0.4">
      <c r="F368" s="1">
        <v>32540</v>
      </c>
      <c r="G368" s="14">
        <v>353.07</v>
      </c>
      <c r="I368" s="14"/>
    </row>
    <row r="369" spans="6:9" ht="18.75" customHeight="1" x14ac:dyDescent="0.4">
      <c r="F369" s="1">
        <v>32568</v>
      </c>
      <c r="G369" s="14">
        <v>353.68</v>
      </c>
      <c r="I369" s="14"/>
    </row>
    <row r="370" spans="6:9" ht="18.75" customHeight="1" x14ac:dyDescent="0.4">
      <c r="F370" s="1">
        <v>32599</v>
      </c>
      <c r="G370" s="14">
        <v>355.42</v>
      </c>
      <c r="I370" s="14"/>
    </row>
    <row r="371" spans="6:9" ht="18.75" customHeight="1" x14ac:dyDescent="0.4">
      <c r="F371" s="1">
        <v>32629</v>
      </c>
      <c r="G371" s="14">
        <v>355.67</v>
      </c>
      <c r="I371" s="14"/>
    </row>
    <row r="372" spans="6:9" ht="18.75" customHeight="1" x14ac:dyDescent="0.4">
      <c r="F372" s="1">
        <v>32660</v>
      </c>
      <c r="G372" s="14">
        <v>355.12</v>
      </c>
      <c r="I372" s="14"/>
    </row>
    <row r="373" spans="6:9" ht="18.75" customHeight="1" x14ac:dyDescent="0.4">
      <c r="F373" s="1">
        <v>32690</v>
      </c>
      <c r="G373" s="14">
        <v>353.9</v>
      </c>
      <c r="I373" s="14"/>
    </row>
    <row r="374" spans="6:9" ht="18.75" customHeight="1" x14ac:dyDescent="0.4">
      <c r="F374" s="1">
        <v>32721</v>
      </c>
      <c r="G374" s="14">
        <v>351.67</v>
      </c>
      <c r="I374" s="14"/>
    </row>
    <row r="375" spans="6:9" ht="18.75" customHeight="1" x14ac:dyDescent="0.4">
      <c r="F375" s="1">
        <v>32752</v>
      </c>
      <c r="G375" s="14">
        <v>349.81</v>
      </c>
      <c r="I375" s="14"/>
    </row>
    <row r="376" spans="6:9" ht="18.75" customHeight="1" x14ac:dyDescent="0.4">
      <c r="F376" s="1">
        <v>32782</v>
      </c>
      <c r="G376" s="14">
        <v>349.99</v>
      </c>
      <c r="I376" s="14"/>
    </row>
    <row r="377" spans="6:9" ht="18.75" customHeight="1" x14ac:dyDescent="0.4">
      <c r="F377" s="1">
        <v>32813</v>
      </c>
      <c r="G377" s="14">
        <v>351.3</v>
      </c>
      <c r="I377" s="14"/>
    </row>
    <row r="378" spans="6:9" ht="18.75" customHeight="1" x14ac:dyDescent="0.4">
      <c r="F378" s="1">
        <v>32843</v>
      </c>
      <c r="G378" s="14">
        <v>352.52</v>
      </c>
      <c r="I378" s="14"/>
    </row>
    <row r="379" spans="6:9" ht="18.75" customHeight="1" x14ac:dyDescent="0.4">
      <c r="F379" s="1">
        <v>32874</v>
      </c>
      <c r="G379" s="14">
        <v>353.66</v>
      </c>
      <c r="I379" s="14"/>
    </row>
    <row r="380" spans="6:9" ht="18.75" customHeight="1" x14ac:dyDescent="0.4">
      <c r="F380" s="1">
        <v>32905</v>
      </c>
      <c r="G380" s="14">
        <v>354.7</v>
      </c>
      <c r="I380" s="14"/>
    </row>
    <row r="381" spans="6:9" ht="18.75" customHeight="1" x14ac:dyDescent="0.4">
      <c r="F381" s="1">
        <v>32933</v>
      </c>
      <c r="G381" s="14">
        <v>355.38</v>
      </c>
      <c r="I381" s="14"/>
    </row>
    <row r="382" spans="6:9" ht="18.75" customHeight="1" x14ac:dyDescent="0.4">
      <c r="F382" s="1">
        <v>32964</v>
      </c>
      <c r="G382" s="14">
        <v>356.2</v>
      </c>
      <c r="I382" s="14"/>
    </row>
    <row r="383" spans="6:9" ht="18.75" customHeight="1" x14ac:dyDescent="0.4">
      <c r="F383" s="1">
        <v>32994</v>
      </c>
      <c r="G383" s="14">
        <v>357.16</v>
      </c>
      <c r="I383" s="14"/>
    </row>
    <row r="384" spans="6:9" ht="18.75" customHeight="1" x14ac:dyDescent="0.4">
      <c r="F384" s="1">
        <v>33025</v>
      </c>
      <c r="G384" s="14">
        <v>356.23</v>
      </c>
      <c r="I384" s="14"/>
    </row>
    <row r="385" spans="6:9" ht="18.75" customHeight="1" x14ac:dyDescent="0.4">
      <c r="F385" s="1">
        <v>33055</v>
      </c>
      <c r="G385" s="14">
        <v>354.81</v>
      </c>
      <c r="I385" s="14"/>
    </row>
    <row r="386" spans="6:9" ht="18.75" customHeight="1" x14ac:dyDescent="0.4">
      <c r="F386" s="1">
        <v>33086</v>
      </c>
      <c r="G386" s="14">
        <v>352.91</v>
      </c>
      <c r="I386" s="14"/>
    </row>
    <row r="387" spans="6:9" ht="18.75" customHeight="1" x14ac:dyDescent="0.4">
      <c r="F387" s="1">
        <v>33117</v>
      </c>
      <c r="G387" s="14">
        <v>350.96</v>
      </c>
      <c r="I387" s="14"/>
    </row>
    <row r="388" spans="6:9" ht="18.75" customHeight="1" x14ac:dyDescent="0.4">
      <c r="F388" s="1">
        <v>33147</v>
      </c>
      <c r="G388" s="14">
        <v>351.18</v>
      </c>
      <c r="I388" s="14"/>
    </row>
    <row r="389" spans="6:9" ht="18.75" customHeight="1" x14ac:dyDescent="0.4">
      <c r="F389" s="1">
        <v>33178</v>
      </c>
      <c r="G389" s="14">
        <v>352.83</v>
      </c>
      <c r="I389" s="14"/>
    </row>
    <row r="390" spans="6:9" ht="18.75" customHeight="1" x14ac:dyDescent="0.4">
      <c r="F390" s="1">
        <v>33208</v>
      </c>
      <c r="G390" s="14">
        <v>354.21</v>
      </c>
      <c r="I390" s="14"/>
    </row>
    <row r="391" spans="6:9" ht="18.75" customHeight="1" x14ac:dyDescent="0.4">
      <c r="F391" s="1">
        <v>33239</v>
      </c>
      <c r="G391" s="14">
        <v>354.72</v>
      </c>
      <c r="I391" s="14"/>
    </row>
    <row r="392" spans="6:9" ht="18.75" customHeight="1" x14ac:dyDescent="0.4">
      <c r="F392" s="1">
        <v>33270</v>
      </c>
      <c r="G392" s="14">
        <v>355.75</v>
      </c>
      <c r="I392" s="14"/>
    </row>
    <row r="393" spans="6:9" ht="18.75" customHeight="1" x14ac:dyDescent="0.4">
      <c r="F393" s="1">
        <v>33298</v>
      </c>
      <c r="G393" s="14">
        <v>357.16</v>
      </c>
      <c r="I393" s="14"/>
    </row>
    <row r="394" spans="6:9" ht="18.75" customHeight="1" x14ac:dyDescent="0.4">
      <c r="F394" s="1">
        <v>33329</v>
      </c>
      <c r="G394" s="14">
        <v>358.6</v>
      </c>
      <c r="I394" s="14"/>
    </row>
    <row r="395" spans="6:9" ht="18.75" customHeight="1" x14ac:dyDescent="0.4">
      <c r="F395" s="1">
        <v>33359</v>
      </c>
      <c r="G395" s="14">
        <v>359.34</v>
      </c>
      <c r="I395" s="14"/>
    </row>
    <row r="396" spans="6:9" ht="18.75" customHeight="1" x14ac:dyDescent="0.4">
      <c r="F396" s="1">
        <v>33390</v>
      </c>
      <c r="G396" s="14">
        <v>358.24</v>
      </c>
      <c r="I396" s="14"/>
    </row>
    <row r="397" spans="6:9" ht="18.75" customHeight="1" x14ac:dyDescent="0.4">
      <c r="F397" s="1">
        <v>33420</v>
      </c>
      <c r="G397" s="14">
        <v>356.17</v>
      </c>
      <c r="I397" s="14"/>
    </row>
    <row r="398" spans="6:9" ht="18.75" customHeight="1" x14ac:dyDescent="0.4">
      <c r="F398" s="1">
        <v>33451</v>
      </c>
      <c r="G398" s="14">
        <v>354.01</v>
      </c>
      <c r="I398" s="14"/>
    </row>
    <row r="399" spans="6:9" ht="18.75" customHeight="1" x14ac:dyDescent="0.4">
      <c r="F399" s="1">
        <v>33482</v>
      </c>
      <c r="G399" s="14">
        <v>352.15</v>
      </c>
      <c r="I399" s="14"/>
    </row>
    <row r="400" spans="6:9" ht="18.75" customHeight="1" x14ac:dyDescent="0.4">
      <c r="F400" s="1">
        <v>33512</v>
      </c>
      <c r="G400" s="14">
        <v>352.21</v>
      </c>
      <c r="I400" s="14"/>
    </row>
    <row r="401" spans="6:9" ht="18.75" customHeight="1" x14ac:dyDescent="0.4">
      <c r="F401" s="1">
        <v>33543</v>
      </c>
      <c r="G401" s="14">
        <v>353.75</v>
      </c>
      <c r="I401" s="14"/>
    </row>
    <row r="402" spans="6:9" ht="18.75" customHeight="1" x14ac:dyDescent="0.4">
      <c r="F402" s="1">
        <v>33573</v>
      </c>
      <c r="G402" s="14">
        <v>354.99</v>
      </c>
      <c r="I402" s="14"/>
    </row>
    <row r="403" spans="6:9" ht="18.75" customHeight="1" x14ac:dyDescent="0.4">
      <c r="F403" s="1">
        <v>33604</v>
      </c>
      <c r="G403" s="14">
        <v>355.99</v>
      </c>
      <c r="I403" s="14"/>
    </row>
    <row r="404" spans="6:9" ht="18.75" customHeight="1" x14ac:dyDescent="0.4">
      <c r="F404" s="1">
        <v>33635</v>
      </c>
      <c r="G404" s="14">
        <v>356.72</v>
      </c>
      <c r="I404" s="14"/>
    </row>
    <row r="405" spans="6:9" ht="18.75" customHeight="1" x14ac:dyDescent="0.4">
      <c r="F405" s="1">
        <v>33664</v>
      </c>
      <c r="G405" s="14">
        <v>357.81</v>
      </c>
      <c r="I405" s="14"/>
    </row>
    <row r="406" spans="6:9" ht="18.75" customHeight="1" x14ac:dyDescent="0.4">
      <c r="F406" s="1">
        <v>33695</v>
      </c>
      <c r="G406" s="14">
        <v>359.15</v>
      </c>
      <c r="I406" s="14"/>
    </row>
    <row r="407" spans="6:9" ht="18.75" customHeight="1" x14ac:dyDescent="0.4">
      <c r="F407" s="1">
        <v>33725</v>
      </c>
      <c r="G407" s="14">
        <v>359.66</v>
      </c>
      <c r="I407" s="14"/>
    </row>
    <row r="408" spans="6:9" ht="18.75" customHeight="1" x14ac:dyDescent="0.4">
      <c r="F408" s="1">
        <v>33756</v>
      </c>
      <c r="G408" s="14">
        <v>359.25</v>
      </c>
      <c r="I408" s="14"/>
    </row>
    <row r="409" spans="6:9" ht="18.75" customHeight="1" x14ac:dyDescent="0.4">
      <c r="F409" s="1">
        <v>33786</v>
      </c>
      <c r="G409" s="14">
        <v>357.02</v>
      </c>
      <c r="I409" s="14"/>
    </row>
    <row r="410" spans="6:9" ht="18.75" customHeight="1" x14ac:dyDescent="0.4">
      <c r="F410" s="1">
        <v>33817</v>
      </c>
      <c r="G410" s="14">
        <v>355</v>
      </c>
      <c r="I410" s="14"/>
    </row>
    <row r="411" spans="6:9" ht="18.75" customHeight="1" x14ac:dyDescent="0.4">
      <c r="F411" s="1">
        <v>33848</v>
      </c>
      <c r="G411" s="14">
        <v>353.01</v>
      </c>
      <c r="I411" s="14"/>
    </row>
    <row r="412" spans="6:9" ht="18.75" customHeight="1" x14ac:dyDescent="0.4">
      <c r="F412" s="1">
        <v>33878</v>
      </c>
      <c r="G412" s="14">
        <v>353.31</v>
      </c>
      <c r="I412" s="14"/>
    </row>
    <row r="413" spans="6:9" ht="18.75" customHeight="1" x14ac:dyDescent="0.4">
      <c r="F413" s="1">
        <v>33909</v>
      </c>
      <c r="G413" s="14">
        <v>354.16</v>
      </c>
      <c r="I413" s="14"/>
    </row>
    <row r="414" spans="6:9" ht="18.75" customHeight="1" x14ac:dyDescent="0.4">
      <c r="F414" s="1">
        <v>33939</v>
      </c>
      <c r="G414" s="14">
        <v>355.4</v>
      </c>
      <c r="I414" s="14"/>
    </row>
    <row r="415" spans="6:9" ht="18.75" customHeight="1" x14ac:dyDescent="0.4">
      <c r="F415" s="1">
        <v>33970</v>
      </c>
      <c r="G415" s="14">
        <v>356.7</v>
      </c>
      <c r="I415" s="14"/>
    </row>
    <row r="416" spans="6:9" ht="18.75" customHeight="1" x14ac:dyDescent="0.4">
      <c r="F416" s="1">
        <v>34001</v>
      </c>
      <c r="G416" s="14">
        <v>357.17</v>
      </c>
      <c r="I416" s="14"/>
    </row>
    <row r="417" spans="6:9" ht="18.75" customHeight="1" x14ac:dyDescent="0.4">
      <c r="F417" s="1">
        <v>34029</v>
      </c>
      <c r="G417" s="14">
        <v>358.38</v>
      </c>
      <c r="I417" s="14"/>
    </row>
    <row r="418" spans="6:9" ht="18.75" customHeight="1" x14ac:dyDescent="0.4">
      <c r="F418" s="1">
        <v>34060</v>
      </c>
      <c r="G418" s="14">
        <v>359.46</v>
      </c>
      <c r="I418" s="14"/>
    </row>
    <row r="419" spans="6:9" ht="18.75" customHeight="1" x14ac:dyDescent="0.4">
      <c r="F419" s="1">
        <v>34090</v>
      </c>
      <c r="G419" s="14">
        <v>360.28</v>
      </c>
      <c r="I419" s="14"/>
    </row>
    <row r="420" spans="6:9" ht="18.75" customHeight="1" x14ac:dyDescent="0.4">
      <c r="F420" s="1">
        <v>34121</v>
      </c>
      <c r="G420" s="14">
        <v>359.6</v>
      </c>
      <c r="I420" s="14"/>
    </row>
    <row r="421" spans="6:9" ht="18.75" customHeight="1" x14ac:dyDescent="0.4">
      <c r="F421" s="1">
        <v>34151</v>
      </c>
      <c r="G421" s="14">
        <v>357.57</v>
      </c>
      <c r="I421" s="14"/>
    </row>
    <row r="422" spans="6:9" ht="18.75" customHeight="1" x14ac:dyDescent="0.4">
      <c r="F422" s="1">
        <v>34182</v>
      </c>
      <c r="G422" s="14">
        <v>355.52</v>
      </c>
      <c r="I422" s="14"/>
    </row>
    <row r="423" spans="6:9" ht="18.75" customHeight="1" x14ac:dyDescent="0.4">
      <c r="F423" s="1">
        <v>34213</v>
      </c>
      <c r="G423" s="14">
        <v>353.69</v>
      </c>
      <c r="I423" s="14"/>
    </row>
    <row r="424" spans="6:9" ht="18.75" customHeight="1" x14ac:dyDescent="0.4">
      <c r="F424" s="1">
        <v>34243</v>
      </c>
      <c r="G424" s="14">
        <v>353.99</v>
      </c>
      <c r="I424" s="14"/>
    </row>
    <row r="425" spans="6:9" ht="18.75" customHeight="1" x14ac:dyDescent="0.4">
      <c r="F425" s="1">
        <v>34274</v>
      </c>
      <c r="G425" s="14">
        <v>355.34</v>
      </c>
      <c r="I425" s="14"/>
    </row>
    <row r="426" spans="6:9" ht="18.75" customHeight="1" x14ac:dyDescent="0.4">
      <c r="F426" s="1">
        <v>34304</v>
      </c>
      <c r="G426" s="14">
        <v>356.8</v>
      </c>
      <c r="I426" s="14"/>
    </row>
    <row r="427" spans="6:9" ht="18.75" customHeight="1" x14ac:dyDescent="0.4">
      <c r="F427" s="1">
        <v>34335</v>
      </c>
      <c r="G427" s="14">
        <v>358.37</v>
      </c>
      <c r="I427" s="14"/>
    </row>
    <row r="428" spans="6:9" ht="18.75" customHeight="1" x14ac:dyDescent="0.4">
      <c r="F428" s="1">
        <v>34366</v>
      </c>
      <c r="G428" s="14">
        <v>358.91</v>
      </c>
      <c r="I428" s="14"/>
    </row>
    <row r="429" spans="6:9" ht="18.75" customHeight="1" x14ac:dyDescent="0.4">
      <c r="F429" s="1">
        <v>34394</v>
      </c>
      <c r="G429" s="14">
        <v>359.97</v>
      </c>
      <c r="I429" s="14"/>
    </row>
    <row r="430" spans="6:9" ht="18.75" customHeight="1" x14ac:dyDescent="0.4">
      <c r="F430" s="1">
        <v>34425</v>
      </c>
      <c r="G430" s="14">
        <v>361.26</v>
      </c>
      <c r="I430" s="14"/>
    </row>
    <row r="431" spans="6:9" ht="18.75" customHeight="1" x14ac:dyDescent="0.4">
      <c r="F431" s="1">
        <v>34455</v>
      </c>
      <c r="G431" s="14">
        <v>361.69</v>
      </c>
      <c r="I431" s="14"/>
    </row>
    <row r="432" spans="6:9" ht="18.75" customHeight="1" x14ac:dyDescent="0.4">
      <c r="F432" s="1">
        <v>34486</v>
      </c>
      <c r="G432" s="14">
        <v>360.94</v>
      </c>
      <c r="I432" s="14"/>
    </row>
    <row r="433" spans="6:9" ht="18.75" customHeight="1" x14ac:dyDescent="0.4">
      <c r="F433" s="1">
        <v>34516</v>
      </c>
      <c r="G433" s="14">
        <v>359.55</v>
      </c>
      <c r="I433" s="14"/>
    </row>
    <row r="434" spans="6:9" ht="18.75" customHeight="1" x14ac:dyDescent="0.4">
      <c r="F434" s="1">
        <v>34547</v>
      </c>
      <c r="G434" s="14">
        <v>357.48</v>
      </c>
      <c r="I434" s="14"/>
    </row>
    <row r="435" spans="6:9" ht="18.75" customHeight="1" x14ac:dyDescent="0.4">
      <c r="F435" s="1">
        <v>34578</v>
      </c>
      <c r="G435" s="14">
        <v>355.84</v>
      </c>
      <c r="I435" s="14"/>
    </row>
    <row r="436" spans="6:9" ht="18.75" customHeight="1" x14ac:dyDescent="0.4">
      <c r="F436" s="1">
        <v>34608</v>
      </c>
      <c r="G436" s="14">
        <v>356</v>
      </c>
      <c r="I436" s="14"/>
    </row>
    <row r="437" spans="6:9" ht="18.75" customHeight="1" x14ac:dyDescent="0.4">
      <c r="F437" s="1">
        <v>34639</v>
      </c>
      <c r="G437" s="14">
        <v>357.58</v>
      </c>
      <c r="I437" s="14"/>
    </row>
    <row r="438" spans="6:9" ht="18.75" customHeight="1" x14ac:dyDescent="0.4">
      <c r="F438" s="1">
        <v>34669</v>
      </c>
      <c r="G438" s="14">
        <v>359.04</v>
      </c>
      <c r="I438" s="14"/>
    </row>
    <row r="439" spans="6:9" ht="18.75" customHeight="1" x14ac:dyDescent="0.4">
      <c r="F439" s="1">
        <v>34700</v>
      </c>
      <c r="G439" s="14">
        <v>359.97</v>
      </c>
      <c r="I439" s="14"/>
    </row>
    <row r="440" spans="6:9" ht="18.75" customHeight="1" x14ac:dyDescent="0.4">
      <c r="F440" s="1">
        <v>34731</v>
      </c>
      <c r="G440" s="14">
        <v>361</v>
      </c>
      <c r="I440" s="14"/>
    </row>
    <row r="441" spans="6:9" ht="18.75" customHeight="1" x14ac:dyDescent="0.4">
      <c r="F441" s="1">
        <v>34759</v>
      </c>
      <c r="G441" s="14">
        <v>361.63</v>
      </c>
      <c r="I441" s="14"/>
    </row>
    <row r="442" spans="6:9" ht="18.75" customHeight="1" x14ac:dyDescent="0.4">
      <c r="F442" s="1">
        <v>34790</v>
      </c>
      <c r="G442" s="14">
        <v>363.45</v>
      </c>
      <c r="I442" s="14"/>
    </row>
    <row r="443" spans="6:9" ht="18.75" customHeight="1" x14ac:dyDescent="0.4">
      <c r="F443" s="1">
        <v>34820</v>
      </c>
      <c r="G443" s="14">
        <v>363.8</v>
      </c>
      <c r="I443" s="14"/>
    </row>
    <row r="444" spans="6:9" ht="18.75" customHeight="1" x14ac:dyDescent="0.4">
      <c r="F444" s="1">
        <v>34851</v>
      </c>
      <c r="G444" s="14">
        <v>363.26</v>
      </c>
      <c r="I444" s="14"/>
    </row>
    <row r="445" spans="6:9" ht="18.75" customHeight="1" x14ac:dyDescent="0.4">
      <c r="F445" s="1">
        <v>34881</v>
      </c>
      <c r="G445" s="14">
        <v>361.89</v>
      </c>
      <c r="I445" s="14"/>
    </row>
    <row r="446" spans="6:9" ht="18.75" customHeight="1" x14ac:dyDescent="0.4">
      <c r="F446" s="1">
        <v>34912</v>
      </c>
      <c r="G446" s="14">
        <v>359.45</v>
      </c>
      <c r="I446" s="14"/>
    </row>
    <row r="447" spans="6:9" ht="18.75" customHeight="1" x14ac:dyDescent="0.4">
      <c r="F447" s="1">
        <v>34943</v>
      </c>
      <c r="G447" s="14">
        <v>358.05</v>
      </c>
      <c r="I447" s="14"/>
    </row>
    <row r="448" spans="6:9" ht="18.75" customHeight="1" x14ac:dyDescent="0.4">
      <c r="F448" s="1">
        <v>34973</v>
      </c>
      <c r="G448" s="14">
        <v>357.75</v>
      </c>
      <c r="I448" s="14"/>
    </row>
    <row r="449" spans="6:9" ht="18.75" customHeight="1" x14ac:dyDescent="0.4">
      <c r="F449" s="1">
        <v>35004</v>
      </c>
      <c r="G449" s="14">
        <v>359.56</v>
      </c>
      <c r="I449" s="14"/>
    </row>
    <row r="450" spans="6:9" ht="18.75" customHeight="1" x14ac:dyDescent="0.4">
      <c r="F450" s="1">
        <v>35034</v>
      </c>
      <c r="G450" s="14">
        <v>360.7</v>
      </c>
      <c r="I450" s="14"/>
    </row>
    <row r="451" spans="6:9" ht="18.75" customHeight="1" x14ac:dyDescent="0.4">
      <c r="F451" s="1">
        <v>35065</v>
      </c>
      <c r="G451" s="14">
        <v>362.05</v>
      </c>
      <c r="I451" s="14"/>
    </row>
    <row r="452" spans="6:9" ht="18.75" customHeight="1" x14ac:dyDescent="0.4">
      <c r="F452" s="1">
        <v>35096</v>
      </c>
      <c r="G452" s="14">
        <v>363.24</v>
      </c>
      <c r="I452" s="14"/>
    </row>
    <row r="453" spans="6:9" ht="18.75" customHeight="1" x14ac:dyDescent="0.4">
      <c r="F453" s="1">
        <v>35125</v>
      </c>
      <c r="G453" s="14">
        <v>364.02</v>
      </c>
      <c r="I453" s="14"/>
    </row>
    <row r="454" spans="6:9" ht="18.75" customHeight="1" x14ac:dyDescent="0.4">
      <c r="F454" s="1">
        <v>35156</v>
      </c>
      <c r="G454" s="14">
        <v>364.71</v>
      </c>
      <c r="I454" s="14"/>
    </row>
    <row r="455" spans="6:9" ht="18.75" customHeight="1" x14ac:dyDescent="0.4">
      <c r="F455" s="1">
        <v>35186</v>
      </c>
      <c r="G455" s="14">
        <v>365.42</v>
      </c>
      <c r="I455" s="14"/>
    </row>
    <row r="456" spans="6:9" ht="18.75" customHeight="1" x14ac:dyDescent="0.4">
      <c r="F456" s="1">
        <v>35217</v>
      </c>
      <c r="G456" s="14">
        <v>364.97</v>
      </c>
      <c r="I456" s="14"/>
    </row>
    <row r="457" spans="6:9" ht="18.75" customHeight="1" x14ac:dyDescent="0.4">
      <c r="F457" s="1">
        <v>35247</v>
      </c>
      <c r="G457" s="14">
        <v>363.65</v>
      </c>
      <c r="I457" s="14"/>
    </row>
    <row r="458" spans="6:9" ht="18.75" customHeight="1" x14ac:dyDescent="0.4">
      <c r="F458" s="1">
        <v>35278</v>
      </c>
      <c r="G458" s="14">
        <v>361.48</v>
      </c>
      <c r="I458" s="14"/>
    </row>
    <row r="459" spans="6:9" ht="18.75" customHeight="1" x14ac:dyDescent="0.4">
      <c r="F459" s="1">
        <v>35309</v>
      </c>
      <c r="G459" s="14">
        <v>359.45</v>
      </c>
      <c r="I459" s="14"/>
    </row>
    <row r="460" spans="6:9" ht="18.75" customHeight="1" x14ac:dyDescent="0.4">
      <c r="F460" s="1">
        <v>35339</v>
      </c>
      <c r="G460" s="14">
        <v>359.61</v>
      </c>
      <c r="I460" s="14"/>
    </row>
    <row r="461" spans="6:9" ht="18.75" customHeight="1" x14ac:dyDescent="0.4">
      <c r="F461" s="1">
        <v>35370</v>
      </c>
      <c r="G461" s="14">
        <v>360.76</v>
      </c>
      <c r="I461" s="14"/>
    </row>
    <row r="462" spans="6:9" ht="18.75" customHeight="1" x14ac:dyDescent="0.4">
      <c r="F462" s="1">
        <v>35400</v>
      </c>
      <c r="G462" s="14">
        <v>362.33</v>
      </c>
      <c r="I462" s="14"/>
    </row>
    <row r="463" spans="6:9" ht="18.75" customHeight="1" x14ac:dyDescent="0.4">
      <c r="F463" s="1">
        <v>35431</v>
      </c>
      <c r="G463" s="14">
        <v>363.19</v>
      </c>
      <c r="I463" s="14"/>
    </row>
    <row r="464" spans="6:9" ht="18.75" customHeight="1" x14ac:dyDescent="0.4">
      <c r="F464" s="1">
        <v>35462</v>
      </c>
      <c r="G464" s="14">
        <v>363.99</v>
      </c>
      <c r="I464" s="14"/>
    </row>
    <row r="465" spans="6:9" ht="18.75" customHeight="1" x14ac:dyDescent="0.4">
      <c r="F465" s="1">
        <v>35490</v>
      </c>
      <c r="G465" s="14">
        <v>364.56</v>
      </c>
      <c r="I465" s="14"/>
    </row>
    <row r="466" spans="6:9" ht="18.75" customHeight="1" x14ac:dyDescent="0.4">
      <c r="F466" s="1">
        <v>35521</v>
      </c>
      <c r="G466" s="14">
        <v>366.36</v>
      </c>
      <c r="I466" s="14"/>
    </row>
    <row r="467" spans="6:9" ht="18.75" customHeight="1" x14ac:dyDescent="0.4">
      <c r="F467" s="1">
        <v>35551</v>
      </c>
      <c r="G467" s="14">
        <v>366.8</v>
      </c>
      <c r="I467" s="14"/>
    </row>
    <row r="468" spans="6:9" ht="18.75" customHeight="1" x14ac:dyDescent="0.4">
      <c r="F468" s="1">
        <v>35582</v>
      </c>
      <c r="G468" s="14">
        <v>365.63</v>
      </c>
      <c r="I468" s="14"/>
    </row>
    <row r="469" spans="6:9" ht="18.75" customHeight="1" x14ac:dyDescent="0.4">
      <c r="F469" s="1">
        <v>35612</v>
      </c>
      <c r="G469" s="14">
        <v>364.47</v>
      </c>
      <c r="I469" s="14"/>
    </row>
    <row r="470" spans="6:9" ht="18.75" customHeight="1" x14ac:dyDescent="0.4">
      <c r="F470" s="1">
        <v>35643</v>
      </c>
      <c r="G470" s="14">
        <v>362.5</v>
      </c>
      <c r="I470" s="14"/>
    </row>
    <row r="471" spans="6:9" ht="18.75" customHeight="1" x14ac:dyDescent="0.4">
      <c r="F471" s="1">
        <v>35674</v>
      </c>
      <c r="G471" s="14">
        <v>360.19</v>
      </c>
      <c r="I471" s="14"/>
    </row>
    <row r="472" spans="6:9" ht="18.75" customHeight="1" x14ac:dyDescent="0.4">
      <c r="F472" s="1">
        <v>35704</v>
      </c>
      <c r="G472" s="14">
        <v>360.78</v>
      </c>
      <c r="I472" s="14"/>
    </row>
    <row r="473" spans="6:9" ht="18.75" customHeight="1" x14ac:dyDescent="0.4">
      <c r="F473" s="1">
        <v>35735</v>
      </c>
      <c r="G473" s="14">
        <v>362.43</v>
      </c>
      <c r="I473" s="14"/>
    </row>
    <row r="474" spans="6:9" ht="18.75" customHeight="1" x14ac:dyDescent="0.4">
      <c r="F474" s="1">
        <v>35765</v>
      </c>
      <c r="G474" s="14">
        <v>364.28</v>
      </c>
      <c r="I474" s="14"/>
    </row>
    <row r="475" spans="6:9" ht="18.75" customHeight="1" x14ac:dyDescent="0.4">
      <c r="F475" s="1">
        <v>35796</v>
      </c>
      <c r="G475" s="14">
        <v>365.33</v>
      </c>
      <c r="I475" s="14"/>
    </row>
    <row r="476" spans="6:9" ht="18.75" customHeight="1" x14ac:dyDescent="0.4">
      <c r="F476" s="1">
        <v>35827</v>
      </c>
      <c r="G476" s="14">
        <v>366.15</v>
      </c>
      <c r="I476" s="14"/>
    </row>
    <row r="477" spans="6:9" ht="18.75" customHeight="1" x14ac:dyDescent="0.4">
      <c r="F477" s="1">
        <v>35855</v>
      </c>
      <c r="G477" s="14">
        <v>367.31</v>
      </c>
      <c r="I477" s="14"/>
    </row>
    <row r="478" spans="6:9" ht="18.75" customHeight="1" x14ac:dyDescent="0.4">
      <c r="F478" s="1">
        <v>35886</v>
      </c>
      <c r="G478" s="14">
        <v>368.61</v>
      </c>
      <c r="I478" s="14"/>
    </row>
    <row r="479" spans="6:9" ht="18.75" customHeight="1" x14ac:dyDescent="0.4">
      <c r="F479" s="1">
        <v>35916</v>
      </c>
      <c r="G479" s="14">
        <v>369.3</v>
      </c>
      <c r="I479" s="14"/>
    </row>
    <row r="480" spans="6:9" ht="18.75" customHeight="1" x14ac:dyDescent="0.4">
      <c r="F480" s="1">
        <v>35947</v>
      </c>
      <c r="G480" s="14">
        <v>368.88</v>
      </c>
      <c r="I480" s="14"/>
    </row>
    <row r="481" spans="6:9" ht="18.75" customHeight="1" x14ac:dyDescent="0.4">
      <c r="F481" s="1">
        <v>35977</v>
      </c>
      <c r="G481" s="14">
        <v>367.64</v>
      </c>
      <c r="I481" s="14"/>
    </row>
    <row r="482" spans="6:9" ht="18.75" customHeight="1" x14ac:dyDescent="0.4">
      <c r="F482" s="1">
        <v>36008</v>
      </c>
      <c r="G482" s="14">
        <v>365.78</v>
      </c>
      <c r="I482" s="14"/>
    </row>
    <row r="483" spans="6:9" ht="18.75" customHeight="1" x14ac:dyDescent="0.4">
      <c r="F483" s="1">
        <v>36039</v>
      </c>
      <c r="G483" s="14">
        <v>363.9</v>
      </c>
      <c r="I483" s="14"/>
    </row>
    <row r="484" spans="6:9" ht="18.75" customHeight="1" x14ac:dyDescent="0.4">
      <c r="F484" s="1">
        <v>36069</v>
      </c>
      <c r="G484" s="14">
        <v>364.23</v>
      </c>
      <c r="I484" s="14"/>
    </row>
    <row r="485" spans="6:9" ht="18.75" customHeight="1" x14ac:dyDescent="0.4">
      <c r="F485" s="1">
        <v>36100</v>
      </c>
      <c r="G485" s="14">
        <v>365.46</v>
      </c>
      <c r="I485" s="14"/>
    </row>
    <row r="486" spans="6:9" ht="18.75" customHeight="1" x14ac:dyDescent="0.4">
      <c r="F486" s="1">
        <v>36130</v>
      </c>
      <c r="G486" s="14">
        <v>366.97</v>
      </c>
      <c r="I486" s="14"/>
    </row>
    <row r="487" spans="6:9" ht="18.75" customHeight="1" x14ac:dyDescent="0.4">
      <c r="F487" s="1">
        <v>36161</v>
      </c>
      <c r="G487" s="14">
        <v>368.15</v>
      </c>
      <c r="I487" s="14"/>
    </row>
    <row r="488" spans="6:9" ht="18.75" customHeight="1" x14ac:dyDescent="0.4">
      <c r="F488" s="1">
        <v>36192</v>
      </c>
      <c r="G488" s="14">
        <v>368.87</v>
      </c>
      <c r="I488" s="14"/>
    </row>
    <row r="489" spans="6:9" ht="18.75" customHeight="1" x14ac:dyDescent="0.4">
      <c r="F489" s="1">
        <v>36220</v>
      </c>
      <c r="G489" s="14">
        <v>369.59</v>
      </c>
      <c r="I489" s="14"/>
    </row>
    <row r="490" spans="6:9" ht="18.75" customHeight="1" x14ac:dyDescent="0.4">
      <c r="F490" s="1">
        <v>36251</v>
      </c>
      <c r="G490" s="14">
        <v>371.14</v>
      </c>
      <c r="I490" s="14"/>
    </row>
    <row r="491" spans="6:9" ht="18.75" customHeight="1" x14ac:dyDescent="0.4">
      <c r="F491" s="1">
        <v>36281</v>
      </c>
      <c r="G491" s="14">
        <v>371</v>
      </c>
      <c r="I491" s="14"/>
    </row>
    <row r="492" spans="6:9" ht="18.75" customHeight="1" x14ac:dyDescent="0.4">
      <c r="F492" s="1">
        <v>36312</v>
      </c>
      <c r="G492" s="14">
        <v>370.35</v>
      </c>
      <c r="I492" s="14"/>
    </row>
    <row r="493" spans="6:9" ht="18.75" customHeight="1" x14ac:dyDescent="0.4">
      <c r="F493" s="1">
        <v>36342</v>
      </c>
      <c r="G493" s="14">
        <v>369.27</v>
      </c>
      <c r="I493" s="14"/>
    </row>
    <row r="494" spans="6:9" ht="18.75" customHeight="1" x14ac:dyDescent="0.4">
      <c r="F494" s="1">
        <v>36373</v>
      </c>
      <c r="G494" s="14">
        <v>366.93</v>
      </c>
      <c r="I494" s="14"/>
    </row>
    <row r="495" spans="6:9" ht="18.75" customHeight="1" x14ac:dyDescent="0.4">
      <c r="F495" s="1">
        <v>36404</v>
      </c>
      <c r="G495" s="14">
        <v>364.64</v>
      </c>
      <c r="I495" s="14"/>
    </row>
    <row r="496" spans="6:9" ht="18.75" customHeight="1" x14ac:dyDescent="0.4">
      <c r="F496" s="1">
        <v>36434</v>
      </c>
      <c r="G496" s="14">
        <v>365.13</v>
      </c>
      <c r="I496" s="14"/>
    </row>
    <row r="497" spans="6:9" ht="18.75" customHeight="1" x14ac:dyDescent="0.4">
      <c r="F497" s="1">
        <v>36465</v>
      </c>
      <c r="G497" s="14">
        <v>366.68</v>
      </c>
      <c r="I497" s="14"/>
    </row>
    <row r="498" spans="6:9" ht="18.75" customHeight="1" x14ac:dyDescent="0.4">
      <c r="F498" s="1">
        <v>36495</v>
      </c>
      <c r="G498" s="14">
        <v>368</v>
      </c>
      <c r="I498" s="14"/>
    </row>
    <row r="499" spans="6:9" ht="18.75" customHeight="1" x14ac:dyDescent="0.4">
      <c r="F499" s="1">
        <v>36526</v>
      </c>
      <c r="G499" s="14">
        <v>369.14</v>
      </c>
      <c r="I499" s="14"/>
    </row>
    <row r="500" spans="6:9" ht="18.75" customHeight="1" x14ac:dyDescent="0.4">
      <c r="F500" s="1">
        <v>36557</v>
      </c>
      <c r="G500" s="14">
        <v>369.46</v>
      </c>
      <c r="I500" s="14"/>
    </row>
    <row r="501" spans="6:9" ht="18.75" customHeight="1" x14ac:dyDescent="0.4">
      <c r="F501" s="1">
        <v>36586</v>
      </c>
      <c r="G501" s="14">
        <v>370.51</v>
      </c>
      <c r="I501" s="14"/>
    </row>
    <row r="502" spans="6:9" ht="18.75" customHeight="1" x14ac:dyDescent="0.4">
      <c r="F502" s="1">
        <v>36617</v>
      </c>
      <c r="G502" s="14">
        <v>371.66</v>
      </c>
      <c r="I502" s="14"/>
    </row>
    <row r="503" spans="6:9" ht="18.75" customHeight="1" x14ac:dyDescent="0.4">
      <c r="F503" s="1">
        <v>36647</v>
      </c>
      <c r="G503" s="14">
        <v>371.83</v>
      </c>
      <c r="I503" s="14"/>
    </row>
    <row r="504" spans="6:9" ht="18.75" customHeight="1" x14ac:dyDescent="0.4">
      <c r="F504" s="1">
        <v>36678</v>
      </c>
      <c r="G504" s="14">
        <v>371.69</v>
      </c>
      <c r="I504" s="14"/>
    </row>
    <row r="505" spans="6:9" ht="18.75" customHeight="1" x14ac:dyDescent="0.4">
      <c r="F505" s="1">
        <v>36708</v>
      </c>
      <c r="G505" s="14">
        <v>370.12</v>
      </c>
      <c r="I505" s="14"/>
    </row>
    <row r="506" spans="6:9" ht="18.75" customHeight="1" x14ac:dyDescent="0.4">
      <c r="F506" s="1">
        <v>36739</v>
      </c>
      <c r="G506" s="14">
        <v>368.12</v>
      </c>
      <c r="I506" s="14"/>
    </row>
    <row r="507" spans="6:9" ht="18.75" customHeight="1" x14ac:dyDescent="0.4">
      <c r="F507" s="1">
        <v>36770</v>
      </c>
      <c r="G507" s="14">
        <v>366.62</v>
      </c>
      <c r="I507" s="14"/>
    </row>
    <row r="508" spans="6:9" ht="18.75" customHeight="1" x14ac:dyDescent="0.4">
      <c r="F508" s="1">
        <v>36800</v>
      </c>
      <c r="G508" s="14">
        <v>366.73</v>
      </c>
      <c r="I508" s="14"/>
    </row>
    <row r="509" spans="6:9" ht="18.75" customHeight="1" x14ac:dyDescent="0.4">
      <c r="F509" s="1">
        <v>36831</v>
      </c>
      <c r="G509" s="14">
        <v>368.29</v>
      </c>
      <c r="I509" s="14"/>
    </row>
    <row r="510" spans="6:9" ht="18.75" customHeight="1" x14ac:dyDescent="0.4">
      <c r="F510" s="1">
        <v>36861</v>
      </c>
      <c r="G510" s="14">
        <v>369.52</v>
      </c>
      <c r="I510" s="14"/>
    </row>
    <row r="511" spans="6:9" ht="18.75" customHeight="1" x14ac:dyDescent="0.4">
      <c r="F511" s="1">
        <v>36892</v>
      </c>
      <c r="G511" s="14">
        <v>370.28</v>
      </c>
      <c r="I511" s="14"/>
    </row>
    <row r="512" spans="6:9" ht="18.75" customHeight="1" x14ac:dyDescent="0.4">
      <c r="F512" s="1">
        <v>36923</v>
      </c>
      <c r="G512" s="14">
        <v>371.5</v>
      </c>
      <c r="I512" s="14"/>
    </row>
    <row r="513" spans="6:9" ht="18.75" customHeight="1" x14ac:dyDescent="0.4">
      <c r="F513" s="1">
        <v>36951</v>
      </c>
      <c r="G513" s="14">
        <v>372.12</v>
      </c>
      <c r="I513" s="14"/>
    </row>
    <row r="514" spans="6:9" ht="18.75" customHeight="1" x14ac:dyDescent="0.4">
      <c r="F514" s="1">
        <v>36982</v>
      </c>
      <c r="G514" s="14">
        <v>372.86</v>
      </c>
      <c r="I514" s="14"/>
    </row>
    <row r="515" spans="6:9" ht="18.75" customHeight="1" x14ac:dyDescent="0.4">
      <c r="F515" s="1">
        <v>37012</v>
      </c>
      <c r="G515" s="14">
        <v>374.02</v>
      </c>
      <c r="I515" s="14"/>
    </row>
    <row r="516" spans="6:9" ht="18.75" customHeight="1" x14ac:dyDescent="0.4">
      <c r="F516" s="1">
        <v>37043</v>
      </c>
      <c r="G516" s="14">
        <v>373.31</v>
      </c>
      <c r="I516" s="14"/>
    </row>
    <row r="517" spans="6:9" ht="18.75" customHeight="1" x14ac:dyDescent="0.4">
      <c r="F517" s="1">
        <v>37073</v>
      </c>
      <c r="G517" s="14">
        <v>371.62</v>
      </c>
      <c r="I517" s="14"/>
    </row>
    <row r="518" spans="6:9" ht="18.75" customHeight="1" x14ac:dyDescent="0.4">
      <c r="F518" s="1">
        <v>37104</v>
      </c>
      <c r="G518" s="14">
        <v>369.55</v>
      </c>
      <c r="I518" s="14"/>
    </row>
    <row r="519" spans="6:9" ht="18.75" customHeight="1" x14ac:dyDescent="0.4">
      <c r="F519" s="1">
        <v>37135</v>
      </c>
      <c r="G519" s="14">
        <v>367.96</v>
      </c>
      <c r="I519" s="14"/>
    </row>
    <row r="520" spans="6:9" ht="18.75" customHeight="1" x14ac:dyDescent="0.4">
      <c r="F520" s="1">
        <v>37165</v>
      </c>
      <c r="G520" s="14">
        <v>368.09</v>
      </c>
      <c r="I520" s="14"/>
    </row>
    <row r="521" spans="6:9" ht="18.75" customHeight="1" x14ac:dyDescent="0.4">
      <c r="F521" s="1">
        <v>37196</v>
      </c>
      <c r="G521" s="14">
        <v>369.68</v>
      </c>
      <c r="I521" s="14"/>
    </row>
    <row r="522" spans="6:9" ht="18.75" customHeight="1" x14ac:dyDescent="0.4">
      <c r="F522" s="1">
        <v>37226</v>
      </c>
      <c r="G522" s="14">
        <v>371.24</v>
      </c>
      <c r="I522" s="14"/>
    </row>
    <row r="523" spans="6:9" ht="18.75" customHeight="1" x14ac:dyDescent="0.4">
      <c r="F523" s="1">
        <v>37257</v>
      </c>
      <c r="G523" s="14">
        <v>372.44</v>
      </c>
      <c r="I523" s="14"/>
    </row>
    <row r="524" spans="6:9" ht="18.75" customHeight="1" x14ac:dyDescent="0.4">
      <c r="F524" s="1">
        <v>37288</v>
      </c>
      <c r="G524" s="14">
        <v>373.08</v>
      </c>
      <c r="I524" s="14"/>
    </row>
    <row r="525" spans="6:9" ht="18.75" customHeight="1" x14ac:dyDescent="0.4">
      <c r="F525" s="1">
        <v>37316</v>
      </c>
      <c r="G525" s="14">
        <v>373.52</v>
      </c>
      <c r="I525" s="14"/>
    </row>
    <row r="526" spans="6:9" ht="18.75" customHeight="1" x14ac:dyDescent="0.4">
      <c r="F526" s="1">
        <v>37347</v>
      </c>
      <c r="G526" s="14">
        <v>374.85</v>
      </c>
      <c r="I526" s="14"/>
    </row>
    <row r="527" spans="6:9" ht="18.75" customHeight="1" x14ac:dyDescent="0.4">
      <c r="F527" s="1">
        <v>37377</v>
      </c>
      <c r="G527" s="14">
        <v>375.55</v>
      </c>
      <c r="I527" s="14"/>
    </row>
    <row r="528" spans="6:9" ht="18.75" customHeight="1" x14ac:dyDescent="0.4">
      <c r="F528" s="1">
        <v>37408</v>
      </c>
      <c r="G528" s="14">
        <v>375.4</v>
      </c>
      <c r="I528" s="14"/>
    </row>
    <row r="529" spans="6:9" ht="18.75" customHeight="1" x14ac:dyDescent="0.4">
      <c r="F529" s="1">
        <v>37438</v>
      </c>
      <c r="G529" s="14">
        <v>374.02</v>
      </c>
      <c r="I529" s="14"/>
    </row>
    <row r="530" spans="6:9" ht="18.75" customHeight="1" x14ac:dyDescent="0.4">
      <c r="F530" s="1">
        <v>37469</v>
      </c>
      <c r="G530" s="14">
        <v>371.48</v>
      </c>
      <c r="I530" s="14"/>
    </row>
    <row r="531" spans="6:9" ht="18.75" customHeight="1" x14ac:dyDescent="0.4">
      <c r="F531" s="1">
        <v>37500</v>
      </c>
      <c r="G531" s="14">
        <v>370.7</v>
      </c>
      <c r="I531" s="14"/>
    </row>
    <row r="532" spans="6:9" ht="18.75" customHeight="1" x14ac:dyDescent="0.4">
      <c r="F532" s="1">
        <v>37530</v>
      </c>
      <c r="G532" s="14">
        <v>370.25</v>
      </c>
      <c r="I532" s="14"/>
    </row>
    <row r="533" spans="6:9" ht="18.75" customHeight="1" x14ac:dyDescent="0.4">
      <c r="F533" s="1">
        <v>37561</v>
      </c>
      <c r="G533" s="14">
        <v>372.08</v>
      </c>
      <c r="I533" s="14"/>
    </row>
    <row r="534" spans="6:9" ht="18.75" customHeight="1" x14ac:dyDescent="0.4">
      <c r="F534" s="1">
        <v>37591</v>
      </c>
      <c r="G534" s="14">
        <v>373.78</v>
      </c>
      <c r="I534" s="14"/>
    </row>
    <row r="535" spans="6:9" ht="18.75" customHeight="1" x14ac:dyDescent="0.4">
      <c r="F535" s="1">
        <v>37622</v>
      </c>
      <c r="G535" s="14">
        <v>374.68</v>
      </c>
      <c r="I535" s="14"/>
    </row>
    <row r="536" spans="6:9" ht="18.75" customHeight="1" x14ac:dyDescent="0.4">
      <c r="F536" s="1">
        <v>37653</v>
      </c>
      <c r="G536" s="14">
        <v>375.62</v>
      </c>
      <c r="I536" s="14"/>
    </row>
    <row r="537" spans="6:9" ht="18.75" customHeight="1" x14ac:dyDescent="0.4">
      <c r="F537" s="1">
        <v>37681</v>
      </c>
      <c r="G537" s="14">
        <v>376.11</v>
      </c>
      <c r="I537" s="14"/>
    </row>
    <row r="538" spans="6:9" ht="18.75" customHeight="1" x14ac:dyDescent="0.4">
      <c r="F538" s="1">
        <v>37712</v>
      </c>
      <c r="G538" s="14">
        <v>377.65</v>
      </c>
      <c r="I538" s="14"/>
    </row>
    <row r="539" spans="6:9" ht="18.75" customHeight="1" x14ac:dyDescent="0.4">
      <c r="F539" s="1">
        <v>37742</v>
      </c>
      <c r="G539" s="14">
        <v>378.35</v>
      </c>
      <c r="I539" s="14"/>
    </row>
    <row r="540" spans="6:9" ht="18.75" customHeight="1" x14ac:dyDescent="0.4">
      <c r="F540" s="1">
        <v>37773</v>
      </c>
      <c r="G540" s="14">
        <v>378.13</v>
      </c>
      <c r="I540" s="14"/>
    </row>
    <row r="541" spans="6:9" ht="18.75" customHeight="1" x14ac:dyDescent="0.4">
      <c r="F541" s="1">
        <v>37803</v>
      </c>
      <c r="G541" s="14">
        <v>376.6</v>
      </c>
      <c r="I541" s="14"/>
    </row>
    <row r="542" spans="6:9" ht="18.75" customHeight="1" x14ac:dyDescent="0.4">
      <c r="F542" s="1">
        <v>37834</v>
      </c>
      <c r="G542" s="14">
        <v>374.48</v>
      </c>
      <c r="I542" s="14"/>
    </row>
    <row r="543" spans="6:9" ht="18.75" customHeight="1" x14ac:dyDescent="0.4">
      <c r="F543" s="1">
        <v>37865</v>
      </c>
      <c r="G543" s="14">
        <v>372.98</v>
      </c>
      <c r="I543" s="14"/>
    </row>
    <row r="544" spans="6:9" ht="18.75" customHeight="1" x14ac:dyDescent="0.4">
      <c r="F544" s="1">
        <v>37895</v>
      </c>
      <c r="G544" s="14">
        <v>373</v>
      </c>
      <c r="I544" s="14"/>
    </row>
    <row r="545" spans="6:9" ht="18.75" customHeight="1" x14ac:dyDescent="0.4">
      <c r="F545" s="1">
        <v>37926</v>
      </c>
      <c r="G545" s="14">
        <v>374.35</v>
      </c>
      <c r="I545" s="14"/>
    </row>
    <row r="546" spans="6:9" ht="18.75" customHeight="1" x14ac:dyDescent="0.4">
      <c r="F546" s="1">
        <v>37956</v>
      </c>
      <c r="G546" s="14">
        <v>375.69</v>
      </c>
      <c r="I546" s="14"/>
    </row>
    <row r="547" spans="6:9" ht="18.75" customHeight="1" x14ac:dyDescent="0.4">
      <c r="F547" s="1">
        <v>37987</v>
      </c>
      <c r="G547" s="14">
        <v>376.79</v>
      </c>
      <c r="I547" s="14"/>
    </row>
    <row r="548" spans="6:9" ht="18.75" customHeight="1" x14ac:dyDescent="0.4">
      <c r="F548" s="1">
        <v>38018</v>
      </c>
      <c r="G548" s="14">
        <v>377.37</v>
      </c>
      <c r="I548" s="14"/>
    </row>
    <row r="549" spans="6:9" ht="18.75" customHeight="1" x14ac:dyDescent="0.4">
      <c r="F549" s="1">
        <v>38047</v>
      </c>
      <c r="G549" s="14">
        <v>378.39</v>
      </c>
      <c r="I549" s="14"/>
    </row>
    <row r="550" spans="6:9" ht="18.75" customHeight="1" x14ac:dyDescent="0.4">
      <c r="F550" s="1">
        <v>38078</v>
      </c>
      <c r="G550" s="14">
        <v>380.5</v>
      </c>
      <c r="I550" s="14"/>
    </row>
    <row r="551" spans="6:9" ht="18.75" customHeight="1" x14ac:dyDescent="0.4">
      <c r="F551" s="1">
        <v>38108</v>
      </c>
      <c r="G551" s="14">
        <v>380.62</v>
      </c>
      <c r="I551" s="14"/>
    </row>
    <row r="552" spans="6:9" ht="18.75" customHeight="1" x14ac:dyDescent="0.4">
      <c r="F552" s="1">
        <v>38139</v>
      </c>
      <c r="G552" s="14">
        <v>379.55</v>
      </c>
      <c r="I552" s="14"/>
    </row>
    <row r="553" spans="6:9" ht="18.75" customHeight="1" x14ac:dyDescent="0.4">
      <c r="F553" s="1">
        <v>38169</v>
      </c>
      <c r="G553" s="14">
        <v>377.76</v>
      </c>
      <c r="I553" s="14"/>
    </row>
    <row r="554" spans="6:9" ht="18.75" customHeight="1" x14ac:dyDescent="0.4">
      <c r="F554" s="1">
        <v>38200</v>
      </c>
      <c r="G554" s="14">
        <v>375.83</v>
      </c>
      <c r="I554" s="14"/>
    </row>
    <row r="555" spans="6:9" ht="18.75" customHeight="1" x14ac:dyDescent="0.4">
      <c r="F555" s="1">
        <v>38231</v>
      </c>
      <c r="G555" s="14">
        <v>374.05</v>
      </c>
      <c r="I555" s="14"/>
    </row>
    <row r="556" spans="6:9" ht="18.75" customHeight="1" x14ac:dyDescent="0.4">
      <c r="F556" s="1">
        <v>38261</v>
      </c>
      <c r="G556" s="14">
        <v>374.22</v>
      </c>
      <c r="I556" s="14"/>
    </row>
    <row r="557" spans="6:9" ht="18.75" customHeight="1" x14ac:dyDescent="0.4">
      <c r="F557" s="1">
        <v>38292</v>
      </c>
      <c r="G557" s="14">
        <v>375.84</v>
      </c>
      <c r="I557" s="14"/>
    </row>
    <row r="558" spans="6:9" ht="18.75" customHeight="1" x14ac:dyDescent="0.4">
      <c r="F558" s="1">
        <v>38322</v>
      </c>
      <c r="G558" s="14">
        <v>377.44</v>
      </c>
      <c r="I558" s="14"/>
    </row>
    <row r="559" spans="6:9" ht="18.75" customHeight="1" x14ac:dyDescent="0.4">
      <c r="F559" s="1">
        <v>38353</v>
      </c>
      <c r="G559" s="14">
        <v>378.34</v>
      </c>
      <c r="I559" s="14"/>
    </row>
    <row r="560" spans="6:9" ht="18.75" customHeight="1" x14ac:dyDescent="0.4">
      <c r="F560" s="1">
        <v>38384</v>
      </c>
      <c r="G560" s="14">
        <v>379.61</v>
      </c>
      <c r="I560" s="14"/>
    </row>
    <row r="561" spans="6:9" ht="18.75" customHeight="1" x14ac:dyDescent="0.4">
      <c r="F561" s="1">
        <v>38412</v>
      </c>
      <c r="G561" s="14">
        <v>380.08</v>
      </c>
      <c r="I561" s="14"/>
    </row>
    <row r="562" spans="6:9" ht="18.75" customHeight="1" x14ac:dyDescent="0.4">
      <c r="F562" s="1">
        <v>38443</v>
      </c>
      <c r="G562" s="14">
        <v>382.05</v>
      </c>
      <c r="I562" s="14"/>
    </row>
    <row r="563" spans="6:9" ht="18.75" customHeight="1" x14ac:dyDescent="0.4">
      <c r="F563" s="1">
        <v>38473</v>
      </c>
      <c r="G563" s="14">
        <v>382.24</v>
      </c>
      <c r="I563" s="14"/>
    </row>
    <row r="564" spans="6:9" ht="18.75" customHeight="1" x14ac:dyDescent="0.4">
      <c r="F564" s="1">
        <v>38504</v>
      </c>
      <c r="G564" s="14">
        <v>382.08</v>
      </c>
      <c r="I564" s="14"/>
    </row>
    <row r="565" spans="6:9" ht="18.75" customHeight="1" x14ac:dyDescent="0.4">
      <c r="F565" s="1">
        <v>38534</v>
      </c>
      <c r="G565" s="14">
        <v>380.66</v>
      </c>
      <c r="I565" s="14"/>
    </row>
    <row r="566" spans="6:9" ht="18.75" customHeight="1" x14ac:dyDescent="0.4">
      <c r="F566" s="1">
        <v>38565</v>
      </c>
      <c r="G566" s="14">
        <v>378.67</v>
      </c>
      <c r="I566" s="14"/>
    </row>
    <row r="567" spans="6:9" ht="18.75" customHeight="1" x14ac:dyDescent="0.4">
      <c r="F567" s="1">
        <v>38596</v>
      </c>
      <c r="G567" s="14">
        <v>376.42</v>
      </c>
      <c r="I567" s="14"/>
    </row>
    <row r="568" spans="6:9" ht="18.75" customHeight="1" x14ac:dyDescent="0.4">
      <c r="F568" s="1">
        <v>38626</v>
      </c>
      <c r="G568" s="14">
        <v>376.8</v>
      </c>
      <c r="I568" s="14"/>
    </row>
    <row r="569" spans="6:9" ht="18.75" customHeight="1" x14ac:dyDescent="0.4">
      <c r="F569" s="1">
        <v>38657</v>
      </c>
      <c r="G569" s="14">
        <v>378.31</v>
      </c>
      <c r="I569" s="14"/>
    </row>
    <row r="570" spans="6:9" ht="18.75" customHeight="1" x14ac:dyDescent="0.4">
      <c r="F570" s="1">
        <v>38687</v>
      </c>
      <c r="G570" s="14">
        <v>379.96</v>
      </c>
      <c r="I570" s="14"/>
    </row>
    <row r="571" spans="6:9" ht="18.75" customHeight="1" x14ac:dyDescent="0.4">
      <c r="F571" s="1">
        <v>38718</v>
      </c>
      <c r="G571" s="14">
        <v>381.37</v>
      </c>
      <c r="I571" s="14"/>
    </row>
    <row r="572" spans="6:9" ht="18.75" customHeight="1" x14ac:dyDescent="0.4">
      <c r="F572" s="1">
        <v>38749</v>
      </c>
      <c r="G572" s="14">
        <v>382.02</v>
      </c>
      <c r="I572" s="14"/>
    </row>
    <row r="573" spans="6:9" ht="18.75" customHeight="1" x14ac:dyDescent="0.4">
      <c r="F573" s="1">
        <v>38777</v>
      </c>
      <c r="G573" s="14">
        <v>382.56</v>
      </c>
      <c r="I573" s="14"/>
    </row>
    <row r="574" spans="6:9" ht="18.75" customHeight="1" x14ac:dyDescent="0.4">
      <c r="F574" s="1">
        <v>38808</v>
      </c>
      <c r="G574" s="14">
        <v>384.36</v>
      </c>
      <c r="I574" s="14"/>
    </row>
    <row r="575" spans="6:9" ht="18.75" customHeight="1" x14ac:dyDescent="0.4">
      <c r="F575" s="1">
        <v>38838</v>
      </c>
      <c r="G575" s="14">
        <v>384.92</v>
      </c>
      <c r="I575" s="14"/>
    </row>
    <row r="576" spans="6:9" ht="18.75" customHeight="1" x14ac:dyDescent="0.4">
      <c r="F576" s="1">
        <v>38869</v>
      </c>
      <c r="G576" s="14">
        <v>384.03</v>
      </c>
      <c r="I576" s="14"/>
    </row>
    <row r="577" spans="6:9" ht="18.75" customHeight="1" x14ac:dyDescent="0.4">
      <c r="F577" s="1">
        <v>38899</v>
      </c>
      <c r="G577" s="14">
        <v>382.28</v>
      </c>
      <c r="I577" s="14"/>
    </row>
    <row r="578" spans="6:9" ht="18.75" customHeight="1" x14ac:dyDescent="0.4">
      <c r="F578" s="1">
        <v>38930</v>
      </c>
      <c r="G578" s="14">
        <v>380.48</v>
      </c>
      <c r="I578" s="14"/>
    </row>
    <row r="579" spans="6:9" ht="18.75" customHeight="1" x14ac:dyDescent="0.4">
      <c r="F579" s="1">
        <v>38961</v>
      </c>
      <c r="G579" s="14">
        <v>378.81</v>
      </c>
      <c r="I579" s="14"/>
    </row>
    <row r="580" spans="6:9" ht="18.75" customHeight="1" x14ac:dyDescent="0.4">
      <c r="F580" s="1">
        <v>38991</v>
      </c>
      <c r="G580" s="14">
        <v>379.06</v>
      </c>
      <c r="I580" s="14"/>
    </row>
    <row r="581" spans="6:9" ht="18.75" customHeight="1" x14ac:dyDescent="0.4">
      <c r="F581" s="1">
        <v>39022</v>
      </c>
      <c r="G581" s="14">
        <v>380.14</v>
      </c>
      <c r="I581" s="14"/>
    </row>
    <row r="582" spans="6:9" ht="18.75" customHeight="1" x14ac:dyDescent="0.4">
      <c r="F582" s="1">
        <v>39052</v>
      </c>
      <c r="G582" s="14">
        <v>381.66</v>
      </c>
      <c r="I582" s="14"/>
    </row>
    <row r="583" spans="6:9" ht="18.75" customHeight="1" x14ac:dyDescent="0.4">
      <c r="F583" s="1">
        <v>39083</v>
      </c>
      <c r="G583" s="14">
        <v>382.58</v>
      </c>
      <c r="I583" s="14"/>
    </row>
    <row r="584" spans="6:9" ht="18.75" customHeight="1" x14ac:dyDescent="0.4">
      <c r="F584" s="1">
        <v>39114</v>
      </c>
      <c r="G584" s="14">
        <v>383.71</v>
      </c>
      <c r="I584" s="14"/>
    </row>
    <row r="585" spans="6:9" ht="18.75" customHeight="1" x14ac:dyDescent="0.4">
      <c r="F585" s="1">
        <v>39142</v>
      </c>
      <c r="G585" s="14">
        <v>384.34</v>
      </c>
      <c r="I585" s="14"/>
    </row>
    <row r="586" spans="6:9" ht="18.75" customHeight="1" x14ac:dyDescent="0.4">
      <c r="F586" s="1">
        <v>39173</v>
      </c>
      <c r="G586" s="14">
        <v>386.23</v>
      </c>
      <c r="I586" s="14"/>
    </row>
    <row r="587" spans="6:9" ht="18.75" customHeight="1" x14ac:dyDescent="0.4">
      <c r="F587" s="1">
        <v>39203</v>
      </c>
      <c r="G587" s="14">
        <v>386.41</v>
      </c>
      <c r="I587" s="14"/>
    </row>
    <row r="588" spans="6:9" ht="18.75" customHeight="1" x14ac:dyDescent="0.4">
      <c r="F588" s="1">
        <v>39234</v>
      </c>
      <c r="G588" s="14">
        <v>385.87</v>
      </c>
      <c r="I588" s="14"/>
    </row>
    <row r="589" spans="6:9" ht="18.75" customHeight="1" x14ac:dyDescent="0.4">
      <c r="F589" s="1">
        <v>39264</v>
      </c>
      <c r="G589" s="14">
        <v>384.44</v>
      </c>
      <c r="I589" s="14"/>
    </row>
    <row r="590" spans="6:9" ht="18.75" customHeight="1" x14ac:dyDescent="0.4">
      <c r="F590" s="1">
        <v>39295</v>
      </c>
      <c r="G590" s="14">
        <v>381.84</v>
      </c>
      <c r="I590" s="14"/>
    </row>
    <row r="591" spans="6:9" ht="18.75" customHeight="1" x14ac:dyDescent="0.4">
      <c r="F591" s="1">
        <v>39326</v>
      </c>
      <c r="G591" s="14">
        <v>380.86</v>
      </c>
      <c r="I591" s="14"/>
    </row>
    <row r="592" spans="6:9" ht="18.75" customHeight="1" x14ac:dyDescent="0.4">
      <c r="F592" s="1">
        <v>39356</v>
      </c>
      <c r="G592" s="14">
        <v>380.86</v>
      </c>
      <c r="I592" s="14"/>
    </row>
    <row r="593" spans="6:9" ht="18.75" customHeight="1" x14ac:dyDescent="0.4">
      <c r="F593" s="1">
        <v>39387</v>
      </c>
      <c r="G593" s="14">
        <v>382.36</v>
      </c>
      <c r="I593" s="14"/>
    </row>
    <row r="594" spans="6:9" ht="18.75" customHeight="1" x14ac:dyDescent="0.4">
      <c r="F594" s="1">
        <v>39417</v>
      </c>
      <c r="G594" s="14">
        <v>383.61</v>
      </c>
      <c r="I594" s="14"/>
    </row>
    <row r="595" spans="6:9" ht="18.75" customHeight="1" x14ac:dyDescent="0.4">
      <c r="F595" s="1">
        <v>39448</v>
      </c>
      <c r="G595" s="14">
        <v>385.07</v>
      </c>
      <c r="I595" s="14"/>
    </row>
    <row r="596" spans="6:9" ht="18.75" customHeight="1" x14ac:dyDescent="0.4">
      <c r="F596" s="1">
        <v>39479</v>
      </c>
      <c r="G596" s="14">
        <v>385.84</v>
      </c>
      <c r="I596" s="14"/>
    </row>
    <row r="597" spans="6:9" ht="18.75" customHeight="1" x14ac:dyDescent="0.4">
      <c r="F597" s="1">
        <v>39508</v>
      </c>
      <c r="G597" s="14">
        <v>385.83</v>
      </c>
      <c r="I597" s="14"/>
    </row>
    <row r="598" spans="6:9" ht="18.75" customHeight="1" x14ac:dyDescent="0.4">
      <c r="F598" s="1">
        <v>39539</v>
      </c>
      <c r="G598" s="14">
        <v>386.77</v>
      </c>
      <c r="I598" s="14"/>
    </row>
    <row r="599" spans="6:9" ht="18.75" customHeight="1" x14ac:dyDescent="0.4">
      <c r="F599" s="1">
        <v>39569</v>
      </c>
      <c r="G599" s="14">
        <v>388.51</v>
      </c>
      <c r="I599" s="14"/>
    </row>
    <row r="600" spans="6:9" ht="18.75" customHeight="1" x14ac:dyDescent="0.4">
      <c r="F600" s="1">
        <v>39600</v>
      </c>
      <c r="G600" s="14">
        <v>388.05</v>
      </c>
      <c r="I600" s="14"/>
    </row>
    <row r="601" spans="6:9" ht="18.75" customHeight="1" x14ac:dyDescent="0.4">
      <c r="F601" s="1">
        <v>39630</v>
      </c>
      <c r="G601" s="14">
        <v>386.25</v>
      </c>
      <c r="I601" s="14"/>
    </row>
    <row r="602" spans="6:9" ht="18.75" customHeight="1" x14ac:dyDescent="0.4">
      <c r="F602" s="1">
        <v>39661</v>
      </c>
      <c r="G602" s="14">
        <v>384.08</v>
      </c>
      <c r="I602" s="14"/>
    </row>
    <row r="603" spans="6:9" ht="18.75" customHeight="1" x14ac:dyDescent="0.4">
      <c r="F603" s="1">
        <v>39692</v>
      </c>
      <c r="G603" s="14">
        <v>383.09</v>
      </c>
      <c r="I603" s="14"/>
    </row>
    <row r="604" spans="6:9" ht="18.75" customHeight="1" x14ac:dyDescent="0.4">
      <c r="F604" s="1">
        <v>39722</v>
      </c>
      <c r="G604" s="14">
        <v>382.78</v>
      </c>
      <c r="I604" s="14"/>
    </row>
    <row r="605" spans="6:9" ht="18.75" customHeight="1" x14ac:dyDescent="0.4">
      <c r="F605" s="1">
        <v>39753</v>
      </c>
      <c r="G605" s="14">
        <v>384.01</v>
      </c>
      <c r="I605" s="14"/>
    </row>
    <row r="606" spans="6:9" ht="18.75" customHeight="1" x14ac:dyDescent="0.4">
      <c r="F606" s="1">
        <v>39783</v>
      </c>
      <c r="G606" s="14">
        <v>385.11</v>
      </c>
      <c r="I606" s="14"/>
    </row>
    <row r="607" spans="6:9" ht="18.75" customHeight="1" x14ac:dyDescent="0.4">
      <c r="F607" s="1">
        <v>39814</v>
      </c>
      <c r="G607" s="14">
        <v>386.65</v>
      </c>
      <c r="I607" s="14"/>
    </row>
    <row r="608" spans="6:9" ht="18.75" customHeight="1" x14ac:dyDescent="0.4">
      <c r="F608" s="1">
        <v>39845</v>
      </c>
      <c r="G608" s="14">
        <v>387.12</v>
      </c>
      <c r="I608" s="14"/>
    </row>
    <row r="609" spans="6:9" ht="18.75" customHeight="1" x14ac:dyDescent="0.4">
      <c r="F609" s="1">
        <v>39873</v>
      </c>
      <c r="G609" s="14">
        <v>388.52</v>
      </c>
      <c r="I609" s="14"/>
    </row>
    <row r="610" spans="6:9" ht="18.75" customHeight="1" x14ac:dyDescent="0.4">
      <c r="F610" s="1">
        <v>39904</v>
      </c>
      <c r="G610" s="14">
        <v>389.57</v>
      </c>
      <c r="I610" s="14"/>
    </row>
    <row r="611" spans="6:9" ht="18.75" customHeight="1" x14ac:dyDescent="0.4">
      <c r="F611" s="1">
        <v>39934</v>
      </c>
      <c r="G611" s="14">
        <v>390.17</v>
      </c>
      <c r="I611" s="14"/>
    </row>
    <row r="612" spans="6:9" ht="18.75" customHeight="1" x14ac:dyDescent="0.4">
      <c r="F612" s="1">
        <v>39965</v>
      </c>
      <c r="G612" s="14">
        <v>389.62</v>
      </c>
      <c r="I612" s="14"/>
    </row>
    <row r="613" spans="6:9" ht="18.75" customHeight="1" x14ac:dyDescent="0.4">
      <c r="F613" s="1">
        <v>39995</v>
      </c>
      <c r="G613" s="14">
        <v>388.07</v>
      </c>
      <c r="I613" s="14"/>
    </row>
    <row r="614" spans="6:9" ht="18.75" customHeight="1" x14ac:dyDescent="0.4">
      <c r="F614" s="1">
        <v>40026</v>
      </c>
      <c r="G614" s="14">
        <v>386.08</v>
      </c>
      <c r="I614" s="14"/>
    </row>
    <row r="615" spans="6:9" ht="18.75" customHeight="1" x14ac:dyDescent="0.4">
      <c r="F615" s="1">
        <v>40057</v>
      </c>
      <c r="G615" s="14">
        <v>384.65</v>
      </c>
      <c r="I615" s="14"/>
    </row>
    <row r="616" spans="6:9" ht="18.75" customHeight="1" x14ac:dyDescent="0.4">
      <c r="F616" s="1">
        <v>40087</v>
      </c>
      <c r="G616" s="14">
        <v>384.33</v>
      </c>
      <c r="I616" s="14"/>
    </row>
    <row r="617" spans="6:9" ht="18.75" customHeight="1" x14ac:dyDescent="0.4">
      <c r="F617" s="1">
        <v>40118</v>
      </c>
      <c r="G617" s="14">
        <v>386.05</v>
      </c>
      <c r="I617" s="14"/>
    </row>
    <row r="618" spans="6:9" ht="18.75" customHeight="1" x14ac:dyDescent="0.4">
      <c r="F618" s="1">
        <v>40148</v>
      </c>
      <c r="G618" s="14">
        <v>387.49</v>
      </c>
      <c r="I618" s="14"/>
    </row>
    <row r="619" spans="6:9" ht="18.75" customHeight="1" x14ac:dyDescent="0.4">
      <c r="F619" s="1">
        <v>40179</v>
      </c>
      <c r="G619" s="14">
        <v>388.55</v>
      </c>
      <c r="I619" s="14"/>
    </row>
    <row r="620" spans="6:9" ht="18.75" customHeight="1" x14ac:dyDescent="0.4">
      <c r="F620" s="1">
        <v>40210</v>
      </c>
      <c r="G620" s="14">
        <v>390.08</v>
      </c>
      <c r="I620" s="14"/>
    </row>
    <row r="621" spans="6:9" ht="18.75" customHeight="1" x14ac:dyDescent="0.4">
      <c r="F621" s="1">
        <v>40238</v>
      </c>
      <c r="G621" s="14">
        <v>391.01</v>
      </c>
      <c r="I621" s="14"/>
    </row>
    <row r="622" spans="6:9" ht="18.75" customHeight="1" x14ac:dyDescent="0.4">
      <c r="F622" s="1">
        <v>40269</v>
      </c>
      <c r="G622" s="14">
        <v>392.38</v>
      </c>
      <c r="I622" s="14"/>
    </row>
    <row r="623" spans="6:9" ht="18.75" customHeight="1" x14ac:dyDescent="0.4">
      <c r="F623" s="1">
        <v>40299</v>
      </c>
      <c r="G623" s="14">
        <v>393.22</v>
      </c>
      <c r="I623" s="14"/>
    </row>
    <row r="624" spans="6:9" ht="18.75" customHeight="1" x14ac:dyDescent="0.4">
      <c r="F624" s="1">
        <v>40330</v>
      </c>
      <c r="G624" s="14">
        <v>392.24</v>
      </c>
      <c r="I624" s="14"/>
    </row>
    <row r="625" spans="6:9" ht="18.75" customHeight="1" x14ac:dyDescent="0.4">
      <c r="F625" s="1">
        <v>40360</v>
      </c>
      <c r="G625" s="14">
        <v>390.33</v>
      </c>
      <c r="I625" s="14"/>
    </row>
    <row r="626" spans="6:9" ht="18.75" customHeight="1" x14ac:dyDescent="0.4">
      <c r="F626" s="1">
        <v>40391</v>
      </c>
      <c r="G626" s="14">
        <v>388.52</v>
      </c>
      <c r="I626" s="14"/>
    </row>
    <row r="627" spans="6:9" ht="18.75" customHeight="1" x14ac:dyDescent="0.4">
      <c r="F627" s="1">
        <v>40422</v>
      </c>
      <c r="G627" s="14">
        <v>386.84</v>
      </c>
      <c r="I627" s="14"/>
    </row>
    <row r="628" spans="6:9" ht="18.75" customHeight="1" x14ac:dyDescent="0.4">
      <c r="F628" s="1">
        <v>40452</v>
      </c>
      <c r="G628" s="14">
        <v>387.16</v>
      </c>
      <c r="I628" s="14"/>
    </row>
    <row r="629" spans="6:9" ht="18.75" customHeight="1" x14ac:dyDescent="0.4">
      <c r="F629" s="1">
        <v>40483</v>
      </c>
      <c r="G629" s="14">
        <v>388.67</v>
      </c>
      <c r="I629" s="14"/>
    </row>
    <row r="630" spans="6:9" ht="18.75" customHeight="1" x14ac:dyDescent="0.4">
      <c r="F630" s="1">
        <v>40513</v>
      </c>
      <c r="G630" s="14">
        <v>389.81</v>
      </c>
      <c r="I630" s="14"/>
    </row>
    <row r="631" spans="6:9" ht="18.75" customHeight="1" x14ac:dyDescent="0.4">
      <c r="F631" s="1">
        <v>40544</v>
      </c>
      <c r="G631" s="14">
        <v>391.3</v>
      </c>
      <c r="I631" s="14"/>
    </row>
    <row r="632" spans="6:9" ht="18.75" customHeight="1" x14ac:dyDescent="0.4">
      <c r="F632" s="1">
        <v>40575</v>
      </c>
      <c r="G632" s="14">
        <v>391.92</v>
      </c>
      <c r="I632" s="14"/>
    </row>
    <row r="633" spans="6:9" ht="18.75" customHeight="1" x14ac:dyDescent="0.4">
      <c r="F633" s="1">
        <v>40603</v>
      </c>
      <c r="G633" s="14">
        <v>392.45</v>
      </c>
      <c r="I633" s="14"/>
    </row>
    <row r="634" spans="6:9" ht="18.75" customHeight="1" x14ac:dyDescent="0.4">
      <c r="F634" s="1">
        <v>40634</v>
      </c>
      <c r="G634" s="14">
        <v>393.37</v>
      </c>
      <c r="I634" s="14"/>
    </row>
    <row r="635" spans="6:9" ht="18.75" customHeight="1" x14ac:dyDescent="0.4">
      <c r="F635" s="1">
        <v>40664</v>
      </c>
      <c r="G635" s="14">
        <v>394.28</v>
      </c>
      <c r="I635" s="14"/>
    </row>
    <row r="636" spans="6:9" ht="18.75" customHeight="1" x14ac:dyDescent="0.4">
      <c r="F636" s="1">
        <v>40695</v>
      </c>
      <c r="G636" s="14">
        <v>393.69</v>
      </c>
      <c r="I636" s="14"/>
    </row>
    <row r="637" spans="6:9" ht="18.75" customHeight="1" x14ac:dyDescent="0.4">
      <c r="F637" s="1">
        <v>40725</v>
      </c>
      <c r="G637" s="14">
        <v>392.59</v>
      </c>
      <c r="I637" s="14"/>
    </row>
    <row r="638" spans="6:9" ht="18.75" customHeight="1" x14ac:dyDescent="0.4">
      <c r="F638" s="1">
        <v>40756</v>
      </c>
      <c r="G638" s="14">
        <v>390.21</v>
      </c>
      <c r="I638" s="14"/>
    </row>
    <row r="639" spans="6:9" ht="18.75" customHeight="1" x14ac:dyDescent="0.4">
      <c r="F639" s="1">
        <v>40787</v>
      </c>
      <c r="G639" s="14">
        <v>389</v>
      </c>
      <c r="I639" s="14"/>
    </row>
    <row r="640" spans="6:9" ht="18.75" customHeight="1" x14ac:dyDescent="0.4">
      <c r="F640" s="1">
        <v>40817</v>
      </c>
      <c r="G640" s="14">
        <v>388.93</v>
      </c>
      <c r="I640" s="14"/>
    </row>
    <row r="641" spans="6:9" ht="18.75" customHeight="1" x14ac:dyDescent="0.4">
      <c r="F641" s="1">
        <v>40848</v>
      </c>
      <c r="G641" s="14">
        <v>390.24</v>
      </c>
      <c r="I641" s="14"/>
    </row>
    <row r="642" spans="6:9" ht="18.75" customHeight="1" x14ac:dyDescent="0.4">
      <c r="F642" s="1">
        <v>40878</v>
      </c>
      <c r="G642" s="14">
        <v>391.8</v>
      </c>
      <c r="I642" s="14"/>
    </row>
    <row r="643" spans="6:9" ht="18.75" customHeight="1" x14ac:dyDescent="0.4">
      <c r="F643" s="1">
        <v>40909</v>
      </c>
      <c r="G643" s="14">
        <v>393.07</v>
      </c>
      <c r="I643" s="14"/>
    </row>
    <row r="644" spans="6:9" ht="18.75" customHeight="1" x14ac:dyDescent="0.4">
      <c r="F644" s="1">
        <v>40940</v>
      </c>
      <c r="G644" s="14">
        <v>393.35</v>
      </c>
      <c r="I644" s="14"/>
    </row>
    <row r="645" spans="6:9" ht="18.75" customHeight="1" x14ac:dyDescent="0.4">
      <c r="F645" s="1">
        <v>40969</v>
      </c>
      <c r="G645" s="14">
        <v>394.36</v>
      </c>
      <c r="I645" s="14"/>
    </row>
    <row r="646" spans="6:9" ht="18.75" customHeight="1" x14ac:dyDescent="0.4">
      <c r="F646" s="1">
        <v>41000</v>
      </c>
      <c r="G646" s="14">
        <v>396.43</v>
      </c>
      <c r="I646" s="14"/>
    </row>
    <row r="647" spans="6:9" ht="18.75" customHeight="1" x14ac:dyDescent="0.4">
      <c r="F647" s="1">
        <v>41030</v>
      </c>
      <c r="G647" s="14">
        <v>396.87</v>
      </c>
      <c r="I647" s="14"/>
    </row>
    <row r="648" spans="6:9" ht="18.75" customHeight="1" x14ac:dyDescent="0.4">
      <c r="F648" s="1">
        <v>41061</v>
      </c>
      <c r="G648" s="14">
        <v>395.88</v>
      </c>
      <c r="I648" s="14"/>
    </row>
    <row r="649" spans="6:9" ht="18.75" customHeight="1" x14ac:dyDescent="0.4">
      <c r="F649" s="1">
        <v>41091</v>
      </c>
      <c r="G649" s="14">
        <v>394.52</v>
      </c>
      <c r="I649" s="14"/>
    </row>
    <row r="650" spans="6:9" ht="18.75" customHeight="1" x14ac:dyDescent="0.4">
      <c r="F650" s="1">
        <v>41122</v>
      </c>
      <c r="G650" s="14">
        <v>392.54</v>
      </c>
      <c r="I650" s="14"/>
    </row>
    <row r="651" spans="6:9" ht="18.75" customHeight="1" x14ac:dyDescent="0.4">
      <c r="F651" s="1">
        <v>41153</v>
      </c>
      <c r="G651" s="14">
        <v>391.13</v>
      </c>
      <c r="I651" s="14"/>
    </row>
    <row r="652" spans="6:9" ht="18.75" customHeight="1" x14ac:dyDescent="0.4">
      <c r="F652" s="1">
        <v>41183</v>
      </c>
      <c r="G652" s="14">
        <v>391.01</v>
      </c>
      <c r="I652" s="14"/>
    </row>
    <row r="653" spans="6:9" ht="18.75" customHeight="1" x14ac:dyDescent="0.4">
      <c r="F653" s="1">
        <v>41214</v>
      </c>
      <c r="G653" s="14">
        <v>392.95</v>
      </c>
      <c r="I653" s="14"/>
    </row>
    <row r="654" spans="6:9" ht="18.75" customHeight="1" x14ac:dyDescent="0.4">
      <c r="F654" s="1">
        <v>41244</v>
      </c>
      <c r="G654" s="14">
        <v>394.33</v>
      </c>
      <c r="I654" s="14"/>
    </row>
    <row r="655" spans="6:9" ht="18.75" customHeight="1" x14ac:dyDescent="0.4">
      <c r="F655" s="1">
        <v>41275</v>
      </c>
      <c r="G655" s="14">
        <v>395.61</v>
      </c>
      <c r="I655" s="14"/>
    </row>
    <row r="656" spans="6:9" ht="18.75" customHeight="1" x14ac:dyDescent="0.4">
      <c r="F656" s="1">
        <v>41306</v>
      </c>
      <c r="G656" s="14">
        <v>396.85</v>
      </c>
      <c r="I656" s="14"/>
    </row>
    <row r="657" spans="6:9" ht="18.75" customHeight="1" x14ac:dyDescent="0.4">
      <c r="F657" s="1">
        <v>41334</v>
      </c>
      <c r="G657" s="14">
        <v>397.26</v>
      </c>
      <c r="I657" s="14"/>
    </row>
    <row r="658" spans="6:9" ht="18.75" customHeight="1" x14ac:dyDescent="0.4">
      <c r="F658" s="1">
        <v>41365</v>
      </c>
      <c r="G658" s="14">
        <v>398.35</v>
      </c>
      <c r="I658" s="14"/>
    </row>
    <row r="659" spans="6:9" ht="18.75" customHeight="1" x14ac:dyDescent="0.4">
      <c r="F659" s="1">
        <v>41395</v>
      </c>
      <c r="G659" s="14">
        <v>399.98</v>
      </c>
      <c r="I659" s="14"/>
    </row>
    <row r="660" spans="6:9" ht="18.75" customHeight="1" x14ac:dyDescent="0.4">
      <c r="F660" s="1">
        <v>41426</v>
      </c>
      <c r="G660" s="14">
        <v>398.87</v>
      </c>
      <c r="I660" s="14"/>
    </row>
    <row r="661" spans="6:9" ht="18.75" customHeight="1" x14ac:dyDescent="0.4">
      <c r="F661" s="1">
        <v>41456</v>
      </c>
      <c r="G661" s="14">
        <v>397.37</v>
      </c>
      <c r="I661" s="14"/>
    </row>
    <row r="662" spans="6:9" ht="18.75" customHeight="1" x14ac:dyDescent="0.4">
      <c r="F662" s="1">
        <v>41487</v>
      </c>
      <c r="G662" s="14">
        <v>395.41</v>
      </c>
      <c r="I662" s="14"/>
    </row>
    <row r="663" spans="6:9" ht="18.75" customHeight="1" x14ac:dyDescent="0.4">
      <c r="F663" s="1">
        <v>41518</v>
      </c>
      <c r="G663" s="14">
        <v>393.39</v>
      </c>
      <c r="I663" s="14"/>
    </row>
    <row r="664" spans="6:9" ht="18.75" customHeight="1" x14ac:dyDescent="0.4">
      <c r="F664" s="1">
        <v>41548</v>
      </c>
      <c r="G664" s="14">
        <v>393.7</v>
      </c>
      <c r="I664" s="14"/>
    </row>
    <row r="665" spans="6:9" ht="18.75" customHeight="1" x14ac:dyDescent="0.4">
      <c r="F665" s="1">
        <v>41579</v>
      </c>
      <c r="G665" s="14">
        <v>395.19</v>
      </c>
      <c r="I665" s="14"/>
    </row>
    <row r="666" spans="6:9" ht="18.75" customHeight="1" x14ac:dyDescent="0.4">
      <c r="F666" s="1">
        <v>41609</v>
      </c>
      <c r="G666" s="14">
        <v>396.82</v>
      </c>
      <c r="I666" s="14"/>
    </row>
    <row r="667" spans="6:9" ht="18.75" customHeight="1" x14ac:dyDescent="0.4">
      <c r="F667" s="1">
        <v>41640</v>
      </c>
      <c r="G667" s="14">
        <v>397.93</v>
      </c>
      <c r="I667" s="14"/>
    </row>
    <row r="668" spans="6:9" ht="18.75" customHeight="1" x14ac:dyDescent="0.4">
      <c r="F668" s="1">
        <v>41671</v>
      </c>
      <c r="G668" s="14">
        <v>398.1</v>
      </c>
      <c r="I668" s="14"/>
    </row>
    <row r="669" spans="6:9" ht="18.75" customHeight="1" x14ac:dyDescent="0.4">
      <c r="F669" s="1">
        <v>41699</v>
      </c>
      <c r="G669" s="14">
        <v>399.47</v>
      </c>
      <c r="I669" s="14"/>
    </row>
    <row r="670" spans="6:9" ht="18.75" customHeight="1" x14ac:dyDescent="0.4">
      <c r="F670" s="1">
        <v>41730</v>
      </c>
      <c r="G670" s="14">
        <v>401.33</v>
      </c>
      <c r="I670" s="14"/>
    </row>
    <row r="671" spans="6:9" ht="18.75" customHeight="1" x14ac:dyDescent="0.4">
      <c r="F671" s="1">
        <v>41760</v>
      </c>
      <c r="G671" s="14">
        <v>401.88</v>
      </c>
      <c r="I671" s="14"/>
    </row>
    <row r="672" spans="6:9" ht="18.75" customHeight="1" x14ac:dyDescent="0.4">
      <c r="F672" s="1">
        <v>41791</v>
      </c>
      <c r="G672" s="14">
        <v>401.31</v>
      </c>
      <c r="I672" s="14"/>
    </row>
    <row r="673" spans="6:9" ht="18.75" customHeight="1" x14ac:dyDescent="0.4">
      <c r="F673" s="1">
        <v>41821</v>
      </c>
      <c r="G673" s="14">
        <v>399.07</v>
      </c>
      <c r="I673" s="14"/>
    </row>
    <row r="674" spans="6:9" ht="18.75" customHeight="1" x14ac:dyDescent="0.4">
      <c r="F674" s="1">
        <v>41852</v>
      </c>
      <c r="G674" s="14">
        <v>397.21</v>
      </c>
      <c r="I674" s="14"/>
    </row>
    <row r="675" spans="6:9" ht="18.75" customHeight="1" x14ac:dyDescent="0.4">
      <c r="F675" s="1">
        <v>41883</v>
      </c>
      <c r="G675" s="14">
        <v>395.4</v>
      </c>
      <c r="I675" s="14"/>
    </row>
    <row r="676" spans="6:9" ht="18.75" customHeight="1" x14ac:dyDescent="0.4">
      <c r="F676" s="1">
        <v>41913</v>
      </c>
      <c r="G676" s="14">
        <v>395.65</v>
      </c>
      <c r="I676" s="14"/>
    </row>
    <row r="677" spans="6:9" ht="18.75" customHeight="1" x14ac:dyDescent="0.4">
      <c r="F677" s="1">
        <v>41944</v>
      </c>
      <c r="G677" s="14">
        <v>397.23</v>
      </c>
      <c r="I677" s="14"/>
    </row>
    <row r="678" spans="6:9" ht="18.75" customHeight="1" x14ac:dyDescent="0.4">
      <c r="F678" s="1">
        <v>41974</v>
      </c>
      <c r="G678" s="14">
        <v>398.79</v>
      </c>
      <c r="I678" s="14"/>
    </row>
    <row r="679" spans="6:9" ht="18.75" customHeight="1" x14ac:dyDescent="0.4">
      <c r="F679" s="1">
        <v>42005</v>
      </c>
      <c r="G679" s="14">
        <v>399.85</v>
      </c>
      <c r="I679" s="14"/>
    </row>
    <row r="680" spans="6:9" ht="18.75" customHeight="1" x14ac:dyDescent="0.4">
      <c r="F680" s="1">
        <v>42036</v>
      </c>
      <c r="G680" s="14">
        <v>400.31</v>
      </c>
      <c r="I680" s="14"/>
    </row>
    <row r="681" spans="6:9" ht="18.75" customHeight="1" x14ac:dyDescent="0.4">
      <c r="F681" s="1">
        <v>42064</v>
      </c>
      <c r="G681" s="14">
        <v>401.51</v>
      </c>
      <c r="I681" s="14"/>
    </row>
    <row r="682" spans="6:9" ht="18.75" customHeight="1" x14ac:dyDescent="0.4">
      <c r="F682" s="1">
        <v>42095</v>
      </c>
      <c r="G682" s="14">
        <v>403.45</v>
      </c>
      <c r="I682" s="14"/>
    </row>
    <row r="683" spans="6:9" ht="18.75" customHeight="1" x14ac:dyDescent="0.4">
      <c r="F683" s="1">
        <v>42125</v>
      </c>
      <c r="G683" s="14">
        <v>404.1</v>
      </c>
      <c r="I683" s="14"/>
    </row>
    <row r="684" spans="6:9" ht="18.75" customHeight="1" x14ac:dyDescent="0.4">
      <c r="F684" s="1">
        <v>42156</v>
      </c>
      <c r="G684" s="14">
        <v>402.88</v>
      </c>
      <c r="I684" s="14"/>
    </row>
    <row r="685" spans="6:9" ht="18.75" customHeight="1" x14ac:dyDescent="0.4">
      <c r="F685" s="1">
        <v>42186</v>
      </c>
      <c r="G685" s="14">
        <v>401.61</v>
      </c>
      <c r="I685" s="14"/>
    </row>
    <row r="686" spans="6:9" ht="18.75" customHeight="1" x14ac:dyDescent="0.4">
      <c r="F686" s="1">
        <v>42217</v>
      </c>
      <c r="G686" s="14">
        <v>399</v>
      </c>
      <c r="I686" s="14"/>
    </row>
    <row r="687" spans="6:9" ht="18.75" customHeight="1" x14ac:dyDescent="0.4">
      <c r="F687" s="1">
        <v>42248</v>
      </c>
      <c r="G687" s="14">
        <v>397.5</v>
      </c>
      <c r="I687" s="14"/>
    </row>
    <row r="688" spans="6:9" ht="18.75" customHeight="1" x14ac:dyDescent="0.4">
      <c r="F688" s="1">
        <v>42278</v>
      </c>
      <c r="G688" s="14">
        <v>398.28</v>
      </c>
      <c r="I688" s="14"/>
    </row>
    <row r="689" spans="6:9" ht="18.75" customHeight="1" x14ac:dyDescent="0.4">
      <c r="F689" s="1">
        <v>42309</v>
      </c>
      <c r="G689" s="14">
        <v>400.24</v>
      </c>
      <c r="I689" s="14"/>
    </row>
    <row r="690" spans="6:9" ht="18.75" customHeight="1" x14ac:dyDescent="0.4">
      <c r="F690" s="1">
        <v>42339</v>
      </c>
      <c r="G690" s="14">
        <v>401.89</v>
      </c>
      <c r="I690" s="14"/>
    </row>
    <row r="691" spans="6:9" ht="18.75" customHeight="1" x14ac:dyDescent="0.4">
      <c r="F691" s="1">
        <v>42370</v>
      </c>
      <c r="G691" s="14">
        <v>402.65</v>
      </c>
      <c r="I691" s="14"/>
    </row>
    <row r="692" spans="6:9" ht="18.75" customHeight="1" x14ac:dyDescent="0.4">
      <c r="F692" s="1">
        <v>42401</v>
      </c>
      <c r="G692" s="14">
        <v>404.16</v>
      </c>
      <c r="I692" s="14"/>
    </row>
    <row r="693" spans="6:9" ht="18.75" customHeight="1" x14ac:dyDescent="0.4">
      <c r="F693" s="1">
        <v>42430</v>
      </c>
      <c r="G693" s="14">
        <v>404.85</v>
      </c>
      <c r="I693" s="14"/>
    </row>
    <row r="694" spans="6:9" ht="18.75" customHeight="1" x14ac:dyDescent="0.4">
      <c r="F694" s="1">
        <v>42461</v>
      </c>
      <c r="G694" s="14">
        <v>407.57</v>
      </c>
      <c r="I694" s="14"/>
    </row>
    <row r="695" spans="6:9" ht="18.75" customHeight="1" x14ac:dyDescent="0.4">
      <c r="F695" s="1">
        <v>42491</v>
      </c>
      <c r="G695" s="14">
        <v>407.66</v>
      </c>
      <c r="I695" s="14"/>
    </row>
    <row r="696" spans="6:9" ht="18.75" customHeight="1" x14ac:dyDescent="0.4">
      <c r="F696" s="1">
        <v>42522</v>
      </c>
      <c r="G696" s="14">
        <v>407</v>
      </c>
      <c r="I696" s="14"/>
    </row>
    <row r="697" spans="6:9" ht="18.75" customHeight="1" x14ac:dyDescent="0.4">
      <c r="F697" s="1">
        <v>42552</v>
      </c>
      <c r="G697" s="14">
        <v>404.5</v>
      </c>
      <c r="I697" s="14"/>
    </row>
    <row r="698" spans="6:9" ht="18.75" customHeight="1" x14ac:dyDescent="0.4">
      <c r="F698" s="1">
        <v>42583</v>
      </c>
      <c r="G698" s="14">
        <v>402.24</v>
      </c>
      <c r="I698" s="14"/>
    </row>
    <row r="699" spans="6:9" ht="18.75" customHeight="1" x14ac:dyDescent="0.4">
      <c r="F699" s="1">
        <v>42614</v>
      </c>
      <c r="G699" s="14">
        <v>401.01</v>
      </c>
      <c r="I699" s="14"/>
    </row>
    <row r="700" spans="6:9" ht="18.75" customHeight="1" x14ac:dyDescent="0.4">
      <c r="F700" s="1">
        <v>42644</v>
      </c>
      <c r="G700" s="14">
        <v>401.5</v>
      </c>
      <c r="I700" s="14"/>
    </row>
    <row r="701" spans="6:9" ht="18.75" customHeight="1" x14ac:dyDescent="0.4">
      <c r="F701" s="1">
        <v>42675</v>
      </c>
      <c r="G701" s="14">
        <v>403.64</v>
      </c>
      <c r="I701" s="14"/>
    </row>
    <row r="702" spans="6:9" ht="18.75" customHeight="1" x14ac:dyDescent="0.4">
      <c r="F702" s="1">
        <v>42705</v>
      </c>
      <c r="G702" s="14">
        <v>404.55</v>
      </c>
      <c r="I702" s="14"/>
    </row>
    <row r="703" spans="6:9" ht="18.75" customHeight="1" x14ac:dyDescent="0.4">
      <c r="F703" s="1">
        <v>42736</v>
      </c>
      <c r="G703" s="14">
        <v>406.07</v>
      </c>
      <c r="I703" s="14"/>
    </row>
    <row r="704" spans="6:9" ht="18.75" customHeight="1" x14ac:dyDescent="0.4">
      <c r="F704" s="1">
        <v>42767</v>
      </c>
      <c r="G704" s="14">
        <v>406.64</v>
      </c>
      <c r="I704" s="14"/>
    </row>
    <row r="705" spans="6:9" ht="18.75" customHeight="1" x14ac:dyDescent="0.4">
      <c r="F705" s="1">
        <v>42795</v>
      </c>
      <c r="G705" s="14">
        <v>407.05</v>
      </c>
      <c r="I705" s="14"/>
    </row>
    <row r="706" spans="6:9" ht="18.75" customHeight="1" x14ac:dyDescent="0.4">
      <c r="F706" s="1">
        <v>42826</v>
      </c>
      <c r="G706" s="14">
        <v>408.95</v>
      </c>
      <c r="I706" s="14"/>
    </row>
    <row r="707" spans="6:9" ht="18.75" customHeight="1" x14ac:dyDescent="0.4">
      <c r="F707" s="1">
        <v>42856</v>
      </c>
      <c r="G707" s="14">
        <v>409.91</v>
      </c>
      <c r="I707" s="14"/>
    </row>
    <row r="708" spans="6:9" ht="18.75" customHeight="1" x14ac:dyDescent="0.4">
      <c r="F708" s="1">
        <v>42887</v>
      </c>
      <c r="G708" s="14">
        <v>409.12</v>
      </c>
      <c r="I708" s="14"/>
    </row>
    <row r="709" spans="6:9" ht="18.75" customHeight="1" x14ac:dyDescent="0.4">
      <c r="F709" s="1">
        <v>42917</v>
      </c>
      <c r="G709" s="14">
        <v>407.2</v>
      </c>
      <c r="I709" s="14"/>
    </row>
    <row r="710" spans="6:9" ht="18.75" customHeight="1" x14ac:dyDescent="0.4">
      <c r="F710" s="1">
        <v>42948</v>
      </c>
      <c r="G710" s="14">
        <v>405.24</v>
      </c>
      <c r="I710" s="14"/>
    </row>
    <row r="711" spans="6:9" ht="18.75" customHeight="1" x14ac:dyDescent="0.4">
      <c r="F711" s="1">
        <v>42979</v>
      </c>
      <c r="G711" s="14">
        <v>403.27</v>
      </c>
      <c r="I711" s="14"/>
    </row>
    <row r="712" spans="6:9" ht="18.75" customHeight="1" x14ac:dyDescent="0.4">
      <c r="F712" s="1">
        <v>43009</v>
      </c>
      <c r="G712" s="14">
        <v>403.64</v>
      </c>
      <c r="I712" s="14"/>
    </row>
    <row r="713" spans="6:9" ht="18.75" customHeight="1" x14ac:dyDescent="0.4">
      <c r="F713" s="1">
        <v>43040</v>
      </c>
      <c r="G713" s="14">
        <v>405.17</v>
      </c>
      <c r="I713" s="14"/>
    </row>
    <row r="714" spans="6:9" ht="18.75" customHeight="1" x14ac:dyDescent="0.4">
      <c r="F714" s="1">
        <v>43070</v>
      </c>
      <c r="G714" s="14">
        <v>406.75</v>
      </c>
      <c r="I714" s="14"/>
    </row>
    <row r="715" spans="6:9" ht="18.75" customHeight="1" x14ac:dyDescent="0.4">
      <c r="F715" s="1">
        <v>43101</v>
      </c>
      <c r="G715" s="14">
        <v>408.05</v>
      </c>
      <c r="I715" s="14"/>
    </row>
    <row r="716" spans="6:9" ht="18.75" customHeight="1" x14ac:dyDescent="0.4">
      <c r="F716" s="1">
        <v>43132</v>
      </c>
      <c r="G716" s="14">
        <v>408.34</v>
      </c>
      <c r="I716" s="14"/>
    </row>
    <row r="717" spans="6:9" ht="18.75" customHeight="1" x14ac:dyDescent="0.4">
      <c r="F717" s="1">
        <v>43160</v>
      </c>
      <c r="G717" s="14">
        <v>409.25</v>
      </c>
      <c r="I717" s="14"/>
    </row>
    <row r="718" spans="6:9" ht="18.75" customHeight="1" x14ac:dyDescent="0.4">
      <c r="F718" s="1">
        <v>43191</v>
      </c>
      <c r="G718" s="14">
        <v>410.3</v>
      </c>
      <c r="I718" s="14"/>
    </row>
    <row r="719" spans="6:9" ht="18.75" customHeight="1" x14ac:dyDescent="0.4">
      <c r="F719" s="1">
        <v>43221</v>
      </c>
      <c r="G719" s="14">
        <v>411.3</v>
      </c>
      <c r="I719" s="14"/>
    </row>
    <row r="720" spans="6:9" ht="18.75" customHeight="1" x14ac:dyDescent="0.4">
      <c r="F720" s="1">
        <v>43252</v>
      </c>
      <c r="G720" s="14">
        <v>410.88</v>
      </c>
      <c r="I720" s="14"/>
    </row>
    <row r="721" spans="6:9" ht="18.75" customHeight="1" x14ac:dyDescent="0.4">
      <c r="F721" s="1">
        <v>43282</v>
      </c>
      <c r="G721" s="14">
        <v>408.9</v>
      </c>
      <c r="I721" s="14"/>
    </row>
    <row r="722" spans="6:9" ht="18.75" customHeight="1" x14ac:dyDescent="0.4">
      <c r="F722" s="1">
        <v>43313</v>
      </c>
      <c r="G722" s="14">
        <v>407.1</v>
      </c>
      <c r="I722" s="14"/>
    </row>
    <row r="723" spans="6:9" ht="18.75" customHeight="1" x14ac:dyDescent="0.4">
      <c r="F723" s="1">
        <v>43344</v>
      </c>
      <c r="G723" s="14">
        <v>405.59</v>
      </c>
      <c r="I723" s="14"/>
    </row>
    <row r="724" spans="6:9" ht="18.75" customHeight="1" x14ac:dyDescent="0.4">
      <c r="F724" s="1">
        <v>43374</v>
      </c>
      <c r="G724" s="14">
        <v>405.99</v>
      </c>
      <c r="I724" s="14"/>
    </row>
    <row r="725" spans="6:9" ht="18.75" customHeight="1" x14ac:dyDescent="0.4">
      <c r="F725" s="1">
        <v>43405</v>
      </c>
      <c r="G725" s="14">
        <v>408.12</v>
      </c>
      <c r="I725" s="14"/>
    </row>
    <row r="726" spans="6:9" ht="18.75" customHeight="1" x14ac:dyDescent="0.4">
      <c r="F726" s="1">
        <v>43435</v>
      </c>
      <c r="G726" s="14">
        <v>409.23</v>
      </c>
      <c r="I726" s="14"/>
    </row>
    <row r="727" spans="6:9" ht="18.75" customHeight="1" x14ac:dyDescent="0.4">
      <c r="F727" s="1">
        <v>43466</v>
      </c>
      <c r="G727" s="14">
        <v>410.92</v>
      </c>
      <c r="I727" s="14"/>
    </row>
    <row r="728" spans="6:9" ht="18.75" customHeight="1" x14ac:dyDescent="0.4">
      <c r="F728" s="1">
        <v>43497</v>
      </c>
      <c r="G728" s="14">
        <v>411.66</v>
      </c>
      <c r="I728" s="14"/>
    </row>
    <row r="729" spans="6:9" ht="18.75" customHeight="1" x14ac:dyDescent="0.4">
      <c r="F729" s="1">
        <v>43525</v>
      </c>
      <c r="G729" s="14">
        <v>412</v>
      </c>
      <c r="I729" s="14"/>
    </row>
    <row r="730" spans="6:9" ht="18.75" customHeight="1" x14ac:dyDescent="0.4">
      <c r="F730" s="1">
        <v>43556</v>
      </c>
      <c r="G730" s="14">
        <v>413.52</v>
      </c>
      <c r="I730" s="14"/>
    </row>
    <row r="731" spans="6:9" ht="18.75" customHeight="1" x14ac:dyDescent="0.4">
      <c r="F731" s="1">
        <v>43586</v>
      </c>
      <c r="G731" s="14">
        <v>414.83</v>
      </c>
      <c r="I731" s="14"/>
    </row>
    <row r="732" spans="6:9" ht="18.75" customHeight="1" x14ac:dyDescent="0.4">
      <c r="F732" s="1">
        <v>43617</v>
      </c>
      <c r="G732" s="14">
        <v>413.96</v>
      </c>
      <c r="I732" s="14"/>
    </row>
    <row r="733" spans="6:9" ht="18.75" customHeight="1" x14ac:dyDescent="0.4">
      <c r="F733" s="1">
        <v>43647</v>
      </c>
      <c r="G733" s="14">
        <v>411.85</v>
      </c>
      <c r="I733" s="14"/>
    </row>
    <row r="734" spans="6:9" ht="18.75" customHeight="1" x14ac:dyDescent="0.4">
      <c r="F734" s="1">
        <v>43678</v>
      </c>
      <c r="G734" s="14">
        <v>410.08</v>
      </c>
      <c r="I734" s="14"/>
    </row>
    <row r="735" spans="6:9" ht="18.75" customHeight="1" x14ac:dyDescent="0.4">
      <c r="F735" s="1">
        <v>43709</v>
      </c>
      <c r="G735" s="14">
        <v>408.55</v>
      </c>
      <c r="I735" s="14"/>
    </row>
    <row r="736" spans="6:9" ht="18.75" customHeight="1" x14ac:dyDescent="0.4">
      <c r="F736" s="1">
        <v>43739</v>
      </c>
      <c r="G736" s="14">
        <v>408.43</v>
      </c>
      <c r="I736" s="14"/>
    </row>
    <row r="737" spans="6:9" ht="18.75" customHeight="1" x14ac:dyDescent="0.4">
      <c r="F737" s="1">
        <v>43770</v>
      </c>
      <c r="G737" s="14">
        <v>410.29</v>
      </c>
      <c r="I737" s="14"/>
    </row>
    <row r="738" spans="6:9" ht="18.75" customHeight="1" x14ac:dyDescent="0.4">
      <c r="F738" s="1">
        <v>43800</v>
      </c>
      <c r="G738" s="14">
        <v>411.85</v>
      </c>
      <c r="I738" s="14"/>
    </row>
    <row r="739" spans="6:9" ht="18.75" customHeight="1" x14ac:dyDescent="0.4">
      <c r="F739" s="1">
        <v>43831</v>
      </c>
      <c r="G739" s="14">
        <v>413.37</v>
      </c>
      <c r="I739" s="14"/>
    </row>
    <row r="740" spans="6:9" ht="18.75" customHeight="1" x14ac:dyDescent="0.4">
      <c r="F740" s="1">
        <v>43862</v>
      </c>
      <c r="G740" s="14">
        <v>414.09</v>
      </c>
      <c r="I740" s="14"/>
    </row>
    <row r="741" spans="6:9" ht="18.75" customHeight="1" x14ac:dyDescent="0.4">
      <c r="F741" s="1">
        <v>43891</v>
      </c>
      <c r="G741" s="14">
        <v>414.51</v>
      </c>
      <c r="I741" s="14"/>
    </row>
    <row r="742" spans="6:9" ht="18.75" customHeight="1" x14ac:dyDescent="0.4">
      <c r="F742" s="1">
        <v>43922</v>
      </c>
      <c r="G742" s="14">
        <v>416.18</v>
      </c>
      <c r="I742" s="14"/>
    </row>
    <row r="743" spans="6:9" ht="18.75" customHeight="1" x14ac:dyDescent="0.4">
      <c r="F743" s="1">
        <v>43952</v>
      </c>
      <c r="I743" s="14"/>
    </row>
    <row r="744" spans="6:9" ht="18.75" customHeight="1" x14ac:dyDescent="0.4">
      <c r="F744" s="1">
        <v>43983</v>
      </c>
      <c r="I744" s="14"/>
    </row>
    <row r="745" spans="6:9" ht="18.75" customHeight="1" x14ac:dyDescent="0.4">
      <c r="F745" s="1">
        <v>44013</v>
      </c>
      <c r="I745" s="14"/>
    </row>
    <row r="746" spans="6:9" ht="18.75" customHeight="1" x14ac:dyDescent="0.4">
      <c r="F746" s="1">
        <v>44044</v>
      </c>
      <c r="I746" s="14"/>
    </row>
    <row r="747" spans="6:9" ht="18.75" customHeight="1" x14ac:dyDescent="0.4">
      <c r="F747" s="1">
        <v>44075</v>
      </c>
      <c r="I747" s="14"/>
    </row>
    <row r="748" spans="6:9" ht="18.75" customHeight="1" x14ac:dyDescent="0.4">
      <c r="F748" s="1">
        <v>44105</v>
      </c>
      <c r="I748" s="14"/>
    </row>
    <row r="749" spans="6:9" ht="18.75" customHeight="1" x14ac:dyDescent="0.4">
      <c r="F749" s="1">
        <v>44136</v>
      </c>
      <c r="I749" s="14"/>
    </row>
    <row r="750" spans="6:9" ht="18.75" customHeight="1" x14ac:dyDescent="0.4">
      <c r="F750" s="1">
        <v>44166</v>
      </c>
      <c r="I750" s="14"/>
    </row>
    <row r="751" spans="6:9" ht="18.75" customHeight="1" x14ac:dyDescent="0.4">
      <c r="F751" s="1">
        <v>44197</v>
      </c>
      <c r="I751" s="14"/>
    </row>
    <row r="752" spans="6:9" ht="18.75" customHeight="1" x14ac:dyDescent="0.4">
      <c r="F752" s="1">
        <v>44228</v>
      </c>
      <c r="I752" s="14"/>
    </row>
    <row r="753" spans="6:9" ht="18.75" customHeight="1" x14ac:dyDescent="0.4">
      <c r="F753" s="1">
        <v>44256</v>
      </c>
      <c r="I753" s="14"/>
    </row>
    <row r="754" spans="6:9" ht="18.75" customHeight="1" x14ac:dyDescent="0.4">
      <c r="F754" s="1">
        <v>44287</v>
      </c>
      <c r="I754" s="14"/>
    </row>
    <row r="755" spans="6:9" ht="18.75" customHeight="1" x14ac:dyDescent="0.4">
      <c r="F755" s="1">
        <v>44317</v>
      </c>
      <c r="I755" s="14"/>
    </row>
    <row r="756" spans="6:9" ht="18.75" customHeight="1" x14ac:dyDescent="0.4">
      <c r="F756" s="1">
        <v>44348</v>
      </c>
      <c r="I756" s="14"/>
    </row>
    <row r="757" spans="6:9" ht="18.75" customHeight="1" x14ac:dyDescent="0.4">
      <c r="F757" s="1">
        <v>44378</v>
      </c>
      <c r="I757" s="14"/>
    </row>
    <row r="758" spans="6:9" ht="18.75" customHeight="1" x14ac:dyDescent="0.4">
      <c r="F758" s="1">
        <v>44409</v>
      </c>
      <c r="I758" s="14"/>
    </row>
    <row r="759" spans="6:9" ht="18.75" customHeight="1" x14ac:dyDescent="0.4">
      <c r="F759" s="1">
        <v>44440</v>
      </c>
      <c r="I759" s="14"/>
    </row>
    <row r="760" spans="6:9" ht="18.75" customHeight="1" x14ac:dyDescent="0.4">
      <c r="F760" s="1">
        <v>44470</v>
      </c>
      <c r="I760" s="14"/>
    </row>
    <row r="761" spans="6:9" ht="18.75" customHeight="1" x14ac:dyDescent="0.4">
      <c r="F761" s="1">
        <v>44501</v>
      </c>
      <c r="I761" s="14"/>
    </row>
    <row r="762" spans="6:9" ht="18.75" customHeight="1" x14ac:dyDescent="0.4">
      <c r="F762" s="1">
        <v>44531</v>
      </c>
      <c r="I762" s="14"/>
    </row>
    <row r="763" spans="6:9" ht="18.75" customHeight="1" x14ac:dyDescent="0.4">
      <c r="F763" s="1">
        <v>44562</v>
      </c>
      <c r="I763" s="14"/>
    </row>
    <row r="764" spans="6:9" ht="18.75" customHeight="1" x14ac:dyDescent="0.4">
      <c r="F764" s="1">
        <v>44593</v>
      </c>
      <c r="I764" s="14"/>
    </row>
    <row r="765" spans="6:9" ht="18.75" customHeight="1" x14ac:dyDescent="0.4">
      <c r="F765" s="1">
        <v>44621</v>
      </c>
      <c r="I765" s="14"/>
    </row>
    <row r="766" spans="6:9" ht="18.75" customHeight="1" x14ac:dyDescent="0.4">
      <c r="F766" s="1">
        <v>44652</v>
      </c>
      <c r="I766" s="14"/>
    </row>
    <row r="767" spans="6:9" ht="18.75" customHeight="1" x14ac:dyDescent="0.4">
      <c r="F767" s="1">
        <v>44682</v>
      </c>
      <c r="I767" s="14"/>
    </row>
    <row r="768" spans="6:9" ht="18.75" customHeight="1" x14ac:dyDescent="0.4">
      <c r="F768" s="1">
        <v>44713</v>
      </c>
      <c r="I768" s="14"/>
    </row>
    <row r="769" spans="6:9" ht="18.75" customHeight="1" x14ac:dyDescent="0.4">
      <c r="F769" s="1">
        <v>44743</v>
      </c>
      <c r="I769" s="14"/>
    </row>
    <row r="770" spans="6:9" ht="18.75" customHeight="1" x14ac:dyDescent="0.4">
      <c r="F770" s="1">
        <v>44774</v>
      </c>
      <c r="I770" s="14"/>
    </row>
    <row r="771" spans="6:9" ht="18.75" customHeight="1" x14ac:dyDescent="0.4">
      <c r="F771" s="1">
        <v>44805</v>
      </c>
      <c r="I771" s="14"/>
    </row>
    <row r="772" spans="6:9" ht="18.75" customHeight="1" x14ac:dyDescent="0.4">
      <c r="F772" s="1">
        <v>44835</v>
      </c>
      <c r="I772" s="14"/>
    </row>
    <row r="773" spans="6:9" ht="18.75" customHeight="1" x14ac:dyDescent="0.4">
      <c r="F773" s="1">
        <v>44866</v>
      </c>
      <c r="I773" s="14"/>
    </row>
    <row r="774" spans="6:9" ht="18.75" customHeight="1" x14ac:dyDescent="0.4">
      <c r="F774" s="1">
        <v>44896</v>
      </c>
      <c r="I774" s="14"/>
    </row>
    <row r="775" spans="6:9" ht="18.75" customHeight="1" x14ac:dyDescent="0.4">
      <c r="F775" s="1">
        <v>44927</v>
      </c>
      <c r="I775" s="14"/>
    </row>
    <row r="776" spans="6:9" ht="18.75" customHeight="1" x14ac:dyDescent="0.4">
      <c r="F776" s="1">
        <v>44958</v>
      </c>
      <c r="I776" s="14"/>
    </row>
    <row r="777" spans="6:9" ht="18.75" customHeight="1" x14ac:dyDescent="0.4">
      <c r="F777" s="1">
        <v>44986</v>
      </c>
      <c r="I777" s="14"/>
    </row>
    <row r="778" spans="6:9" ht="18.75" customHeight="1" x14ac:dyDescent="0.4">
      <c r="F778" s="1">
        <v>45017</v>
      </c>
      <c r="I778" s="14"/>
    </row>
    <row r="779" spans="6:9" ht="18.75" customHeight="1" x14ac:dyDescent="0.4">
      <c r="F779" s="1">
        <v>45047</v>
      </c>
      <c r="I779" s="14"/>
    </row>
    <row r="780" spans="6:9" ht="18.75" customHeight="1" x14ac:dyDescent="0.4">
      <c r="F780" s="1">
        <v>45078</v>
      </c>
      <c r="I780" s="14"/>
    </row>
    <row r="781" spans="6:9" ht="18.75" customHeight="1" x14ac:dyDescent="0.4">
      <c r="F781" s="1">
        <v>45108</v>
      </c>
      <c r="I781" s="14"/>
    </row>
    <row r="782" spans="6:9" ht="18.75" customHeight="1" x14ac:dyDescent="0.4">
      <c r="F782" s="1">
        <v>45139</v>
      </c>
      <c r="I782" s="14"/>
    </row>
    <row r="783" spans="6:9" ht="18.75" customHeight="1" x14ac:dyDescent="0.4">
      <c r="F783" s="1">
        <v>45170</v>
      </c>
      <c r="I783" s="14"/>
    </row>
    <row r="784" spans="6:9" ht="18.75" customHeight="1" x14ac:dyDescent="0.4">
      <c r="F784" s="1">
        <v>45200</v>
      </c>
      <c r="I784" s="14"/>
    </row>
    <row r="785" spans="6:9" ht="18.75" customHeight="1" x14ac:dyDescent="0.4">
      <c r="F785" s="1">
        <v>45231</v>
      </c>
      <c r="I785" s="14"/>
    </row>
    <row r="786" spans="6:9" ht="18.75" customHeight="1" x14ac:dyDescent="0.4">
      <c r="F786" s="1">
        <v>45261</v>
      </c>
      <c r="I786" s="14"/>
    </row>
    <row r="787" spans="6:9" ht="18.75" customHeight="1" x14ac:dyDescent="0.4">
      <c r="F787" s="1">
        <v>45292</v>
      </c>
      <c r="I787" s="14"/>
    </row>
    <row r="788" spans="6:9" ht="18.75" customHeight="1" x14ac:dyDescent="0.4">
      <c r="F788" s="1">
        <v>45323</v>
      </c>
      <c r="I788" s="14"/>
    </row>
    <row r="789" spans="6:9" ht="18.75" customHeight="1" x14ac:dyDescent="0.4">
      <c r="F789" s="1">
        <v>45352</v>
      </c>
      <c r="I789" s="14"/>
    </row>
    <row r="790" spans="6:9" ht="18.75" customHeight="1" x14ac:dyDescent="0.4">
      <c r="F790" s="1">
        <v>45383</v>
      </c>
      <c r="I790" s="14"/>
    </row>
    <row r="791" spans="6:9" ht="18.75" customHeight="1" x14ac:dyDescent="0.4">
      <c r="F791" s="1">
        <v>45413</v>
      </c>
      <c r="I791" s="14"/>
    </row>
    <row r="792" spans="6:9" ht="18.75" customHeight="1" x14ac:dyDescent="0.4">
      <c r="F792" s="1">
        <v>45444</v>
      </c>
      <c r="I792" s="14"/>
    </row>
    <row r="793" spans="6:9" ht="18.75" customHeight="1" x14ac:dyDescent="0.4">
      <c r="F793" s="1">
        <v>45474</v>
      </c>
      <c r="I793" s="14"/>
    </row>
    <row r="794" spans="6:9" ht="18.75" customHeight="1" x14ac:dyDescent="0.4">
      <c r="F794" s="1">
        <v>45505</v>
      </c>
      <c r="I794" s="14"/>
    </row>
    <row r="795" spans="6:9" ht="18.75" customHeight="1" x14ac:dyDescent="0.4">
      <c r="F795" s="1">
        <v>45536</v>
      </c>
      <c r="I795" s="14"/>
    </row>
    <row r="796" spans="6:9" ht="18.75" customHeight="1" x14ac:dyDescent="0.4">
      <c r="F796" s="1">
        <v>45566</v>
      </c>
      <c r="I796" s="14"/>
    </row>
    <row r="797" spans="6:9" ht="18.75" customHeight="1" x14ac:dyDescent="0.4">
      <c r="F797" s="1">
        <v>45597</v>
      </c>
      <c r="I797" s="14"/>
    </row>
    <row r="798" spans="6:9" ht="18.75" customHeight="1" x14ac:dyDescent="0.4">
      <c r="F798" s="1">
        <v>45627</v>
      </c>
      <c r="I798" s="14"/>
    </row>
    <row r="799" spans="6:9" ht="18.75" customHeight="1" x14ac:dyDescent="0.4">
      <c r="F799" s="1">
        <v>45658</v>
      </c>
      <c r="I799" s="14"/>
    </row>
    <row r="800" spans="6:9" ht="18.75" customHeight="1" x14ac:dyDescent="0.4">
      <c r="F800" s="1">
        <v>45689</v>
      </c>
      <c r="I800" s="14"/>
    </row>
    <row r="801" spans="6:9" ht="18.75" customHeight="1" x14ac:dyDescent="0.4">
      <c r="F801" s="1">
        <v>45717</v>
      </c>
      <c r="I801" s="14"/>
    </row>
    <row r="802" spans="6:9" ht="18.75" customHeight="1" x14ac:dyDescent="0.4">
      <c r="F802" s="1">
        <v>45748</v>
      </c>
      <c r="I802" s="14"/>
    </row>
    <row r="803" spans="6:9" ht="18.75" customHeight="1" x14ac:dyDescent="0.4">
      <c r="F803" s="1">
        <v>45778</v>
      </c>
      <c r="I803" s="14"/>
    </row>
    <row r="804" spans="6:9" ht="18.75" customHeight="1" x14ac:dyDescent="0.4">
      <c r="F804" s="1">
        <v>45809</v>
      </c>
      <c r="I804" s="14"/>
    </row>
    <row r="805" spans="6:9" ht="18.75" customHeight="1" x14ac:dyDescent="0.4">
      <c r="F805" s="1">
        <v>45839</v>
      </c>
      <c r="I805" s="14"/>
    </row>
    <row r="806" spans="6:9" ht="18.75" customHeight="1" x14ac:dyDescent="0.4">
      <c r="F806" s="1">
        <v>45870</v>
      </c>
      <c r="I806" s="14"/>
    </row>
    <row r="807" spans="6:9" ht="18.75" customHeight="1" x14ac:dyDescent="0.4">
      <c r="F807" s="1">
        <v>45901</v>
      </c>
      <c r="I807" s="14"/>
    </row>
    <row r="808" spans="6:9" ht="18.75" customHeight="1" x14ac:dyDescent="0.4">
      <c r="F808" s="1">
        <v>45931</v>
      </c>
      <c r="I808" s="14"/>
    </row>
    <row r="809" spans="6:9" ht="18.75" customHeight="1" x14ac:dyDescent="0.4">
      <c r="F809" s="1">
        <v>45962</v>
      </c>
      <c r="I809" s="14"/>
    </row>
    <row r="810" spans="6:9" ht="18.75" customHeight="1" x14ac:dyDescent="0.4">
      <c r="F810" s="1">
        <v>45992</v>
      </c>
      <c r="I810" s="14"/>
    </row>
    <row r="811" spans="6:9" ht="18.75" customHeight="1" x14ac:dyDescent="0.4">
      <c r="F811" s="1">
        <v>46023</v>
      </c>
      <c r="I811" s="14"/>
    </row>
    <row r="812" spans="6:9" ht="18.75" customHeight="1" x14ac:dyDescent="0.4">
      <c r="F812" s="1">
        <v>46054</v>
      </c>
      <c r="I812" s="14"/>
    </row>
    <row r="813" spans="6:9" ht="18.75" customHeight="1" x14ac:dyDescent="0.4">
      <c r="F813" s="1">
        <v>46082</v>
      </c>
      <c r="I813" s="14"/>
    </row>
    <row r="814" spans="6:9" ht="18.75" customHeight="1" x14ac:dyDescent="0.4">
      <c r="F814" s="1">
        <v>46113</v>
      </c>
      <c r="I814" s="14"/>
    </row>
    <row r="815" spans="6:9" ht="18.75" customHeight="1" x14ac:dyDescent="0.4">
      <c r="F815" s="1">
        <v>46143</v>
      </c>
      <c r="I815" s="14"/>
    </row>
    <row r="816" spans="6:9" ht="18.75" customHeight="1" x14ac:dyDescent="0.4">
      <c r="F816" s="1">
        <v>46174</v>
      </c>
      <c r="I816" s="14"/>
    </row>
    <row r="817" spans="6:9" ht="18.75" customHeight="1" x14ac:dyDescent="0.4">
      <c r="F817" s="1">
        <v>46204</v>
      </c>
      <c r="I817" s="14"/>
    </row>
    <row r="818" spans="6:9" ht="18.75" customHeight="1" x14ac:dyDescent="0.4">
      <c r="F818" s="1">
        <v>46235</v>
      </c>
      <c r="I818" s="14"/>
    </row>
    <row r="819" spans="6:9" ht="18.75" customHeight="1" x14ac:dyDescent="0.4">
      <c r="F819" s="1">
        <v>46266</v>
      </c>
      <c r="I819" s="14"/>
    </row>
    <row r="820" spans="6:9" ht="18.75" customHeight="1" x14ac:dyDescent="0.4">
      <c r="F820" s="1">
        <v>46296</v>
      </c>
      <c r="I820" s="14"/>
    </row>
    <row r="821" spans="6:9" ht="18.75" customHeight="1" x14ac:dyDescent="0.4">
      <c r="F821" s="1">
        <v>46327</v>
      </c>
      <c r="I821" s="14"/>
    </row>
    <row r="822" spans="6:9" ht="18.75" customHeight="1" x14ac:dyDescent="0.4">
      <c r="F822" s="1">
        <v>46357</v>
      </c>
      <c r="I822" s="14"/>
    </row>
    <row r="823" spans="6:9" ht="18.75" customHeight="1" x14ac:dyDescent="0.4">
      <c r="F823" s="1">
        <v>46388</v>
      </c>
      <c r="I823" s="14"/>
    </row>
    <row r="824" spans="6:9" ht="18.75" customHeight="1" x14ac:dyDescent="0.4">
      <c r="F824" s="1">
        <v>46419</v>
      </c>
      <c r="I824" s="14"/>
    </row>
    <row r="825" spans="6:9" ht="18.75" customHeight="1" x14ac:dyDescent="0.4">
      <c r="F825" s="1">
        <v>46447</v>
      </c>
      <c r="I825" s="14"/>
    </row>
    <row r="826" spans="6:9" ht="18.75" customHeight="1" x14ac:dyDescent="0.4">
      <c r="F826" s="1">
        <v>46478</v>
      </c>
      <c r="I826" s="14"/>
    </row>
    <row r="827" spans="6:9" ht="18.75" customHeight="1" x14ac:dyDescent="0.4">
      <c r="F827" s="1">
        <v>46508</v>
      </c>
      <c r="I827" s="14"/>
    </row>
    <row r="828" spans="6:9" ht="18.75" customHeight="1" x14ac:dyDescent="0.4">
      <c r="F828" s="1">
        <v>46539</v>
      </c>
      <c r="I828" s="14"/>
    </row>
    <row r="829" spans="6:9" ht="18.75" customHeight="1" x14ac:dyDescent="0.4">
      <c r="F829" s="1">
        <v>46569</v>
      </c>
      <c r="I829" s="14"/>
    </row>
    <row r="830" spans="6:9" ht="18.75" customHeight="1" x14ac:dyDescent="0.4">
      <c r="F830" s="1">
        <v>46600</v>
      </c>
      <c r="I830" s="14"/>
    </row>
    <row r="831" spans="6:9" ht="18.75" customHeight="1" x14ac:dyDescent="0.4">
      <c r="F831" s="1">
        <v>46631</v>
      </c>
      <c r="I831" s="14"/>
    </row>
    <row r="832" spans="6:9" ht="18.75" customHeight="1" x14ac:dyDescent="0.4">
      <c r="F832" s="1">
        <v>46661</v>
      </c>
      <c r="I832" s="14"/>
    </row>
    <row r="833" spans="6:9" ht="18.75" customHeight="1" x14ac:dyDescent="0.4">
      <c r="F833" s="1">
        <v>46692</v>
      </c>
      <c r="I833" s="14"/>
    </row>
    <row r="834" spans="6:9" ht="18.75" customHeight="1" x14ac:dyDescent="0.4">
      <c r="F834" s="1">
        <v>46722</v>
      </c>
      <c r="I834" s="14"/>
    </row>
    <row r="835" spans="6:9" ht="18.75" customHeight="1" x14ac:dyDescent="0.4">
      <c r="F835" s="1">
        <v>46753</v>
      </c>
      <c r="I835" s="14"/>
    </row>
    <row r="836" spans="6:9" ht="18.75" customHeight="1" x14ac:dyDescent="0.4">
      <c r="F836" s="1">
        <v>46784</v>
      </c>
      <c r="I836" s="14"/>
    </row>
    <row r="837" spans="6:9" ht="18.75" customHeight="1" x14ac:dyDescent="0.4">
      <c r="F837" s="1">
        <v>46813</v>
      </c>
      <c r="I837" s="14"/>
    </row>
    <row r="838" spans="6:9" ht="18.75" customHeight="1" x14ac:dyDescent="0.4">
      <c r="F838" s="1">
        <v>46844</v>
      </c>
      <c r="I838" s="14"/>
    </row>
    <row r="839" spans="6:9" ht="18.75" customHeight="1" x14ac:dyDescent="0.4">
      <c r="F839" s="1">
        <v>46874</v>
      </c>
      <c r="I839" s="14"/>
    </row>
    <row r="840" spans="6:9" ht="18.75" customHeight="1" x14ac:dyDescent="0.4">
      <c r="F840" s="1">
        <v>46905</v>
      </c>
      <c r="I840" s="14"/>
    </row>
    <row r="841" spans="6:9" ht="18.75" customHeight="1" x14ac:dyDescent="0.4">
      <c r="F841" s="1">
        <v>46935</v>
      </c>
      <c r="I841" s="14"/>
    </row>
    <row r="842" spans="6:9" ht="18.75" customHeight="1" x14ac:dyDescent="0.4">
      <c r="F842" s="1">
        <v>46966</v>
      </c>
      <c r="I842" s="14"/>
    </row>
    <row r="843" spans="6:9" ht="18.75" customHeight="1" x14ac:dyDescent="0.4">
      <c r="F843" s="1">
        <v>46997</v>
      </c>
      <c r="I843" s="14"/>
    </row>
    <row r="844" spans="6:9" ht="18.75" customHeight="1" x14ac:dyDescent="0.4">
      <c r="F844" s="1">
        <v>47027</v>
      </c>
      <c r="I844" s="14"/>
    </row>
    <row r="845" spans="6:9" ht="18.75" customHeight="1" x14ac:dyDescent="0.4">
      <c r="F845" s="1">
        <v>47058</v>
      </c>
      <c r="I845" s="14"/>
    </row>
    <row r="846" spans="6:9" ht="18.75" customHeight="1" x14ac:dyDescent="0.4">
      <c r="F846" s="1">
        <v>47088</v>
      </c>
      <c r="I846" s="14"/>
    </row>
    <row r="847" spans="6:9" ht="18.75" customHeight="1" x14ac:dyDescent="0.4">
      <c r="F847" s="1">
        <v>47119</v>
      </c>
      <c r="I847" s="14"/>
    </row>
    <row r="848" spans="6:9" ht="18.75" customHeight="1" x14ac:dyDescent="0.4">
      <c r="F848" s="1">
        <v>47150</v>
      </c>
      <c r="I848" s="14"/>
    </row>
    <row r="849" spans="6:9" ht="18.75" customHeight="1" x14ac:dyDescent="0.4">
      <c r="F849" s="1">
        <v>47178</v>
      </c>
      <c r="I849" s="14"/>
    </row>
    <row r="850" spans="6:9" ht="18.75" customHeight="1" x14ac:dyDescent="0.4">
      <c r="F850" s="1">
        <v>47209</v>
      </c>
      <c r="I850" s="14"/>
    </row>
    <row r="851" spans="6:9" ht="18.75" customHeight="1" x14ac:dyDescent="0.4">
      <c r="F851" s="1">
        <v>47239</v>
      </c>
      <c r="I851" s="14"/>
    </row>
    <row r="852" spans="6:9" ht="18.75" customHeight="1" x14ac:dyDescent="0.4">
      <c r="F852" s="1">
        <v>47270</v>
      </c>
      <c r="I852" s="14"/>
    </row>
    <row r="853" spans="6:9" ht="18.75" customHeight="1" x14ac:dyDescent="0.4">
      <c r="F853" s="1">
        <v>47300</v>
      </c>
      <c r="I853" s="14"/>
    </row>
    <row r="854" spans="6:9" ht="18.75" customHeight="1" x14ac:dyDescent="0.4">
      <c r="F854" s="1">
        <v>47331</v>
      </c>
      <c r="I854" s="14"/>
    </row>
    <row r="855" spans="6:9" ht="18.75" customHeight="1" x14ac:dyDescent="0.4">
      <c r="F855" s="1">
        <v>47362</v>
      </c>
      <c r="I855" s="14"/>
    </row>
    <row r="856" spans="6:9" ht="18.75" customHeight="1" x14ac:dyDescent="0.4">
      <c r="F856" s="1">
        <v>47392</v>
      </c>
      <c r="I856" s="14"/>
    </row>
    <row r="857" spans="6:9" ht="18.75" customHeight="1" x14ac:dyDescent="0.4">
      <c r="F857" s="1">
        <v>47423</v>
      </c>
      <c r="I857" s="14"/>
    </row>
    <row r="858" spans="6:9" ht="18.75" customHeight="1" x14ac:dyDescent="0.4">
      <c r="F858" s="1">
        <v>47453</v>
      </c>
      <c r="I858" s="14"/>
    </row>
    <row r="859" spans="6:9" ht="18.75" customHeight="1" x14ac:dyDescent="0.4">
      <c r="F859" s="1">
        <v>47484</v>
      </c>
      <c r="I859" s="14"/>
    </row>
    <row r="860" spans="6:9" ht="18.75" customHeight="1" x14ac:dyDescent="0.4">
      <c r="F860" s="1">
        <v>47515</v>
      </c>
      <c r="I860" s="14"/>
    </row>
    <row r="861" spans="6:9" ht="18.75" customHeight="1" x14ac:dyDescent="0.4">
      <c r="F861" s="1">
        <v>47543</v>
      </c>
      <c r="I861" s="14"/>
    </row>
    <row r="862" spans="6:9" ht="18.75" customHeight="1" x14ac:dyDescent="0.4">
      <c r="F862" s="1">
        <v>47574</v>
      </c>
      <c r="I862" s="14"/>
    </row>
    <row r="863" spans="6:9" ht="18.75" customHeight="1" x14ac:dyDescent="0.4">
      <c r="F863" s="1">
        <v>47604</v>
      </c>
      <c r="I863" s="14"/>
    </row>
    <row r="864" spans="6:9" ht="18.75" customHeight="1" x14ac:dyDescent="0.4">
      <c r="F864" s="1">
        <v>47635</v>
      </c>
      <c r="I864" s="14"/>
    </row>
    <row r="865" spans="6:9" ht="18.75" customHeight="1" x14ac:dyDescent="0.4">
      <c r="F865" s="1">
        <v>47665</v>
      </c>
      <c r="I865" s="14"/>
    </row>
    <row r="866" spans="6:9" ht="18.75" customHeight="1" x14ac:dyDescent="0.4">
      <c r="F866" s="1">
        <v>47696</v>
      </c>
      <c r="I866" s="14"/>
    </row>
    <row r="867" spans="6:9" ht="18.75" customHeight="1" x14ac:dyDescent="0.4">
      <c r="F867" s="1">
        <v>47727</v>
      </c>
      <c r="I867" s="14"/>
    </row>
    <row r="868" spans="6:9" ht="18.75" customHeight="1" x14ac:dyDescent="0.4">
      <c r="F868" s="1">
        <v>47757</v>
      </c>
      <c r="I868" s="14"/>
    </row>
    <row r="869" spans="6:9" ht="18.75" customHeight="1" x14ac:dyDescent="0.4">
      <c r="F869" s="1">
        <v>47788</v>
      </c>
      <c r="I869" s="14"/>
    </row>
    <row r="870" spans="6:9" ht="18.75" customHeight="1" x14ac:dyDescent="0.4">
      <c r="F870" s="1">
        <v>47818</v>
      </c>
      <c r="I870" s="14"/>
    </row>
    <row r="871" spans="6:9" ht="18.75" customHeight="1" x14ac:dyDescent="0.4">
      <c r="F871" s="1">
        <v>47849</v>
      </c>
      <c r="I871" s="14"/>
    </row>
    <row r="872" spans="6:9" ht="18.75" customHeight="1" x14ac:dyDescent="0.4">
      <c r="F872" s="1">
        <v>47880</v>
      </c>
      <c r="I872" s="14"/>
    </row>
    <row r="873" spans="6:9" ht="18.75" customHeight="1" x14ac:dyDescent="0.4">
      <c r="F873" s="1">
        <v>47908</v>
      </c>
      <c r="I873" s="14"/>
    </row>
    <row r="874" spans="6:9" ht="18.75" customHeight="1" x14ac:dyDescent="0.4">
      <c r="F874" s="1">
        <v>47939</v>
      </c>
      <c r="I874" s="14"/>
    </row>
    <row r="875" spans="6:9" ht="18.75" customHeight="1" x14ac:dyDescent="0.4">
      <c r="F875" s="1">
        <v>47969</v>
      </c>
      <c r="I875" s="14"/>
    </row>
    <row r="876" spans="6:9" ht="18.75" customHeight="1" x14ac:dyDescent="0.4">
      <c r="F876" s="1">
        <v>48000</v>
      </c>
      <c r="I876" s="14"/>
    </row>
    <row r="877" spans="6:9" ht="18.75" customHeight="1" x14ac:dyDescent="0.4">
      <c r="F877" s="1">
        <v>48030</v>
      </c>
      <c r="I877" s="14"/>
    </row>
    <row r="878" spans="6:9" ht="18.75" customHeight="1" x14ac:dyDescent="0.4">
      <c r="F878" s="1">
        <v>48061</v>
      </c>
      <c r="I878" s="14"/>
    </row>
    <row r="879" spans="6:9" ht="18.75" customHeight="1" x14ac:dyDescent="0.4">
      <c r="F879" s="1">
        <v>48092</v>
      </c>
      <c r="I879" s="14"/>
    </row>
    <row r="880" spans="6:9" ht="18.75" customHeight="1" x14ac:dyDescent="0.4">
      <c r="F880" s="1">
        <v>48122</v>
      </c>
      <c r="I880" s="14"/>
    </row>
    <row r="881" spans="6:9" ht="18.75" customHeight="1" x14ac:dyDescent="0.4">
      <c r="F881" s="1">
        <v>48153</v>
      </c>
      <c r="I881" s="14"/>
    </row>
    <row r="882" spans="6:9" ht="18.75" customHeight="1" x14ac:dyDescent="0.4">
      <c r="F882" s="1">
        <v>48183</v>
      </c>
      <c r="I882" s="14"/>
    </row>
    <row r="883" spans="6:9" ht="18.75" customHeight="1" x14ac:dyDescent="0.4">
      <c r="F883" s="1">
        <v>48214</v>
      </c>
      <c r="I883" s="14"/>
    </row>
    <row r="884" spans="6:9" ht="18.75" customHeight="1" x14ac:dyDescent="0.4">
      <c r="F884" s="1">
        <v>48245</v>
      </c>
      <c r="I884" s="14"/>
    </row>
    <row r="885" spans="6:9" ht="18.75" customHeight="1" x14ac:dyDescent="0.4">
      <c r="F885" s="1">
        <v>48274</v>
      </c>
      <c r="I885" s="14"/>
    </row>
    <row r="886" spans="6:9" ht="18.75" customHeight="1" x14ac:dyDescent="0.4">
      <c r="F886" s="1">
        <v>48305</v>
      </c>
      <c r="I886" s="14"/>
    </row>
    <row r="887" spans="6:9" ht="18.75" customHeight="1" x14ac:dyDescent="0.4">
      <c r="F887" s="1">
        <v>48335</v>
      </c>
      <c r="I887" s="14"/>
    </row>
    <row r="888" spans="6:9" ht="18.75" customHeight="1" x14ac:dyDescent="0.4">
      <c r="F888" s="1">
        <v>48366</v>
      </c>
      <c r="I888" s="14"/>
    </row>
    <row r="889" spans="6:9" ht="18.75" customHeight="1" x14ac:dyDescent="0.4">
      <c r="F889" s="1">
        <v>48396</v>
      </c>
      <c r="I889" s="14"/>
    </row>
    <row r="890" spans="6:9" ht="18.75" customHeight="1" x14ac:dyDescent="0.4">
      <c r="F890" s="1">
        <v>48427</v>
      </c>
      <c r="I890" s="14"/>
    </row>
    <row r="891" spans="6:9" ht="18.75" customHeight="1" x14ac:dyDescent="0.4">
      <c r="F891" s="1">
        <v>48458</v>
      </c>
      <c r="I891" s="14"/>
    </row>
    <row r="892" spans="6:9" ht="18.75" customHeight="1" x14ac:dyDescent="0.4">
      <c r="F892" s="1">
        <v>48488</v>
      </c>
      <c r="I892" s="14"/>
    </row>
    <row r="893" spans="6:9" ht="18.75" customHeight="1" x14ac:dyDescent="0.4">
      <c r="F893" s="1">
        <v>48519</v>
      </c>
      <c r="I893" s="14"/>
    </row>
    <row r="894" spans="6:9" ht="18.75" customHeight="1" x14ac:dyDescent="0.4">
      <c r="F894" s="1">
        <v>48549</v>
      </c>
      <c r="I894" s="14"/>
    </row>
    <row r="895" spans="6:9" ht="18.75" customHeight="1" x14ac:dyDescent="0.4">
      <c r="F895" s="1">
        <v>48580</v>
      </c>
      <c r="I895" s="14"/>
    </row>
    <row r="896" spans="6:9" ht="18.75" customHeight="1" x14ac:dyDescent="0.4">
      <c r="F896" s="1">
        <v>48611</v>
      </c>
      <c r="I896" s="14"/>
    </row>
    <row r="897" spans="6:9" ht="18.75" customHeight="1" x14ac:dyDescent="0.4">
      <c r="F897" s="1">
        <v>48639</v>
      </c>
      <c r="I897" s="14"/>
    </row>
    <row r="898" spans="6:9" ht="18.75" customHeight="1" x14ac:dyDescent="0.4">
      <c r="F898" s="1">
        <v>48670</v>
      </c>
      <c r="I898" s="14"/>
    </row>
    <row r="899" spans="6:9" ht="18.75" customHeight="1" x14ac:dyDescent="0.4">
      <c r="F899" s="1">
        <v>48700</v>
      </c>
      <c r="I899" s="14"/>
    </row>
    <row r="900" spans="6:9" ht="18.75" customHeight="1" x14ac:dyDescent="0.4">
      <c r="F900" s="1">
        <v>48731</v>
      </c>
      <c r="I900" s="14"/>
    </row>
    <row r="901" spans="6:9" ht="18.75" customHeight="1" x14ac:dyDescent="0.4">
      <c r="F901" s="1">
        <v>48761</v>
      </c>
      <c r="I901" s="14"/>
    </row>
    <row r="902" spans="6:9" ht="18.75" customHeight="1" x14ac:dyDescent="0.4">
      <c r="F902" s="1">
        <v>48792</v>
      </c>
      <c r="I902" s="14"/>
    </row>
    <row r="903" spans="6:9" ht="18.75" customHeight="1" x14ac:dyDescent="0.4">
      <c r="F903" s="1">
        <v>48823</v>
      </c>
      <c r="I903" s="14"/>
    </row>
    <row r="904" spans="6:9" ht="18.75" customHeight="1" x14ac:dyDescent="0.4">
      <c r="F904" s="1">
        <v>48853</v>
      </c>
      <c r="I904" s="14"/>
    </row>
    <row r="905" spans="6:9" ht="18.75" customHeight="1" x14ac:dyDescent="0.4">
      <c r="F905" s="1">
        <v>48884</v>
      </c>
      <c r="I905" s="14"/>
    </row>
    <row r="906" spans="6:9" ht="18.75" customHeight="1" x14ac:dyDescent="0.4">
      <c r="F906" s="1">
        <v>48914</v>
      </c>
      <c r="I906" s="14"/>
    </row>
    <row r="907" spans="6:9" ht="18.75" customHeight="1" x14ac:dyDescent="0.4">
      <c r="F907" s="1">
        <v>48945</v>
      </c>
      <c r="I907" s="14"/>
    </row>
    <row r="908" spans="6:9" ht="18.75" customHeight="1" x14ac:dyDescent="0.4">
      <c r="F908" s="1">
        <v>48976</v>
      </c>
      <c r="I908" s="14"/>
    </row>
    <row r="909" spans="6:9" ht="18.75" customHeight="1" x14ac:dyDescent="0.4">
      <c r="F909" s="1">
        <v>49004</v>
      </c>
      <c r="I909" s="14"/>
    </row>
    <row r="910" spans="6:9" ht="18.75" customHeight="1" x14ac:dyDescent="0.4">
      <c r="F910" s="1">
        <v>49035</v>
      </c>
      <c r="I910" s="14"/>
    </row>
    <row r="911" spans="6:9" ht="18.75" customHeight="1" x14ac:dyDescent="0.4">
      <c r="F911" s="1">
        <v>49065</v>
      </c>
      <c r="I911" s="14"/>
    </row>
    <row r="912" spans="6:9" ht="18.75" customHeight="1" x14ac:dyDescent="0.4">
      <c r="F912" s="1">
        <v>49096</v>
      </c>
      <c r="I912" s="14"/>
    </row>
    <row r="913" spans="6:9" ht="18.75" customHeight="1" x14ac:dyDescent="0.4">
      <c r="F913" s="1">
        <v>49126</v>
      </c>
      <c r="I913" s="14"/>
    </row>
    <row r="914" spans="6:9" ht="18.75" customHeight="1" x14ac:dyDescent="0.4">
      <c r="F914" s="1">
        <v>49157</v>
      </c>
      <c r="I914" s="14"/>
    </row>
    <row r="915" spans="6:9" ht="18.75" customHeight="1" x14ac:dyDescent="0.4">
      <c r="F915" s="1">
        <v>49188</v>
      </c>
      <c r="I915" s="14"/>
    </row>
    <row r="916" spans="6:9" ht="18.75" customHeight="1" x14ac:dyDescent="0.4">
      <c r="F916" s="1">
        <v>49218</v>
      </c>
      <c r="I916" s="14"/>
    </row>
    <row r="917" spans="6:9" ht="18.75" customHeight="1" x14ac:dyDescent="0.4">
      <c r="F917" s="1">
        <v>49249</v>
      </c>
      <c r="I917" s="14"/>
    </row>
    <row r="918" spans="6:9" ht="18.75" customHeight="1" x14ac:dyDescent="0.4">
      <c r="F918" s="1">
        <v>49279</v>
      </c>
      <c r="I918" s="14"/>
    </row>
    <row r="919" spans="6:9" ht="18.75" customHeight="1" x14ac:dyDescent="0.4">
      <c r="F919" s="1">
        <v>49310</v>
      </c>
      <c r="I919" s="14"/>
    </row>
    <row r="920" spans="6:9" ht="18.75" customHeight="1" x14ac:dyDescent="0.4">
      <c r="F920" s="1">
        <v>49341</v>
      </c>
      <c r="I920" s="14"/>
    </row>
    <row r="921" spans="6:9" ht="18.75" customHeight="1" x14ac:dyDescent="0.4">
      <c r="F921" s="1">
        <v>49369</v>
      </c>
      <c r="I921" s="14"/>
    </row>
    <row r="922" spans="6:9" ht="18.75" customHeight="1" x14ac:dyDescent="0.4">
      <c r="F922" s="1">
        <v>49400</v>
      </c>
      <c r="I922" s="14"/>
    </row>
    <row r="923" spans="6:9" ht="18.75" customHeight="1" x14ac:dyDescent="0.4">
      <c r="F923" s="1">
        <v>49430</v>
      </c>
      <c r="I923" s="14"/>
    </row>
    <row r="924" spans="6:9" ht="18.75" customHeight="1" x14ac:dyDescent="0.4">
      <c r="F924" s="1">
        <v>49461</v>
      </c>
      <c r="I924" s="14"/>
    </row>
    <row r="925" spans="6:9" ht="18.75" customHeight="1" x14ac:dyDescent="0.4">
      <c r="F925" s="1">
        <v>49491</v>
      </c>
      <c r="I925" s="14"/>
    </row>
    <row r="926" spans="6:9" ht="18.75" customHeight="1" x14ac:dyDescent="0.4">
      <c r="F926" s="1">
        <v>49522</v>
      </c>
      <c r="I926" s="14"/>
    </row>
    <row r="927" spans="6:9" ht="18.75" customHeight="1" x14ac:dyDescent="0.4">
      <c r="F927" s="1">
        <v>49553</v>
      </c>
      <c r="I927" s="14"/>
    </row>
    <row r="928" spans="6:9" ht="18.75" customHeight="1" x14ac:dyDescent="0.4">
      <c r="F928" s="1">
        <v>49583</v>
      </c>
      <c r="I928" s="14"/>
    </row>
    <row r="929" spans="6:9" ht="18.75" customHeight="1" x14ac:dyDescent="0.4">
      <c r="F929" s="1">
        <v>49614</v>
      </c>
      <c r="I929" s="14"/>
    </row>
    <row r="930" spans="6:9" ht="18.75" customHeight="1" x14ac:dyDescent="0.4">
      <c r="F930" s="1">
        <v>49644</v>
      </c>
      <c r="I930" s="14"/>
    </row>
    <row r="931" spans="6:9" ht="18.75" customHeight="1" x14ac:dyDescent="0.4">
      <c r="F931" s="1">
        <v>49675</v>
      </c>
      <c r="I931" s="14"/>
    </row>
    <row r="932" spans="6:9" ht="18.75" customHeight="1" x14ac:dyDescent="0.4">
      <c r="F932" s="1">
        <v>49706</v>
      </c>
      <c r="I932" s="14"/>
    </row>
    <row r="933" spans="6:9" ht="18.75" customHeight="1" x14ac:dyDescent="0.4">
      <c r="F933" s="1">
        <v>49735</v>
      </c>
      <c r="I933" s="14"/>
    </row>
    <row r="934" spans="6:9" ht="18.75" customHeight="1" x14ac:dyDescent="0.4">
      <c r="F934" s="1">
        <v>49766</v>
      </c>
      <c r="I934" s="14"/>
    </row>
    <row r="935" spans="6:9" ht="18.75" customHeight="1" x14ac:dyDescent="0.4">
      <c r="F935" s="1">
        <v>49796</v>
      </c>
      <c r="I935" s="14"/>
    </row>
    <row r="936" spans="6:9" ht="18.75" customHeight="1" x14ac:dyDescent="0.4">
      <c r="F936" s="1">
        <v>49827</v>
      </c>
      <c r="I936" s="14"/>
    </row>
    <row r="937" spans="6:9" ht="18.75" customHeight="1" x14ac:dyDescent="0.4">
      <c r="F937" s="1">
        <v>49857</v>
      </c>
      <c r="I937" s="14"/>
    </row>
    <row r="938" spans="6:9" ht="18.75" customHeight="1" x14ac:dyDescent="0.4">
      <c r="F938" s="1">
        <v>49888</v>
      </c>
      <c r="I938" s="14"/>
    </row>
    <row r="939" spans="6:9" ht="18.75" customHeight="1" x14ac:dyDescent="0.4">
      <c r="F939" s="1">
        <v>49919</v>
      </c>
      <c r="I939" s="14"/>
    </row>
    <row r="940" spans="6:9" ht="18.75" customHeight="1" x14ac:dyDescent="0.4">
      <c r="F940" s="1">
        <v>49949</v>
      </c>
      <c r="I940" s="14"/>
    </row>
    <row r="941" spans="6:9" ht="18.75" customHeight="1" x14ac:dyDescent="0.4">
      <c r="F941" s="1">
        <v>49980</v>
      </c>
      <c r="I941" s="14"/>
    </row>
    <row r="942" spans="6:9" ht="18.75" customHeight="1" x14ac:dyDescent="0.4">
      <c r="F942" s="1">
        <v>50010</v>
      </c>
      <c r="I942" s="14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2B8F-F147-4174-A20B-E1AA1AA57A05}">
  <dimension ref="A1:P942"/>
  <sheetViews>
    <sheetView workbookViewId="0"/>
  </sheetViews>
  <sheetFormatPr defaultRowHeight="18.75" customHeight="1" x14ac:dyDescent="0.4"/>
  <cols>
    <col min="1" max="1" width="19" style="2" bestFit="1" customWidth="1"/>
    <col min="2" max="2" width="12.75" customWidth="1"/>
    <col min="3" max="3" width="10" customWidth="1"/>
    <col min="4" max="4" width="9" customWidth="1"/>
    <col min="5" max="5" width="33.375" customWidth="1"/>
    <col min="6" max="6" width="10.25" bestFit="1" customWidth="1"/>
    <col min="7" max="8" width="7.5" style="14" bestFit="1" customWidth="1"/>
    <col min="9" max="9" width="9.75" bestFit="1" customWidth="1"/>
    <col min="10" max="10" width="5.75" bestFit="1" customWidth="1"/>
    <col min="11" max="11" width="8.375" style="14" bestFit="1" customWidth="1"/>
    <col min="12" max="12" width="7.5" style="14" customWidth="1"/>
    <col min="13" max="13" width="7.25" style="14" bestFit="1" customWidth="1"/>
  </cols>
  <sheetData>
    <row r="1" spans="1:16" ht="18.75" customHeight="1" x14ac:dyDescent="0.4">
      <c r="A1" s="2" t="s">
        <v>21</v>
      </c>
      <c r="B1" s="16" t="s">
        <v>18</v>
      </c>
      <c r="D1" t="s">
        <v>3</v>
      </c>
      <c r="F1" s="3" t="s">
        <v>41</v>
      </c>
      <c r="G1" s="13" t="s">
        <v>1</v>
      </c>
      <c r="H1" s="13" t="s">
        <v>17</v>
      </c>
      <c r="I1" s="3" t="s">
        <v>42</v>
      </c>
      <c r="J1" s="3" t="s">
        <v>9</v>
      </c>
      <c r="K1" s="13" t="s">
        <v>13</v>
      </c>
      <c r="L1" s="13" t="s">
        <v>24</v>
      </c>
      <c r="M1" s="13" t="s">
        <v>15</v>
      </c>
      <c r="O1" s="20" t="s">
        <v>35</v>
      </c>
    </row>
    <row r="2" spans="1:16" ht="18.75" customHeight="1" x14ac:dyDescent="0.4">
      <c r="A2" s="2" t="s">
        <v>2</v>
      </c>
      <c r="B2" s="16" t="s">
        <v>13</v>
      </c>
      <c r="D2" t="s">
        <v>22</v>
      </c>
      <c r="F2" s="1">
        <v>21245</v>
      </c>
      <c r="G2" s="14">
        <v>315.7</v>
      </c>
      <c r="H2" s="14">
        <f t="shared" ref="H2" si="0">EXP(_A*F2+_B)+_C</f>
        <v>308.36871208582096</v>
      </c>
      <c r="I2" s="14">
        <f>G2-H2</f>
        <v>7.331287914179029</v>
      </c>
      <c r="J2">
        <f>MONTH(F2)</f>
        <v>3</v>
      </c>
      <c r="K2" s="14" cm="1">
        <f t="array" ref="K2">INDEX(Sm,J2)</f>
        <v>0</v>
      </c>
      <c r="L2" s="14">
        <f>H2+K2</f>
        <v>308.36871208582096</v>
      </c>
      <c r="M2" s="14">
        <f>G2-L2</f>
        <v>7.331287914179029</v>
      </c>
      <c r="O2" s="21" t="s">
        <v>36</v>
      </c>
      <c r="P2" t="s">
        <v>33</v>
      </c>
    </row>
    <row r="3" spans="1:16" ht="18.75" customHeight="1" x14ac:dyDescent="0.4">
      <c r="A3" s="2" t="s">
        <v>39</v>
      </c>
      <c r="B3" s="16" t="s">
        <v>19</v>
      </c>
      <c r="D3" t="s">
        <v>23</v>
      </c>
      <c r="F3" s="1">
        <v>21276</v>
      </c>
      <c r="G3" s="14">
        <v>317.45999999999998</v>
      </c>
      <c r="I3" s="14"/>
    </row>
    <row r="4" spans="1:16" ht="18.75" customHeight="1" x14ac:dyDescent="0.4">
      <c r="F4" s="1">
        <v>21306</v>
      </c>
      <c r="G4" s="14">
        <v>317.51</v>
      </c>
      <c r="I4" s="14"/>
      <c r="O4" s="20" t="s">
        <v>32</v>
      </c>
    </row>
    <row r="5" spans="1:16" ht="18.75" customHeight="1" thickBot="1" x14ac:dyDescent="0.45">
      <c r="A5" s="4" t="s">
        <v>28</v>
      </c>
      <c r="F5" s="1">
        <v>21367</v>
      </c>
      <c r="G5" s="14">
        <v>315.86</v>
      </c>
      <c r="I5" s="14"/>
      <c r="O5" s="21">
        <v>1</v>
      </c>
      <c r="P5" t="s">
        <v>58</v>
      </c>
    </row>
    <row r="6" spans="1:16" ht="18.75" customHeight="1" x14ac:dyDescent="0.4">
      <c r="A6" s="2" t="s">
        <v>4</v>
      </c>
      <c r="B6" s="7">
        <v>1E-4</v>
      </c>
      <c r="D6" t="s">
        <v>12</v>
      </c>
      <c r="F6" s="1">
        <v>21398</v>
      </c>
      <c r="G6" s="14">
        <v>314.93</v>
      </c>
      <c r="I6" s="14"/>
      <c r="P6" t="s">
        <v>59</v>
      </c>
    </row>
    <row r="7" spans="1:16" ht="18.75" customHeight="1" thickBot="1" x14ac:dyDescent="0.45">
      <c r="A7" s="2" t="s">
        <v>5</v>
      </c>
      <c r="B7" s="8">
        <v>0</v>
      </c>
      <c r="F7" s="1">
        <v>21429</v>
      </c>
      <c r="G7" s="14">
        <v>313.20999999999998</v>
      </c>
      <c r="I7" s="14"/>
      <c r="P7" t="s">
        <v>34</v>
      </c>
    </row>
    <row r="8" spans="1:16" ht="18.75" customHeight="1" thickBot="1" x14ac:dyDescent="0.45">
      <c r="A8" s="2" t="s">
        <v>6</v>
      </c>
      <c r="B8" s="9">
        <v>300</v>
      </c>
      <c r="D8" s="10" t="s">
        <v>29</v>
      </c>
      <c r="E8" t="s">
        <v>10</v>
      </c>
      <c r="F8" s="1">
        <v>21490</v>
      </c>
      <c r="G8" s="14">
        <v>313.33</v>
      </c>
      <c r="I8" s="14"/>
      <c r="O8" s="21">
        <v>2</v>
      </c>
      <c r="P8" t="s">
        <v>45</v>
      </c>
    </row>
    <row r="9" spans="1:16" ht="18.75" customHeight="1" thickBot="1" x14ac:dyDescent="0.45">
      <c r="F9" s="1">
        <v>21520</v>
      </c>
      <c r="G9" s="14">
        <v>314.67</v>
      </c>
      <c r="I9" s="14"/>
      <c r="O9" s="21"/>
      <c r="P9" t="s">
        <v>46</v>
      </c>
    </row>
    <row r="10" spans="1:16" ht="18.75" customHeight="1" thickBot="1" x14ac:dyDescent="0.45">
      <c r="A10" s="2" t="s">
        <v>44</v>
      </c>
      <c r="B10" s="10">
        <f>SUMSQ(I2:I742)/COUNT(I2:I742)</f>
        <v>53.747782480587496</v>
      </c>
      <c r="D10" s="6" t="s">
        <v>30</v>
      </c>
      <c r="E10" t="s">
        <v>11</v>
      </c>
      <c r="F10" s="1">
        <v>21551</v>
      </c>
      <c r="G10" s="14">
        <v>315.58</v>
      </c>
      <c r="I10" s="14"/>
      <c r="O10" s="21">
        <v>3</v>
      </c>
      <c r="P10" t="s">
        <v>53</v>
      </c>
    </row>
    <row r="11" spans="1:16" ht="18.75" customHeight="1" x14ac:dyDescent="0.4">
      <c r="F11" s="1">
        <v>21582</v>
      </c>
      <c r="G11" s="14">
        <v>316.49</v>
      </c>
      <c r="I11" s="14"/>
      <c r="O11" s="21">
        <v>4</v>
      </c>
      <c r="P11" t="s">
        <v>47</v>
      </c>
    </row>
    <row r="12" spans="1:16" ht="18.75" customHeight="1" x14ac:dyDescent="0.4">
      <c r="A12" s="4" t="s">
        <v>43</v>
      </c>
      <c r="F12" s="1">
        <v>21610</v>
      </c>
      <c r="G12" s="14">
        <v>316.64999999999998</v>
      </c>
      <c r="I12" s="14"/>
      <c r="O12" s="21">
        <v>5</v>
      </c>
      <c r="P12" t="s">
        <v>57</v>
      </c>
    </row>
    <row r="13" spans="1:16" ht="18.75" customHeight="1" x14ac:dyDescent="0.4">
      <c r="A13" s="2" t="s">
        <v>7</v>
      </c>
      <c r="B13" s="25" t="s">
        <v>14</v>
      </c>
      <c r="F13" s="1">
        <v>21641</v>
      </c>
      <c r="G13" s="14">
        <v>317.72000000000003</v>
      </c>
      <c r="I13" s="14"/>
      <c r="O13" s="21"/>
      <c r="P13" t="s">
        <v>56</v>
      </c>
    </row>
    <row r="14" spans="1:16" ht="18.75" customHeight="1" x14ac:dyDescent="0.4">
      <c r="A14" s="26">
        <v>1</v>
      </c>
      <c r="B14" s="30" t="e">
        <f>AVERAGEIF(J:J,A14,I:I)</f>
        <v>#DIV/0!</v>
      </c>
      <c r="C14" s="27"/>
      <c r="F14" s="1">
        <v>21671</v>
      </c>
      <c r="G14" s="14">
        <v>318.29000000000002</v>
      </c>
      <c r="I14" s="14"/>
      <c r="O14" s="21">
        <v>6</v>
      </c>
      <c r="P14" t="s">
        <v>52</v>
      </c>
    </row>
    <row r="15" spans="1:16" ht="18.75" customHeight="1" x14ac:dyDescent="0.4">
      <c r="A15" s="26">
        <v>2</v>
      </c>
      <c r="B15" s="30"/>
      <c r="C15" s="27"/>
      <c r="F15" s="1">
        <v>21702</v>
      </c>
      <c r="G15" s="14">
        <v>318.14999999999998</v>
      </c>
      <c r="I15" s="14"/>
      <c r="O15" s="21">
        <v>7</v>
      </c>
      <c r="P15" t="s">
        <v>54</v>
      </c>
    </row>
    <row r="16" spans="1:16" ht="18.75" customHeight="1" x14ac:dyDescent="0.4">
      <c r="A16" s="26">
        <v>3</v>
      </c>
      <c r="B16" s="30"/>
      <c r="C16" s="27"/>
      <c r="F16" s="1">
        <v>21732</v>
      </c>
      <c r="G16" s="14">
        <v>316.54000000000002</v>
      </c>
      <c r="I16" s="14"/>
      <c r="O16" s="21">
        <v>8</v>
      </c>
      <c r="P16" t="s">
        <v>55</v>
      </c>
    </row>
    <row r="17" spans="1:16" ht="18.75" customHeight="1" x14ac:dyDescent="0.4">
      <c r="A17" s="26">
        <v>4</v>
      </c>
      <c r="B17" s="30"/>
      <c r="C17" s="27"/>
      <c r="F17" s="1">
        <v>21763</v>
      </c>
      <c r="G17" s="14">
        <v>314.8</v>
      </c>
      <c r="I17" s="14"/>
      <c r="O17" s="21">
        <v>9</v>
      </c>
      <c r="P17" t="s">
        <v>48</v>
      </c>
    </row>
    <row r="18" spans="1:16" ht="18.75" customHeight="1" x14ac:dyDescent="0.4">
      <c r="A18" s="26">
        <v>5</v>
      </c>
      <c r="B18" s="30"/>
      <c r="C18" s="27"/>
      <c r="F18" s="1">
        <v>21794</v>
      </c>
      <c r="G18" s="14">
        <v>313.83999999999997</v>
      </c>
      <c r="I18" s="14"/>
      <c r="O18" s="21"/>
      <c r="P18" t="s">
        <v>49</v>
      </c>
    </row>
    <row r="19" spans="1:16" ht="18.75" customHeight="1" x14ac:dyDescent="0.4">
      <c r="A19" s="26">
        <v>6</v>
      </c>
      <c r="B19" s="30"/>
      <c r="C19" s="27"/>
      <c r="F19" s="1">
        <v>21824</v>
      </c>
      <c r="G19" s="14">
        <v>313.33</v>
      </c>
      <c r="I19" s="14"/>
      <c r="O19" s="21">
        <v>10</v>
      </c>
      <c r="P19" t="s">
        <v>38</v>
      </c>
    </row>
    <row r="20" spans="1:16" ht="18.75" customHeight="1" x14ac:dyDescent="0.4">
      <c r="A20" s="26">
        <v>7</v>
      </c>
      <c r="B20" s="30"/>
      <c r="C20" s="27"/>
      <c r="F20" s="1">
        <v>21855</v>
      </c>
      <c r="G20" s="14">
        <v>314.81</v>
      </c>
      <c r="I20" s="14"/>
    </row>
    <row r="21" spans="1:16" ht="18.75" customHeight="1" x14ac:dyDescent="0.4">
      <c r="A21" s="26">
        <v>8</v>
      </c>
      <c r="B21" s="30"/>
      <c r="C21" s="27"/>
      <c r="F21" s="1">
        <v>21885</v>
      </c>
      <c r="G21" s="14">
        <v>315.58</v>
      </c>
      <c r="I21" s="14"/>
      <c r="O21" t="s">
        <v>40</v>
      </c>
    </row>
    <row r="22" spans="1:16" ht="18.75" customHeight="1" x14ac:dyDescent="0.4">
      <c r="A22" s="26">
        <v>9</v>
      </c>
      <c r="B22" s="30"/>
      <c r="C22" s="27"/>
      <c r="F22" s="1">
        <v>21916</v>
      </c>
      <c r="G22" s="14">
        <v>316.43</v>
      </c>
      <c r="I22" s="14"/>
    </row>
    <row r="23" spans="1:16" ht="18.75" customHeight="1" x14ac:dyDescent="0.4">
      <c r="A23" s="26">
        <v>10</v>
      </c>
      <c r="B23" s="30"/>
      <c r="C23" s="27"/>
      <c r="F23" s="1">
        <v>21947</v>
      </c>
      <c r="G23" s="14">
        <v>316.98</v>
      </c>
      <c r="I23" s="14"/>
    </row>
    <row r="24" spans="1:16" ht="18.75" customHeight="1" x14ac:dyDescent="0.4">
      <c r="A24" s="26">
        <v>11</v>
      </c>
      <c r="B24" s="30"/>
      <c r="C24" s="27"/>
      <c r="D24" s="12"/>
      <c r="F24" s="1">
        <v>21976</v>
      </c>
      <c r="G24" s="14">
        <v>317.58</v>
      </c>
      <c r="I24" s="14"/>
    </row>
    <row r="25" spans="1:16" ht="18.75" customHeight="1" x14ac:dyDescent="0.4">
      <c r="A25" s="26">
        <v>12</v>
      </c>
      <c r="B25" s="30"/>
      <c r="C25" s="27"/>
      <c r="F25" s="1">
        <v>22007</v>
      </c>
      <c r="G25" s="14">
        <v>319.02999999999997</v>
      </c>
      <c r="I25" s="14"/>
    </row>
    <row r="26" spans="1:16" ht="18.75" customHeight="1" x14ac:dyDescent="0.4">
      <c r="A26" s="11">
        <v>13</v>
      </c>
      <c r="B26" s="28" t="e">
        <f>B14</f>
        <v>#DIV/0!</v>
      </c>
      <c r="C26" s="12" t="s">
        <v>16</v>
      </c>
      <c r="F26" s="1">
        <v>22037</v>
      </c>
      <c r="G26" s="14">
        <v>320.04000000000002</v>
      </c>
      <c r="I26" s="14"/>
    </row>
    <row r="27" spans="1:16" ht="18.75" customHeight="1" x14ac:dyDescent="0.4">
      <c r="A27" s="5" t="s">
        <v>8</v>
      </c>
      <c r="B27" s="31" t="e">
        <f>SUM(B14:B25)</f>
        <v>#DIV/0!</v>
      </c>
      <c r="F27" s="1">
        <v>22068</v>
      </c>
      <c r="G27" s="14">
        <v>319.58</v>
      </c>
      <c r="I27" s="14"/>
    </row>
    <row r="28" spans="1:16" ht="18.75" customHeight="1" x14ac:dyDescent="0.4">
      <c r="F28" s="1">
        <v>22098</v>
      </c>
      <c r="G28" s="14">
        <v>318.18</v>
      </c>
      <c r="I28" s="14"/>
    </row>
    <row r="29" spans="1:16" ht="18.75" customHeight="1" x14ac:dyDescent="0.4">
      <c r="A29" s="2" t="s">
        <v>25</v>
      </c>
      <c r="B29" s="31">
        <f>SUMSQ(M:M)/COUNT(M:M)</f>
        <v>53.747782480587496</v>
      </c>
      <c r="F29" s="1">
        <v>22129</v>
      </c>
      <c r="G29" s="14">
        <v>315.89999999999998</v>
      </c>
      <c r="I29" s="14"/>
    </row>
    <row r="30" spans="1:16" ht="18.75" customHeight="1" x14ac:dyDescent="0.4">
      <c r="F30" s="1">
        <v>22160</v>
      </c>
      <c r="G30" s="14">
        <v>314.17</v>
      </c>
      <c r="I30" s="14"/>
    </row>
    <row r="31" spans="1:16" ht="18.75" customHeight="1" x14ac:dyDescent="0.4">
      <c r="F31" s="1">
        <v>22190</v>
      </c>
      <c r="G31" s="14">
        <v>313.83</v>
      </c>
      <c r="I31" s="14"/>
    </row>
    <row r="32" spans="1:16" ht="18.75" customHeight="1" x14ac:dyDescent="0.4">
      <c r="F32" s="1">
        <v>22221</v>
      </c>
      <c r="G32" s="14">
        <v>315</v>
      </c>
      <c r="I32" s="14"/>
    </row>
    <row r="33" spans="1:9" ht="18.75" customHeight="1" x14ac:dyDescent="0.4">
      <c r="F33" s="1">
        <v>22251</v>
      </c>
      <c r="G33" s="14">
        <v>316.19</v>
      </c>
      <c r="I33" s="14"/>
    </row>
    <row r="34" spans="1:9" ht="18.75" customHeight="1" x14ac:dyDescent="0.4">
      <c r="F34" s="1">
        <v>22282</v>
      </c>
      <c r="G34" s="14">
        <v>316.89999999999998</v>
      </c>
      <c r="I34" s="14"/>
    </row>
    <row r="35" spans="1:9" ht="18.75" customHeight="1" x14ac:dyDescent="0.4">
      <c r="F35" s="1">
        <v>22313</v>
      </c>
      <c r="G35" s="14">
        <v>317.7</v>
      </c>
      <c r="I35" s="14"/>
    </row>
    <row r="36" spans="1:9" ht="18.75" customHeight="1" x14ac:dyDescent="0.4">
      <c r="A36" s="4"/>
      <c r="F36" s="1">
        <v>22341</v>
      </c>
      <c r="G36" s="14">
        <v>318.54000000000002</v>
      </c>
      <c r="I36" s="14"/>
    </row>
    <row r="37" spans="1:9" ht="18.75" customHeight="1" x14ac:dyDescent="0.4">
      <c r="F37" s="1">
        <v>22372</v>
      </c>
      <c r="G37" s="14">
        <v>319.48</v>
      </c>
      <c r="I37" s="14"/>
    </row>
    <row r="38" spans="1:9" ht="18.75" customHeight="1" x14ac:dyDescent="0.4">
      <c r="A38" s="15"/>
      <c r="F38" s="1">
        <v>22402</v>
      </c>
      <c r="G38" s="14">
        <v>320.58</v>
      </c>
      <c r="I38" s="14"/>
    </row>
    <row r="39" spans="1:9" ht="18.75" customHeight="1" x14ac:dyDescent="0.4">
      <c r="F39" s="1">
        <v>22433</v>
      </c>
      <c r="G39" s="14">
        <v>319.77</v>
      </c>
      <c r="I39" s="14"/>
    </row>
    <row r="40" spans="1:9" ht="18.75" customHeight="1" x14ac:dyDescent="0.4">
      <c r="F40" s="1">
        <v>22463</v>
      </c>
      <c r="G40" s="14">
        <v>318.57</v>
      </c>
      <c r="I40" s="14"/>
    </row>
    <row r="41" spans="1:9" ht="18.75" customHeight="1" x14ac:dyDescent="0.4">
      <c r="F41" s="1">
        <v>22494</v>
      </c>
      <c r="G41" s="14">
        <v>316.79000000000002</v>
      </c>
      <c r="I41" s="14"/>
    </row>
    <row r="42" spans="1:9" ht="18.75" customHeight="1" x14ac:dyDescent="0.4">
      <c r="F42" s="1">
        <v>22525</v>
      </c>
      <c r="G42" s="14">
        <v>314.99</v>
      </c>
      <c r="I42" s="14"/>
    </row>
    <row r="43" spans="1:9" ht="18.75" customHeight="1" x14ac:dyDescent="0.4">
      <c r="F43" s="1">
        <v>22555</v>
      </c>
      <c r="G43" s="14">
        <v>315.31</v>
      </c>
      <c r="I43" s="14"/>
    </row>
    <row r="44" spans="1:9" ht="18.75" customHeight="1" x14ac:dyDescent="0.4">
      <c r="F44" s="1">
        <v>22586</v>
      </c>
      <c r="G44" s="14">
        <v>316.10000000000002</v>
      </c>
      <c r="I44" s="14"/>
    </row>
    <row r="45" spans="1:9" ht="18.75" customHeight="1" x14ac:dyDescent="0.4">
      <c r="F45" s="1">
        <v>22616</v>
      </c>
      <c r="G45" s="14">
        <v>317.01</v>
      </c>
      <c r="I45" s="14"/>
    </row>
    <row r="46" spans="1:9" ht="18.75" customHeight="1" x14ac:dyDescent="0.4">
      <c r="F46" s="1">
        <v>22647</v>
      </c>
      <c r="G46" s="14">
        <v>317.94</v>
      </c>
      <c r="I46" s="14"/>
    </row>
    <row r="47" spans="1:9" ht="18.75" customHeight="1" x14ac:dyDescent="0.4">
      <c r="F47" s="1">
        <v>22678</v>
      </c>
      <c r="G47" s="14">
        <v>318.55</v>
      </c>
      <c r="I47" s="14"/>
    </row>
    <row r="48" spans="1:9" ht="18.75" customHeight="1" x14ac:dyDescent="0.4">
      <c r="F48" s="1">
        <v>22706</v>
      </c>
      <c r="G48" s="14">
        <v>319.68</v>
      </c>
      <c r="I48" s="14"/>
    </row>
    <row r="49" spans="6:9" ht="18.75" customHeight="1" x14ac:dyDescent="0.4">
      <c r="F49" s="1">
        <v>22737</v>
      </c>
      <c r="G49" s="14">
        <v>320.57</v>
      </c>
      <c r="I49" s="14"/>
    </row>
    <row r="50" spans="6:9" ht="18.75" customHeight="1" x14ac:dyDescent="0.4">
      <c r="F50" s="1">
        <v>22767</v>
      </c>
      <c r="G50" s="14">
        <v>321.02</v>
      </c>
      <c r="I50" s="14"/>
    </row>
    <row r="51" spans="6:9" ht="18.75" customHeight="1" x14ac:dyDescent="0.4">
      <c r="F51" s="1">
        <v>22798</v>
      </c>
      <c r="G51" s="14">
        <v>320.62</v>
      </c>
      <c r="I51" s="14"/>
    </row>
    <row r="52" spans="6:9" ht="18.75" customHeight="1" x14ac:dyDescent="0.4">
      <c r="F52" s="1">
        <v>22828</v>
      </c>
      <c r="G52" s="14">
        <v>319.61</v>
      </c>
      <c r="I52" s="14"/>
    </row>
    <row r="53" spans="6:9" ht="18.75" customHeight="1" x14ac:dyDescent="0.4">
      <c r="F53" s="1">
        <v>22859</v>
      </c>
      <c r="G53" s="14">
        <v>317.39999999999998</v>
      </c>
      <c r="I53" s="14"/>
    </row>
    <row r="54" spans="6:9" ht="18.75" customHeight="1" x14ac:dyDescent="0.4">
      <c r="F54" s="1">
        <v>22890</v>
      </c>
      <c r="G54" s="14">
        <v>316.25</v>
      </c>
      <c r="I54" s="14"/>
    </row>
    <row r="55" spans="6:9" ht="18.75" customHeight="1" x14ac:dyDescent="0.4">
      <c r="F55" s="1">
        <v>22920</v>
      </c>
      <c r="G55" s="14">
        <v>315.42</v>
      </c>
      <c r="I55" s="14"/>
    </row>
    <row r="56" spans="6:9" ht="18.75" customHeight="1" x14ac:dyDescent="0.4">
      <c r="F56" s="1">
        <v>22951</v>
      </c>
      <c r="G56" s="14">
        <v>316.69</v>
      </c>
      <c r="I56" s="14"/>
    </row>
    <row r="57" spans="6:9" ht="18.75" customHeight="1" x14ac:dyDescent="0.4">
      <c r="F57" s="1">
        <v>22981</v>
      </c>
      <c r="G57" s="14">
        <v>317.7</v>
      </c>
      <c r="I57" s="14"/>
    </row>
    <row r="58" spans="6:9" ht="18.75" customHeight="1" x14ac:dyDescent="0.4">
      <c r="F58" s="1">
        <v>23012</v>
      </c>
      <c r="G58" s="14">
        <v>318.74</v>
      </c>
      <c r="I58" s="14"/>
    </row>
    <row r="59" spans="6:9" ht="18.75" customHeight="1" x14ac:dyDescent="0.4">
      <c r="F59" s="1">
        <v>23043</v>
      </c>
      <c r="G59" s="14">
        <v>319.07</v>
      </c>
      <c r="I59" s="14"/>
    </row>
    <row r="60" spans="6:9" ht="18.75" customHeight="1" x14ac:dyDescent="0.4">
      <c r="F60" s="1">
        <v>23071</v>
      </c>
      <c r="G60" s="14">
        <v>319.86</v>
      </c>
      <c r="I60" s="14"/>
    </row>
    <row r="61" spans="6:9" ht="18.75" customHeight="1" x14ac:dyDescent="0.4">
      <c r="F61" s="1">
        <v>23102</v>
      </c>
      <c r="G61" s="14">
        <v>321.38</v>
      </c>
      <c r="I61" s="14"/>
    </row>
    <row r="62" spans="6:9" ht="18.75" customHeight="1" x14ac:dyDescent="0.4">
      <c r="F62" s="1">
        <v>23132</v>
      </c>
      <c r="G62" s="14">
        <v>322.25</v>
      </c>
      <c r="I62" s="14"/>
    </row>
    <row r="63" spans="6:9" ht="18.75" customHeight="1" x14ac:dyDescent="0.4">
      <c r="F63" s="1">
        <v>23163</v>
      </c>
      <c r="G63" s="14">
        <v>321.48</v>
      </c>
      <c r="I63" s="14"/>
    </row>
    <row r="64" spans="6:9" ht="18.75" customHeight="1" x14ac:dyDescent="0.4">
      <c r="F64" s="1">
        <v>23193</v>
      </c>
      <c r="G64" s="14">
        <v>319.74</v>
      </c>
      <c r="I64" s="14"/>
    </row>
    <row r="65" spans="6:9" ht="18.75" customHeight="1" x14ac:dyDescent="0.4">
      <c r="F65" s="1">
        <v>23224</v>
      </c>
      <c r="G65" s="14">
        <v>317.77</v>
      </c>
      <c r="I65" s="14"/>
    </row>
    <row r="66" spans="6:9" ht="18.75" customHeight="1" x14ac:dyDescent="0.4">
      <c r="F66" s="1">
        <v>23255</v>
      </c>
      <c r="G66" s="14">
        <v>316.20999999999998</v>
      </c>
      <c r="I66" s="14"/>
    </row>
    <row r="67" spans="6:9" ht="18.75" customHeight="1" x14ac:dyDescent="0.4">
      <c r="F67" s="1">
        <v>23285</v>
      </c>
      <c r="G67" s="14">
        <v>315.99</v>
      </c>
      <c r="I67" s="14"/>
    </row>
    <row r="68" spans="6:9" ht="18.75" customHeight="1" x14ac:dyDescent="0.4">
      <c r="F68" s="1">
        <v>23316</v>
      </c>
      <c r="G68" s="14">
        <v>317.07</v>
      </c>
      <c r="I68" s="14"/>
    </row>
    <row r="69" spans="6:9" ht="18.75" customHeight="1" x14ac:dyDescent="0.4">
      <c r="F69" s="1">
        <v>23346</v>
      </c>
      <c r="G69" s="14">
        <v>318.35000000000002</v>
      </c>
      <c r="I69" s="14"/>
    </row>
    <row r="70" spans="6:9" ht="18.75" customHeight="1" x14ac:dyDescent="0.4">
      <c r="F70" s="1">
        <v>23377</v>
      </c>
      <c r="G70" s="14">
        <v>319.57</v>
      </c>
      <c r="I70" s="14"/>
    </row>
    <row r="71" spans="6:9" ht="18.75" customHeight="1" x14ac:dyDescent="0.4">
      <c r="F71" s="1">
        <v>23498</v>
      </c>
      <c r="G71" s="14">
        <v>322.26</v>
      </c>
      <c r="I71" s="14"/>
    </row>
    <row r="72" spans="6:9" ht="18.75" customHeight="1" x14ac:dyDescent="0.4">
      <c r="F72" s="1">
        <v>23529</v>
      </c>
      <c r="G72" s="14">
        <v>321.89</v>
      </c>
      <c r="I72" s="14"/>
    </row>
    <row r="73" spans="6:9" ht="18.75" customHeight="1" x14ac:dyDescent="0.4">
      <c r="F73" s="1">
        <v>23559</v>
      </c>
      <c r="G73" s="14">
        <v>320.44</v>
      </c>
      <c r="I73" s="14"/>
    </row>
    <row r="74" spans="6:9" ht="18.75" customHeight="1" x14ac:dyDescent="0.4">
      <c r="F74" s="1">
        <v>23590</v>
      </c>
      <c r="G74" s="14">
        <v>318.69</v>
      </c>
      <c r="I74" s="14"/>
    </row>
    <row r="75" spans="6:9" ht="18.75" customHeight="1" x14ac:dyDescent="0.4">
      <c r="F75" s="1">
        <v>23621</v>
      </c>
      <c r="G75" s="14">
        <v>316.7</v>
      </c>
      <c r="I75" s="14"/>
    </row>
    <row r="76" spans="6:9" ht="18.75" customHeight="1" x14ac:dyDescent="0.4">
      <c r="F76" s="1">
        <v>23651</v>
      </c>
      <c r="G76" s="14">
        <v>316.87</v>
      </c>
      <c r="I76" s="14"/>
    </row>
    <row r="77" spans="6:9" ht="18.75" customHeight="1" x14ac:dyDescent="0.4">
      <c r="F77" s="1">
        <v>23682</v>
      </c>
      <c r="G77" s="14">
        <v>317.68</v>
      </c>
      <c r="I77" s="14"/>
    </row>
    <row r="78" spans="6:9" ht="18.75" customHeight="1" x14ac:dyDescent="0.4">
      <c r="F78" s="1">
        <v>23712</v>
      </c>
      <c r="G78" s="14">
        <v>318.70999999999998</v>
      </c>
      <c r="I78" s="14"/>
    </row>
    <row r="79" spans="6:9" ht="18.75" customHeight="1" x14ac:dyDescent="0.4">
      <c r="F79" s="1">
        <v>23743</v>
      </c>
      <c r="G79" s="14">
        <v>319.44</v>
      </c>
      <c r="I79" s="14"/>
    </row>
    <row r="80" spans="6:9" ht="18.75" customHeight="1" x14ac:dyDescent="0.4">
      <c r="F80" s="1">
        <v>23774</v>
      </c>
      <c r="G80" s="14">
        <v>320.44</v>
      </c>
      <c r="I80" s="14"/>
    </row>
    <row r="81" spans="6:9" ht="18.75" customHeight="1" x14ac:dyDescent="0.4">
      <c r="F81" s="1">
        <v>23802</v>
      </c>
      <c r="G81" s="14">
        <v>320.89</v>
      </c>
      <c r="I81" s="14"/>
    </row>
    <row r="82" spans="6:9" ht="18.75" customHeight="1" x14ac:dyDescent="0.4">
      <c r="F82" s="1">
        <v>23833</v>
      </c>
      <c r="G82" s="14">
        <v>322.14</v>
      </c>
      <c r="I82" s="14"/>
    </row>
    <row r="83" spans="6:9" ht="18.75" customHeight="1" x14ac:dyDescent="0.4">
      <c r="F83" s="1">
        <v>23863</v>
      </c>
      <c r="G83" s="14">
        <v>322.17</v>
      </c>
      <c r="I83" s="14"/>
    </row>
    <row r="84" spans="6:9" ht="18.75" customHeight="1" x14ac:dyDescent="0.4">
      <c r="F84" s="1">
        <v>23894</v>
      </c>
      <c r="G84" s="14">
        <v>321.87</v>
      </c>
      <c r="I84" s="14"/>
    </row>
    <row r="85" spans="6:9" ht="18.75" customHeight="1" x14ac:dyDescent="0.4">
      <c r="F85" s="1">
        <v>23924</v>
      </c>
      <c r="G85" s="14">
        <v>321.20999999999998</v>
      </c>
      <c r="I85" s="14"/>
    </row>
    <row r="86" spans="6:9" ht="18.75" customHeight="1" x14ac:dyDescent="0.4">
      <c r="F86" s="1">
        <v>23955</v>
      </c>
      <c r="G86" s="14">
        <v>318.87</v>
      </c>
      <c r="I86" s="14"/>
    </row>
    <row r="87" spans="6:9" ht="18.75" customHeight="1" x14ac:dyDescent="0.4">
      <c r="F87" s="1">
        <v>23986</v>
      </c>
      <c r="G87" s="14">
        <v>317.81</v>
      </c>
      <c r="I87" s="14"/>
    </row>
    <row r="88" spans="6:9" ht="18.75" customHeight="1" x14ac:dyDescent="0.4">
      <c r="F88" s="1">
        <v>24016</v>
      </c>
      <c r="G88" s="14">
        <v>317.3</v>
      </c>
      <c r="I88" s="14"/>
    </row>
    <row r="89" spans="6:9" ht="18.75" customHeight="1" x14ac:dyDescent="0.4">
      <c r="F89" s="1">
        <v>24047</v>
      </c>
      <c r="G89" s="14">
        <v>318.87</v>
      </c>
      <c r="I89" s="14"/>
    </row>
    <row r="90" spans="6:9" ht="18.75" customHeight="1" x14ac:dyDescent="0.4">
      <c r="F90" s="1">
        <v>24077</v>
      </c>
      <c r="G90" s="14">
        <v>319.42</v>
      </c>
      <c r="I90" s="14"/>
    </row>
    <row r="91" spans="6:9" ht="18.75" customHeight="1" x14ac:dyDescent="0.4">
      <c r="F91" s="1">
        <v>24108</v>
      </c>
      <c r="G91" s="14">
        <v>320.62</v>
      </c>
      <c r="I91" s="14"/>
    </row>
    <row r="92" spans="6:9" ht="18.75" customHeight="1" x14ac:dyDescent="0.4">
      <c r="F92" s="1">
        <v>24139</v>
      </c>
      <c r="G92" s="14">
        <v>321.60000000000002</v>
      </c>
      <c r="I92" s="14"/>
    </row>
    <row r="93" spans="6:9" ht="18.75" customHeight="1" x14ac:dyDescent="0.4">
      <c r="F93" s="1">
        <v>24167</v>
      </c>
      <c r="G93" s="14">
        <v>322.39</v>
      </c>
      <c r="I93" s="14"/>
    </row>
    <row r="94" spans="6:9" ht="18.75" customHeight="1" x14ac:dyDescent="0.4">
      <c r="F94" s="1">
        <v>24198</v>
      </c>
      <c r="G94" s="14">
        <v>323.7</v>
      </c>
      <c r="I94" s="14"/>
    </row>
    <row r="95" spans="6:9" ht="18.75" customHeight="1" x14ac:dyDescent="0.4">
      <c r="F95" s="1">
        <v>24228</v>
      </c>
      <c r="G95" s="14">
        <v>324.08</v>
      </c>
      <c r="I95" s="14"/>
    </row>
    <row r="96" spans="6:9" ht="18.75" customHeight="1" x14ac:dyDescent="0.4">
      <c r="F96" s="1">
        <v>24259</v>
      </c>
      <c r="G96" s="14">
        <v>323.75</v>
      </c>
      <c r="I96" s="14"/>
    </row>
    <row r="97" spans="6:9" ht="18.75" customHeight="1" x14ac:dyDescent="0.4">
      <c r="F97" s="1">
        <v>24289</v>
      </c>
      <c r="G97" s="14">
        <v>322.38</v>
      </c>
      <c r="I97" s="14"/>
    </row>
    <row r="98" spans="6:9" ht="18.75" customHeight="1" x14ac:dyDescent="0.4">
      <c r="F98" s="1">
        <v>24320</v>
      </c>
      <c r="G98" s="14">
        <v>320.36</v>
      </c>
      <c r="I98" s="14"/>
    </row>
    <row r="99" spans="6:9" ht="18.75" customHeight="1" x14ac:dyDescent="0.4">
      <c r="F99" s="1">
        <v>24351</v>
      </c>
      <c r="G99" s="14">
        <v>318.64</v>
      </c>
      <c r="I99" s="14"/>
    </row>
    <row r="100" spans="6:9" ht="18.75" customHeight="1" x14ac:dyDescent="0.4">
      <c r="F100" s="1">
        <v>24381</v>
      </c>
      <c r="G100" s="14">
        <v>318.10000000000002</v>
      </c>
      <c r="I100" s="14"/>
    </row>
    <row r="101" spans="6:9" ht="18.75" customHeight="1" x14ac:dyDescent="0.4">
      <c r="F101" s="1">
        <v>24412</v>
      </c>
      <c r="G101" s="14">
        <v>319.77999999999997</v>
      </c>
      <c r="I101" s="14"/>
    </row>
    <row r="102" spans="6:9" ht="18.75" customHeight="1" x14ac:dyDescent="0.4">
      <c r="F102" s="1">
        <v>24442</v>
      </c>
      <c r="G102" s="14">
        <v>321.02999999999997</v>
      </c>
      <c r="I102" s="14"/>
    </row>
    <row r="103" spans="6:9" ht="18.75" customHeight="1" x14ac:dyDescent="0.4">
      <c r="F103" s="1">
        <v>24473</v>
      </c>
      <c r="G103" s="14">
        <v>322.33</v>
      </c>
      <c r="I103" s="14"/>
    </row>
    <row r="104" spans="6:9" ht="18.75" customHeight="1" x14ac:dyDescent="0.4">
      <c r="F104" s="1">
        <v>24504</v>
      </c>
      <c r="G104" s="14">
        <v>322.5</v>
      </c>
      <c r="I104" s="14"/>
    </row>
    <row r="105" spans="6:9" ht="18.75" customHeight="1" x14ac:dyDescent="0.4">
      <c r="F105" s="1">
        <v>24532</v>
      </c>
      <c r="G105" s="14">
        <v>323.04000000000002</v>
      </c>
      <c r="I105" s="14"/>
    </row>
    <row r="106" spans="6:9" ht="18.75" customHeight="1" x14ac:dyDescent="0.4">
      <c r="F106" s="1">
        <v>24563</v>
      </c>
      <c r="G106" s="14">
        <v>324.42</v>
      </c>
      <c r="I106" s="14"/>
    </row>
    <row r="107" spans="6:9" ht="18.75" customHeight="1" x14ac:dyDescent="0.4">
      <c r="F107" s="1">
        <v>24593</v>
      </c>
      <c r="G107" s="14">
        <v>325</v>
      </c>
      <c r="I107" s="14"/>
    </row>
    <row r="108" spans="6:9" ht="18.75" customHeight="1" x14ac:dyDescent="0.4">
      <c r="F108" s="1">
        <v>24624</v>
      </c>
      <c r="G108" s="14">
        <v>324.08999999999997</v>
      </c>
      <c r="I108" s="14"/>
    </row>
    <row r="109" spans="6:9" ht="18.75" customHeight="1" x14ac:dyDescent="0.4">
      <c r="F109" s="1">
        <v>24654</v>
      </c>
      <c r="G109" s="14">
        <v>322.54000000000002</v>
      </c>
      <c r="I109" s="14"/>
    </row>
    <row r="110" spans="6:9" ht="18.75" customHeight="1" x14ac:dyDescent="0.4">
      <c r="F110" s="1">
        <v>24685</v>
      </c>
      <c r="G110" s="14">
        <v>320.92</v>
      </c>
      <c r="I110" s="14"/>
    </row>
    <row r="111" spans="6:9" ht="18.75" customHeight="1" x14ac:dyDescent="0.4">
      <c r="F111" s="1">
        <v>24716</v>
      </c>
      <c r="G111" s="14">
        <v>319.25</v>
      </c>
      <c r="I111" s="14"/>
    </row>
    <row r="112" spans="6:9" ht="18.75" customHeight="1" x14ac:dyDescent="0.4">
      <c r="F112" s="1">
        <v>24746</v>
      </c>
      <c r="G112" s="14">
        <v>319.39</v>
      </c>
      <c r="I112" s="14"/>
    </row>
    <row r="113" spans="6:9" ht="18.75" customHeight="1" x14ac:dyDescent="0.4">
      <c r="F113" s="1">
        <v>24777</v>
      </c>
      <c r="G113" s="14">
        <v>320.73</v>
      </c>
      <c r="I113" s="14"/>
    </row>
    <row r="114" spans="6:9" ht="18.75" customHeight="1" x14ac:dyDescent="0.4">
      <c r="F114" s="1">
        <v>24807</v>
      </c>
      <c r="G114" s="14">
        <v>321.95999999999998</v>
      </c>
      <c r="I114" s="14"/>
    </row>
    <row r="115" spans="6:9" ht="18.75" customHeight="1" x14ac:dyDescent="0.4">
      <c r="F115" s="1">
        <v>24838</v>
      </c>
      <c r="G115" s="14">
        <v>322.57</v>
      </c>
      <c r="I115" s="14"/>
    </row>
    <row r="116" spans="6:9" ht="18.75" customHeight="1" x14ac:dyDescent="0.4">
      <c r="F116" s="1">
        <v>24869</v>
      </c>
      <c r="G116" s="14">
        <v>323.14999999999998</v>
      </c>
      <c r="I116" s="14"/>
    </row>
    <row r="117" spans="6:9" ht="18.75" customHeight="1" x14ac:dyDescent="0.4">
      <c r="F117" s="1">
        <v>24898</v>
      </c>
      <c r="G117" s="14">
        <v>323.89</v>
      </c>
      <c r="I117" s="14"/>
    </row>
    <row r="118" spans="6:9" ht="18.75" customHeight="1" x14ac:dyDescent="0.4">
      <c r="F118" s="1">
        <v>24929</v>
      </c>
      <c r="G118" s="14">
        <v>325.02</v>
      </c>
      <c r="I118" s="14"/>
    </row>
    <row r="119" spans="6:9" ht="18.75" customHeight="1" x14ac:dyDescent="0.4">
      <c r="F119" s="1">
        <v>24959</v>
      </c>
      <c r="G119" s="14">
        <v>325.57</v>
      </c>
      <c r="I119" s="14"/>
    </row>
    <row r="120" spans="6:9" ht="18.75" customHeight="1" x14ac:dyDescent="0.4">
      <c r="F120" s="1">
        <v>24990</v>
      </c>
      <c r="G120" s="14">
        <v>325.36</v>
      </c>
      <c r="I120" s="14"/>
    </row>
    <row r="121" spans="6:9" ht="18.75" customHeight="1" x14ac:dyDescent="0.4">
      <c r="F121" s="1">
        <v>25020</v>
      </c>
      <c r="G121" s="14">
        <v>324.14</v>
      </c>
      <c r="I121" s="14"/>
    </row>
    <row r="122" spans="6:9" ht="18.75" customHeight="1" x14ac:dyDescent="0.4">
      <c r="F122" s="1">
        <v>25051</v>
      </c>
      <c r="G122" s="14">
        <v>322.11</v>
      </c>
      <c r="I122" s="14"/>
    </row>
    <row r="123" spans="6:9" ht="18.75" customHeight="1" x14ac:dyDescent="0.4">
      <c r="F123" s="1">
        <v>25082</v>
      </c>
      <c r="G123" s="14">
        <v>320.33</v>
      </c>
      <c r="I123" s="14"/>
    </row>
    <row r="124" spans="6:9" ht="18.75" customHeight="1" x14ac:dyDescent="0.4">
      <c r="F124" s="1">
        <v>25112</v>
      </c>
      <c r="G124" s="14">
        <v>320.25</v>
      </c>
      <c r="I124" s="14"/>
    </row>
    <row r="125" spans="6:9" ht="18.75" customHeight="1" x14ac:dyDescent="0.4">
      <c r="F125" s="1">
        <v>25143</v>
      </c>
      <c r="G125" s="14">
        <v>321.32</v>
      </c>
      <c r="I125" s="14"/>
    </row>
    <row r="126" spans="6:9" ht="18.75" customHeight="1" x14ac:dyDescent="0.4">
      <c r="F126" s="1">
        <v>25173</v>
      </c>
      <c r="G126" s="14">
        <v>322.89</v>
      </c>
      <c r="I126" s="14"/>
    </row>
    <row r="127" spans="6:9" ht="18.75" customHeight="1" x14ac:dyDescent="0.4">
      <c r="F127" s="1">
        <v>25204</v>
      </c>
      <c r="G127" s="14">
        <v>324</v>
      </c>
      <c r="I127" s="14"/>
    </row>
    <row r="128" spans="6:9" ht="18.75" customHeight="1" x14ac:dyDescent="0.4">
      <c r="F128" s="1">
        <v>25235</v>
      </c>
      <c r="G128" s="14">
        <v>324.41000000000003</v>
      </c>
      <c r="I128" s="14"/>
    </row>
    <row r="129" spans="6:9" ht="18.75" customHeight="1" x14ac:dyDescent="0.4">
      <c r="F129" s="1">
        <v>25263</v>
      </c>
      <c r="G129" s="14">
        <v>325.63</v>
      </c>
      <c r="I129" s="14"/>
    </row>
    <row r="130" spans="6:9" ht="18.75" customHeight="1" x14ac:dyDescent="0.4">
      <c r="F130" s="1">
        <v>25294</v>
      </c>
      <c r="G130" s="14">
        <v>326.66000000000003</v>
      </c>
      <c r="I130" s="14"/>
    </row>
    <row r="131" spans="6:9" ht="18.75" customHeight="1" x14ac:dyDescent="0.4">
      <c r="F131" s="1">
        <v>25324</v>
      </c>
      <c r="G131" s="14">
        <v>327.38</v>
      </c>
      <c r="I131" s="14"/>
    </row>
    <row r="132" spans="6:9" ht="18.75" customHeight="1" x14ac:dyDescent="0.4">
      <c r="F132" s="1">
        <v>25355</v>
      </c>
      <c r="G132" s="14">
        <v>326.70999999999998</v>
      </c>
      <c r="I132" s="14"/>
    </row>
    <row r="133" spans="6:9" ht="18.75" customHeight="1" x14ac:dyDescent="0.4">
      <c r="F133" s="1">
        <v>25385</v>
      </c>
      <c r="G133" s="14">
        <v>325.88</v>
      </c>
      <c r="I133" s="14"/>
    </row>
    <row r="134" spans="6:9" ht="18.75" customHeight="1" x14ac:dyDescent="0.4">
      <c r="F134" s="1">
        <v>25416</v>
      </c>
      <c r="G134" s="14">
        <v>323.66000000000003</v>
      </c>
      <c r="I134" s="14"/>
    </row>
    <row r="135" spans="6:9" ht="18.75" customHeight="1" x14ac:dyDescent="0.4">
      <c r="F135" s="1">
        <v>25447</v>
      </c>
      <c r="G135" s="14">
        <v>322.38</v>
      </c>
      <c r="I135" s="14"/>
    </row>
    <row r="136" spans="6:9" ht="18.75" customHeight="1" x14ac:dyDescent="0.4">
      <c r="F136" s="1">
        <v>25477</v>
      </c>
      <c r="G136" s="14">
        <v>321.77999999999997</v>
      </c>
      <c r="I136" s="14"/>
    </row>
    <row r="137" spans="6:9" ht="18.75" customHeight="1" x14ac:dyDescent="0.4">
      <c r="F137" s="1">
        <v>25508</v>
      </c>
      <c r="G137" s="14">
        <v>322.85000000000002</v>
      </c>
      <c r="I137" s="14"/>
    </row>
    <row r="138" spans="6:9" ht="18.75" customHeight="1" x14ac:dyDescent="0.4">
      <c r="F138" s="1">
        <v>25538</v>
      </c>
      <c r="G138" s="14">
        <v>324.12</v>
      </c>
      <c r="I138" s="14"/>
    </row>
    <row r="139" spans="6:9" ht="18.75" customHeight="1" x14ac:dyDescent="0.4">
      <c r="F139" s="1">
        <v>25569</v>
      </c>
      <c r="G139" s="14">
        <v>325.06</v>
      </c>
      <c r="I139" s="14"/>
    </row>
    <row r="140" spans="6:9" ht="18.75" customHeight="1" x14ac:dyDescent="0.4">
      <c r="F140" s="1">
        <v>25600</v>
      </c>
      <c r="G140" s="14">
        <v>325.98</v>
      </c>
      <c r="I140" s="14"/>
    </row>
    <row r="141" spans="6:9" ht="18.75" customHeight="1" x14ac:dyDescent="0.4">
      <c r="F141" s="1">
        <v>25628</v>
      </c>
      <c r="G141" s="14">
        <v>326.93</v>
      </c>
      <c r="I141" s="14"/>
    </row>
    <row r="142" spans="6:9" ht="18.75" customHeight="1" x14ac:dyDescent="0.4">
      <c r="F142" s="1">
        <v>25659</v>
      </c>
      <c r="G142" s="14">
        <v>328.13</v>
      </c>
      <c r="I142" s="14"/>
    </row>
    <row r="143" spans="6:9" ht="18.75" customHeight="1" x14ac:dyDescent="0.4">
      <c r="F143" s="1">
        <v>25689</v>
      </c>
      <c r="G143" s="14">
        <v>328.08</v>
      </c>
      <c r="I143" s="14"/>
    </row>
    <row r="144" spans="6:9" ht="18.75" customHeight="1" x14ac:dyDescent="0.4">
      <c r="F144" s="1">
        <v>25720</v>
      </c>
      <c r="G144" s="14">
        <v>327.67</v>
      </c>
      <c r="I144" s="14"/>
    </row>
    <row r="145" spans="6:9" ht="18.75" customHeight="1" x14ac:dyDescent="0.4">
      <c r="F145" s="1">
        <v>25750</v>
      </c>
      <c r="G145" s="14">
        <v>326.33999999999997</v>
      </c>
      <c r="I145" s="14"/>
    </row>
    <row r="146" spans="6:9" ht="18.75" customHeight="1" x14ac:dyDescent="0.4">
      <c r="F146" s="1">
        <v>25781</v>
      </c>
      <c r="G146" s="14">
        <v>324.69</v>
      </c>
      <c r="I146" s="14"/>
    </row>
    <row r="147" spans="6:9" ht="18.75" customHeight="1" x14ac:dyDescent="0.4">
      <c r="F147" s="1">
        <v>25812</v>
      </c>
      <c r="G147" s="14">
        <v>323.10000000000002</v>
      </c>
      <c r="I147" s="14"/>
    </row>
    <row r="148" spans="6:9" ht="18.75" customHeight="1" x14ac:dyDescent="0.4">
      <c r="F148" s="1">
        <v>25842</v>
      </c>
      <c r="G148" s="14">
        <v>323.06</v>
      </c>
      <c r="I148" s="14"/>
    </row>
    <row r="149" spans="6:9" ht="18.75" customHeight="1" x14ac:dyDescent="0.4">
      <c r="F149" s="1">
        <v>25873</v>
      </c>
      <c r="G149" s="14">
        <v>324.01</v>
      </c>
      <c r="I149" s="14"/>
    </row>
    <row r="150" spans="6:9" ht="18.75" customHeight="1" x14ac:dyDescent="0.4">
      <c r="F150" s="1">
        <v>25903</v>
      </c>
      <c r="G150" s="14">
        <v>325.13</v>
      </c>
      <c r="I150" s="14"/>
    </row>
    <row r="151" spans="6:9" ht="18.75" customHeight="1" x14ac:dyDescent="0.4">
      <c r="F151" s="1">
        <v>25934</v>
      </c>
      <c r="G151" s="14">
        <v>326.17</v>
      </c>
      <c r="I151" s="14"/>
    </row>
    <row r="152" spans="6:9" ht="18.75" customHeight="1" x14ac:dyDescent="0.4">
      <c r="F152" s="1">
        <v>25965</v>
      </c>
      <c r="G152" s="14">
        <v>326.68</v>
      </c>
      <c r="I152" s="14"/>
    </row>
    <row r="153" spans="6:9" ht="18.75" customHeight="1" x14ac:dyDescent="0.4">
      <c r="F153" s="1">
        <v>25993</v>
      </c>
      <c r="G153" s="14">
        <v>327.17</v>
      </c>
      <c r="I153" s="14"/>
    </row>
    <row r="154" spans="6:9" ht="18.75" customHeight="1" x14ac:dyDescent="0.4">
      <c r="F154" s="1">
        <v>26024</v>
      </c>
      <c r="G154" s="14">
        <v>327.79</v>
      </c>
      <c r="I154" s="14"/>
    </row>
    <row r="155" spans="6:9" ht="18.75" customHeight="1" x14ac:dyDescent="0.4">
      <c r="F155" s="1">
        <v>26054</v>
      </c>
      <c r="G155" s="14">
        <v>328.93</v>
      </c>
      <c r="I155" s="14"/>
    </row>
    <row r="156" spans="6:9" ht="18.75" customHeight="1" x14ac:dyDescent="0.4">
      <c r="F156" s="1">
        <v>26085</v>
      </c>
      <c r="G156" s="14">
        <v>328.57</v>
      </c>
      <c r="I156" s="14"/>
    </row>
    <row r="157" spans="6:9" ht="18.75" customHeight="1" x14ac:dyDescent="0.4">
      <c r="F157" s="1">
        <v>26115</v>
      </c>
      <c r="G157" s="14">
        <v>327.36</v>
      </c>
      <c r="I157" s="14"/>
    </row>
    <row r="158" spans="6:9" ht="18.75" customHeight="1" x14ac:dyDescent="0.4">
      <c r="F158" s="1">
        <v>26146</v>
      </c>
      <c r="G158" s="14">
        <v>325.43</v>
      </c>
      <c r="I158" s="14"/>
    </row>
    <row r="159" spans="6:9" ht="18.75" customHeight="1" x14ac:dyDescent="0.4">
      <c r="F159" s="1">
        <v>26177</v>
      </c>
      <c r="G159" s="14">
        <v>323.36</v>
      </c>
      <c r="I159" s="14"/>
    </row>
    <row r="160" spans="6:9" ht="18.75" customHeight="1" x14ac:dyDescent="0.4">
      <c r="F160" s="1">
        <v>26207</v>
      </c>
      <c r="G160" s="14">
        <v>323.56</v>
      </c>
      <c r="I160" s="14"/>
    </row>
    <row r="161" spans="6:9" ht="18.75" customHeight="1" x14ac:dyDescent="0.4">
      <c r="F161" s="1">
        <v>26238</v>
      </c>
      <c r="G161" s="14">
        <v>324.8</v>
      </c>
      <c r="I161" s="14"/>
    </row>
    <row r="162" spans="6:9" ht="18.75" customHeight="1" x14ac:dyDescent="0.4">
      <c r="F162" s="1">
        <v>26268</v>
      </c>
      <c r="G162" s="14">
        <v>326.01</v>
      </c>
      <c r="I162" s="14"/>
    </row>
    <row r="163" spans="6:9" ht="18.75" customHeight="1" x14ac:dyDescent="0.4">
      <c r="F163" s="1">
        <v>26299</v>
      </c>
      <c r="G163" s="14">
        <v>326.77</v>
      </c>
      <c r="I163" s="14"/>
    </row>
    <row r="164" spans="6:9" ht="18.75" customHeight="1" x14ac:dyDescent="0.4">
      <c r="F164" s="1">
        <v>26330</v>
      </c>
      <c r="G164" s="14">
        <v>327.63</v>
      </c>
      <c r="I164" s="14"/>
    </row>
    <row r="165" spans="6:9" ht="18.75" customHeight="1" x14ac:dyDescent="0.4">
      <c r="F165" s="1">
        <v>26359</v>
      </c>
      <c r="G165" s="14">
        <v>327.75</v>
      </c>
      <c r="I165" s="14"/>
    </row>
    <row r="166" spans="6:9" ht="18.75" customHeight="1" x14ac:dyDescent="0.4">
      <c r="F166" s="1">
        <v>26390</v>
      </c>
      <c r="G166" s="14">
        <v>329.72</v>
      </c>
      <c r="I166" s="14"/>
    </row>
    <row r="167" spans="6:9" ht="18.75" customHeight="1" x14ac:dyDescent="0.4">
      <c r="F167" s="1">
        <v>26420</v>
      </c>
      <c r="G167" s="14">
        <v>330.07</v>
      </c>
      <c r="I167" s="14"/>
    </row>
    <row r="168" spans="6:9" ht="18.75" customHeight="1" x14ac:dyDescent="0.4">
      <c r="F168" s="1">
        <v>26451</v>
      </c>
      <c r="G168" s="14">
        <v>329.09</v>
      </c>
      <c r="I168" s="14"/>
    </row>
    <row r="169" spans="6:9" ht="18.75" customHeight="1" x14ac:dyDescent="0.4">
      <c r="F169" s="1">
        <v>26481</v>
      </c>
      <c r="G169" s="14">
        <v>328.04</v>
      </c>
      <c r="I169" s="14"/>
    </row>
    <row r="170" spans="6:9" ht="18.75" customHeight="1" x14ac:dyDescent="0.4">
      <c r="F170" s="1">
        <v>26512</v>
      </c>
      <c r="G170" s="14">
        <v>326.32</v>
      </c>
      <c r="I170" s="14"/>
    </row>
    <row r="171" spans="6:9" ht="18.75" customHeight="1" x14ac:dyDescent="0.4">
      <c r="F171" s="1">
        <v>26543</v>
      </c>
      <c r="G171" s="14">
        <v>324.83999999999997</v>
      </c>
      <c r="I171" s="14"/>
    </row>
    <row r="172" spans="6:9" ht="18.75" customHeight="1" x14ac:dyDescent="0.4">
      <c r="F172" s="1">
        <v>26573</v>
      </c>
      <c r="G172" s="14">
        <v>325.2</v>
      </c>
      <c r="I172" s="14"/>
    </row>
    <row r="173" spans="6:9" ht="18.75" customHeight="1" x14ac:dyDescent="0.4">
      <c r="F173" s="1">
        <v>26604</v>
      </c>
      <c r="G173" s="14">
        <v>326.5</v>
      </c>
      <c r="I173" s="14"/>
    </row>
    <row r="174" spans="6:9" ht="18.75" customHeight="1" x14ac:dyDescent="0.4">
      <c r="F174" s="1">
        <v>26634</v>
      </c>
      <c r="G174" s="14">
        <v>327.55</v>
      </c>
      <c r="I174" s="14"/>
    </row>
    <row r="175" spans="6:9" ht="18.75" customHeight="1" x14ac:dyDescent="0.4">
      <c r="F175" s="1">
        <v>26665</v>
      </c>
      <c r="G175" s="14">
        <v>328.55</v>
      </c>
      <c r="I175" s="14"/>
    </row>
    <row r="176" spans="6:9" ht="18.75" customHeight="1" x14ac:dyDescent="0.4">
      <c r="F176" s="1">
        <v>26696</v>
      </c>
      <c r="G176" s="14">
        <v>329.56</v>
      </c>
      <c r="I176" s="14"/>
    </row>
    <row r="177" spans="6:9" ht="18.75" customHeight="1" x14ac:dyDescent="0.4">
      <c r="F177" s="1">
        <v>26724</v>
      </c>
      <c r="G177" s="14">
        <v>330.3</v>
      </c>
      <c r="I177" s="14"/>
    </row>
    <row r="178" spans="6:9" ht="18.75" customHeight="1" x14ac:dyDescent="0.4">
      <c r="F178" s="1">
        <v>26755</v>
      </c>
      <c r="G178" s="14">
        <v>331.5</v>
      </c>
      <c r="I178" s="14"/>
    </row>
    <row r="179" spans="6:9" ht="18.75" customHeight="1" x14ac:dyDescent="0.4">
      <c r="F179" s="1">
        <v>26785</v>
      </c>
      <c r="G179" s="14">
        <v>332.48</v>
      </c>
      <c r="I179" s="14"/>
    </row>
    <row r="180" spans="6:9" ht="18.75" customHeight="1" x14ac:dyDescent="0.4">
      <c r="F180" s="1">
        <v>26816</v>
      </c>
      <c r="G180" s="14">
        <v>332.07</v>
      </c>
      <c r="I180" s="14"/>
    </row>
    <row r="181" spans="6:9" ht="18.75" customHeight="1" x14ac:dyDescent="0.4">
      <c r="F181" s="1">
        <v>26846</v>
      </c>
      <c r="G181" s="14">
        <v>330.87</v>
      </c>
      <c r="I181" s="14"/>
    </row>
    <row r="182" spans="6:9" ht="18.75" customHeight="1" x14ac:dyDescent="0.4">
      <c r="F182" s="1">
        <v>26877</v>
      </c>
      <c r="G182" s="14">
        <v>329.31</v>
      </c>
      <c r="I182" s="14"/>
    </row>
    <row r="183" spans="6:9" ht="18.75" customHeight="1" x14ac:dyDescent="0.4">
      <c r="F183" s="1">
        <v>26908</v>
      </c>
      <c r="G183" s="14">
        <v>327.51</v>
      </c>
      <c r="I183" s="14"/>
    </row>
    <row r="184" spans="6:9" ht="18.75" customHeight="1" x14ac:dyDescent="0.4">
      <c r="F184" s="1">
        <v>26938</v>
      </c>
      <c r="G184" s="14">
        <v>327.18</v>
      </c>
      <c r="I184" s="14"/>
    </row>
    <row r="185" spans="6:9" ht="18.75" customHeight="1" x14ac:dyDescent="0.4">
      <c r="F185" s="1">
        <v>26969</v>
      </c>
      <c r="G185" s="14">
        <v>328.16</v>
      </c>
      <c r="I185" s="14"/>
    </row>
    <row r="186" spans="6:9" ht="18.75" customHeight="1" x14ac:dyDescent="0.4">
      <c r="F186" s="1">
        <v>26999</v>
      </c>
      <c r="G186" s="14">
        <v>328.64</v>
      </c>
      <c r="I186" s="14"/>
    </row>
    <row r="187" spans="6:9" ht="18.75" customHeight="1" x14ac:dyDescent="0.4">
      <c r="F187" s="1">
        <v>27030</v>
      </c>
      <c r="G187" s="14">
        <v>329.35</v>
      </c>
      <c r="I187" s="14"/>
    </row>
    <row r="188" spans="6:9" ht="18.75" customHeight="1" x14ac:dyDescent="0.4">
      <c r="F188" s="1">
        <v>27061</v>
      </c>
      <c r="G188" s="14">
        <v>330.71</v>
      </c>
      <c r="I188" s="14"/>
    </row>
    <row r="189" spans="6:9" ht="18.75" customHeight="1" x14ac:dyDescent="0.4">
      <c r="F189" s="1">
        <v>27089</v>
      </c>
      <c r="G189" s="14">
        <v>331.48</v>
      </c>
      <c r="I189" s="14"/>
    </row>
    <row r="190" spans="6:9" ht="18.75" customHeight="1" x14ac:dyDescent="0.4">
      <c r="F190" s="1">
        <v>27120</v>
      </c>
      <c r="G190" s="14">
        <v>332.65</v>
      </c>
      <c r="I190" s="14"/>
    </row>
    <row r="191" spans="6:9" ht="18.75" customHeight="1" x14ac:dyDescent="0.4">
      <c r="F191" s="1">
        <v>27150</v>
      </c>
      <c r="G191" s="14">
        <v>333.09</v>
      </c>
      <c r="I191" s="14"/>
    </row>
    <row r="192" spans="6:9" ht="18.75" customHeight="1" x14ac:dyDescent="0.4">
      <c r="F192" s="1">
        <v>27181</v>
      </c>
      <c r="G192" s="14">
        <v>332.25</v>
      </c>
      <c r="I192" s="14"/>
    </row>
    <row r="193" spans="6:9" ht="18.75" customHeight="1" x14ac:dyDescent="0.4">
      <c r="F193" s="1">
        <v>27211</v>
      </c>
      <c r="G193" s="14">
        <v>331.18</v>
      </c>
      <c r="I193" s="14"/>
    </row>
    <row r="194" spans="6:9" ht="18.75" customHeight="1" x14ac:dyDescent="0.4">
      <c r="F194" s="1">
        <v>27242</v>
      </c>
      <c r="G194" s="14">
        <v>329.39</v>
      </c>
      <c r="I194" s="14"/>
    </row>
    <row r="195" spans="6:9" ht="18.75" customHeight="1" x14ac:dyDescent="0.4">
      <c r="F195" s="1">
        <v>27273</v>
      </c>
      <c r="G195" s="14">
        <v>327.43</v>
      </c>
      <c r="I195" s="14"/>
    </row>
    <row r="196" spans="6:9" ht="18.75" customHeight="1" x14ac:dyDescent="0.4">
      <c r="F196" s="1">
        <v>27303</v>
      </c>
      <c r="G196" s="14">
        <v>327.37</v>
      </c>
      <c r="I196" s="14"/>
    </row>
    <row r="197" spans="6:9" ht="18.75" customHeight="1" x14ac:dyDescent="0.4">
      <c r="F197" s="1">
        <v>27334</v>
      </c>
      <c r="G197" s="14">
        <v>328.46</v>
      </c>
      <c r="I197" s="14"/>
    </row>
    <row r="198" spans="6:9" ht="18.75" customHeight="1" x14ac:dyDescent="0.4">
      <c r="F198" s="1">
        <v>27364</v>
      </c>
      <c r="G198" s="14">
        <v>329.57</v>
      </c>
      <c r="I198" s="14"/>
    </row>
    <row r="199" spans="6:9" ht="18.75" customHeight="1" x14ac:dyDescent="0.4">
      <c r="F199" s="1">
        <v>27395</v>
      </c>
      <c r="G199" s="14">
        <v>330.4</v>
      </c>
      <c r="I199" s="14"/>
    </row>
    <row r="200" spans="6:9" ht="18.75" customHeight="1" x14ac:dyDescent="0.4">
      <c r="F200" s="1">
        <v>27426</v>
      </c>
      <c r="G200" s="14">
        <v>331.4</v>
      </c>
      <c r="I200" s="14"/>
    </row>
    <row r="201" spans="6:9" ht="18.75" customHeight="1" x14ac:dyDescent="0.4">
      <c r="F201" s="1">
        <v>27454</v>
      </c>
      <c r="G201" s="14">
        <v>332.04</v>
      </c>
      <c r="I201" s="14"/>
    </row>
    <row r="202" spans="6:9" ht="18.75" customHeight="1" x14ac:dyDescent="0.4">
      <c r="F202" s="1">
        <v>27485</v>
      </c>
      <c r="G202" s="14">
        <v>333.31</v>
      </c>
      <c r="I202" s="14"/>
    </row>
    <row r="203" spans="6:9" ht="18.75" customHeight="1" x14ac:dyDescent="0.4">
      <c r="F203" s="1">
        <v>27515</v>
      </c>
      <c r="G203" s="14">
        <v>333.97</v>
      </c>
      <c r="I203" s="14"/>
    </row>
    <row r="204" spans="6:9" ht="18.75" customHeight="1" x14ac:dyDescent="0.4">
      <c r="F204" s="1">
        <v>27546</v>
      </c>
      <c r="G204" s="14">
        <v>333.6</v>
      </c>
      <c r="I204" s="14"/>
    </row>
    <row r="205" spans="6:9" ht="18.75" customHeight="1" x14ac:dyDescent="0.4">
      <c r="F205" s="1">
        <v>27576</v>
      </c>
      <c r="G205" s="14">
        <v>331.9</v>
      </c>
      <c r="I205" s="14"/>
    </row>
    <row r="206" spans="6:9" ht="18.75" customHeight="1" x14ac:dyDescent="0.4">
      <c r="F206" s="1">
        <v>27607</v>
      </c>
      <c r="G206" s="14">
        <v>330.06</v>
      </c>
      <c r="I206" s="14"/>
    </row>
    <row r="207" spans="6:9" ht="18.75" customHeight="1" x14ac:dyDescent="0.4">
      <c r="F207" s="1">
        <v>27638</v>
      </c>
      <c r="G207" s="14">
        <v>328.56</v>
      </c>
      <c r="I207" s="14"/>
    </row>
    <row r="208" spans="6:9" ht="18.75" customHeight="1" x14ac:dyDescent="0.4">
      <c r="F208" s="1">
        <v>27668</v>
      </c>
      <c r="G208" s="14">
        <v>328.34</v>
      </c>
      <c r="I208" s="14"/>
    </row>
    <row r="209" spans="6:9" ht="18.75" customHeight="1" x14ac:dyDescent="0.4">
      <c r="F209" s="1">
        <v>27699</v>
      </c>
      <c r="G209" s="14">
        <v>329.49</v>
      </c>
      <c r="I209" s="14"/>
    </row>
    <row r="210" spans="6:9" ht="18.75" customHeight="1" x14ac:dyDescent="0.4">
      <c r="F210" s="1">
        <v>27729</v>
      </c>
      <c r="G210" s="14">
        <v>330.76</v>
      </c>
      <c r="I210" s="14"/>
    </row>
    <row r="211" spans="6:9" ht="18.75" customHeight="1" x14ac:dyDescent="0.4">
      <c r="F211" s="1">
        <v>27760</v>
      </c>
      <c r="G211" s="14">
        <v>331.75</v>
      </c>
      <c r="I211" s="14"/>
    </row>
    <row r="212" spans="6:9" ht="18.75" customHeight="1" x14ac:dyDescent="0.4">
      <c r="F212" s="1">
        <v>27791</v>
      </c>
      <c r="G212" s="14">
        <v>332.57</v>
      </c>
      <c r="I212" s="14"/>
    </row>
    <row r="213" spans="6:9" ht="18.75" customHeight="1" x14ac:dyDescent="0.4">
      <c r="F213" s="1">
        <v>27820</v>
      </c>
      <c r="G213" s="14">
        <v>333.5</v>
      </c>
      <c r="I213" s="14"/>
    </row>
    <row r="214" spans="6:9" ht="18.75" customHeight="1" x14ac:dyDescent="0.4">
      <c r="F214" s="1">
        <v>27851</v>
      </c>
      <c r="G214" s="14">
        <v>334.58</v>
      </c>
      <c r="I214" s="14"/>
    </row>
    <row r="215" spans="6:9" ht="18.75" customHeight="1" x14ac:dyDescent="0.4">
      <c r="F215" s="1">
        <v>27881</v>
      </c>
      <c r="G215" s="14">
        <v>334.88</v>
      </c>
      <c r="I215" s="14"/>
    </row>
    <row r="216" spans="6:9" ht="18.75" customHeight="1" x14ac:dyDescent="0.4">
      <c r="F216" s="1">
        <v>27912</v>
      </c>
      <c r="G216" s="14">
        <v>334.33</v>
      </c>
      <c r="I216" s="14"/>
    </row>
    <row r="217" spans="6:9" ht="18.75" customHeight="1" x14ac:dyDescent="0.4">
      <c r="F217" s="1">
        <v>27942</v>
      </c>
      <c r="G217" s="14">
        <v>333.05</v>
      </c>
      <c r="I217" s="14"/>
    </row>
    <row r="218" spans="6:9" ht="18.75" customHeight="1" x14ac:dyDescent="0.4">
      <c r="F218" s="1">
        <v>27973</v>
      </c>
      <c r="G218" s="14">
        <v>330.94</v>
      </c>
      <c r="I218" s="14"/>
    </row>
    <row r="219" spans="6:9" ht="18.75" customHeight="1" x14ac:dyDescent="0.4">
      <c r="F219" s="1">
        <v>28004</v>
      </c>
      <c r="G219" s="14">
        <v>329.3</v>
      </c>
      <c r="I219" s="14"/>
    </row>
    <row r="220" spans="6:9" ht="18.75" customHeight="1" x14ac:dyDescent="0.4">
      <c r="F220" s="1">
        <v>28034</v>
      </c>
      <c r="G220" s="14">
        <v>328.94</v>
      </c>
      <c r="I220" s="14"/>
    </row>
    <row r="221" spans="6:9" ht="18.75" customHeight="1" x14ac:dyDescent="0.4">
      <c r="F221" s="1">
        <v>28065</v>
      </c>
      <c r="G221" s="14">
        <v>330.31</v>
      </c>
      <c r="I221" s="14"/>
    </row>
    <row r="222" spans="6:9" ht="18.75" customHeight="1" x14ac:dyDescent="0.4">
      <c r="F222" s="1">
        <v>28095</v>
      </c>
      <c r="G222" s="14">
        <v>331.68</v>
      </c>
      <c r="I222" s="14"/>
    </row>
    <row r="223" spans="6:9" ht="18.75" customHeight="1" x14ac:dyDescent="0.4">
      <c r="F223" s="1">
        <v>28126</v>
      </c>
      <c r="G223" s="14">
        <v>332.93</v>
      </c>
      <c r="I223" s="14"/>
    </row>
    <row r="224" spans="6:9" ht="18.75" customHeight="1" x14ac:dyDescent="0.4">
      <c r="F224" s="1">
        <v>28157</v>
      </c>
      <c r="G224" s="14">
        <v>333.42</v>
      </c>
      <c r="I224" s="14"/>
    </row>
    <row r="225" spans="6:9" ht="18.75" customHeight="1" x14ac:dyDescent="0.4">
      <c r="F225" s="1">
        <v>28185</v>
      </c>
      <c r="G225" s="14">
        <v>334.7</v>
      </c>
      <c r="I225" s="14"/>
    </row>
    <row r="226" spans="6:9" ht="18.75" customHeight="1" x14ac:dyDescent="0.4">
      <c r="F226" s="1">
        <v>28216</v>
      </c>
      <c r="G226" s="14">
        <v>336.07</v>
      </c>
      <c r="I226" s="14"/>
    </row>
    <row r="227" spans="6:9" ht="18.75" customHeight="1" x14ac:dyDescent="0.4">
      <c r="F227" s="1">
        <v>28246</v>
      </c>
      <c r="G227" s="14">
        <v>336.75</v>
      </c>
      <c r="I227" s="14"/>
    </row>
    <row r="228" spans="6:9" ht="18.75" customHeight="1" x14ac:dyDescent="0.4">
      <c r="F228" s="1">
        <v>28277</v>
      </c>
      <c r="G228" s="14">
        <v>336.27</v>
      </c>
      <c r="I228" s="14"/>
    </row>
    <row r="229" spans="6:9" ht="18.75" customHeight="1" x14ac:dyDescent="0.4">
      <c r="F229" s="1">
        <v>28307</v>
      </c>
      <c r="G229" s="14">
        <v>334.92</v>
      </c>
      <c r="I229" s="14"/>
    </row>
    <row r="230" spans="6:9" ht="18.75" customHeight="1" x14ac:dyDescent="0.4">
      <c r="F230" s="1">
        <v>28338</v>
      </c>
      <c r="G230" s="14">
        <v>332.75</v>
      </c>
      <c r="I230" s="14"/>
    </row>
    <row r="231" spans="6:9" ht="18.75" customHeight="1" x14ac:dyDescent="0.4">
      <c r="F231" s="1">
        <v>28369</v>
      </c>
      <c r="G231" s="14">
        <v>331.59</v>
      </c>
      <c r="I231" s="14"/>
    </row>
    <row r="232" spans="6:9" ht="18.75" customHeight="1" x14ac:dyDescent="0.4">
      <c r="F232" s="1">
        <v>28399</v>
      </c>
      <c r="G232" s="14">
        <v>331.16</v>
      </c>
      <c r="I232" s="14"/>
    </row>
    <row r="233" spans="6:9" ht="18.75" customHeight="1" x14ac:dyDescent="0.4">
      <c r="F233" s="1">
        <v>28430</v>
      </c>
      <c r="G233" s="14">
        <v>332.4</v>
      </c>
      <c r="I233" s="14"/>
    </row>
    <row r="234" spans="6:9" ht="18.75" customHeight="1" x14ac:dyDescent="0.4">
      <c r="F234" s="1">
        <v>28460</v>
      </c>
      <c r="G234" s="14">
        <v>333.85</v>
      </c>
      <c r="I234" s="14"/>
    </row>
    <row r="235" spans="6:9" ht="18.75" customHeight="1" x14ac:dyDescent="0.4">
      <c r="F235" s="1">
        <v>28491</v>
      </c>
      <c r="G235" s="14">
        <v>334.97</v>
      </c>
      <c r="I235" s="14"/>
    </row>
    <row r="236" spans="6:9" ht="18.75" customHeight="1" x14ac:dyDescent="0.4">
      <c r="F236" s="1">
        <v>28522</v>
      </c>
      <c r="G236" s="14">
        <v>335.39</v>
      </c>
      <c r="I236" s="14"/>
    </row>
    <row r="237" spans="6:9" ht="18.75" customHeight="1" x14ac:dyDescent="0.4">
      <c r="F237" s="1">
        <v>28550</v>
      </c>
      <c r="G237" s="14">
        <v>336.64</v>
      </c>
      <c r="I237" s="14"/>
    </row>
    <row r="238" spans="6:9" ht="18.75" customHeight="1" x14ac:dyDescent="0.4">
      <c r="F238" s="1">
        <v>28581</v>
      </c>
      <c r="G238" s="14">
        <v>337.76</v>
      </c>
      <c r="I238" s="14"/>
    </row>
    <row r="239" spans="6:9" ht="18.75" customHeight="1" x14ac:dyDescent="0.4">
      <c r="F239" s="1">
        <v>28611</v>
      </c>
      <c r="G239" s="14">
        <v>338.01</v>
      </c>
      <c r="I239" s="14"/>
    </row>
    <row r="240" spans="6:9" ht="18.75" customHeight="1" x14ac:dyDescent="0.4">
      <c r="F240" s="1">
        <v>28642</v>
      </c>
      <c r="G240" s="14">
        <v>337.9</v>
      </c>
      <c r="I240" s="14"/>
    </row>
    <row r="241" spans="6:9" ht="18.75" customHeight="1" x14ac:dyDescent="0.4">
      <c r="F241" s="1">
        <v>28672</v>
      </c>
      <c r="G241" s="14">
        <v>336.54</v>
      </c>
      <c r="I241" s="14"/>
    </row>
    <row r="242" spans="6:9" ht="18.75" customHeight="1" x14ac:dyDescent="0.4">
      <c r="F242" s="1">
        <v>28703</v>
      </c>
      <c r="G242" s="14">
        <v>334.68</v>
      </c>
      <c r="I242" s="14"/>
    </row>
    <row r="243" spans="6:9" ht="18.75" customHeight="1" x14ac:dyDescent="0.4">
      <c r="F243" s="1">
        <v>28734</v>
      </c>
      <c r="G243" s="14">
        <v>332.76</v>
      </c>
      <c r="I243" s="14"/>
    </row>
    <row r="244" spans="6:9" ht="18.75" customHeight="1" x14ac:dyDescent="0.4">
      <c r="F244" s="1">
        <v>28764</v>
      </c>
      <c r="G244" s="14">
        <v>332.55</v>
      </c>
      <c r="I244" s="14"/>
    </row>
    <row r="245" spans="6:9" ht="18.75" customHeight="1" x14ac:dyDescent="0.4">
      <c r="F245" s="1">
        <v>28795</v>
      </c>
      <c r="G245" s="14">
        <v>333.92</v>
      </c>
      <c r="I245" s="14"/>
    </row>
    <row r="246" spans="6:9" ht="18.75" customHeight="1" x14ac:dyDescent="0.4">
      <c r="F246" s="1">
        <v>28825</v>
      </c>
      <c r="G246" s="14">
        <v>334.95</v>
      </c>
      <c r="I246" s="14"/>
    </row>
    <row r="247" spans="6:9" ht="18.75" customHeight="1" x14ac:dyDescent="0.4">
      <c r="F247" s="1">
        <v>28856</v>
      </c>
      <c r="G247" s="14">
        <v>336.23</v>
      </c>
      <c r="I247" s="14"/>
    </row>
    <row r="248" spans="6:9" ht="18.75" customHeight="1" x14ac:dyDescent="0.4">
      <c r="F248" s="1">
        <v>28887</v>
      </c>
      <c r="G248" s="14">
        <v>336.76</v>
      </c>
      <c r="I248" s="14"/>
    </row>
    <row r="249" spans="6:9" ht="18.75" customHeight="1" x14ac:dyDescent="0.4">
      <c r="F249" s="1">
        <v>28915</v>
      </c>
      <c r="G249" s="14">
        <v>337.96</v>
      </c>
      <c r="I249" s="14"/>
    </row>
    <row r="250" spans="6:9" ht="18.75" customHeight="1" x14ac:dyDescent="0.4">
      <c r="F250" s="1">
        <v>28946</v>
      </c>
      <c r="G250" s="14">
        <v>338.88</v>
      </c>
      <c r="I250" s="14"/>
    </row>
    <row r="251" spans="6:9" ht="18.75" customHeight="1" x14ac:dyDescent="0.4">
      <c r="F251" s="1">
        <v>28976</v>
      </c>
      <c r="G251" s="14">
        <v>339.47</v>
      </c>
      <c r="I251" s="14"/>
    </row>
    <row r="252" spans="6:9" ht="18.75" customHeight="1" x14ac:dyDescent="0.4">
      <c r="F252" s="1">
        <v>29007</v>
      </c>
      <c r="G252" s="14">
        <v>339.29</v>
      </c>
      <c r="I252" s="14"/>
    </row>
    <row r="253" spans="6:9" ht="18.75" customHeight="1" x14ac:dyDescent="0.4">
      <c r="F253" s="1">
        <v>29037</v>
      </c>
      <c r="G253" s="14">
        <v>337.73</v>
      </c>
      <c r="I253" s="14"/>
    </row>
    <row r="254" spans="6:9" ht="18.75" customHeight="1" x14ac:dyDescent="0.4">
      <c r="F254" s="1">
        <v>29068</v>
      </c>
      <c r="G254" s="14">
        <v>336.09</v>
      </c>
      <c r="I254" s="14"/>
    </row>
    <row r="255" spans="6:9" ht="18.75" customHeight="1" x14ac:dyDescent="0.4">
      <c r="F255" s="1">
        <v>29099</v>
      </c>
      <c r="G255" s="14">
        <v>333.92</v>
      </c>
      <c r="I255" s="14"/>
    </row>
    <row r="256" spans="6:9" ht="18.75" customHeight="1" x14ac:dyDescent="0.4">
      <c r="F256" s="1">
        <v>29129</v>
      </c>
      <c r="G256" s="14">
        <v>333.86</v>
      </c>
      <c r="I256" s="14"/>
    </row>
    <row r="257" spans="6:9" ht="18.75" customHeight="1" x14ac:dyDescent="0.4">
      <c r="F257" s="1">
        <v>29160</v>
      </c>
      <c r="G257" s="14">
        <v>335.29</v>
      </c>
      <c r="I257" s="14"/>
    </row>
    <row r="258" spans="6:9" ht="18.75" customHeight="1" x14ac:dyDescent="0.4">
      <c r="F258" s="1">
        <v>29190</v>
      </c>
      <c r="G258" s="14">
        <v>336.73</v>
      </c>
      <c r="I258" s="14"/>
    </row>
    <row r="259" spans="6:9" ht="18.75" customHeight="1" x14ac:dyDescent="0.4">
      <c r="F259" s="1">
        <v>29221</v>
      </c>
      <c r="G259" s="14">
        <v>338.01</v>
      </c>
      <c r="I259" s="14"/>
    </row>
    <row r="260" spans="6:9" ht="18.75" customHeight="1" x14ac:dyDescent="0.4">
      <c r="F260" s="1">
        <v>29252</v>
      </c>
      <c r="G260" s="14">
        <v>338.36</v>
      </c>
      <c r="I260" s="14"/>
    </row>
    <row r="261" spans="6:9" ht="18.75" customHeight="1" x14ac:dyDescent="0.4">
      <c r="F261" s="1">
        <v>29281</v>
      </c>
      <c r="G261" s="14">
        <v>340.07</v>
      </c>
      <c r="I261" s="14"/>
    </row>
    <row r="262" spans="6:9" ht="18.75" customHeight="1" x14ac:dyDescent="0.4">
      <c r="F262" s="1">
        <v>29312</v>
      </c>
      <c r="G262" s="14">
        <v>340.76</v>
      </c>
      <c r="I262" s="14"/>
    </row>
    <row r="263" spans="6:9" ht="18.75" customHeight="1" x14ac:dyDescent="0.4">
      <c r="F263" s="1">
        <v>29342</v>
      </c>
      <c r="G263" s="14">
        <v>341.47</v>
      </c>
      <c r="I263" s="14"/>
    </row>
    <row r="264" spans="6:9" ht="18.75" customHeight="1" x14ac:dyDescent="0.4">
      <c r="F264" s="1">
        <v>29373</v>
      </c>
      <c r="G264" s="14">
        <v>341.17</v>
      </c>
      <c r="I264" s="14"/>
    </row>
    <row r="265" spans="6:9" ht="18.75" customHeight="1" x14ac:dyDescent="0.4">
      <c r="F265" s="1">
        <v>29403</v>
      </c>
      <c r="G265" s="14">
        <v>339.56</v>
      </c>
      <c r="I265" s="14"/>
    </row>
    <row r="266" spans="6:9" ht="18.75" customHeight="1" x14ac:dyDescent="0.4">
      <c r="F266" s="1">
        <v>29434</v>
      </c>
      <c r="G266" s="14">
        <v>337.6</v>
      </c>
      <c r="I266" s="14"/>
    </row>
    <row r="267" spans="6:9" ht="18.75" customHeight="1" x14ac:dyDescent="0.4">
      <c r="F267" s="1">
        <v>29465</v>
      </c>
      <c r="G267" s="14">
        <v>335.88</v>
      </c>
      <c r="I267" s="14"/>
    </row>
    <row r="268" spans="6:9" ht="18.75" customHeight="1" x14ac:dyDescent="0.4">
      <c r="F268" s="1">
        <v>29495</v>
      </c>
      <c r="G268" s="14">
        <v>336.02</v>
      </c>
      <c r="I268" s="14"/>
    </row>
    <row r="269" spans="6:9" ht="18.75" customHeight="1" x14ac:dyDescent="0.4">
      <c r="F269" s="1">
        <v>29526</v>
      </c>
      <c r="G269" s="14">
        <v>337.1</v>
      </c>
      <c r="I269" s="14"/>
    </row>
    <row r="270" spans="6:9" ht="18.75" customHeight="1" x14ac:dyDescent="0.4">
      <c r="F270" s="1">
        <v>29556</v>
      </c>
      <c r="G270" s="14">
        <v>338.21</v>
      </c>
      <c r="I270" s="14"/>
    </row>
    <row r="271" spans="6:9" ht="18.75" customHeight="1" x14ac:dyDescent="0.4">
      <c r="F271" s="1">
        <v>29587</v>
      </c>
      <c r="G271" s="14">
        <v>339.24</v>
      </c>
      <c r="I271" s="14"/>
    </row>
    <row r="272" spans="6:9" ht="18.75" customHeight="1" x14ac:dyDescent="0.4">
      <c r="F272" s="1">
        <v>29618</v>
      </c>
      <c r="G272" s="14">
        <v>340.48</v>
      </c>
      <c r="I272" s="14"/>
    </row>
    <row r="273" spans="6:9" ht="18.75" customHeight="1" x14ac:dyDescent="0.4">
      <c r="F273" s="1">
        <v>29646</v>
      </c>
      <c r="G273" s="14">
        <v>341.38</v>
      </c>
      <c r="I273" s="14"/>
    </row>
    <row r="274" spans="6:9" ht="18.75" customHeight="1" x14ac:dyDescent="0.4">
      <c r="F274" s="1">
        <v>29677</v>
      </c>
      <c r="G274" s="14">
        <v>342.5</v>
      </c>
      <c r="I274" s="14"/>
    </row>
    <row r="275" spans="6:9" ht="18.75" customHeight="1" x14ac:dyDescent="0.4">
      <c r="F275" s="1">
        <v>29707</v>
      </c>
      <c r="G275" s="14">
        <v>342.91</v>
      </c>
      <c r="I275" s="14"/>
    </row>
    <row r="276" spans="6:9" ht="18.75" customHeight="1" x14ac:dyDescent="0.4">
      <c r="F276" s="1">
        <v>29738</v>
      </c>
      <c r="G276" s="14">
        <v>342.25</v>
      </c>
      <c r="I276" s="14"/>
    </row>
    <row r="277" spans="6:9" ht="18.75" customHeight="1" x14ac:dyDescent="0.4">
      <c r="F277" s="1">
        <v>29768</v>
      </c>
      <c r="G277" s="14">
        <v>340.49</v>
      </c>
      <c r="I277" s="14"/>
    </row>
    <row r="278" spans="6:9" ht="18.75" customHeight="1" x14ac:dyDescent="0.4">
      <c r="F278" s="1">
        <v>29799</v>
      </c>
      <c r="G278" s="14">
        <v>338.43</v>
      </c>
      <c r="I278" s="14"/>
    </row>
    <row r="279" spans="6:9" ht="18.75" customHeight="1" x14ac:dyDescent="0.4">
      <c r="F279" s="1">
        <v>29830</v>
      </c>
      <c r="G279" s="14">
        <v>336.69</v>
      </c>
      <c r="I279" s="14"/>
    </row>
    <row r="280" spans="6:9" ht="18.75" customHeight="1" x14ac:dyDescent="0.4">
      <c r="F280" s="1">
        <v>29860</v>
      </c>
      <c r="G280" s="14">
        <v>336.86</v>
      </c>
      <c r="I280" s="14"/>
    </row>
    <row r="281" spans="6:9" ht="18.75" customHeight="1" x14ac:dyDescent="0.4">
      <c r="F281" s="1">
        <v>29891</v>
      </c>
      <c r="G281" s="14">
        <v>338.36</v>
      </c>
      <c r="I281" s="14"/>
    </row>
    <row r="282" spans="6:9" ht="18.75" customHeight="1" x14ac:dyDescent="0.4">
      <c r="F282" s="1">
        <v>29921</v>
      </c>
      <c r="G282" s="14">
        <v>339.61</v>
      </c>
      <c r="I282" s="14"/>
    </row>
    <row r="283" spans="6:9" ht="18.75" customHeight="1" x14ac:dyDescent="0.4">
      <c r="F283" s="1">
        <v>29952</v>
      </c>
      <c r="G283" s="14">
        <v>340.75</v>
      </c>
      <c r="I283" s="14"/>
    </row>
    <row r="284" spans="6:9" ht="18.75" customHeight="1" x14ac:dyDescent="0.4">
      <c r="F284" s="1">
        <v>29983</v>
      </c>
      <c r="G284" s="14">
        <v>341.61</v>
      </c>
      <c r="I284" s="14"/>
    </row>
    <row r="285" spans="6:9" ht="18.75" customHeight="1" x14ac:dyDescent="0.4">
      <c r="F285" s="1">
        <v>30011</v>
      </c>
      <c r="G285" s="14">
        <v>342.7</v>
      </c>
      <c r="I285" s="14"/>
    </row>
    <row r="286" spans="6:9" ht="18.75" customHeight="1" x14ac:dyDescent="0.4">
      <c r="F286" s="1">
        <v>30042</v>
      </c>
      <c r="G286" s="14">
        <v>343.57</v>
      </c>
      <c r="I286" s="14"/>
    </row>
    <row r="287" spans="6:9" ht="18.75" customHeight="1" x14ac:dyDescent="0.4">
      <c r="F287" s="1">
        <v>30072</v>
      </c>
      <c r="G287" s="14">
        <v>344.14</v>
      </c>
      <c r="I287" s="14"/>
    </row>
    <row r="288" spans="6:9" ht="18.75" customHeight="1" x14ac:dyDescent="0.4">
      <c r="F288" s="1">
        <v>30103</v>
      </c>
      <c r="G288" s="14">
        <v>343.35</v>
      </c>
      <c r="I288" s="14"/>
    </row>
    <row r="289" spans="6:9" ht="18.75" customHeight="1" x14ac:dyDescent="0.4">
      <c r="F289" s="1">
        <v>30133</v>
      </c>
      <c r="G289" s="14">
        <v>342.06</v>
      </c>
      <c r="I289" s="14"/>
    </row>
    <row r="290" spans="6:9" ht="18.75" customHeight="1" x14ac:dyDescent="0.4">
      <c r="F290" s="1">
        <v>30164</v>
      </c>
      <c r="G290" s="14">
        <v>339.81</v>
      </c>
      <c r="I290" s="14"/>
    </row>
    <row r="291" spans="6:9" ht="18.75" customHeight="1" x14ac:dyDescent="0.4">
      <c r="F291" s="1">
        <v>30195</v>
      </c>
      <c r="G291" s="14">
        <v>337.98</v>
      </c>
      <c r="I291" s="14"/>
    </row>
    <row r="292" spans="6:9" ht="18.75" customHeight="1" x14ac:dyDescent="0.4">
      <c r="F292" s="1">
        <v>30225</v>
      </c>
      <c r="G292" s="14">
        <v>337.86</v>
      </c>
      <c r="I292" s="14"/>
    </row>
    <row r="293" spans="6:9" ht="18.75" customHeight="1" x14ac:dyDescent="0.4">
      <c r="F293" s="1">
        <v>30256</v>
      </c>
      <c r="G293" s="14">
        <v>339.26</v>
      </c>
      <c r="I293" s="14"/>
    </row>
    <row r="294" spans="6:9" ht="18.75" customHeight="1" x14ac:dyDescent="0.4">
      <c r="F294" s="1">
        <v>30286</v>
      </c>
      <c r="G294" s="14">
        <v>340.49</v>
      </c>
      <c r="I294" s="14"/>
    </row>
    <row r="295" spans="6:9" ht="18.75" customHeight="1" x14ac:dyDescent="0.4">
      <c r="F295" s="1">
        <v>30317</v>
      </c>
      <c r="G295" s="14">
        <v>341.38</v>
      </c>
      <c r="I295" s="14"/>
    </row>
    <row r="296" spans="6:9" ht="18.75" customHeight="1" x14ac:dyDescent="0.4">
      <c r="F296" s="1">
        <v>30348</v>
      </c>
      <c r="G296" s="14">
        <v>342.52</v>
      </c>
      <c r="I296" s="14"/>
    </row>
    <row r="297" spans="6:9" ht="18.75" customHeight="1" x14ac:dyDescent="0.4">
      <c r="F297" s="1">
        <v>30376</v>
      </c>
      <c r="G297" s="14">
        <v>343.1</v>
      </c>
      <c r="I297" s="14"/>
    </row>
    <row r="298" spans="6:9" ht="18.75" customHeight="1" x14ac:dyDescent="0.4">
      <c r="F298" s="1">
        <v>30407</v>
      </c>
      <c r="G298" s="14">
        <v>344.94</v>
      </c>
      <c r="I298" s="14"/>
    </row>
    <row r="299" spans="6:9" ht="18.75" customHeight="1" x14ac:dyDescent="0.4">
      <c r="F299" s="1">
        <v>30437</v>
      </c>
      <c r="G299" s="14">
        <v>345.76</v>
      </c>
      <c r="I299" s="14"/>
    </row>
    <row r="300" spans="6:9" ht="18.75" customHeight="1" x14ac:dyDescent="0.4">
      <c r="F300" s="1">
        <v>30468</v>
      </c>
      <c r="G300" s="14">
        <v>345.32</v>
      </c>
      <c r="I300" s="14"/>
    </row>
    <row r="301" spans="6:9" ht="18.75" customHeight="1" x14ac:dyDescent="0.4">
      <c r="F301" s="1">
        <v>30498</v>
      </c>
      <c r="G301" s="14">
        <v>343.98</v>
      </c>
      <c r="I301" s="14"/>
    </row>
    <row r="302" spans="6:9" ht="18.75" customHeight="1" x14ac:dyDescent="0.4">
      <c r="F302" s="1">
        <v>30529</v>
      </c>
      <c r="G302" s="14">
        <v>342.38</v>
      </c>
      <c r="I302" s="14"/>
    </row>
    <row r="303" spans="6:9" ht="18.75" customHeight="1" x14ac:dyDescent="0.4">
      <c r="F303" s="1">
        <v>30560</v>
      </c>
      <c r="G303" s="14">
        <v>339.87</v>
      </c>
      <c r="I303" s="14"/>
    </row>
    <row r="304" spans="6:9" ht="18.75" customHeight="1" x14ac:dyDescent="0.4">
      <c r="F304" s="1">
        <v>30590</v>
      </c>
      <c r="G304" s="14">
        <v>339.99</v>
      </c>
      <c r="I304" s="14"/>
    </row>
    <row r="305" spans="6:9" ht="18.75" customHeight="1" x14ac:dyDescent="0.4">
      <c r="F305" s="1">
        <v>30621</v>
      </c>
      <c r="G305" s="14">
        <v>341.15</v>
      </c>
      <c r="I305" s="14"/>
    </row>
    <row r="306" spans="6:9" ht="18.75" customHeight="1" x14ac:dyDescent="0.4">
      <c r="F306" s="1">
        <v>30651</v>
      </c>
      <c r="G306" s="14">
        <v>342.99</v>
      </c>
      <c r="I306" s="14"/>
    </row>
    <row r="307" spans="6:9" ht="18.75" customHeight="1" x14ac:dyDescent="0.4">
      <c r="F307" s="1">
        <v>30682</v>
      </c>
      <c r="G307" s="14">
        <v>343.7</v>
      </c>
      <c r="I307" s="14"/>
    </row>
    <row r="308" spans="6:9" ht="18.75" customHeight="1" x14ac:dyDescent="0.4">
      <c r="F308" s="1">
        <v>30713</v>
      </c>
      <c r="G308" s="14">
        <v>344.5</v>
      </c>
      <c r="I308" s="14"/>
    </row>
    <row r="309" spans="6:9" ht="18.75" customHeight="1" x14ac:dyDescent="0.4">
      <c r="F309" s="1">
        <v>30742</v>
      </c>
      <c r="G309" s="14">
        <v>345.28</v>
      </c>
      <c r="I309" s="14"/>
    </row>
    <row r="310" spans="6:9" ht="18.75" customHeight="1" x14ac:dyDescent="0.4">
      <c r="F310" s="1">
        <v>30773</v>
      </c>
      <c r="G310" s="14">
        <v>347.05</v>
      </c>
      <c r="I310" s="14"/>
    </row>
    <row r="311" spans="6:9" ht="18.75" customHeight="1" x14ac:dyDescent="0.4">
      <c r="F311" s="1">
        <v>30803</v>
      </c>
      <c r="G311" s="14">
        <v>347.43</v>
      </c>
      <c r="I311" s="14"/>
    </row>
    <row r="312" spans="6:9" ht="18.75" customHeight="1" x14ac:dyDescent="0.4">
      <c r="F312" s="1">
        <v>30834</v>
      </c>
      <c r="G312" s="14">
        <v>346.8</v>
      </c>
      <c r="I312" s="14"/>
    </row>
    <row r="313" spans="6:9" ht="18.75" customHeight="1" x14ac:dyDescent="0.4">
      <c r="F313" s="1">
        <v>30864</v>
      </c>
      <c r="G313" s="14">
        <v>345.39</v>
      </c>
      <c r="I313" s="14"/>
    </row>
    <row r="314" spans="6:9" ht="18.75" customHeight="1" x14ac:dyDescent="0.4">
      <c r="F314" s="1">
        <v>30895</v>
      </c>
      <c r="G314" s="14">
        <v>343.28</v>
      </c>
      <c r="I314" s="14"/>
    </row>
    <row r="315" spans="6:9" ht="18.75" customHeight="1" x14ac:dyDescent="0.4">
      <c r="F315" s="1">
        <v>30926</v>
      </c>
      <c r="G315" s="14">
        <v>341.07</v>
      </c>
      <c r="I315" s="14"/>
    </row>
    <row r="316" spans="6:9" ht="18.75" customHeight="1" x14ac:dyDescent="0.4">
      <c r="F316" s="1">
        <v>30956</v>
      </c>
      <c r="G316" s="14">
        <v>341.35</v>
      </c>
      <c r="I316" s="14"/>
    </row>
    <row r="317" spans="6:9" ht="18.75" customHeight="1" x14ac:dyDescent="0.4">
      <c r="F317" s="1">
        <v>30987</v>
      </c>
      <c r="G317" s="14">
        <v>342.98</v>
      </c>
      <c r="I317" s="14"/>
    </row>
    <row r="318" spans="6:9" ht="18.75" customHeight="1" x14ac:dyDescent="0.4">
      <c r="F318" s="1">
        <v>31017</v>
      </c>
      <c r="G318" s="14">
        <v>344.22</v>
      </c>
      <c r="I318" s="14"/>
    </row>
    <row r="319" spans="6:9" ht="18.75" customHeight="1" x14ac:dyDescent="0.4">
      <c r="F319" s="1">
        <v>31048</v>
      </c>
      <c r="G319" s="14">
        <v>344.97</v>
      </c>
      <c r="I319" s="14"/>
    </row>
    <row r="320" spans="6:9" ht="18.75" customHeight="1" x14ac:dyDescent="0.4">
      <c r="F320" s="1">
        <v>31079</v>
      </c>
      <c r="G320" s="14">
        <v>345.99</v>
      </c>
      <c r="I320" s="14"/>
    </row>
    <row r="321" spans="6:9" ht="18.75" customHeight="1" x14ac:dyDescent="0.4">
      <c r="F321" s="1">
        <v>31107</v>
      </c>
      <c r="G321" s="14">
        <v>347.42</v>
      </c>
      <c r="I321" s="14"/>
    </row>
    <row r="322" spans="6:9" ht="18.75" customHeight="1" x14ac:dyDescent="0.4">
      <c r="F322" s="1">
        <v>31138</v>
      </c>
      <c r="G322" s="14">
        <v>348.35</v>
      </c>
      <c r="I322" s="14"/>
    </row>
    <row r="323" spans="6:9" ht="18.75" customHeight="1" x14ac:dyDescent="0.4">
      <c r="F323" s="1">
        <v>31168</v>
      </c>
      <c r="G323" s="14">
        <v>348.93</v>
      </c>
      <c r="I323" s="14"/>
    </row>
    <row r="324" spans="6:9" ht="18.75" customHeight="1" x14ac:dyDescent="0.4">
      <c r="F324" s="1">
        <v>31199</v>
      </c>
      <c r="G324" s="14">
        <v>348.25</v>
      </c>
      <c r="I324" s="14"/>
    </row>
    <row r="325" spans="6:9" ht="18.75" customHeight="1" x14ac:dyDescent="0.4">
      <c r="F325" s="1">
        <v>31229</v>
      </c>
      <c r="G325" s="14">
        <v>346.56</v>
      </c>
      <c r="I325" s="14"/>
    </row>
    <row r="326" spans="6:9" ht="18.75" customHeight="1" x14ac:dyDescent="0.4">
      <c r="F326" s="1">
        <v>31260</v>
      </c>
      <c r="G326" s="14">
        <v>344.67</v>
      </c>
      <c r="I326" s="14"/>
    </row>
    <row r="327" spans="6:9" ht="18.75" customHeight="1" x14ac:dyDescent="0.4">
      <c r="F327" s="1">
        <v>31291</v>
      </c>
      <c r="G327" s="14">
        <v>343.09</v>
      </c>
      <c r="I327" s="14"/>
    </row>
    <row r="328" spans="6:9" ht="18.75" customHeight="1" x14ac:dyDescent="0.4">
      <c r="F328" s="1">
        <v>31321</v>
      </c>
      <c r="G328" s="14">
        <v>342.8</v>
      </c>
      <c r="I328" s="14"/>
    </row>
    <row r="329" spans="6:9" ht="18.75" customHeight="1" x14ac:dyDescent="0.4">
      <c r="F329" s="1">
        <v>31352</v>
      </c>
      <c r="G329" s="14">
        <v>344.24</v>
      </c>
      <c r="I329" s="14"/>
    </row>
    <row r="330" spans="6:9" ht="18.75" customHeight="1" x14ac:dyDescent="0.4">
      <c r="F330" s="1">
        <v>31382</v>
      </c>
      <c r="G330" s="14">
        <v>345.56</v>
      </c>
      <c r="I330" s="14"/>
    </row>
    <row r="331" spans="6:9" ht="18.75" customHeight="1" x14ac:dyDescent="0.4">
      <c r="F331" s="1">
        <v>31413</v>
      </c>
      <c r="G331" s="14">
        <v>346.3</v>
      </c>
      <c r="I331" s="14"/>
    </row>
    <row r="332" spans="6:9" ht="18.75" customHeight="1" x14ac:dyDescent="0.4">
      <c r="F332" s="1">
        <v>31444</v>
      </c>
      <c r="G332" s="14">
        <v>346.95</v>
      </c>
      <c r="I332" s="14"/>
    </row>
    <row r="333" spans="6:9" ht="18.75" customHeight="1" x14ac:dyDescent="0.4">
      <c r="F333" s="1">
        <v>31472</v>
      </c>
      <c r="G333" s="14">
        <v>347.85</v>
      </c>
      <c r="I333" s="14"/>
    </row>
    <row r="334" spans="6:9" ht="18.75" customHeight="1" x14ac:dyDescent="0.4">
      <c r="F334" s="1">
        <v>31503</v>
      </c>
      <c r="G334" s="14">
        <v>349.55</v>
      </c>
      <c r="I334" s="14"/>
    </row>
    <row r="335" spans="6:9" ht="18.75" customHeight="1" x14ac:dyDescent="0.4">
      <c r="F335" s="1">
        <v>31533</v>
      </c>
      <c r="G335" s="14">
        <v>350.22</v>
      </c>
      <c r="I335" s="14"/>
    </row>
    <row r="336" spans="6:9" ht="18.75" customHeight="1" x14ac:dyDescent="0.4">
      <c r="F336" s="1">
        <v>31564</v>
      </c>
      <c r="G336" s="14">
        <v>349.55</v>
      </c>
      <c r="I336" s="14"/>
    </row>
    <row r="337" spans="6:9" ht="18.75" customHeight="1" x14ac:dyDescent="0.4">
      <c r="F337" s="1">
        <v>31594</v>
      </c>
      <c r="G337" s="14">
        <v>347.94</v>
      </c>
      <c r="I337" s="14"/>
    </row>
    <row r="338" spans="6:9" ht="18.75" customHeight="1" x14ac:dyDescent="0.4">
      <c r="F338" s="1">
        <v>31625</v>
      </c>
      <c r="G338" s="14">
        <v>345.9</v>
      </c>
      <c r="I338" s="14"/>
    </row>
    <row r="339" spans="6:9" ht="18.75" customHeight="1" x14ac:dyDescent="0.4">
      <c r="F339" s="1">
        <v>31656</v>
      </c>
      <c r="G339" s="14">
        <v>344.85</v>
      </c>
      <c r="I339" s="14"/>
    </row>
    <row r="340" spans="6:9" ht="18.75" customHeight="1" x14ac:dyDescent="0.4">
      <c r="F340" s="1">
        <v>31686</v>
      </c>
      <c r="G340" s="14">
        <v>344.17</v>
      </c>
      <c r="I340" s="14"/>
    </row>
    <row r="341" spans="6:9" ht="18.75" customHeight="1" x14ac:dyDescent="0.4">
      <c r="F341" s="1">
        <v>31717</v>
      </c>
      <c r="G341" s="14">
        <v>345.66</v>
      </c>
      <c r="I341" s="14"/>
    </row>
    <row r="342" spans="6:9" ht="18.75" customHeight="1" x14ac:dyDescent="0.4">
      <c r="F342" s="1">
        <v>31747</v>
      </c>
      <c r="G342" s="14">
        <v>346.9</v>
      </c>
      <c r="I342" s="14"/>
    </row>
    <row r="343" spans="6:9" ht="18.75" customHeight="1" x14ac:dyDescent="0.4">
      <c r="F343" s="1">
        <v>31778</v>
      </c>
      <c r="G343" s="14">
        <v>348.02</v>
      </c>
      <c r="I343" s="14"/>
    </row>
    <row r="344" spans="6:9" ht="18.75" customHeight="1" x14ac:dyDescent="0.4">
      <c r="F344" s="1">
        <v>31809</v>
      </c>
      <c r="G344" s="14">
        <v>348.48</v>
      </c>
      <c r="I344" s="14"/>
    </row>
    <row r="345" spans="6:9" ht="18.75" customHeight="1" x14ac:dyDescent="0.4">
      <c r="F345" s="1">
        <v>31837</v>
      </c>
      <c r="G345" s="14">
        <v>349.42</v>
      </c>
      <c r="I345" s="14"/>
    </row>
    <row r="346" spans="6:9" ht="18.75" customHeight="1" x14ac:dyDescent="0.4">
      <c r="F346" s="1">
        <v>31868</v>
      </c>
      <c r="G346" s="14">
        <v>350.98</v>
      </c>
      <c r="I346" s="14"/>
    </row>
    <row r="347" spans="6:9" ht="18.75" customHeight="1" x14ac:dyDescent="0.4">
      <c r="F347" s="1">
        <v>31898</v>
      </c>
      <c r="G347" s="14">
        <v>351.85</v>
      </c>
      <c r="I347" s="14"/>
    </row>
    <row r="348" spans="6:9" ht="18.75" customHeight="1" x14ac:dyDescent="0.4">
      <c r="F348" s="1">
        <v>31929</v>
      </c>
      <c r="G348" s="14">
        <v>351.26</v>
      </c>
      <c r="I348" s="14"/>
    </row>
    <row r="349" spans="6:9" ht="18.75" customHeight="1" x14ac:dyDescent="0.4">
      <c r="F349" s="1">
        <v>31959</v>
      </c>
      <c r="G349" s="14">
        <v>349.51</v>
      </c>
      <c r="I349" s="14"/>
    </row>
    <row r="350" spans="6:9" ht="18.75" customHeight="1" x14ac:dyDescent="0.4">
      <c r="F350" s="1">
        <v>31990</v>
      </c>
      <c r="G350" s="14">
        <v>348.1</v>
      </c>
      <c r="I350" s="14"/>
    </row>
    <row r="351" spans="6:9" ht="18.75" customHeight="1" x14ac:dyDescent="0.4">
      <c r="F351" s="1">
        <v>32021</v>
      </c>
      <c r="G351" s="14">
        <v>346.45</v>
      </c>
      <c r="I351" s="14"/>
    </row>
    <row r="352" spans="6:9" ht="18.75" customHeight="1" x14ac:dyDescent="0.4">
      <c r="F352" s="1">
        <v>32051</v>
      </c>
      <c r="G352" s="14">
        <v>346.36</v>
      </c>
      <c r="I352" s="14"/>
    </row>
    <row r="353" spans="6:9" ht="18.75" customHeight="1" x14ac:dyDescent="0.4">
      <c r="F353" s="1">
        <v>32082</v>
      </c>
      <c r="G353" s="14">
        <v>347.81</v>
      </c>
      <c r="I353" s="14"/>
    </row>
    <row r="354" spans="6:9" ht="18.75" customHeight="1" x14ac:dyDescent="0.4">
      <c r="F354" s="1">
        <v>32112</v>
      </c>
      <c r="G354" s="14">
        <v>348.96</v>
      </c>
      <c r="I354" s="14"/>
    </row>
    <row r="355" spans="6:9" ht="18.75" customHeight="1" x14ac:dyDescent="0.4">
      <c r="F355" s="1">
        <v>32143</v>
      </c>
      <c r="G355" s="14">
        <v>350.43</v>
      </c>
      <c r="I355" s="14"/>
    </row>
    <row r="356" spans="6:9" ht="18.75" customHeight="1" x14ac:dyDescent="0.4">
      <c r="F356" s="1">
        <v>32174</v>
      </c>
      <c r="G356" s="14">
        <v>351.73</v>
      </c>
      <c r="I356" s="14"/>
    </row>
    <row r="357" spans="6:9" ht="18.75" customHeight="1" x14ac:dyDescent="0.4">
      <c r="F357" s="1">
        <v>32203</v>
      </c>
      <c r="G357" s="14">
        <v>352.22</v>
      </c>
      <c r="I357" s="14"/>
    </row>
    <row r="358" spans="6:9" ht="18.75" customHeight="1" x14ac:dyDescent="0.4">
      <c r="F358" s="1">
        <v>32234</v>
      </c>
      <c r="G358" s="14">
        <v>353.59</v>
      </c>
      <c r="I358" s="14"/>
    </row>
    <row r="359" spans="6:9" ht="18.75" customHeight="1" x14ac:dyDescent="0.4">
      <c r="F359" s="1">
        <v>32264</v>
      </c>
      <c r="G359" s="14">
        <v>354.22</v>
      </c>
      <c r="I359" s="14"/>
    </row>
    <row r="360" spans="6:9" ht="18.75" customHeight="1" x14ac:dyDescent="0.4">
      <c r="F360" s="1">
        <v>32295</v>
      </c>
      <c r="G360" s="14">
        <v>353.8</v>
      </c>
      <c r="I360" s="14"/>
    </row>
    <row r="361" spans="6:9" ht="18.75" customHeight="1" x14ac:dyDescent="0.4">
      <c r="F361" s="1">
        <v>32325</v>
      </c>
      <c r="G361" s="14">
        <v>352.38</v>
      </c>
      <c r="I361" s="14"/>
    </row>
    <row r="362" spans="6:9" ht="18.75" customHeight="1" x14ac:dyDescent="0.4">
      <c r="F362" s="1">
        <v>32356</v>
      </c>
      <c r="G362" s="14">
        <v>350.43</v>
      </c>
      <c r="I362" s="14"/>
    </row>
    <row r="363" spans="6:9" ht="18.75" customHeight="1" x14ac:dyDescent="0.4">
      <c r="F363" s="1">
        <v>32387</v>
      </c>
      <c r="G363" s="14">
        <v>348.73</v>
      </c>
      <c r="I363" s="14"/>
    </row>
    <row r="364" spans="6:9" ht="18.75" customHeight="1" x14ac:dyDescent="0.4">
      <c r="F364" s="1">
        <v>32417</v>
      </c>
      <c r="G364" s="14">
        <v>348.88</v>
      </c>
      <c r="I364" s="14"/>
    </row>
    <row r="365" spans="6:9" ht="18.75" customHeight="1" x14ac:dyDescent="0.4">
      <c r="F365" s="1">
        <v>32448</v>
      </c>
      <c r="G365" s="14">
        <v>350.07</v>
      </c>
      <c r="I365" s="14"/>
    </row>
    <row r="366" spans="6:9" ht="18.75" customHeight="1" x14ac:dyDescent="0.4">
      <c r="F366" s="1">
        <v>32478</v>
      </c>
      <c r="G366" s="14">
        <v>351.34</v>
      </c>
      <c r="I366" s="14"/>
    </row>
    <row r="367" spans="6:9" ht="18.75" customHeight="1" x14ac:dyDescent="0.4">
      <c r="F367" s="1">
        <v>32509</v>
      </c>
      <c r="G367" s="14">
        <v>352.76</v>
      </c>
      <c r="I367" s="14"/>
    </row>
    <row r="368" spans="6:9" ht="18.75" customHeight="1" x14ac:dyDescent="0.4">
      <c r="F368" s="1">
        <v>32540</v>
      </c>
      <c r="G368" s="14">
        <v>353.07</v>
      </c>
      <c r="I368" s="14"/>
    </row>
    <row r="369" spans="6:9" ht="18.75" customHeight="1" x14ac:dyDescent="0.4">
      <c r="F369" s="1">
        <v>32568</v>
      </c>
      <c r="G369" s="14">
        <v>353.68</v>
      </c>
      <c r="I369" s="14"/>
    </row>
    <row r="370" spans="6:9" ht="18.75" customHeight="1" x14ac:dyDescent="0.4">
      <c r="F370" s="1">
        <v>32599</v>
      </c>
      <c r="G370" s="14">
        <v>355.42</v>
      </c>
      <c r="I370" s="14"/>
    </row>
    <row r="371" spans="6:9" ht="18.75" customHeight="1" x14ac:dyDescent="0.4">
      <c r="F371" s="1">
        <v>32629</v>
      </c>
      <c r="G371" s="14">
        <v>355.67</v>
      </c>
      <c r="I371" s="14"/>
    </row>
    <row r="372" spans="6:9" ht="18.75" customHeight="1" x14ac:dyDescent="0.4">
      <c r="F372" s="1">
        <v>32660</v>
      </c>
      <c r="G372" s="14">
        <v>355.12</v>
      </c>
      <c r="I372" s="14"/>
    </row>
    <row r="373" spans="6:9" ht="18.75" customHeight="1" x14ac:dyDescent="0.4">
      <c r="F373" s="1">
        <v>32690</v>
      </c>
      <c r="G373" s="14">
        <v>353.9</v>
      </c>
      <c r="I373" s="14"/>
    </row>
    <row r="374" spans="6:9" ht="18.75" customHeight="1" x14ac:dyDescent="0.4">
      <c r="F374" s="1">
        <v>32721</v>
      </c>
      <c r="G374" s="14">
        <v>351.67</v>
      </c>
      <c r="I374" s="14"/>
    </row>
    <row r="375" spans="6:9" ht="18.75" customHeight="1" x14ac:dyDescent="0.4">
      <c r="F375" s="1">
        <v>32752</v>
      </c>
      <c r="G375" s="14">
        <v>349.81</v>
      </c>
      <c r="I375" s="14"/>
    </row>
    <row r="376" spans="6:9" ht="18.75" customHeight="1" x14ac:dyDescent="0.4">
      <c r="F376" s="1">
        <v>32782</v>
      </c>
      <c r="G376" s="14">
        <v>349.99</v>
      </c>
      <c r="I376" s="14"/>
    </row>
    <row r="377" spans="6:9" ht="18.75" customHeight="1" x14ac:dyDescent="0.4">
      <c r="F377" s="1">
        <v>32813</v>
      </c>
      <c r="G377" s="14">
        <v>351.3</v>
      </c>
      <c r="I377" s="14"/>
    </row>
    <row r="378" spans="6:9" ht="18.75" customHeight="1" x14ac:dyDescent="0.4">
      <c r="F378" s="1">
        <v>32843</v>
      </c>
      <c r="G378" s="14">
        <v>352.52</v>
      </c>
      <c r="I378" s="14"/>
    </row>
    <row r="379" spans="6:9" ht="18.75" customHeight="1" x14ac:dyDescent="0.4">
      <c r="F379" s="1">
        <v>32874</v>
      </c>
      <c r="G379" s="14">
        <v>353.66</v>
      </c>
      <c r="I379" s="14"/>
    </row>
    <row r="380" spans="6:9" ht="18.75" customHeight="1" x14ac:dyDescent="0.4">
      <c r="F380" s="1">
        <v>32905</v>
      </c>
      <c r="G380" s="14">
        <v>354.7</v>
      </c>
      <c r="I380" s="14"/>
    </row>
    <row r="381" spans="6:9" ht="18.75" customHeight="1" x14ac:dyDescent="0.4">
      <c r="F381" s="1">
        <v>32933</v>
      </c>
      <c r="G381" s="14">
        <v>355.38</v>
      </c>
      <c r="I381" s="14"/>
    </row>
    <row r="382" spans="6:9" ht="18.75" customHeight="1" x14ac:dyDescent="0.4">
      <c r="F382" s="1">
        <v>32964</v>
      </c>
      <c r="G382" s="14">
        <v>356.2</v>
      </c>
      <c r="I382" s="14"/>
    </row>
    <row r="383" spans="6:9" ht="18.75" customHeight="1" x14ac:dyDescent="0.4">
      <c r="F383" s="1">
        <v>32994</v>
      </c>
      <c r="G383" s="14">
        <v>357.16</v>
      </c>
      <c r="I383" s="14"/>
    </row>
    <row r="384" spans="6:9" ht="18.75" customHeight="1" x14ac:dyDescent="0.4">
      <c r="F384" s="1">
        <v>33025</v>
      </c>
      <c r="G384" s="14">
        <v>356.23</v>
      </c>
      <c r="I384" s="14"/>
    </row>
    <row r="385" spans="6:9" ht="18.75" customHeight="1" x14ac:dyDescent="0.4">
      <c r="F385" s="1">
        <v>33055</v>
      </c>
      <c r="G385" s="14">
        <v>354.81</v>
      </c>
      <c r="I385" s="14"/>
    </row>
    <row r="386" spans="6:9" ht="18.75" customHeight="1" x14ac:dyDescent="0.4">
      <c r="F386" s="1">
        <v>33086</v>
      </c>
      <c r="G386" s="14">
        <v>352.91</v>
      </c>
      <c r="I386" s="14"/>
    </row>
    <row r="387" spans="6:9" ht="18.75" customHeight="1" x14ac:dyDescent="0.4">
      <c r="F387" s="1">
        <v>33117</v>
      </c>
      <c r="G387" s="14">
        <v>350.96</v>
      </c>
      <c r="I387" s="14"/>
    </row>
    <row r="388" spans="6:9" ht="18.75" customHeight="1" x14ac:dyDescent="0.4">
      <c r="F388" s="1">
        <v>33147</v>
      </c>
      <c r="G388" s="14">
        <v>351.18</v>
      </c>
      <c r="I388" s="14"/>
    </row>
    <row r="389" spans="6:9" ht="18.75" customHeight="1" x14ac:dyDescent="0.4">
      <c r="F389" s="1">
        <v>33178</v>
      </c>
      <c r="G389" s="14">
        <v>352.83</v>
      </c>
      <c r="I389" s="14"/>
    </row>
    <row r="390" spans="6:9" ht="18.75" customHeight="1" x14ac:dyDescent="0.4">
      <c r="F390" s="1">
        <v>33208</v>
      </c>
      <c r="G390" s="14">
        <v>354.21</v>
      </c>
      <c r="I390" s="14"/>
    </row>
    <row r="391" spans="6:9" ht="18.75" customHeight="1" x14ac:dyDescent="0.4">
      <c r="F391" s="1">
        <v>33239</v>
      </c>
      <c r="G391" s="14">
        <v>354.72</v>
      </c>
      <c r="I391" s="14"/>
    </row>
    <row r="392" spans="6:9" ht="18.75" customHeight="1" x14ac:dyDescent="0.4">
      <c r="F392" s="1">
        <v>33270</v>
      </c>
      <c r="G392" s="14">
        <v>355.75</v>
      </c>
      <c r="I392" s="14"/>
    </row>
    <row r="393" spans="6:9" ht="18.75" customHeight="1" x14ac:dyDescent="0.4">
      <c r="F393" s="1">
        <v>33298</v>
      </c>
      <c r="G393" s="14">
        <v>357.16</v>
      </c>
      <c r="I393" s="14"/>
    </row>
    <row r="394" spans="6:9" ht="18.75" customHeight="1" x14ac:dyDescent="0.4">
      <c r="F394" s="1">
        <v>33329</v>
      </c>
      <c r="G394" s="14">
        <v>358.6</v>
      </c>
      <c r="I394" s="14"/>
    </row>
    <row r="395" spans="6:9" ht="18.75" customHeight="1" x14ac:dyDescent="0.4">
      <c r="F395" s="1">
        <v>33359</v>
      </c>
      <c r="G395" s="14">
        <v>359.34</v>
      </c>
      <c r="I395" s="14"/>
    </row>
    <row r="396" spans="6:9" ht="18.75" customHeight="1" x14ac:dyDescent="0.4">
      <c r="F396" s="1">
        <v>33390</v>
      </c>
      <c r="G396" s="14">
        <v>358.24</v>
      </c>
      <c r="I396" s="14"/>
    </row>
    <row r="397" spans="6:9" ht="18.75" customHeight="1" x14ac:dyDescent="0.4">
      <c r="F397" s="1">
        <v>33420</v>
      </c>
      <c r="G397" s="14">
        <v>356.17</v>
      </c>
      <c r="I397" s="14"/>
    </row>
    <row r="398" spans="6:9" ht="18.75" customHeight="1" x14ac:dyDescent="0.4">
      <c r="F398" s="1">
        <v>33451</v>
      </c>
      <c r="G398" s="14">
        <v>354.01</v>
      </c>
      <c r="I398" s="14"/>
    </row>
    <row r="399" spans="6:9" ht="18.75" customHeight="1" x14ac:dyDescent="0.4">
      <c r="F399" s="1">
        <v>33482</v>
      </c>
      <c r="G399" s="14">
        <v>352.15</v>
      </c>
      <c r="I399" s="14"/>
    </row>
    <row r="400" spans="6:9" ht="18.75" customHeight="1" x14ac:dyDescent="0.4">
      <c r="F400" s="1">
        <v>33512</v>
      </c>
      <c r="G400" s="14">
        <v>352.21</v>
      </c>
      <c r="I400" s="14"/>
    </row>
    <row r="401" spans="6:9" ht="18.75" customHeight="1" x14ac:dyDescent="0.4">
      <c r="F401" s="1">
        <v>33543</v>
      </c>
      <c r="G401" s="14">
        <v>353.75</v>
      </c>
      <c r="I401" s="14"/>
    </row>
    <row r="402" spans="6:9" ht="18.75" customHeight="1" x14ac:dyDescent="0.4">
      <c r="F402" s="1">
        <v>33573</v>
      </c>
      <c r="G402" s="14">
        <v>354.99</v>
      </c>
      <c r="I402" s="14"/>
    </row>
    <row r="403" spans="6:9" ht="18.75" customHeight="1" x14ac:dyDescent="0.4">
      <c r="F403" s="1">
        <v>33604</v>
      </c>
      <c r="G403" s="14">
        <v>355.99</v>
      </c>
      <c r="I403" s="14"/>
    </row>
    <row r="404" spans="6:9" ht="18.75" customHeight="1" x14ac:dyDescent="0.4">
      <c r="F404" s="1">
        <v>33635</v>
      </c>
      <c r="G404" s="14">
        <v>356.72</v>
      </c>
      <c r="I404" s="14"/>
    </row>
    <row r="405" spans="6:9" ht="18.75" customHeight="1" x14ac:dyDescent="0.4">
      <c r="F405" s="1">
        <v>33664</v>
      </c>
      <c r="G405" s="14">
        <v>357.81</v>
      </c>
      <c r="I405" s="14"/>
    </row>
    <row r="406" spans="6:9" ht="18.75" customHeight="1" x14ac:dyDescent="0.4">
      <c r="F406" s="1">
        <v>33695</v>
      </c>
      <c r="G406" s="14">
        <v>359.15</v>
      </c>
      <c r="I406" s="14"/>
    </row>
    <row r="407" spans="6:9" ht="18.75" customHeight="1" x14ac:dyDescent="0.4">
      <c r="F407" s="1">
        <v>33725</v>
      </c>
      <c r="G407" s="14">
        <v>359.66</v>
      </c>
      <c r="I407" s="14"/>
    </row>
    <row r="408" spans="6:9" ht="18.75" customHeight="1" x14ac:dyDescent="0.4">
      <c r="F408" s="1">
        <v>33756</v>
      </c>
      <c r="G408" s="14">
        <v>359.25</v>
      </c>
      <c r="I408" s="14"/>
    </row>
    <row r="409" spans="6:9" ht="18.75" customHeight="1" x14ac:dyDescent="0.4">
      <c r="F409" s="1">
        <v>33786</v>
      </c>
      <c r="G409" s="14">
        <v>357.02</v>
      </c>
      <c r="I409" s="14"/>
    </row>
    <row r="410" spans="6:9" ht="18.75" customHeight="1" x14ac:dyDescent="0.4">
      <c r="F410" s="1">
        <v>33817</v>
      </c>
      <c r="G410" s="14">
        <v>355</v>
      </c>
      <c r="I410" s="14"/>
    </row>
    <row r="411" spans="6:9" ht="18.75" customHeight="1" x14ac:dyDescent="0.4">
      <c r="F411" s="1">
        <v>33848</v>
      </c>
      <c r="G411" s="14">
        <v>353.01</v>
      </c>
      <c r="I411" s="14"/>
    </row>
    <row r="412" spans="6:9" ht="18.75" customHeight="1" x14ac:dyDescent="0.4">
      <c r="F412" s="1">
        <v>33878</v>
      </c>
      <c r="G412" s="14">
        <v>353.31</v>
      </c>
      <c r="I412" s="14"/>
    </row>
    <row r="413" spans="6:9" ht="18.75" customHeight="1" x14ac:dyDescent="0.4">
      <c r="F413" s="1">
        <v>33909</v>
      </c>
      <c r="G413" s="14">
        <v>354.16</v>
      </c>
      <c r="I413" s="14"/>
    </row>
    <row r="414" spans="6:9" ht="18.75" customHeight="1" x14ac:dyDescent="0.4">
      <c r="F414" s="1">
        <v>33939</v>
      </c>
      <c r="G414" s="14">
        <v>355.4</v>
      </c>
      <c r="I414" s="14"/>
    </row>
    <row r="415" spans="6:9" ht="18.75" customHeight="1" x14ac:dyDescent="0.4">
      <c r="F415" s="1">
        <v>33970</v>
      </c>
      <c r="G415" s="14">
        <v>356.7</v>
      </c>
      <c r="I415" s="14"/>
    </row>
    <row r="416" spans="6:9" ht="18.75" customHeight="1" x14ac:dyDescent="0.4">
      <c r="F416" s="1">
        <v>34001</v>
      </c>
      <c r="G416" s="14">
        <v>357.17</v>
      </c>
      <c r="I416" s="14"/>
    </row>
    <row r="417" spans="6:9" ht="18.75" customHeight="1" x14ac:dyDescent="0.4">
      <c r="F417" s="1">
        <v>34029</v>
      </c>
      <c r="G417" s="14">
        <v>358.38</v>
      </c>
      <c r="I417" s="14"/>
    </row>
    <row r="418" spans="6:9" ht="18.75" customHeight="1" x14ac:dyDescent="0.4">
      <c r="F418" s="1">
        <v>34060</v>
      </c>
      <c r="G418" s="14">
        <v>359.46</v>
      </c>
      <c r="I418" s="14"/>
    </row>
    <row r="419" spans="6:9" ht="18.75" customHeight="1" x14ac:dyDescent="0.4">
      <c r="F419" s="1">
        <v>34090</v>
      </c>
      <c r="G419" s="14">
        <v>360.28</v>
      </c>
      <c r="I419" s="14"/>
    </row>
    <row r="420" spans="6:9" ht="18.75" customHeight="1" x14ac:dyDescent="0.4">
      <c r="F420" s="1">
        <v>34121</v>
      </c>
      <c r="G420" s="14">
        <v>359.6</v>
      </c>
      <c r="I420" s="14"/>
    </row>
    <row r="421" spans="6:9" ht="18.75" customHeight="1" x14ac:dyDescent="0.4">
      <c r="F421" s="1">
        <v>34151</v>
      </c>
      <c r="G421" s="14">
        <v>357.57</v>
      </c>
      <c r="I421" s="14"/>
    </row>
    <row r="422" spans="6:9" ht="18.75" customHeight="1" x14ac:dyDescent="0.4">
      <c r="F422" s="1">
        <v>34182</v>
      </c>
      <c r="G422" s="14">
        <v>355.52</v>
      </c>
      <c r="I422" s="14"/>
    </row>
    <row r="423" spans="6:9" ht="18.75" customHeight="1" x14ac:dyDescent="0.4">
      <c r="F423" s="1">
        <v>34213</v>
      </c>
      <c r="G423" s="14">
        <v>353.69</v>
      </c>
      <c r="I423" s="14"/>
    </row>
    <row r="424" spans="6:9" ht="18.75" customHeight="1" x14ac:dyDescent="0.4">
      <c r="F424" s="1">
        <v>34243</v>
      </c>
      <c r="G424" s="14">
        <v>353.99</v>
      </c>
      <c r="I424" s="14"/>
    </row>
    <row r="425" spans="6:9" ht="18.75" customHeight="1" x14ac:dyDescent="0.4">
      <c r="F425" s="1">
        <v>34274</v>
      </c>
      <c r="G425" s="14">
        <v>355.34</v>
      </c>
      <c r="I425" s="14"/>
    </row>
    <row r="426" spans="6:9" ht="18.75" customHeight="1" x14ac:dyDescent="0.4">
      <c r="F426" s="1">
        <v>34304</v>
      </c>
      <c r="G426" s="14">
        <v>356.8</v>
      </c>
      <c r="I426" s="14"/>
    </row>
    <row r="427" spans="6:9" ht="18.75" customHeight="1" x14ac:dyDescent="0.4">
      <c r="F427" s="1">
        <v>34335</v>
      </c>
      <c r="G427" s="14">
        <v>358.37</v>
      </c>
      <c r="I427" s="14"/>
    </row>
    <row r="428" spans="6:9" ht="18.75" customHeight="1" x14ac:dyDescent="0.4">
      <c r="F428" s="1">
        <v>34366</v>
      </c>
      <c r="G428" s="14">
        <v>358.91</v>
      </c>
      <c r="I428" s="14"/>
    </row>
    <row r="429" spans="6:9" ht="18.75" customHeight="1" x14ac:dyDescent="0.4">
      <c r="F429" s="1">
        <v>34394</v>
      </c>
      <c r="G429" s="14">
        <v>359.97</v>
      </c>
      <c r="I429" s="14"/>
    </row>
    <row r="430" spans="6:9" ht="18.75" customHeight="1" x14ac:dyDescent="0.4">
      <c r="F430" s="1">
        <v>34425</v>
      </c>
      <c r="G430" s="14">
        <v>361.26</v>
      </c>
      <c r="I430" s="14"/>
    </row>
    <row r="431" spans="6:9" ht="18.75" customHeight="1" x14ac:dyDescent="0.4">
      <c r="F431" s="1">
        <v>34455</v>
      </c>
      <c r="G431" s="14">
        <v>361.69</v>
      </c>
      <c r="I431" s="14"/>
    </row>
    <row r="432" spans="6:9" ht="18.75" customHeight="1" x14ac:dyDescent="0.4">
      <c r="F432" s="1">
        <v>34486</v>
      </c>
      <c r="G432" s="14">
        <v>360.94</v>
      </c>
      <c r="I432" s="14"/>
    </row>
    <row r="433" spans="6:9" ht="18.75" customHeight="1" x14ac:dyDescent="0.4">
      <c r="F433" s="1">
        <v>34516</v>
      </c>
      <c r="G433" s="14">
        <v>359.55</v>
      </c>
      <c r="I433" s="14"/>
    </row>
    <row r="434" spans="6:9" ht="18.75" customHeight="1" x14ac:dyDescent="0.4">
      <c r="F434" s="1">
        <v>34547</v>
      </c>
      <c r="G434" s="14">
        <v>357.48</v>
      </c>
      <c r="I434" s="14"/>
    </row>
    <row r="435" spans="6:9" ht="18.75" customHeight="1" x14ac:dyDescent="0.4">
      <c r="F435" s="1">
        <v>34578</v>
      </c>
      <c r="G435" s="14">
        <v>355.84</v>
      </c>
      <c r="I435" s="14"/>
    </row>
    <row r="436" spans="6:9" ht="18.75" customHeight="1" x14ac:dyDescent="0.4">
      <c r="F436" s="1">
        <v>34608</v>
      </c>
      <c r="G436" s="14">
        <v>356</v>
      </c>
      <c r="I436" s="14"/>
    </row>
    <row r="437" spans="6:9" ht="18.75" customHeight="1" x14ac:dyDescent="0.4">
      <c r="F437" s="1">
        <v>34639</v>
      </c>
      <c r="G437" s="14">
        <v>357.58</v>
      </c>
      <c r="I437" s="14"/>
    </row>
    <row r="438" spans="6:9" ht="18.75" customHeight="1" x14ac:dyDescent="0.4">
      <c r="F438" s="1">
        <v>34669</v>
      </c>
      <c r="G438" s="14">
        <v>359.04</v>
      </c>
      <c r="I438" s="14"/>
    </row>
    <row r="439" spans="6:9" ht="18.75" customHeight="1" x14ac:dyDescent="0.4">
      <c r="F439" s="1">
        <v>34700</v>
      </c>
      <c r="G439" s="14">
        <v>359.97</v>
      </c>
      <c r="I439" s="14"/>
    </row>
    <row r="440" spans="6:9" ht="18.75" customHeight="1" x14ac:dyDescent="0.4">
      <c r="F440" s="1">
        <v>34731</v>
      </c>
      <c r="G440" s="14">
        <v>361</v>
      </c>
      <c r="I440" s="14"/>
    </row>
    <row r="441" spans="6:9" ht="18.75" customHeight="1" x14ac:dyDescent="0.4">
      <c r="F441" s="1">
        <v>34759</v>
      </c>
      <c r="G441" s="14">
        <v>361.63</v>
      </c>
      <c r="I441" s="14"/>
    </row>
    <row r="442" spans="6:9" ht="18.75" customHeight="1" x14ac:dyDescent="0.4">
      <c r="F442" s="1">
        <v>34790</v>
      </c>
      <c r="G442" s="14">
        <v>363.45</v>
      </c>
      <c r="I442" s="14"/>
    </row>
    <row r="443" spans="6:9" ht="18.75" customHeight="1" x14ac:dyDescent="0.4">
      <c r="F443" s="1">
        <v>34820</v>
      </c>
      <c r="G443" s="14">
        <v>363.8</v>
      </c>
      <c r="I443" s="14"/>
    </row>
    <row r="444" spans="6:9" ht="18.75" customHeight="1" x14ac:dyDescent="0.4">
      <c r="F444" s="1">
        <v>34851</v>
      </c>
      <c r="G444" s="14">
        <v>363.26</v>
      </c>
      <c r="I444" s="14"/>
    </row>
    <row r="445" spans="6:9" ht="18.75" customHeight="1" x14ac:dyDescent="0.4">
      <c r="F445" s="1">
        <v>34881</v>
      </c>
      <c r="G445" s="14">
        <v>361.89</v>
      </c>
      <c r="I445" s="14"/>
    </row>
    <row r="446" spans="6:9" ht="18.75" customHeight="1" x14ac:dyDescent="0.4">
      <c r="F446" s="1">
        <v>34912</v>
      </c>
      <c r="G446" s="14">
        <v>359.45</v>
      </c>
      <c r="I446" s="14"/>
    </row>
    <row r="447" spans="6:9" ht="18.75" customHeight="1" x14ac:dyDescent="0.4">
      <c r="F447" s="1">
        <v>34943</v>
      </c>
      <c r="G447" s="14">
        <v>358.05</v>
      </c>
      <c r="I447" s="14"/>
    </row>
    <row r="448" spans="6:9" ht="18.75" customHeight="1" x14ac:dyDescent="0.4">
      <c r="F448" s="1">
        <v>34973</v>
      </c>
      <c r="G448" s="14">
        <v>357.75</v>
      </c>
      <c r="I448" s="14"/>
    </row>
    <row r="449" spans="6:9" ht="18.75" customHeight="1" x14ac:dyDescent="0.4">
      <c r="F449" s="1">
        <v>35004</v>
      </c>
      <c r="G449" s="14">
        <v>359.56</v>
      </c>
      <c r="I449" s="14"/>
    </row>
    <row r="450" spans="6:9" ht="18.75" customHeight="1" x14ac:dyDescent="0.4">
      <c r="F450" s="1">
        <v>35034</v>
      </c>
      <c r="G450" s="14">
        <v>360.7</v>
      </c>
      <c r="I450" s="14"/>
    </row>
    <row r="451" spans="6:9" ht="18.75" customHeight="1" x14ac:dyDescent="0.4">
      <c r="F451" s="1">
        <v>35065</v>
      </c>
      <c r="G451" s="14">
        <v>362.05</v>
      </c>
      <c r="I451" s="14"/>
    </row>
    <row r="452" spans="6:9" ht="18.75" customHeight="1" x14ac:dyDescent="0.4">
      <c r="F452" s="1">
        <v>35096</v>
      </c>
      <c r="G452" s="14">
        <v>363.24</v>
      </c>
      <c r="I452" s="14"/>
    </row>
    <row r="453" spans="6:9" ht="18.75" customHeight="1" x14ac:dyDescent="0.4">
      <c r="F453" s="1">
        <v>35125</v>
      </c>
      <c r="G453" s="14">
        <v>364.02</v>
      </c>
      <c r="I453" s="14"/>
    </row>
    <row r="454" spans="6:9" ht="18.75" customHeight="1" x14ac:dyDescent="0.4">
      <c r="F454" s="1">
        <v>35156</v>
      </c>
      <c r="G454" s="14">
        <v>364.71</v>
      </c>
      <c r="I454" s="14"/>
    </row>
    <row r="455" spans="6:9" ht="18.75" customHeight="1" x14ac:dyDescent="0.4">
      <c r="F455" s="1">
        <v>35186</v>
      </c>
      <c r="G455" s="14">
        <v>365.42</v>
      </c>
      <c r="I455" s="14"/>
    </row>
    <row r="456" spans="6:9" ht="18.75" customHeight="1" x14ac:dyDescent="0.4">
      <c r="F456" s="1">
        <v>35217</v>
      </c>
      <c r="G456" s="14">
        <v>364.97</v>
      </c>
      <c r="I456" s="14"/>
    </row>
    <row r="457" spans="6:9" ht="18.75" customHeight="1" x14ac:dyDescent="0.4">
      <c r="F457" s="1">
        <v>35247</v>
      </c>
      <c r="G457" s="14">
        <v>363.65</v>
      </c>
      <c r="I457" s="14"/>
    </row>
    <row r="458" spans="6:9" ht="18.75" customHeight="1" x14ac:dyDescent="0.4">
      <c r="F458" s="1">
        <v>35278</v>
      </c>
      <c r="G458" s="14">
        <v>361.48</v>
      </c>
      <c r="I458" s="14"/>
    </row>
    <row r="459" spans="6:9" ht="18.75" customHeight="1" x14ac:dyDescent="0.4">
      <c r="F459" s="1">
        <v>35309</v>
      </c>
      <c r="G459" s="14">
        <v>359.45</v>
      </c>
      <c r="I459" s="14"/>
    </row>
    <row r="460" spans="6:9" ht="18.75" customHeight="1" x14ac:dyDescent="0.4">
      <c r="F460" s="1">
        <v>35339</v>
      </c>
      <c r="G460" s="14">
        <v>359.61</v>
      </c>
      <c r="I460" s="14"/>
    </row>
    <row r="461" spans="6:9" ht="18.75" customHeight="1" x14ac:dyDescent="0.4">
      <c r="F461" s="1">
        <v>35370</v>
      </c>
      <c r="G461" s="14">
        <v>360.76</v>
      </c>
      <c r="I461" s="14"/>
    </row>
    <row r="462" spans="6:9" ht="18.75" customHeight="1" x14ac:dyDescent="0.4">
      <c r="F462" s="1">
        <v>35400</v>
      </c>
      <c r="G462" s="14">
        <v>362.33</v>
      </c>
      <c r="I462" s="14"/>
    </row>
    <row r="463" spans="6:9" ht="18.75" customHeight="1" x14ac:dyDescent="0.4">
      <c r="F463" s="1">
        <v>35431</v>
      </c>
      <c r="G463" s="14">
        <v>363.19</v>
      </c>
      <c r="I463" s="14"/>
    </row>
    <row r="464" spans="6:9" ht="18.75" customHeight="1" x14ac:dyDescent="0.4">
      <c r="F464" s="1">
        <v>35462</v>
      </c>
      <c r="G464" s="14">
        <v>363.99</v>
      </c>
      <c r="I464" s="14"/>
    </row>
    <row r="465" spans="6:9" ht="18.75" customHeight="1" x14ac:dyDescent="0.4">
      <c r="F465" s="1">
        <v>35490</v>
      </c>
      <c r="G465" s="14">
        <v>364.56</v>
      </c>
      <c r="I465" s="14"/>
    </row>
    <row r="466" spans="6:9" ht="18.75" customHeight="1" x14ac:dyDescent="0.4">
      <c r="F466" s="1">
        <v>35521</v>
      </c>
      <c r="G466" s="14">
        <v>366.36</v>
      </c>
      <c r="I466" s="14"/>
    </row>
    <row r="467" spans="6:9" ht="18.75" customHeight="1" x14ac:dyDescent="0.4">
      <c r="F467" s="1">
        <v>35551</v>
      </c>
      <c r="G467" s="14">
        <v>366.8</v>
      </c>
      <c r="I467" s="14"/>
    </row>
    <row r="468" spans="6:9" ht="18.75" customHeight="1" x14ac:dyDescent="0.4">
      <c r="F468" s="1">
        <v>35582</v>
      </c>
      <c r="G468" s="14">
        <v>365.63</v>
      </c>
      <c r="I468" s="14"/>
    </row>
    <row r="469" spans="6:9" ht="18.75" customHeight="1" x14ac:dyDescent="0.4">
      <c r="F469" s="1">
        <v>35612</v>
      </c>
      <c r="G469" s="14">
        <v>364.47</v>
      </c>
      <c r="I469" s="14"/>
    </row>
    <row r="470" spans="6:9" ht="18.75" customHeight="1" x14ac:dyDescent="0.4">
      <c r="F470" s="1">
        <v>35643</v>
      </c>
      <c r="G470" s="14">
        <v>362.5</v>
      </c>
      <c r="I470" s="14"/>
    </row>
    <row r="471" spans="6:9" ht="18.75" customHeight="1" x14ac:dyDescent="0.4">
      <c r="F471" s="1">
        <v>35674</v>
      </c>
      <c r="G471" s="14">
        <v>360.19</v>
      </c>
      <c r="I471" s="14"/>
    </row>
    <row r="472" spans="6:9" ht="18.75" customHeight="1" x14ac:dyDescent="0.4">
      <c r="F472" s="1">
        <v>35704</v>
      </c>
      <c r="G472" s="14">
        <v>360.78</v>
      </c>
      <c r="I472" s="14"/>
    </row>
    <row r="473" spans="6:9" ht="18.75" customHeight="1" x14ac:dyDescent="0.4">
      <c r="F473" s="1">
        <v>35735</v>
      </c>
      <c r="G473" s="14">
        <v>362.43</v>
      </c>
      <c r="I473" s="14"/>
    </row>
    <row r="474" spans="6:9" ht="18.75" customHeight="1" x14ac:dyDescent="0.4">
      <c r="F474" s="1">
        <v>35765</v>
      </c>
      <c r="G474" s="14">
        <v>364.28</v>
      </c>
      <c r="I474" s="14"/>
    </row>
    <row r="475" spans="6:9" ht="18.75" customHeight="1" x14ac:dyDescent="0.4">
      <c r="F475" s="1">
        <v>35796</v>
      </c>
      <c r="G475" s="14">
        <v>365.33</v>
      </c>
      <c r="I475" s="14"/>
    </row>
    <row r="476" spans="6:9" ht="18.75" customHeight="1" x14ac:dyDescent="0.4">
      <c r="F476" s="1">
        <v>35827</v>
      </c>
      <c r="G476" s="14">
        <v>366.15</v>
      </c>
      <c r="I476" s="14"/>
    </row>
    <row r="477" spans="6:9" ht="18.75" customHeight="1" x14ac:dyDescent="0.4">
      <c r="F477" s="1">
        <v>35855</v>
      </c>
      <c r="G477" s="14">
        <v>367.31</v>
      </c>
      <c r="I477" s="14"/>
    </row>
    <row r="478" spans="6:9" ht="18.75" customHeight="1" x14ac:dyDescent="0.4">
      <c r="F478" s="1">
        <v>35886</v>
      </c>
      <c r="G478" s="14">
        <v>368.61</v>
      </c>
      <c r="I478" s="14"/>
    </row>
    <row r="479" spans="6:9" ht="18.75" customHeight="1" x14ac:dyDescent="0.4">
      <c r="F479" s="1">
        <v>35916</v>
      </c>
      <c r="G479" s="14">
        <v>369.3</v>
      </c>
      <c r="I479" s="14"/>
    </row>
    <row r="480" spans="6:9" ht="18.75" customHeight="1" x14ac:dyDescent="0.4">
      <c r="F480" s="1">
        <v>35947</v>
      </c>
      <c r="G480" s="14">
        <v>368.88</v>
      </c>
      <c r="I480" s="14"/>
    </row>
    <row r="481" spans="6:9" ht="18.75" customHeight="1" x14ac:dyDescent="0.4">
      <c r="F481" s="1">
        <v>35977</v>
      </c>
      <c r="G481" s="14">
        <v>367.64</v>
      </c>
      <c r="I481" s="14"/>
    </row>
    <row r="482" spans="6:9" ht="18.75" customHeight="1" x14ac:dyDescent="0.4">
      <c r="F482" s="1">
        <v>36008</v>
      </c>
      <c r="G482" s="14">
        <v>365.78</v>
      </c>
      <c r="I482" s="14"/>
    </row>
    <row r="483" spans="6:9" ht="18.75" customHeight="1" x14ac:dyDescent="0.4">
      <c r="F483" s="1">
        <v>36039</v>
      </c>
      <c r="G483" s="14">
        <v>363.9</v>
      </c>
      <c r="I483" s="14"/>
    </row>
    <row r="484" spans="6:9" ht="18.75" customHeight="1" x14ac:dyDescent="0.4">
      <c r="F484" s="1">
        <v>36069</v>
      </c>
      <c r="G484" s="14">
        <v>364.23</v>
      </c>
      <c r="I484" s="14"/>
    </row>
    <row r="485" spans="6:9" ht="18.75" customHeight="1" x14ac:dyDescent="0.4">
      <c r="F485" s="1">
        <v>36100</v>
      </c>
      <c r="G485" s="14">
        <v>365.46</v>
      </c>
      <c r="I485" s="14"/>
    </row>
    <row r="486" spans="6:9" ht="18.75" customHeight="1" x14ac:dyDescent="0.4">
      <c r="F486" s="1">
        <v>36130</v>
      </c>
      <c r="G486" s="14">
        <v>366.97</v>
      </c>
      <c r="I486" s="14"/>
    </row>
    <row r="487" spans="6:9" ht="18.75" customHeight="1" x14ac:dyDescent="0.4">
      <c r="F487" s="1">
        <v>36161</v>
      </c>
      <c r="G487" s="14">
        <v>368.15</v>
      </c>
      <c r="I487" s="14"/>
    </row>
    <row r="488" spans="6:9" ht="18.75" customHeight="1" x14ac:dyDescent="0.4">
      <c r="F488" s="1">
        <v>36192</v>
      </c>
      <c r="G488" s="14">
        <v>368.87</v>
      </c>
      <c r="I488" s="14"/>
    </row>
    <row r="489" spans="6:9" ht="18.75" customHeight="1" x14ac:dyDescent="0.4">
      <c r="F489" s="1">
        <v>36220</v>
      </c>
      <c r="G489" s="14">
        <v>369.59</v>
      </c>
      <c r="I489" s="14"/>
    </row>
    <row r="490" spans="6:9" ht="18.75" customHeight="1" x14ac:dyDescent="0.4">
      <c r="F490" s="1">
        <v>36251</v>
      </c>
      <c r="G490" s="14">
        <v>371.14</v>
      </c>
      <c r="I490" s="14"/>
    </row>
    <row r="491" spans="6:9" ht="18.75" customHeight="1" x14ac:dyDescent="0.4">
      <c r="F491" s="1">
        <v>36281</v>
      </c>
      <c r="G491" s="14">
        <v>371</v>
      </c>
      <c r="I491" s="14"/>
    </row>
    <row r="492" spans="6:9" ht="18.75" customHeight="1" x14ac:dyDescent="0.4">
      <c r="F492" s="1">
        <v>36312</v>
      </c>
      <c r="G492" s="14">
        <v>370.35</v>
      </c>
      <c r="I492" s="14"/>
    </row>
    <row r="493" spans="6:9" ht="18.75" customHeight="1" x14ac:dyDescent="0.4">
      <c r="F493" s="1">
        <v>36342</v>
      </c>
      <c r="G493" s="14">
        <v>369.27</v>
      </c>
      <c r="I493" s="14"/>
    </row>
    <row r="494" spans="6:9" ht="18.75" customHeight="1" x14ac:dyDescent="0.4">
      <c r="F494" s="1">
        <v>36373</v>
      </c>
      <c r="G494" s="14">
        <v>366.93</v>
      </c>
      <c r="I494" s="14"/>
    </row>
    <row r="495" spans="6:9" ht="18.75" customHeight="1" x14ac:dyDescent="0.4">
      <c r="F495" s="1">
        <v>36404</v>
      </c>
      <c r="G495" s="14">
        <v>364.64</v>
      </c>
      <c r="I495" s="14"/>
    </row>
    <row r="496" spans="6:9" ht="18.75" customHeight="1" x14ac:dyDescent="0.4">
      <c r="F496" s="1">
        <v>36434</v>
      </c>
      <c r="G496" s="14">
        <v>365.13</v>
      </c>
      <c r="I496" s="14"/>
    </row>
    <row r="497" spans="6:9" ht="18.75" customHeight="1" x14ac:dyDescent="0.4">
      <c r="F497" s="1">
        <v>36465</v>
      </c>
      <c r="G497" s="14">
        <v>366.68</v>
      </c>
      <c r="I497" s="14"/>
    </row>
    <row r="498" spans="6:9" ht="18.75" customHeight="1" x14ac:dyDescent="0.4">
      <c r="F498" s="1">
        <v>36495</v>
      </c>
      <c r="G498" s="14">
        <v>368</v>
      </c>
      <c r="I498" s="14"/>
    </row>
    <row r="499" spans="6:9" ht="18.75" customHeight="1" x14ac:dyDescent="0.4">
      <c r="F499" s="1">
        <v>36526</v>
      </c>
      <c r="G499" s="14">
        <v>369.14</v>
      </c>
      <c r="I499" s="14"/>
    </row>
    <row r="500" spans="6:9" ht="18.75" customHeight="1" x14ac:dyDescent="0.4">
      <c r="F500" s="1">
        <v>36557</v>
      </c>
      <c r="G500" s="14">
        <v>369.46</v>
      </c>
      <c r="I500" s="14"/>
    </row>
    <row r="501" spans="6:9" ht="18.75" customHeight="1" x14ac:dyDescent="0.4">
      <c r="F501" s="1">
        <v>36586</v>
      </c>
      <c r="G501" s="14">
        <v>370.51</v>
      </c>
      <c r="I501" s="14"/>
    </row>
    <row r="502" spans="6:9" ht="18.75" customHeight="1" x14ac:dyDescent="0.4">
      <c r="F502" s="1">
        <v>36617</v>
      </c>
      <c r="G502" s="14">
        <v>371.66</v>
      </c>
      <c r="I502" s="14"/>
    </row>
    <row r="503" spans="6:9" ht="18.75" customHeight="1" x14ac:dyDescent="0.4">
      <c r="F503" s="1">
        <v>36647</v>
      </c>
      <c r="G503" s="14">
        <v>371.83</v>
      </c>
      <c r="I503" s="14"/>
    </row>
    <row r="504" spans="6:9" ht="18.75" customHeight="1" x14ac:dyDescent="0.4">
      <c r="F504" s="1">
        <v>36678</v>
      </c>
      <c r="G504" s="14">
        <v>371.69</v>
      </c>
      <c r="I504" s="14"/>
    </row>
    <row r="505" spans="6:9" ht="18.75" customHeight="1" x14ac:dyDescent="0.4">
      <c r="F505" s="1">
        <v>36708</v>
      </c>
      <c r="G505" s="14">
        <v>370.12</v>
      </c>
      <c r="I505" s="14"/>
    </row>
    <row r="506" spans="6:9" ht="18.75" customHeight="1" x14ac:dyDescent="0.4">
      <c r="F506" s="1">
        <v>36739</v>
      </c>
      <c r="G506" s="14">
        <v>368.12</v>
      </c>
      <c r="I506" s="14"/>
    </row>
    <row r="507" spans="6:9" ht="18.75" customHeight="1" x14ac:dyDescent="0.4">
      <c r="F507" s="1">
        <v>36770</v>
      </c>
      <c r="G507" s="14">
        <v>366.62</v>
      </c>
      <c r="I507" s="14"/>
    </row>
    <row r="508" spans="6:9" ht="18.75" customHeight="1" x14ac:dyDescent="0.4">
      <c r="F508" s="1">
        <v>36800</v>
      </c>
      <c r="G508" s="14">
        <v>366.73</v>
      </c>
      <c r="I508" s="14"/>
    </row>
    <row r="509" spans="6:9" ht="18.75" customHeight="1" x14ac:dyDescent="0.4">
      <c r="F509" s="1">
        <v>36831</v>
      </c>
      <c r="G509" s="14">
        <v>368.29</v>
      </c>
      <c r="I509" s="14"/>
    </row>
    <row r="510" spans="6:9" ht="18.75" customHeight="1" x14ac:dyDescent="0.4">
      <c r="F510" s="1">
        <v>36861</v>
      </c>
      <c r="G510" s="14">
        <v>369.52</v>
      </c>
      <c r="I510" s="14"/>
    </row>
    <row r="511" spans="6:9" ht="18.75" customHeight="1" x14ac:dyDescent="0.4">
      <c r="F511" s="1">
        <v>36892</v>
      </c>
      <c r="G511" s="14">
        <v>370.28</v>
      </c>
      <c r="I511" s="14"/>
    </row>
    <row r="512" spans="6:9" ht="18.75" customHeight="1" x14ac:dyDescent="0.4">
      <c r="F512" s="1">
        <v>36923</v>
      </c>
      <c r="G512" s="14">
        <v>371.5</v>
      </c>
      <c r="I512" s="14"/>
    </row>
    <row r="513" spans="6:9" ht="18.75" customHeight="1" x14ac:dyDescent="0.4">
      <c r="F513" s="1">
        <v>36951</v>
      </c>
      <c r="G513" s="14">
        <v>372.12</v>
      </c>
      <c r="I513" s="14"/>
    </row>
    <row r="514" spans="6:9" ht="18.75" customHeight="1" x14ac:dyDescent="0.4">
      <c r="F514" s="1">
        <v>36982</v>
      </c>
      <c r="G514" s="14">
        <v>372.86</v>
      </c>
      <c r="I514" s="14"/>
    </row>
    <row r="515" spans="6:9" ht="18.75" customHeight="1" x14ac:dyDescent="0.4">
      <c r="F515" s="1">
        <v>37012</v>
      </c>
      <c r="G515" s="14">
        <v>374.02</v>
      </c>
      <c r="I515" s="14"/>
    </row>
    <row r="516" spans="6:9" ht="18.75" customHeight="1" x14ac:dyDescent="0.4">
      <c r="F516" s="1">
        <v>37043</v>
      </c>
      <c r="G516" s="14">
        <v>373.31</v>
      </c>
      <c r="I516" s="14"/>
    </row>
    <row r="517" spans="6:9" ht="18.75" customHeight="1" x14ac:dyDescent="0.4">
      <c r="F517" s="1">
        <v>37073</v>
      </c>
      <c r="G517" s="14">
        <v>371.62</v>
      </c>
      <c r="I517" s="14"/>
    </row>
    <row r="518" spans="6:9" ht="18.75" customHeight="1" x14ac:dyDescent="0.4">
      <c r="F518" s="1">
        <v>37104</v>
      </c>
      <c r="G518" s="14">
        <v>369.55</v>
      </c>
      <c r="I518" s="14"/>
    </row>
    <row r="519" spans="6:9" ht="18.75" customHeight="1" x14ac:dyDescent="0.4">
      <c r="F519" s="1">
        <v>37135</v>
      </c>
      <c r="G519" s="14">
        <v>367.96</v>
      </c>
      <c r="I519" s="14"/>
    </row>
    <row r="520" spans="6:9" ht="18.75" customHeight="1" x14ac:dyDescent="0.4">
      <c r="F520" s="1">
        <v>37165</v>
      </c>
      <c r="G520" s="14">
        <v>368.09</v>
      </c>
      <c r="I520" s="14"/>
    </row>
    <row r="521" spans="6:9" ht="18.75" customHeight="1" x14ac:dyDescent="0.4">
      <c r="F521" s="1">
        <v>37196</v>
      </c>
      <c r="G521" s="14">
        <v>369.68</v>
      </c>
      <c r="I521" s="14"/>
    </row>
    <row r="522" spans="6:9" ht="18.75" customHeight="1" x14ac:dyDescent="0.4">
      <c r="F522" s="1">
        <v>37226</v>
      </c>
      <c r="G522" s="14">
        <v>371.24</v>
      </c>
      <c r="I522" s="14"/>
    </row>
    <row r="523" spans="6:9" ht="18.75" customHeight="1" x14ac:dyDescent="0.4">
      <c r="F523" s="1">
        <v>37257</v>
      </c>
      <c r="G523" s="14">
        <v>372.44</v>
      </c>
      <c r="I523" s="14"/>
    </row>
    <row r="524" spans="6:9" ht="18.75" customHeight="1" x14ac:dyDescent="0.4">
      <c r="F524" s="1">
        <v>37288</v>
      </c>
      <c r="G524" s="14">
        <v>373.08</v>
      </c>
      <c r="I524" s="14"/>
    </row>
    <row r="525" spans="6:9" ht="18.75" customHeight="1" x14ac:dyDescent="0.4">
      <c r="F525" s="1">
        <v>37316</v>
      </c>
      <c r="G525" s="14">
        <v>373.52</v>
      </c>
      <c r="I525" s="14"/>
    </row>
    <row r="526" spans="6:9" ht="18.75" customHeight="1" x14ac:dyDescent="0.4">
      <c r="F526" s="1">
        <v>37347</v>
      </c>
      <c r="G526" s="14">
        <v>374.85</v>
      </c>
      <c r="I526" s="14"/>
    </row>
    <row r="527" spans="6:9" ht="18.75" customHeight="1" x14ac:dyDescent="0.4">
      <c r="F527" s="1">
        <v>37377</v>
      </c>
      <c r="G527" s="14">
        <v>375.55</v>
      </c>
      <c r="I527" s="14"/>
    </row>
    <row r="528" spans="6:9" ht="18.75" customHeight="1" x14ac:dyDescent="0.4">
      <c r="F528" s="1">
        <v>37408</v>
      </c>
      <c r="G528" s="14">
        <v>375.4</v>
      </c>
      <c r="I528" s="14"/>
    </row>
    <row r="529" spans="6:9" ht="18.75" customHeight="1" x14ac:dyDescent="0.4">
      <c r="F529" s="1">
        <v>37438</v>
      </c>
      <c r="G529" s="14">
        <v>374.02</v>
      </c>
      <c r="I529" s="14"/>
    </row>
    <row r="530" spans="6:9" ht="18.75" customHeight="1" x14ac:dyDescent="0.4">
      <c r="F530" s="1">
        <v>37469</v>
      </c>
      <c r="G530" s="14">
        <v>371.48</v>
      </c>
      <c r="I530" s="14"/>
    </row>
    <row r="531" spans="6:9" ht="18.75" customHeight="1" x14ac:dyDescent="0.4">
      <c r="F531" s="1">
        <v>37500</v>
      </c>
      <c r="G531" s="14">
        <v>370.7</v>
      </c>
      <c r="I531" s="14"/>
    </row>
    <row r="532" spans="6:9" ht="18.75" customHeight="1" x14ac:dyDescent="0.4">
      <c r="F532" s="1">
        <v>37530</v>
      </c>
      <c r="G532" s="14">
        <v>370.25</v>
      </c>
      <c r="I532" s="14"/>
    </row>
    <row r="533" spans="6:9" ht="18.75" customHeight="1" x14ac:dyDescent="0.4">
      <c r="F533" s="1">
        <v>37561</v>
      </c>
      <c r="G533" s="14">
        <v>372.08</v>
      </c>
      <c r="I533" s="14"/>
    </row>
    <row r="534" spans="6:9" ht="18.75" customHeight="1" x14ac:dyDescent="0.4">
      <c r="F534" s="1">
        <v>37591</v>
      </c>
      <c r="G534" s="14">
        <v>373.78</v>
      </c>
      <c r="I534" s="14"/>
    </row>
    <row r="535" spans="6:9" ht="18.75" customHeight="1" x14ac:dyDescent="0.4">
      <c r="F535" s="1">
        <v>37622</v>
      </c>
      <c r="G535" s="14">
        <v>374.68</v>
      </c>
      <c r="I535" s="14"/>
    </row>
    <row r="536" spans="6:9" ht="18.75" customHeight="1" x14ac:dyDescent="0.4">
      <c r="F536" s="1">
        <v>37653</v>
      </c>
      <c r="G536" s="14">
        <v>375.62</v>
      </c>
      <c r="I536" s="14"/>
    </row>
    <row r="537" spans="6:9" ht="18.75" customHeight="1" x14ac:dyDescent="0.4">
      <c r="F537" s="1">
        <v>37681</v>
      </c>
      <c r="G537" s="14">
        <v>376.11</v>
      </c>
      <c r="I537" s="14"/>
    </row>
    <row r="538" spans="6:9" ht="18.75" customHeight="1" x14ac:dyDescent="0.4">
      <c r="F538" s="1">
        <v>37712</v>
      </c>
      <c r="G538" s="14">
        <v>377.65</v>
      </c>
      <c r="I538" s="14"/>
    </row>
    <row r="539" spans="6:9" ht="18.75" customHeight="1" x14ac:dyDescent="0.4">
      <c r="F539" s="1">
        <v>37742</v>
      </c>
      <c r="G539" s="14">
        <v>378.35</v>
      </c>
      <c r="I539" s="14"/>
    </row>
    <row r="540" spans="6:9" ht="18.75" customHeight="1" x14ac:dyDescent="0.4">
      <c r="F540" s="1">
        <v>37773</v>
      </c>
      <c r="G540" s="14">
        <v>378.13</v>
      </c>
      <c r="I540" s="14"/>
    </row>
    <row r="541" spans="6:9" ht="18.75" customHeight="1" x14ac:dyDescent="0.4">
      <c r="F541" s="1">
        <v>37803</v>
      </c>
      <c r="G541" s="14">
        <v>376.6</v>
      </c>
      <c r="I541" s="14"/>
    </row>
    <row r="542" spans="6:9" ht="18.75" customHeight="1" x14ac:dyDescent="0.4">
      <c r="F542" s="1">
        <v>37834</v>
      </c>
      <c r="G542" s="14">
        <v>374.48</v>
      </c>
      <c r="I542" s="14"/>
    </row>
    <row r="543" spans="6:9" ht="18.75" customHeight="1" x14ac:dyDescent="0.4">
      <c r="F543" s="1">
        <v>37865</v>
      </c>
      <c r="G543" s="14">
        <v>372.98</v>
      </c>
      <c r="I543" s="14"/>
    </row>
    <row r="544" spans="6:9" ht="18.75" customHeight="1" x14ac:dyDescent="0.4">
      <c r="F544" s="1">
        <v>37895</v>
      </c>
      <c r="G544" s="14">
        <v>373</v>
      </c>
      <c r="I544" s="14"/>
    </row>
    <row r="545" spans="6:9" ht="18.75" customHeight="1" x14ac:dyDescent="0.4">
      <c r="F545" s="1">
        <v>37926</v>
      </c>
      <c r="G545" s="14">
        <v>374.35</v>
      </c>
      <c r="I545" s="14"/>
    </row>
    <row r="546" spans="6:9" ht="18.75" customHeight="1" x14ac:dyDescent="0.4">
      <c r="F546" s="1">
        <v>37956</v>
      </c>
      <c r="G546" s="14">
        <v>375.69</v>
      </c>
      <c r="I546" s="14"/>
    </row>
    <row r="547" spans="6:9" ht="18.75" customHeight="1" x14ac:dyDescent="0.4">
      <c r="F547" s="1">
        <v>37987</v>
      </c>
      <c r="G547" s="14">
        <v>376.79</v>
      </c>
      <c r="I547" s="14"/>
    </row>
    <row r="548" spans="6:9" ht="18.75" customHeight="1" x14ac:dyDescent="0.4">
      <c r="F548" s="1">
        <v>38018</v>
      </c>
      <c r="G548" s="14">
        <v>377.37</v>
      </c>
      <c r="I548" s="14"/>
    </row>
    <row r="549" spans="6:9" ht="18.75" customHeight="1" x14ac:dyDescent="0.4">
      <c r="F549" s="1">
        <v>38047</v>
      </c>
      <c r="G549" s="14">
        <v>378.39</v>
      </c>
      <c r="I549" s="14"/>
    </row>
    <row r="550" spans="6:9" ht="18.75" customHeight="1" x14ac:dyDescent="0.4">
      <c r="F550" s="1">
        <v>38078</v>
      </c>
      <c r="G550" s="14">
        <v>380.5</v>
      </c>
      <c r="I550" s="14"/>
    </row>
    <row r="551" spans="6:9" ht="18.75" customHeight="1" x14ac:dyDescent="0.4">
      <c r="F551" s="1">
        <v>38108</v>
      </c>
      <c r="G551" s="14">
        <v>380.62</v>
      </c>
      <c r="I551" s="14"/>
    </row>
    <row r="552" spans="6:9" ht="18.75" customHeight="1" x14ac:dyDescent="0.4">
      <c r="F552" s="1">
        <v>38139</v>
      </c>
      <c r="G552" s="14">
        <v>379.55</v>
      </c>
      <c r="I552" s="14"/>
    </row>
    <row r="553" spans="6:9" ht="18.75" customHeight="1" x14ac:dyDescent="0.4">
      <c r="F553" s="1">
        <v>38169</v>
      </c>
      <c r="G553" s="14">
        <v>377.76</v>
      </c>
      <c r="I553" s="14"/>
    </row>
    <row r="554" spans="6:9" ht="18.75" customHeight="1" x14ac:dyDescent="0.4">
      <c r="F554" s="1">
        <v>38200</v>
      </c>
      <c r="G554" s="14">
        <v>375.83</v>
      </c>
      <c r="I554" s="14"/>
    </row>
    <row r="555" spans="6:9" ht="18.75" customHeight="1" x14ac:dyDescent="0.4">
      <c r="F555" s="1">
        <v>38231</v>
      </c>
      <c r="G555" s="14">
        <v>374.05</v>
      </c>
      <c r="I555" s="14"/>
    </row>
    <row r="556" spans="6:9" ht="18.75" customHeight="1" x14ac:dyDescent="0.4">
      <c r="F556" s="1">
        <v>38261</v>
      </c>
      <c r="G556" s="14">
        <v>374.22</v>
      </c>
      <c r="I556" s="14"/>
    </row>
    <row r="557" spans="6:9" ht="18.75" customHeight="1" x14ac:dyDescent="0.4">
      <c r="F557" s="1">
        <v>38292</v>
      </c>
      <c r="G557" s="14">
        <v>375.84</v>
      </c>
      <c r="I557" s="14"/>
    </row>
    <row r="558" spans="6:9" ht="18.75" customHeight="1" x14ac:dyDescent="0.4">
      <c r="F558" s="1">
        <v>38322</v>
      </c>
      <c r="G558" s="14">
        <v>377.44</v>
      </c>
      <c r="I558" s="14"/>
    </row>
    <row r="559" spans="6:9" ht="18.75" customHeight="1" x14ac:dyDescent="0.4">
      <c r="F559" s="1">
        <v>38353</v>
      </c>
      <c r="G559" s="14">
        <v>378.34</v>
      </c>
      <c r="I559" s="14"/>
    </row>
    <row r="560" spans="6:9" ht="18.75" customHeight="1" x14ac:dyDescent="0.4">
      <c r="F560" s="1">
        <v>38384</v>
      </c>
      <c r="G560" s="14">
        <v>379.61</v>
      </c>
      <c r="I560" s="14"/>
    </row>
    <row r="561" spans="6:9" ht="18.75" customHeight="1" x14ac:dyDescent="0.4">
      <c r="F561" s="1">
        <v>38412</v>
      </c>
      <c r="G561" s="14">
        <v>380.08</v>
      </c>
      <c r="I561" s="14"/>
    </row>
    <row r="562" spans="6:9" ht="18.75" customHeight="1" x14ac:dyDescent="0.4">
      <c r="F562" s="1">
        <v>38443</v>
      </c>
      <c r="G562" s="14">
        <v>382.05</v>
      </c>
      <c r="I562" s="14"/>
    </row>
    <row r="563" spans="6:9" ht="18.75" customHeight="1" x14ac:dyDescent="0.4">
      <c r="F563" s="1">
        <v>38473</v>
      </c>
      <c r="G563" s="14">
        <v>382.24</v>
      </c>
      <c r="I563" s="14"/>
    </row>
    <row r="564" spans="6:9" ht="18.75" customHeight="1" x14ac:dyDescent="0.4">
      <c r="F564" s="1">
        <v>38504</v>
      </c>
      <c r="G564" s="14">
        <v>382.08</v>
      </c>
      <c r="I564" s="14"/>
    </row>
    <row r="565" spans="6:9" ht="18.75" customHeight="1" x14ac:dyDescent="0.4">
      <c r="F565" s="1">
        <v>38534</v>
      </c>
      <c r="G565" s="14">
        <v>380.66</v>
      </c>
      <c r="I565" s="14"/>
    </row>
    <row r="566" spans="6:9" ht="18.75" customHeight="1" x14ac:dyDescent="0.4">
      <c r="F566" s="1">
        <v>38565</v>
      </c>
      <c r="G566" s="14">
        <v>378.67</v>
      </c>
      <c r="I566" s="14"/>
    </row>
    <row r="567" spans="6:9" ht="18.75" customHeight="1" x14ac:dyDescent="0.4">
      <c r="F567" s="1">
        <v>38596</v>
      </c>
      <c r="G567" s="14">
        <v>376.42</v>
      </c>
      <c r="I567" s="14"/>
    </row>
    <row r="568" spans="6:9" ht="18.75" customHeight="1" x14ac:dyDescent="0.4">
      <c r="F568" s="1">
        <v>38626</v>
      </c>
      <c r="G568" s="14">
        <v>376.8</v>
      </c>
      <c r="I568" s="14"/>
    </row>
    <row r="569" spans="6:9" ht="18.75" customHeight="1" x14ac:dyDescent="0.4">
      <c r="F569" s="1">
        <v>38657</v>
      </c>
      <c r="G569" s="14">
        <v>378.31</v>
      </c>
      <c r="I569" s="14"/>
    </row>
    <row r="570" spans="6:9" ht="18.75" customHeight="1" x14ac:dyDescent="0.4">
      <c r="F570" s="1">
        <v>38687</v>
      </c>
      <c r="G570" s="14">
        <v>379.96</v>
      </c>
      <c r="I570" s="14"/>
    </row>
    <row r="571" spans="6:9" ht="18.75" customHeight="1" x14ac:dyDescent="0.4">
      <c r="F571" s="1">
        <v>38718</v>
      </c>
      <c r="G571" s="14">
        <v>381.37</v>
      </c>
      <c r="I571" s="14"/>
    </row>
    <row r="572" spans="6:9" ht="18.75" customHeight="1" x14ac:dyDescent="0.4">
      <c r="F572" s="1">
        <v>38749</v>
      </c>
      <c r="G572" s="14">
        <v>382.02</v>
      </c>
      <c r="I572" s="14"/>
    </row>
    <row r="573" spans="6:9" ht="18.75" customHeight="1" x14ac:dyDescent="0.4">
      <c r="F573" s="1">
        <v>38777</v>
      </c>
      <c r="G573" s="14">
        <v>382.56</v>
      </c>
      <c r="I573" s="14"/>
    </row>
    <row r="574" spans="6:9" ht="18.75" customHeight="1" x14ac:dyDescent="0.4">
      <c r="F574" s="1">
        <v>38808</v>
      </c>
      <c r="G574" s="14">
        <v>384.36</v>
      </c>
      <c r="I574" s="14"/>
    </row>
    <row r="575" spans="6:9" ht="18.75" customHeight="1" x14ac:dyDescent="0.4">
      <c r="F575" s="1">
        <v>38838</v>
      </c>
      <c r="G575" s="14">
        <v>384.92</v>
      </c>
      <c r="I575" s="14"/>
    </row>
    <row r="576" spans="6:9" ht="18.75" customHeight="1" x14ac:dyDescent="0.4">
      <c r="F576" s="1">
        <v>38869</v>
      </c>
      <c r="G576" s="14">
        <v>384.03</v>
      </c>
      <c r="I576" s="14"/>
    </row>
    <row r="577" spans="6:9" ht="18.75" customHeight="1" x14ac:dyDescent="0.4">
      <c r="F577" s="1">
        <v>38899</v>
      </c>
      <c r="G577" s="14">
        <v>382.28</v>
      </c>
      <c r="I577" s="14"/>
    </row>
    <row r="578" spans="6:9" ht="18.75" customHeight="1" x14ac:dyDescent="0.4">
      <c r="F578" s="1">
        <v>38930</v>
      </c>
      <c r="G578" s="14">
        <v>380.48</v>
      </c>
      <c r="I578" s="14"/>
    </row>
    <row r="579" spans="6:9" ht="18.75" customHeight="1" x14ac:dyDescent="0.4">
      <c r="F579" s="1">
        <v>38961</v>
      </c>
      <c r="G579" s="14">
        <v>378.81</v>
      </c>
      <c r="I579" s="14"/>
    </row>
    <row r="580" spans="6:9" ht="18.75" customHeight="1" x14ac:dyDescent="0.4">
      <c r="F580" s="1">
        <v>38991</v>
      </c>
      <c r="G580" s="14">
        <v>379.06</v>
      </c>
      <c r="I580" s="14"/>
    </row>
    <row r="581" spans="6:9" ht="18.75" customHeight="1" x14ac:dyDescent="0.4">
      <c r="F581" s="1">
        <v>39022</v>
      </c>
      <c r="G581" s="14">
        <v>380.14</v>
      </c>
      <c r="I581" s="14"/>
    </row>
    <row r="582" spans="6:9" ht="18.75" customHeight="1" x14ac:dyDescent="0.4">
      <c r="F582" s="1">
        <v>39052</v>
      </c>
      <c r="G582" s="14">
        <v>381.66</v>
      </c>
      <c r="I582" s="14"/>
    </row>
    <row r="583" spans="6:9" ht="18.75" customHeight="1" x14ac:dyDescent="0.4">
      <c r="F583" s="1">
        <v>39083</v>
      </c>
      <c r="G583" s="14">
        <v>382.58</v>
      </c>
      <c r="I583" s="14"/>
    </row>
    <row r="584" spans="6:9" ht="18.75" customHeight="1" x14ac:dyDescent="0.4">
      <c r="F584" s="1">
        <v>39114</v>
      </c>
      <c r="G584" s="14">
        <v>383.71</v>
      </c>
      <c r="I584" s="14"/>
    </row>
    <row r="585" spans="6:9" ht="18.75" customHeight="1" x14ac:dyDescent="0.4">
      <c r="F585" s="1">
        <v>39142</v>
      </c>
      <c r="G585" s="14">
        <v>384.34</v>
      </c>
      <c r="I585" s="14"/>
    </row>
    <row r="586" spans="6:9" ht="18.75" customHeight="1" x14ac:dyDescent="0.4">
      <c r="F586" s="1">
        <v>39173</v>
      </c>
      <c r="G586" s="14">
        <v>386.23</v>
      </c>
      <c r="I586" s="14"/>
    </row>
    <row r="587" spans="6:9" ht="18.75" customHeight="1" x14ac:dyDescent="0.4">
      <c r="F587" s="1">
        <v>39203</v>
      </c>
      <c r="G587" s="14">
        <v>386.41</v>
      </c>
      <c r="I587" s="14"/>
    </row>
    <row r="588" spans="6:9" ht="18.75" customHeight="1" x14ac:dyDescent="0.4">
      <c r="F588" s="1">
        <v>39234</v>
      </c>
      <c r="G588" s="14">
        <v>385.87</v>
      </c>
      <c r="I588" s="14"/>
    </row>
    <row r="589" spans="6:9" ht="18.75" customHeight="1" x14ac:dyDescent="0.4">
      <c r="F589" s="1">
        <v>39264</v>
      </c>
      <c r="G589" s="14">
        <v>384.44</v>
      </c>
      <c r="I589" s="14"/>
    </row>
    <row r="590" spans="6:9" ht="18.75" customHeight="1" x14ac:dyDescent="0.4">
      <c r="F590" s="1">
        <v>39295</v>
      </c>
      <c r="G590" s="14">
        <v>381.84</v>
      </c>
      <c r="I590" s="14"/>
    </row>
    <row r="591" spans="6:9" ht="18.75" customHeight="1" x14ac:dyDescent="0.4">
      <c r="F591" s="1">
        <v>39326</v>
      </c>
      <c r="G591" s="14">
        <v>380.86</v>
      </c>
      <c r="I591" s="14"/>
    </row>
    <row r="592" spans="6:9" ht="18.75" customHeight="1" x14ac:dyDescent="0.4">
      <c r="F592" s="1">
        <v>39356</v>
      </c>
      <c r="G592" s="14">
        <v>380.86</v>
      </c>
      <c r="I592" s="14"/>
    </row>
    <row r="593" spans="6:9" ht="18.75" customHeight="1" x14ac:dyDescent="0.4">
      <c r="F593" s="1">
        <v>39387</v>
      </c>
      <c r="G593" s="14">
        <v>382.36</v>
      </c>
      <c r="I593" s="14"/>
    </row>
    <row r="594" spans="6:9" ht="18.75" customHeight="1" x14ac:dyDescent="0.4">
      <c r="F594" s="1">
        <v>39417</v>
      </c>
      <c r="G594" s="14">
        <v>383.61</v>
      </c>
      <c r="I594" s="14"/>
    </row>
    <row r="595" spans="6:9" ht="18.75" customHeight="1" x14ac:dyDescent="0.4">
      <c r="F595" s="1">
        <v>39448</v>
      </c>
      <c r="G595" s="14">
        <v>385.07</v>
      </c>
      <c r="I595" s="14"/>
    </row>
    <row r="596" spans="6:9" ht="18.75" customHeight="1" x14ac:dyDescent="0.4">
      <c r="F596" s="1">
        <v>39479</v>
      </c>
      <c r="G596" s="14">
        <v>385.84</v>
      </c>
      <c r="I596" s="14"/>
    </row>
    <row r="597" spans="6:9" ht="18.75" customHeight="1" x14ac:dyDescent="0.4">
      <c r="F597" s="1">
        <v>39508</v>
      </c>
      <c r="G597" s="14">
        <v>385.83</v>
      </c>
      <c r="I597" s="14"/>
    </row>
    <row r="598" spans="6:9" ht="18.75" customHeight="1" x14ac:dyDescent="0.4">
      <c r="F598" s="1">
        <v>39539</v>
      </c>
      <c r="G598" s="14">
        <v>386.77</v>
      </c>
      <c r="I598" s="14"/>
    </row>
    <row r="599" spans="6:9" ht="18.75" customHeight="1" x14ac:dyDescent="0.4">
      <c r="F599" s="1">
        <v>39569</v>
      </c>
      <c r="G599" s="14">
        <v>388.51</v>
      </c>
      <c r="I599" s="14"/>
    </row>
    <row r="600" spans="6:9" ht="18.75" customHeight="1" x14ac:dyDescent="0.4">
      <c r="F600" s="1">
        <v>39600</v>
      </c>
      <c r="G600" s="14">
        <v>388.05</v>
      </c>
      <c r="I600" s="14"/>
    </row>
    <row r="601" spans="6:9" ht="18.75" customHeight="1" x14ac:dyDescent="0.4">
      <c r="F601" s="1">
        <v>39630</v>
      </c>
      <c r="G601" s="14">
        <v>386.25</v>
      </c>
      <c r="I601" s="14"/>
    </row>
    <row r="602" spans="6:9" ht="18.75" customHeight="1" x14ac:dyDescent="0.4">
      <c r="F602" s="1">
        <v>39661</v>
      </c>
      <c r="G602" s="14">
        <v>384.08</v>
      </c>
      <c r="I602" s="14"/>
    </row>
    <row r="603" spans="6:9" ht="18.75" customHeight="1" x14ac:dyDescent="0.4">
      <c r="F603" s="1">
        <v>39692</v>
      </c>
      <c r="G603" s="14">
        <v>383.09</v>
      </c>
      <c r="I603" s="14"/>
    </row>
    <row r="604" spans="6:9" ht="18.75" customHeight="1" x14ac:dyDescent="0.4">
      <c r="F604" s="1">
        <v>39722</v>
      </c>
      <c r="G604" s="14">
        <v>382.78</v>
      </c>
      <c r="I604" s="14"/>
    </row>
    <row r="605" spans="6:9" ht="18.75" customHeight="1" x14ac:dyDescent="0.4">
      <c r="F605" s="1">
        <v>39753</v>
      </c>
      <c r="G605" s="14">
        <v>384.01</v>
      </c>
      <c r="I605" s="14"/>
    </row>
    <row r="606" spans="6:9" ht="18.75" customHeight="1" x14ac:dyDescent="0.4">
      <c r="F606" s="1">
        <v>39783</v>
      </c>
      <c r="G606" s="14">
        <v>385.11</v>
      </c>
      <c r="I606" s="14"/>
    </row>
    <row r="607" spans="6:9" ht="18.75" customHeight="1" x14ac:dyDescent="0.4">
      <c r="F607" s="1">
        <v>39814</v>
      </c>
      <c r="G607" s="14">
        <v>386.65</v>
      </c>
      <c r="I607" s="14"/>
    </row>
    <row r="608" spans="6:9" ht="18.75" customHeight="1" x14ac:dyDescent="0.4">
      <c r="F608" s="1">
        <v>39845</v>
      </c>
      <c r="G608" s="14">
        <v>387.12</v>
      </c>
      <c r="I608" s="14"/>
    </row>
    <row r="609" spans="6:9" ht="18.75" customHeight="1" x14ac:dyDescent="0.4">
      <c r="F609" s="1">
        <v>39873</v>
      </c>
      <c r="G609" s="14">
        <v>388.52</v>
      </c>
      <c r="I609" s="14"/>
    </row>
    <row r="610" spans="6:9" ht="18.75" customHeight="1" x14ac:dyDescent="0.4">
      <c r="F610" s="1">
        <v>39904</v>
      </c>
      <c r="G610" s="14">
        <v>389.57</v>
      </c>
      <c r="I610" s="14"/>
    </row>
    <row r="611" spans="6:9" ht="18.75" customHeight="1" x14ac:dyDescent="0.4">
      <c r="F611" s="1">
        <v>39934</v>
      </c>
      <c r="G611" s="14">
        <v>390.17</v>
      </c>
      <c r="I611" s="14"/>
    </row>
    <row r="612" spans="6:9" ht="18.75" customHeight="1" x14ac:dyDescent="0.4">
      <c r="F612" s="1">
        <v>39965</v>
      </c>
      <c r="G612" s="14">
        <v>389.62</v>
      </c>
      <c r="I612" s="14"/>
    </row>
    <row r="613" spans="6:9" ht="18.75" customHeight="1" x14ac:dyDescent="0.4">
      <c r="F613" s="1">
        <v>39995</v>
      </c>
      <c r="G613" s="14">
        <v>388.07</v>
      </c>
      <c r="I613" s="14"/>
    </row>
    <row r="614" spans="6:9" ht="18.75" customHeight="1" x14ac:dyDescent="0.4">
      <c r="F614" s="1">
        <v>40026</v>
      </c>
      <c r="G614" s="14">
        <v>386.08</v>
      </c>
      <c r="I614" s="14"/>
    </row>
    <row r="615" spans="6:9" ht="18.75" customHeight="1" x14ac:dyDescent="0.4">
      <c r="F615" s="1">
        <v>40057</v>
      </c>
      <c r="G615" s="14">
        <v>384.65</v>
      </c>
      <c r="I615" s="14"/>
    </row>
    <row r="616" spans="6:9" ht="18.75" customHeight="1" x14ac:dyDescent="0.4">
      <c r="F616" s="1">
        <v>40087</v>
      </c>
      <c r="G616" s="14">
        <v>384.33</v>
      </c>
      <c r="I616" s="14"/>
    </row>
    <row r="617" spans="6:9" ht="18.75" customHeight="1" x14ac:dyDescent="0.4">
      <c r="F617" s="1">
        <v>40118</v>
      </c>
      <c r="G617" s="14">
        <v>386.05</v>
      </c>
      <c r="I617" s="14"/>
    </row>
    <row r="618" spans="6:9" ht="18.75" customHeight="1" x14ac:dyDescent="0.4">
      <c r="F618" s="1">
        <v>40148</v>
      </c>
      <c r="G618" s="14">
        <v>387.49</v>
      </c>
      <c r="I618" s="14"/>
    </row>
    <row r="619" spans="6:9" ht="18.75" customHeight="1" x14ac:dyDescent="0.4">
      <c r="F619" s="1">
        <v>40179</v>
      </c>
      <c r="G619" s="14">
        <v>388.55</v>
      </c>
      <c r="I619" s="14"/>
    </row>
    <row r="620" spans="6:9" ht="18.75" customHeight="1" x14ac:dyDescent="0.4">
      <c r="F620" s="1">
        <v>40210</v>
      </c>
      <c r="G620" s="14">
        <v>390.08</v>
      </c>
      <c r="I620" s="14"/>
    </row>
    <row r="621" spans="6:9" ht="18.75" customHeight="1" x14ac:dyDescent="0.4">
      <c r="F621" s="1">
        <v>40238</v>
      </c>
      <c r="G621" s="14">
        <v>391.01</v>
      </c>
      <c r="I621" s="14"/>
    </row>
    <row r="622" spans="6:9" ht="18.75" customHeight="1" x14ac:dyDescent="0.4">
      <c r="F622" s="1">
        <v>40269</v>
      </c>
      <c r="G622" s="14">
        <v>392.38</v>
      </c>
      <c r="I622" s="14"/>
    </row>
    <row r="623" spans="6:9" ht="18.75" customHeight="1" x14ac:dyDescent="0.4">
      <c r="F623" s="1">
        <v>40299</v>
      </c>
      <c r="G623" s="14">
        <v>393.22</v>
      </c>
      <c r="I623" s="14"/>
    </row>
    <row r="624" spans="6:9" ht="18.75" customHeight="1" x14ac:dyDescent="0.4">
      <c r="F624" s="1">
        <v>40330</v>
      </c>
      <c r="G624" s="14">
        <v>392.24</v>
      </c>
      <c r="I624" s="14"/>
    </row>
    <row r="625" spans="6:9" ht="18.75" customHeight="1" x14ac:dyDescent="0.4">
      <c r="F625" s="1">
        <v>40360</v>
      </c>
      <c r="G625" s="14">
        <v>390.33</v>
      </c>
      <c r="I625" s="14"/>
    </row>
    <row r="626" spans="6:9" ht="18.75" customHeight="1" x14ac:dyDescent="0.4">
      <c r="F626" s="1">
        <v>40391</v>
      </c>
      <c r="G626" s="14">
        <v>388.52</v>
      </c>
      <c r="I626" s="14"/>
    </row>
    <row r="627" spans="6:9" ht="18.75" customHeight="1" x14ac:dyDescent="0.4">
      <c r="F627" s="1">
        <v>40422</v>
      </c>
      <c r="G627" s="14">
        <v>386.84</v>
      </c>
      <c r="I627" s="14"/>
    </row>
    <row r="628" spans="6:9" ht="18.75" customHeight="1" x14ac:dyDescent="0.4">
      <c r="F628" s="1">
        <v>40452</v>
      </c>
      <c r="G628" s="14">
        <v>387.16</v>
      </c>
      <c r="I628" s="14"/>
    </row>
    <row r="629" spans="6:9" ht="18.75" customHeight="1" x14ac:dyDescent="0.4">
      <c r="F629" s="1">
        <v>40483</v>
      </c>
      <c r="G629" s="14">
        <v>388.67</v>
      </c>
      <c r="I629" s="14"/>
    </row>
    <row r="630" spans="6:9" ht="18.75" customHeight="1" x14ac:dyDescent="0.4">
      <c r="F630" s="1">
        <v>40513</v>
      </c>
      <c r="G630" s="14">
        <v>389.81</v>
      </c>
      <c r="I630" s="14"/>
    </row>
    <row r="631" spans="6:9" ht="18.75" customHeight="1" x14ac:dyDescent="0.4">
      <c r="F631" s="1">
        <v>40544</v>
      </c>
      <c r="G631" s="14">
        <v>391.3</v>
      </c>
      <c r="I631" s="14"/>
    </row>
    <row r="632" spans="6:9" ht="18.75" customHeight="1" x14ac:dyDescent="0.4">
      <c r="F632" s="1">
        <v>40575</v>
      </c>
      <c r="G632" s="14">
        <v>391.92</v>
      </c>
      <c r="I632" s="14"/>
    </row>
    <row r="633" spans="6:9" ht="18.75" customHeight="1" x14ac:dyDescent="0.4">
      <c r="F633" s="1">
        <v>40603</v>
      </c>
      <c r="G633" s="14">
        <v>392.45</v>
      </c>
      <c r="I633" s="14"/>
    </row>
    <row r="634" spans="6:9" ht="18.75" customHeight="1" x14ac:dyDescent="0.4">
      <c r="F634" s="1">
        <v>40634</v>
      </c>
      <c r="G634" s="14">
        <v>393.37</v>
      </c>
      <c r="I634" s="14"/>
    </row>
    <row r="635" spans="6:9" ht="18.75" customHeight="1" x14ac:dyDescent="0.4">
      <c r="F635" s="1">
        <v>40664</v>
      </c>
      <c r="G635" s="14">
        <v>394.28</v>
      </c>
      <c r="I635" s="14"/>
    </row>
    <row r="636" spans="6:9" ht="18.75" customHeight="1" x14ac:dyDescent="0.4">
      <c r="F636" s="1">
        <v>40695</v>
      </c>
      <c r="G636" s="14">
        <v>393.69</v>
      </c>
      <c r="I636" s="14"/>
    </row>
    <row r="637" spans="6:9" ht="18.75" customHeight="1" x14ac:dyDescent="0.4">
      <c r="F637" s="1">
        <v>40725</v>
      </c>
      <c r="G637" s="14">
        <v>392.59</v>
      </c>
      <c r="I637" s="14"/>
    </row>
    <row r="638" spans="6:9" ht="18.75" customHeight="1" x14ac:dyDescent="0.4">
      <c r="F638" s="1">
        <v>40756</v>
      </c>
      <c r="G638" s="14">
        <v>390.21</v>
      </c>
      <c r="I638" s="14"/>
    </row>
    <row r="639" spans="6:9" ht="18.75" customHeight="1" x14ac:dyDescent="0.4">
      <c r="F639" s="1">
        <v>40787</v>
      </c>
      <c r="G639" s="14">
        <v>389</v>
      </c>
      <c r="I639" s="14"/>
    </row>
    <row r="640" spans="6:9" ht="18.75" customHeight="1" x14ac:dyDescent="0.4">
      <c r="F640" s="1">
        <v>40817</v>
      </c>
      <c r="G640" s="14">
        <v>388.93</v>
      </c>
      <c r="I640" s="14"/>
    </row>
    <row r="641" spans="6:9" ht="18.75" customHeight="1" x14ac:dyDescent="0.4">
      <c r="F641" s="1">
        <v>40848</v>
      </c>
      <c r="G641" s="14">
        <v>390.24</v>
      </c>
      <c r="I641" s="14"/>
    </row>
    <row r="642" spans="6:9" ht="18.75" customHeight="1" x14ac:dyDescent="0.4">
      <c r="F642" s="1">
        <v>40878</v>
      </c>
      <c r="G642" s="14">
        <v>391.8</v>
      </c>
      <c r="I642" s="14"/>
    </row>
    <row r="643" spans="6:9" ht="18.75" customHeight="1" x14ac:dyDescent="0.4">
      <c r="F643" s="1">
        <v>40909</v>
      </c>
      <c r="G643" s="14">
        <v>393.07</v>
      </c>
      <c r="I643" s="14"/>
    </row>
    <row r="644" spans="6:9" ht="18.75" customHeight="1" x14ac:dyDescent="0.4">
      <c r="F644" s="1">
        <v>40940</v>
      </c>
      <c r="G644" s="14">
        <v>393.35</v>
      </c>
      <c r="I644" s="14"/>
    </row>
    <row r="645" spans="6:9" ht="18.75" customHeight="1" x14ac:dyDescent="0.4">
      <c r="F645" s="1">
        <v>40969</v>
      </c>
      <c r="G645" s="14">
        <v>394.36</v>
      </c>
      <c r="I645" s="14"/>
    </row>
    <row r="646" spans="6:9" ht="18.75" customHeight="1" x14ac:dyDescent="0.4">
      <c r="F646" s="1">
        <v>41000</v>
      </c>
      <c r="G646" s="14">
        <v>396.43</v>
      </c>
      <c r="I646" s="14"/>
    </row>
    <row r="647" spans="6:9" ht="18.75" customHeight="1" x14ac:dyDescent="0.4">
      <c r="F647" s="1">
        <v>41030</v>
      </c>
      <c r="G647" s="14">
        <v>396.87</v>
      </c>
      <c r="I647" s="14"/>
    </row>
    <row r="648" spans="6:9" ht="18.75" customHeight="1" x14ac:dyDescent="0.4">
      <c r="F648" s="1">
        <v>41061</v>
      </c>
      <c r="G648" s="14">
        <v>395.88</v>
      </c>
      <c r="I648" s="14"/>
    </row>
    <row r="649" spans="6:9" ht="18.75" customHeight="1" x14ac:dyDescent="0.4">
      <c r="F649" s="1">
        <v>41091</v>
      </c>
      <c r="G649" s="14">
        <v>394.52</v>
      </c>
      <c r="I649" s="14"/>
    </row>
    <row r="650" spans="6:9" ht="18.75" customHeight="1" x14ac:dyDescent="0.4">
      <c r="F650" s="1">
        <v>41122</v>
      </c>
      <c r="G650" s="14">
        <v>392.54</v>
      </c>
      <c r="I650" s="14"/>
    </row>
    <row r="651" spans="6:9" ht="18.75" customHeight="1" x14ac:dyDescent="0.4">
      <c r="F651" s="1">
        <v>41153</v>
      </c>
      <c r="G651" s="14">
        <v>391.13</v>
      </c>
      <c r="I651" s="14"/>
    </row>
    <row r="652" spans="6:9" ht="18.75" customHeight="1" x14ac:dyDescent="0.4">
      <c r="F652" s="1">
        <v>41183</v>
      </c>
      <c r="G652" s="14">
        <v>391.01</v>
      </c>
      <c r="I652" s="14"/>
    </row>
    <row r="653" spans="6:9" ht="18.75" customHeight="1" x14ac:dyDescent="0.4">
      <c r="F653" s="1">
        <v>41214</v>
      </c>
      <c r="G653" s="14">
        <v>392.95</v>
      </c>
      <c r="I653" s="14"/>
    </row>
    <row r="654" spans="6:9" ht="18.75" customHeight="1" x14ac:dyDescent="0.4">
      <c r="F654" s="1">
        <v>41244</v>
      </c>
      <c r="G654" s="14">
        <v>394.33</v>
      </c>
      <c r="I654" s="14"/>
    </row>
    <row r="655" spans="6:9" ht="18.75" customHeight="1" x14ac:dyDescent="0.4">
      <c r="F655" s="1">
        <v>41275</v>
      </c>
      <c r="G655" s="14">
        <v>395.61</v>
      </c>
      <c r="I655" s="14"/>
    </row>
    <row r="656" spans="6:9" ht="18.75" customHeight="1" x14ac:dyDescent="0.4">
      <c r="F656" s="1">
        <v>41306</v>
      </c>
      <c r="G656" s="14">
        <v>396.85</v>
      </c>
      <c r="I656" s="14"/>
    </row>
    <row r="657" spans="6:9" ht="18.75" customHeight="1" x14ac:dyDescent="0.4">
      <c r="F657" s="1">
        <v>41334</v>
      </c>
      <c r="G657" s="14">
        <v>397.26</v>
      </c>
      <c r="I657" s="14"/>
    </row>
    <row r="658" spans="6:9" ht="18.75" customHeight="1" x14ac:dyDescent="0.4">
      <c r="F658" s="1">
        <v>41365</v>
      </c>
      <c r="G658" s="14">
        <v>398.35</v>
      </c>
      <c r="I658" s="14"/>
    </row>
    <row r="659" spans="6:9" ht="18.75" customHeight="1" x14ac:dyDescent="0.4">
      <c r="F659" s="1">
        <v>41395</v>
      </c>
      <c r="G659" s="14">
        <v>399.98</v>
      </c>
      <c r="I659" s="14"/>
    </row>
    <row r="660" spans="6:9" ht="18.75" customHeight="1" x14ac:dyDescent="0.4">
      <c r="F660" s="1">
        <v>41426</v>
      </c>
      <c r="G660" s="14">
        <v>398.87</v>
      </c>
      <c r="I660" s="14"/>
    </row>
    <row r="661" spans="6:9" ht="18.75" customHeight="1" x14ac:dyDescent="0.4">
      <c r="F661" s="1">
        <v>41456</v>
      </c>
      <c r="G661" s="14">
        <v>397.37</v>
      </c>
      <c r="I661" s="14"/>
    </row>
    <row r="662" spans="6:9" ht="18.75" customHeight="1" x14ac:dyDescent="0.4">
      <c r="F662" s="1">
        <v>41487</v>
      </c>
      <c r="G662" s="14">
        <v>395.41</v>
      </c>
      <c r="I662" s="14"/>
    </row>
    <row r="663" spans="6:9" ht="18.75" customHeight="1" x14ac:dyDescent="0.4">
      <c r="F663" s="1">
        <v>41518</v>
      </c>
      <c r="G663" s="14">
        <v>393.39</v>
      </c>
      <c r="I663" s="14"/>
    </row>
    <row r="664" spans="6:9" ht="18.75" customHeight="1" x14ac:dyDescent="0.4">
      <c r="F664" s="1">
        <v>41548</v>
      </c>
      <c r="G664" s="14">
        <v>393.7</v>
      </c>
      <c r="I664" s="14"/>
    </row>
    <row r="665" spans="6:9" ht="18.75" customHeight="1" x14ac:dyDescent="0.4">
      <c r="F665" s="1">
        <v>41579</v>
      </c>
      <c r="G665" s="14">
        <v>395.19</v>
      </c>
      <c r="I665" s="14"/>
    </row>
    <row r="666" spans="6:9" ht="18.75" customHeight="1" x14ac:dyDescent="0.4">
      <c r="F666" s="1">
        <v>41609</v>
      </c>
      <c r="G666" s="14">
        <v>396.82</v>
      </c>
      <c r="I666" s="14"/>
    </row>
    <row r="667" spans="6:9" ht="18.75" customHeight="1" x14ac:dyDescent="0.4">
      <c r="F667" s="1">
        <v>41640</v>
      </c>
      <c r="G667" s="14">
        <v>397.93</v>
      </c>
      <c r="I667" s="14"/>
    </row>
    <row r="668" spans="6:9" ht="18.75" customHeight="1" x14ac:dyDescent="0.4">
      <c r="F668" s="1">
        <v>41671</v>
      </c>
      <c r="G668" s="14">
        <v>398.1</v>
      </c>
      <c r="I668" s="14"/>
    </row>
    <row r="669" spans="6:9" ht="18.75" customHeight="1" x14ac:dyDescent="0.4">
      <c r="F669" s="1">
        <v>41699</v>
      </c>
      <c r="G669" s="14">
        <v>399.47</v>
      </c>
      <c r="I669" s="14"/>
    </row>
    <row r="670" spans="6:9" ht="18.75" customHeight="1" x14ac:dyDescent="0.4">
      <c r="F670" s="1">
        <v>41730</v>
      </c>
      <c r="G670" s="14">
        <v>401.33</v>
      </c>
      <c r="I670" s="14"/>
    </row>
    <row r="671" spans="6:9" ht="18.75" customHeight="1" x14ac:dyDescent="0.4">
      <c r="F671" s="1">
        <v>41760</v>
      </c>
      <c r="G671" s="14">
        <v>401.88</v>
      </c>
      <c r="I671" s="14"/>
    </row>
    <row r="672" spans="6:9" ht="18.75" customHeight="1" x14ac:dyDescent="0.4">
      <c r="F672" s="1">
        <v>41791</v>
      </c>
      <c r="G672" s="14">
        <v>401.31</v>
      </c>
      <c r="I672" s="14"/>
    </row>
    <row r="673" spans="6:9" ht="18.75" customHeight="1" x14ac:dyDescent="0.4">
      <c r="F673" s="1">
        <v>41821</v>
      </c>
      <c r="G673" s="14">
        <v>399.07</v>
      </c>
      <c r="I673" s="14"/>
    </row>
    <row r="674" spans="6:9" ht="18.75" customHeight="1" x14ac:dyDescent="0.4">
      <c r="F674" s="1">
        <v>41852</v>
      </c>
      <c r="G674" s="14">
        <v>397.21</v>
      </c>
      <c r="I674" s="14"/>
    </row>
    <row r="675" spans="6:9" ht="18.75" customHeight="1" x14ac:dyDescent="0.4">
      <c r="F675" s="1">
        <v>41883</v>
      </c>
      <c r="G675" s="14">
        <v>395.4</v>
      </c>
      <c r="I675" s="14"/>
    </row>
    <row r="676" spans="6:9" ht="18.75" customHeight="1" x14ac:dyDescent="0.4">
      <c r="F676" s="1">
        <v>41913</v>
      </c>
      <c r="G676" s="14">
        <v>395.65</v>
      </c>
      <c r="I676" s="14"/>
    </row>
    <row r="677" spans="6:9" ht="18.75" customHeight="1" x14ac:dyDescent="0.4">
      <c r="F677" s="1">
        <v>41944</v>
      </c>
      <c r="G677" s="14">
        <v>397.23</v>
      </c>
      <c r="I677" s="14"/>
    </row>
    <row r="678" spans="6:9" ht="18.75" customHeight="1" x14ac:dyDescent="0.4">
      <c r="F678" s="1">
        <v>41974</v>
      </c>
      <c r="G678" s="14">
        <v>398.79</v>
      </c>
      <c r="I678" s="14"/>
    </row>
    <row r="679" spans="6:9" ht="18.75" customHeight="1" x14ac:dyDescent="0.4">
      <c r="F679" s="1">
        <v>42005</v>
      </c>
      <c r="G679" s="14">
        <v>399.85</v>
      </c>
      <c r="I679" s="14"/>
    </row>
    <row r="680" spans="6:9" ht="18.75" customHeight="1" x14ac:dyDescent="0.4">
      <c r="F680" s="1">
        <v>42036</v>
      </c>
      <c r="G680" s="14">
        <v>400.31</v>
      </c>
      <c r="I680" s="14"/>
    </row>
    <row r="681" spans="6:9" ht="18.75" customHeight="1" x14ac:dyDescent="0.4">
      <c r="F681" s="1">
        <v>42064</v>
      </c>
      <c r="G681" s="14">
        <v>401.51</v>
      </c>
      <c r="I681" s="14"/>
    </row>
    <row r="682" spans="6:9" ht="18.75" customHeight="1" x14ac:dyDescent="0.4">
      <c r="F682" s="1">
        <v>42095</v>
      </c>
      <c r="G682" s="14">
        <v>403.45</v>
      </c>
      <c r="I682" s="14"/>
    </row>
    <row r="683" spans="6:9" ht="18.75" customHeight="1" x14ac:dyDescent="0.4">
      <c r="F683" s="1">
        <v>42125</v>
      </c>
      <c r="G683" s="14">
        <v>404.1</v>
      </c>
      <c r="I683" s="14"/>
    </row>
    <row r="684" spans="6:9" ht="18.75" customHeight="1" x14ac:dyDescent="0.4">
      <c r="F684" s="1">
        <v>42156</v>
      </c>
      <c r="G684" s="14">
        <v>402.88</v>
      </c>
      <c r="I684" s="14"/>
    </row>
    <row r="685" spans="6:9" ht="18.75" customHeight="1" x14ac:dyDescent="0.4">
      <c r="F685" s="1">
        <v>42186</v>
      </c>
      <c r="G685" s="14">
        <v>401.61</v>
      </c>
      <c r="I685" s="14"/>
    </row>
    <row r="686" spans="6:9" ht="18.75" customHeight="1" x14ac:dyDescent="0.4">
      <c r="F686" s="1">
        <v>42217</v>
      </c>
      <c r="G686" s="14">
        <v>399</v>
      </c>
      <c r="I686" s="14"/>
    </row>
    <row r="687" spans="6:9" ht="18.75" customHeight="1" x14ac:dyDescent="0.4">
      <c r="F687" s="1">
        <v>42248</v>
      </c>
      <c r="G687" s="14">
        <v>397.5</v>
      </c>
      <c r="I687" s="14"/>
    </row>
    <row r="688" spans="6:9" ht="18.75" customHeight="1" x14ac:dyDescent="0.4">
      <c r="F688" s="1">
        <v>42278</v>
      </c>
      <c r="G688" s="14">
        <v>398.28</v>
      </c>
      <c r="I688" s="14"/>
    </row>
    <row r="689" spans="6:9" ht="18.75" customHeight="1" x14ac:dyDescent="0.4">
      <c r="F689" s="1">
        <v>42309</v>
      </c>
      <c r="G689" s="14">
        <v>400.24</v>
      </c>
      <c r="I689" s="14"/>
    </row>
    <row r="690" spans="6:9" ht="18.75" customHeight="1" x14ac:dyDescent="0.4">
      <c r="F690" s="1">
        <v>42339</v>
      </c>
      <c r="G690" s="14">
        <v>401.89</v>
      </c>
      <c r="I690" s="14"/>
    </row>
    <row r="691" spans="6:9" ht="18.75" customHeight="1" x14ac:dyDescent="0.4">
      <c r="F691" s="1">
        <v>42370</v>
      </c>
      <c r="G691" s="14">
        <v>402.65</v>
      </c>
      <c r="I691" s="14"/>
    </row>
    <row r="692" spans="6:9" ht="18.75" customHeight="1" x14ac:dyDescent="0.4">
      <c r="F692" s="1">
        <v>42401</v>
      </c>
      <c r="G692" s="14">
        <v>404.16</v>
      </c>
      <c r="I692" s="14"/>
    </row>
    <row r="693" spans="6:9" ht="18.75" customHeight="1" x14ac:dyDescent="0.4">
      <c r="F693" s="1">
        <v>42430</v>
      </c>
      <c r="G693" s="14">
        <v>404.85</v>
      </c>
      <c r="I693" s="14"/>
    </row>
    <row r="694" spans="6:9" ht="18.75" customHeight="1" x14ac:dyDescent="0.4">
      <c r="F694" s="1">
        <v>42461</v>
      </c>
      <c r="G694" s="14">
        <v>407.57</v>
      </c>
      <c r="I694" s="14"/>
    </row>
    <row r="695" spans="6:9" ht="18.75" customHeight="1" x14ac:dyDescent="0.4">
      <c r="F695" s="1">
        <v>42491</v>
      </c>
      <c r="G695" s="14">
        <v>407.66</v>
      </c>
      <c r="I695" s="14"/>
    </row>
    <row r="696" spans="6:9" ht="18.75" customHeight="1" x14ac:dyDescent="0.4">
      <c r="F696" s="1">
        <v>42522</v>
      </c>
      <c r="G696" s="14">
        <v>407</v>
      </c>
      <c r="I696" s="14"/>
    </row>
    <row r="697" spans="6:9" ht="18.75" customHeight="1" x14ac:dyDescent="0.4">
      <c r="F697" s="1">
        <v>42552</v>
      </c>
      <c r="G697" s="14">
        <v>404.5</v>
      </c>
      <c r="I697" s="14"/>
    </row>
    <row r="698" spans="6:9" ht="18.75" customHeight="1" x14ac:dyDescent="0.4">
      <c r="F698" s="1">
        <v>42583</v>
      </c>
      <c r="G698" s="14">
        <v>402.24</v>
      </c>
      <c r="I698" s="14"/>
    </row>
    <row r="699" spans="6:9" ht="18.75" customHeight="1" x14ac:dyDescent="0.4">
      <c r="F699" s="1">
        <v>42614</v>
      </c>
      <c r="G699" s="14">
        <v>401.01</v>
      </c>
      <c r="I699" s="14"/>
    </row>
    <row r="700" spans="6:9" ht="18.75" customHeight="1" x14ac:dyDescent="0.4">
      <c r="F700" s="1">
        <v>42644</v>
      </c>
      <c r="G700" s="14">
        <v>401.5</v>
      </c>
      <c r="I700" s="14"/>
    </row>
    <row r="701" spans="6:9" ht="18.75" customHeight="1" x14ac:dyDescent="0.4">
      <c r="F701" s="1">
        <v>42675</v>
      </c>
      <c r="G701" s="14">
        <v>403.64</v>
      </c>
      <c r="I701" s="14"/>
    </row>
    <row r="702" spans="6:9" ht="18.75" customHeight="1" x14ac:dyDescent="0.4">
      <c r="F702" s="1">
        <v>42705</v>
      </c>
      <c r="G702" s="14">
        <v>404.55</v>
      </c>
      <c r="I702" s="14"/>
    </row>
    <row r="703" spans="6:9" ht="18.75" customHeight="1" x14ac:dyDescent="0.4">
      <c r="F703" s="1">
        <v>42736</v>
      </c>
      <c r="G703" s="14">
        <v>406.07</v>
      </c>
      <c r="I703" s="14"/>
    </row>
    <row r="704" spans="6:9" ht="18.75" customHeight="1" x14ac:dyDescent="0.4">
      <c r="F704" s="1">
        <v>42767</v>
      </c>
      <c r="G704" s="14">
        <v>406.64</v>
      </c>
      <c r="I704" s="14"/>
    </row>
    <row r="705" spans="6:9" ht="18.75" customHeight="1" x14ac:dyDescent="0.4">
      <c r="F705" s="1">
        <v>42795</v>
      </c>
      <c r="G705" s="14">
        <v>407.05</v>
      </c>
      <c r="I705" s="14"/>
    </row>
    <row r="706" spans="6:9" ht="18.75" customHeight="1" x14ac:dyDescent="0.4">
      <c r="F706" s="1">
        <v>42826</v>
      </c>
      <c r="G706" s="14">
        <v>408.95</v>
      </c>
      <c r="I706" s="14"/>
    </row>
    <row r="707" spans="6:9" ht="18.75" customHeight="1" x14ac:dyDescent="0.4">
      <c r="F707" s="1">
        <v>42856</v>
      </c>
      <c r="G707" s="14">
        <v>409.91</v>
      </c>
      <c r="I707" s="14"/>
    </row>
    <row r="708" spans="6:9" ht="18.75" customHeight="1" x14ac:dyDescent="0.4">
      <c r="F708" s="1">
        <v>42887</v>
      </c>
      <c r="G708" s="14">
        <v>409.12</v>
      </c>
      <c r="I708" s="14"/>
    </row>
    <row r="709" spans="6:9" ht="18.75" customHeight="1" x14ac:dyDescent="0.4">
      <c r="F709" s="1">
        <v>42917</v>
      </c>
      <c r="G709" s="14">
        <v>407.2</v>
      </c>
      <c r="I709" s="14"/>
    </row>
    <row r="710" spans="6:9" ht="18.75" customHeight="1" x14ac:dyDescent="0.4">
      <c r="F710" s="1">
        <v>42948</v>
      </c>
      <c r="G710" s="14">
        <v>405.24</v>
      </c>
      <c r="I710" s="14"/>
    </row>
    <row r="711" spans="6:9" ht="18.75" customHeight="1" x14ac:dyDescent="0.4">
      <c r="F711" s="1">
        <v>42979</v>
      </c>
      <c r="G711" s="14">
        <v>403.27</v>
      </c>
      <c r="I711" s="14"/>
    </row>
    <row r="712" spans="6:9" ht="18.75" customHeight="1" x14ac:dyDescent="0.4">
      <c r="F712" s="1">
        <v>43009</v>
      </c>
      <c r="G712" s="14">
        <v>403.64</v>
      </c>
      <c r="I712" s="14"/>
    </row>
    <row r="713" spans="6:9" ht="18.75" customHeight="1" x14ac:dyDescent="0.4">
      <c r="F713" s="1">
        <v>43040</v>
      </c>
      <c r="G713" s="14">
        <v>405.17</v>
      </c>
      <c r="I713" s="14"/>
    </row>
    <row r="714" spans="6:9" ht="18.75" customHeight="1" x14ac:dyDescent="0.4">
      <c r="F714" s="1">
        <v>43070</v>
      </c>
      <c r="G714" s="14">
        <v>406.75</v>
      </c>
      <c r="I714" s="14"/>
    </row>
    <row r="715" spans="6:9" ht="18.75" customHeight="1" x14ac:dyDescent="0.4">
      <c r="F715" s="1">
        <v>43101</v>
      </c>
      <c r="G715" s="14">
        <v>408.05</v>
      </c>
      <c r="I715" s="14"/>
    </row>
    <row r="716" spans="6:9" ht="18.75" customHeight="1" x14ac:dyDescent="0.4">
      <c r="F716" s="1">
        <v>43132</v>
      </c>
      <c r="G716" s="14">
        <v>408.34</v>
      </c>
      <c r="I716" s="14"/>
    </row>
    <row r="717" spans="6:9" ht="18.75" customHeight="1" x14ac:dyDescent="0.4">
      <c r="F717" s="1">
        <v>43160</v>
      </c>
      <c r="G717" s="14">
        <v>409.25</v>
      </c>
      <c r="I717" s="14"/>
    </row>
    <row r="718" spans="6:9" ht="18.75" customHeight="1" x14ac:dyDescent="0.4">
      <c r="F718" s="1">
        <v>43191</v>
      </c>
      <c r="G718" s="14">
        <v>410.3</v>
      </c>
      <c r="I718" s="14"/>
    </row>
    <row r="719" spans="6:9" ht="18.75" customHeight="1" x14ac:dyDescent="0.4">
      <c r="F719" s="1">
        <v>43221</v>
      </c>
      <c r="G719" s="14">
        <v>411.3</v>
      </c>
      <c r="I719" s="14"/>
    </row>
    <row r="720" spans="6:9" ht="18.75" customHeight="1" x14ac:dyDescent="0.4">
      <c r="F720" s="1">
        <v>43252</v>
      </c>
      <c r="G720" s="14">
        <v>410.88</v>
      </c>
      <c r="I720" s="14"/>
    </row>
    <row r="721" spans="6:9" ht="18.75" customHeight="1" x14ac:dyDescent="0.4">
      <c r="F721" s="1">
        <v>43282</v>
      </c>
      <c r="G721" s="14">
        <v>408.9</v>
      </c>
      <c r="I721" s="14"/>
    </row>
    <row r="722" spans="6:9" ht="18.75" customHeight="1" x14ac:dyDescent="0.4">
      <c r="F722" s="1">
        <v>43313</v>
      </c>
      <c r="G722" s="14">
        <v>407.1</v>
      </c>
      <c r="I722" s="14"/>
    </row>
    <row r="723" spans="6:9" ht="18.75" customHeight="1" x14ac:dyDescent="0.4">
      <c r="F723" s="1">
        <v>43344</v>
      </c>
      <c r="G723" s="14">
        <v>405.59</v>
      </c>
      <c r="I723" s="14"/>
    </row>
    <row r="724" spans="6:9" ht="18.75" customHeight="1" x14ac:dyDescent="0.4">
      <c r="F724" s="1">
        <v>43374</v>
      </c>
      <c r="G724" s="14">
        <v>405.99</v>
      </c>
      <c r="I724" s="14"/>
    </row>
    <row r="725" spans="6:9" ht="18.75" customHeight="1" x14ac:dyDescent="0.4">
      <c r="F725" s="1">
        <v>43405</v>
      </c>
      <c r="G725" s="14">
        <v>408.12</v>
      </c>
      <c r="I725" s="14"/>
    </row>
    <row r="726" spans="6:9" ht="18.75" customHeight="1" x14ac:dyDescent="0.4">
      <c r="F726" s="1">
        <v>43435</v>
      </c>
      <c r="G726" s="14">
        <v>409.23</v>
      </c>
      <c r="I726" s="14"/>
    </row>
    <row r="727" spans="6:9" ht="18.75" customHeight="1" x14ac:dyDescent="0.4">
      <c r="F727" s="1">
        <v>43466</v>
      </c>
      <c r="G727" s="14">
        <v>410.92</v>
      </c>
      <c r="I727" s="14"/>
    </row>
    <row r="728" spans="6:9" ht="18.75" customHeight="1" x14ac:dyDescent="0.4">
      <c r="F728" s="1">
        <v>43497</v>
      </c>
      <c r="G728" s="14">
        <v>411.66</v>
      </c>
      <c r="I728" s="14"/>
    </row>
    <row r="729" spans="6:9" ht="18.75" customHeight="1" x14ac:dyDescent="0.4">
      <c r="F729" s="1">
        <v>43525</v>
      </c>
      <c r="G729" s="14">
        <v>412</v>
      </c>
      <c r="I729" s="14"/>
    </row>
    <row r="730" spans="6:9" ht="18.75" customHeight="1" x14ac:dyDescent="0.4">
      <c r="F730" s="1">
        <v>43556</v>
      </c>
      <c r="G730" s="14">
        <v>413.52</v>
      </c>
      <c r="I730" s="14"/>
    </row>
    <row r="731" spans="6:9" ht="18.75" customHeight="1" x14ac:dyDescent="0.4">
      <c r="F731" s="1">
        <v>43586</v>
      </c>
      <c r="G731" s="14">
        <v>414.83</v>
      </c>
      <c r="I731" s="14"/>
    </row>
    <row r="732" spans="6:9" ht="18.75" customHeight="1" x14ac:dyDescent="0.4">
      <c r="F732" s="1">
        <v>43617</v>
      </c>
      <c r="G732" s="14">
        <v>413.96</v>
      </c>
      <c r="I732" s="14"/>
    </row>
    <row r="733" spans="6:9" ht="18.75" customHeight="1" x14ac:dyDescent="0.4">
      <c r="F733" s="1">
        <v>43647</v>
      </c>
      <c r="G733" s="14">
        <v>411.85</v>
      </c>
      <c r="I733" s="14"/>
    </row>
    <row r="734" spans="6:9" ht="18.75" customHeight="1" x14ac:dyDescent="0.4">
      <c r="F734" s="1">
        <v>43678</v>
      </c>
      <c r="G734" s="14">
        <v>410.08</v>
      </c>
      <c r="I734" s="14"/>
    </row>
    <row r="735" spans="6:9" ht="18.75" customHeight="1" x14ac:dyDescent="0.4">
      <c r="F735" s="1">
        <v>43709</v>
      </c>
      <c r="G735" s="14">
        <v>408.55</v>
      </c>
      <c r="I735" s="14"/>
    </row>
    <row r="736" spans="6:9" ht="18.75" customHeight="1" x14ac:dyDescent="0.4">
      <c r="F736" s="1">
        <v>43739</v>
      </c>
      <c r="G736" s="14">
        <v>408.43</v>
      </c>
      <c r="I736" s="14"/>
    </row>
    <row r="737" spans="6:9" ht="18.75" customHeight="1" x14ac:dyDescent="0.4">
      <c r="F737" s="1">
        <v>43770</v>
      </c>
      <c r="G737" s="14">
        <v>410.29</v>
      </c>
      <c r="I737" s="14"/>
    </row>
    <row r="738" spans="6:9" ht="18.75" customHeight="1" x14ac:dyDescent="0.4">
      <c r="F738" s="1">
        <v>43800</v>
      </c>
      <c r="G738" s="14">
        <v>411.85</v>
      </c>
      <c r="I738" s="14"/>
    </row>
    <row r="739" spans="6:9" ht="18.75" customHeight="1" x14ac:dyDescent="0.4">
      <c r="F739" s="1">
        <v>43831</v>
      </c>
      <c r="G739" s="14">
        <v>413.37</v>
      </c>
      <c r="I739" s="14"/>
    </row>
    <row r="740" spans="6:9" ht="18.75" customHeight="1" x14ac:dyDescent="0.4">
      <c r="F740" s="1">
        <v>43862</v>
      </c>
      <c r="G740" s="14">
        <v>414.09</v>
      </c>
      <c r="I740" s="14"/>
    </row>
    <row r="741" spans="6:9" ht="18.75" customHeight="1" x14ac:dyDescent="0.4">
      <c r="F741" s="1">
        <v>43891</v>
      </c>
      <c r="G741" s="14">
        <v>414.51</v>
      </c>
      <c r="I741" s="14"/>
    </row>
    <row r="742" spans="6:9" ht="18.75" customHeight="1" x14ac:dyDescent="0.4">
      <c r="F742" s="1">
        <v>43922</v>
      </c>
      <c r="G742" s="14">
        <v>416.18</v>
      </c>
      <c r="I742" s="14"/>
    </row>
    <row r="743" spans="6:9" ht="18.75" customHeight="1" x14ac:dyDescent="0.4">
      <c r="F743" s="1">
        <v>43952</v>
      </c>
    </row>
    <row r="744" spans="6:9" ht="18.75" customHeight="1" x14ac:dyDescent="0.4">
      <c r="F744" s="1">
        <v>43983</v>
      </c>
    </row>
    <row r="745" spans="6:9" ht="18.75" customHeight="1" x14ac:dyDescent="0.4">
      <c r="F745" s="1">
        <v>44013</v>
      </c>
    </row>
    <row r="746" spans="6:9" ht="18.75" customHeight="1" x14ac:dyDescent="0.4">
      <c r="F746" s="1">
        <v>44044</v>
      </c>
    </row>
    <row r="747" spans="6:9" ht="18.75" customHeight="1" x14ac:dyDescent="0.4">
      <c r="F747" s="1">
        <v>44075</v>
      </c>
    </row>
    <row r="748" spans="6:9" ht="18.75" customHeight="1" x14ac:dyDescent="0.4">
      <c r="F748" s="1">
        <v>44105</v>
      </c>
    </row>
    <row r="749" spans="6:9" ht="18.75" customHeight="1" x14ac:dyDescent="0.4">
      <c r="F749" s="1">
        <v>44136</v>
      </c>
    </row>
    <row r="750" spans="6:9" ht="18.75" customHeight="1" x14ac:dyDescent="0.4">
      <c r="F750" s="1">
        <v>44166</v>
      </c>
    </row>
    <row r="751" spans="6:9" ht="18.75" customHeight="1" x14ac:dyDescent="0.4">
      <c r="F751" s="1">
        <v>44197</v>
      </c>
    </row>
    <row r="752" spans="6:9" ht="18.75" customHeight="1" x14ac:dyDescent="0.4">
      <c r="F752" s="1">
        <v>44228</v>
      </c>
    </row>
    <row r="753" spans="6:6" ht="18.75" customHeight="1" x14ac:dyDescent="0.4">
      <c r="F753" s="1">
        <v>44256</v>
      </c>
    </row>
    <row r="754" spans="6:6" ht="18.75" customHeight="1" x14ac:dyDescent="0.4">
      <c r="F754" s="1">
        <v>44287</v>
      </c>
    </row>
    <row r="755" spans="6:6" ht="18.75" customHeight="1" x14ac:dyDescent="0.4">
      <c r="F755" s="1">
        <v>44317</v>
      </c>
    </row>
    <row r="756" spans="6:6" ht="18.75" customHeight="1" x14ac:dyDescent="0.4">
      <c r="F756" s="1">
        <v>44348</v>
      </c>
    </row>
    <row r="757" spans="6:6" ht="18.75" customHeight="1" x14ac:dyDescent="0.4">
      <c r="F757" s="1">
        <v>44378</v>
      </c>
    </row>
    <row r="758" spans="6:6" ht="18.75" customHeight="1" x14ac:dyDescent="0.4">
      <c r="F758" s="1">
        <v>44409</v>
      </c>
    </row>
    <row r="759" spans="6:6" ht="18.75" customHeight="1" x14ac:dyDescent="0.4">
      <c r="F759" s="1">
        <v>44440</v>
      </c>
    </row>
    <row r="760" spans="6:6" ht="18.75" customHeight="1" x14ac:dyDescent="0.4">
      <c r="F760" s="1">
        <v>44470</v>
      </c>
    </row>
    <row r="761" spans="6:6" ht="18.75" customHeight="1" x14ac:dyDescent="0.4">
      <c r="F761" s="1">
        <v>44501</v>
      </c>
    </row>
    <row r="762" spans="6:6" ht="18.75" customHeight="1" x14ac:dyDescent="0.4">
      <c r="F762" s="1">
        <v>44531</v>
      </c>
    </row>
    <row r="763" spans="6:6" ht="18.75" customHeight="1" x14ac:dyDescent="0.4">
      <c r="F763" s="1">
        <v>44562</v>
      </c>
    </row>
    <row r="764" spans="6:6" ht="18.75" customHeight="1" x14ac:dyDescent="0.4">
      <c r="F764" s="1">
        <v>44593</v>
      </c>
    </row>
    <row r="765" spans="6:6" ht="18.75" customHeight="1" x14ac:dyDescent="0.4">
      <c r="F765" s="1">
        <v>44621</v>
      </c>
    </row>
    <row r="766" spans="6:6" ht="18.75" customHeight="1" x14ac:dyDescent="0.4">
      <c r="F766" s="1">
        <v>44652</v>
      </c>
    </row>
    <row r="767" spans="6:6" ht="18.75" customHeight="1" x14ac:dyDescent="0.4">
      <c r="F767" s="1">
        <v>44682</v>
      </c>
    </row>
    <row r="768" spans="6:6" ht="18.75" customHeight="1" x14ac:dyDescent="0.4">
      <c r="F768" s="1">
        <v>44713</v>
      </c>
    </row>
    <row r="769" spans="6:6" ht="18.75" customHeight="1" x14ac:dyDescent="0.4">
      <c r="F769" s="1">
        <v>44743</v>
      </c>
    </row>
    <row r="770" spans="6:6" ht="18.75" customHeight="1" x14ac:dyDescent="0.4">
      <c r="F770" s="1">
        <v>44774</v>
      </c>
    </row>
    <row r="771" spans="6:6" ht="18.75" customHeight="1" x14ac:dyDescent="0.4">
      <c r="F771" s="1">
        <v>44805</v>
      </c>
    </row>
    <row r="772" spans="6:6" ht="18.75" customHeight="1" x14ac:dyDescent="0.4">
      <c r="F772" s="1">
        <v>44835</v>
      </c>
    </row>
    <row r="773" spans="6:6" ht="18.75" customHeight="1" x14ac:dyDescent="0.4">
      <c r="F773" s="1">
        <v>44866</v>
      </c>
    </row>
    <row r="774" spans="6:6" ht="18.75" customHeight="1" x14ac:dyDescent="0.4">
      <c r="F774" s="1">
        <v>44896</v>
      </c>
    </row>
    <row r="775" spans="6:6" ht="18.75" customHeight="1" x14ac:dyDescent="0.4">
      <c r="F775" s="1">
        <v>44927</v>
      </c>
    </row>
    <row r="776" spans="6:6" ht="18.75" customHeight="1" x14ac:dyDescent="0.4">
      <c r="F776" s="1">
        <v>44958</v>
      </c>
    </row>
    <row r="777" spans="6:6" ht="18.75" customHeight="1" x14ac:dyDescent="0.4">
      <c r="F777" s="1">
        <v>44986</v>
      </c>
    </row>
    <row r="778" spans="6:6" ht="18.75" customHeight="1" x14ac:dyDescent="0.4">
      <c r="F778" s="1">
        <v>45017</v>
      </c>
    </row>
    <row r="779" spans="6:6" ht="18.75" customHeight="1" x14ac:dyDescent="0.4">
      <c r="F779" s="1">
        <v>45047</v>
      </c>
    </row>
    <row r="780" spans="6:6" ht="18.75" customHeight="1" x14ac:dyDescent="0.4">
      <c r="F780" s="1">
        <v>45078</v>
      </c>
    </row>
    <row r="781" spans="6:6" ht="18.75" customHeight="1" x14ac:dyDescent="0.4">
      <c r="F781" s="1">
        <v>45108</v>
      </c>
    </row>
    <row r="782" spans="6:6" ht="18.75" customHeight="1" x14ac:dyDescent="0.4">
      <c r="F782" s="1">
        <v>45139</v>
      </c>
    </row>
    <row r="783" spans="6:6" ht="18.75" customHeight="1" x14ac:dyDescent="0.4">
      <c r="F783" s="1">
        <v>45170</v>
      </c>
    </row>
    <row r="784" spans="6:6" ht="18.75" customHeight="1" x14ac:dyDescent="0.4">
      <c r="F784" s="1">
        <v>45200</v>
      </c>
    </row>
    <row r="785" spans="6:6" ht="18.75" customHeight="1" x14ac:dyDescent="0.4">
      <c r="F785" s="1">
        <v>45231</v>
      </c>
    </row>
    <row r="786" spans="6:6" ht="18.75" customHeight="1" x14ac:dyDescent="0.4">
      <c r="F786" s="1">
        <v>45261</v>
      </c>
    </row>
    <row r="787" spans="6:6" ht="18.75" customHeight="1" x14ac:dyDescent="0.4">
      <c r="F787" s="1">
        <v>45292</v>
      </c>
    </row>
    <row r="788" spans="6:6" ht="18.75" customHeight="1" x14ac:dyDescent="0.4">
      <c r="F788" s="1">
        <v>45323</v>
      </c>
    </row>
    <row r="789" spans="6:6" ht="18.75" customHeight="1" x14ac:dyDescent="0.4">
      <c r="F789" s="1">
        <v>45352</v>
      </c>
    </row>
    <row r="790" spans="6:6" ht="18.75" customHeight="1" x14ac:dyDescent="0.4">
      <c r="F790" s="1">
        <v>45383</v>
      </c>
    </row>
    <row r="791" spans="6:6" ht="18.75" customHeight="1" x14ac:dyDescent="0.4">
      <c r="F791" s="1">
        <v>45413</v>
      </c>
    </row>
    <row r="792" spans="6:6" ht="18.75" customHeight="1" x14ac:dyDescent="0.4">
      <c r="F792" s="1">
        <v>45444</v>
      </c>
    </row>
    <row r="793" spans="6:6" ht="18.75" customHeight="1" x14ac:dyDescent="0.4">
      <c r="F793" s="1">
        <v>45474</v>
      </c>
    </row>
    <row r="794" spans="6:6" ht="18.75" customHeight="1" x14ac:dyDescent="0.4">
      <c r="F794" s="1">
        <v>45505</v>
      </c>
    </row>
    <row r="795" spans="6:6" ht="18.75" customHeight="1" x14ac:dyDescent="0.4">
      <c r="F795" s="1">
        <v>45536</v>
      </c>
    </row>
    <row r="796" spans="6:6" ht="18.75" customHeight="1" x14ac:dyDescent="0.4">
      <c r="F796" s="1">
        <v>45566</v>
      </c>
    </row>
    <row r="797" spans="6:6" ht="18.75" customHeight="1" x14ac:dyDescent="0.4">
      <c r="F797" s="1">
        <v>45597</v>
      </c>
    </row>
    <row r="798" spans="6:6" ht="18.75" customHeight="1" x14ac:dyDescent="0.4">
      <c r="F798" s="1">
        <v>45627</v>
      </c>
    </row>
    <row r="799" spans="6:6" ht="18.75" customHeight="1" x14ac:dyDescent="0.4">
      <c r="F799" s="1">
        <v>45658</v>
      </c>
    </row>
    <row r="800" spans="6:6" ht="18.75" customHeight="1" x14ac:dyDescent="0.4">
      <c r="F800" s="1">
        <v>45689</v>
      </c>
    </row>
    <row r="801" spans="6:6" ht="18.75" customHeight="1" x14ac:dyDescent="0.4">
      <c r="F801" s="1">
        <v>45717</v>
      </c>
    </row>
    <row r="802" spans="6:6" ht="18.75" customHeight="1" x14ac:dyDescent="0.4">
      <c r="F802" s="1">
        <v>45748</v>
      </c>
    </row>
    <row r="803" spans="6:6" ht="18.75" customHeight="1" x14ac:dyDescent="0.4">
      <c r="F803" s="1">
        <v>45778</v>
      </c>
    </row>
    <row r="804" spans="6:6" ht="18.75" customHeight="1" x14ac:dyDescent="0.4">
      <c r="F804" s="1">
        <v>45809</v>
      </c>
    </row>
    <row r="805" spans="6:6" ht="18.75" customHeight="1" x14ac:dyDescent="0.4">
      <c r="F805" s="1">
        <v>45839</v>
      </c>
    </row>
    <row r="806" spans="6:6" ht="18.75" customHeight="1" x14ac:dyDescent="0.4">
      <c r="F806" s="1">
        <v>45870</v>
      </c>
    </row>
    <row r="807" spans="6:6" ht="18.75" customHeight="1" x14ac:dyDescent="0.4">
      <c r="F807" s="1">
        <v>45901</v>
      </c>
    </row>
    <row r="808" spans="6:6" ht="18.75" customHeight="1" x14ac:dyDescent="0.4">
      <c r="F808" s="1">
        <v>45931</v>
      </c>
    </row>
    <row r="809" spans="6:6" ht="18.75" customHeight="1" x14ac:dyDescent="0.4">
      <c r="F809" s="1">
        <v>45962</v>
      </c>
    </row>
    <row r="810" spans="6:6" ht="18.75" customHeight="1" x14ac:dyDescent="0.4">
      <c r="F810" s="1">
        <v>45992</v>
      </c>
    </row>
    <row r="811" spans="6:6" ht="18.75" customHeight="1" x14ac:dyDescent="0.4">
      <c r="F811" s="1">
        <v>46023</v>
      </c>
    </row>
    <row r="812" spans="6:6" ht="18.75" customHeight="1" x14ac:dyDescent="0.4">
      <c r="F812" s="1">
        <v>46054</v>
      </c>
    </row>
    <row r="813" spans="6:6" ht="18.75" customHeight="1" x14ac:dyDescent="0.4">
      <c r="F813" s="1">
        <v>46082</v>
      </c>
    </row>
    <row r="814" spans="6:6" ht="18.75" customHeight="1" x14ac:dyDescent="0.4">
      <c r="F814" s="1">
        <v>46113</v>
      </c>
    </row>
    <row r="815" spans="6:6" ht="18.75" customHeight="1" x14ac:dyDescent="0.4">
      <c r="F815" s="1">
        <v>46143</v>
      </c>
    </row>
    <row r="816" spans="6:6" ht="18.75" customHeight="1" x14ac:dyDescent="0.4">
      <c r="F816" s="1">
        <v>46174</v>
      </c>
    </row>
    <row r="817" spans="6:6" ht="18.75" customHeight="1" x14ac:dyDescent="0.4">
      <c r="F817" s="1">
        <v>46204</v>
      </c>
    </row>
    <row r="818" spans="6:6" ht="18.75" customHeight="1" x14ac:dyDescent="0.4">
      <c r="F818" s="1">
        <v>46235</v>
      </c>
    </row>
    <row r="819" spans="6:6" ht="18.75" customHeight="1" x14ac:dyDescent="0.4">
      <c r="F819" s="1">
        <v>46266</v>
      </c>
    </row>
    <row r="820" spans="6:6" ht="18.75" customHeight="1" x14ac:dyDescent="0.4">
      <c r="F820" s="1">
        <v>46296</v>
      </c>
    </row>
    <row r="821" spans="6:6" ht="18.75" customHeight="1" x14ac:dyDescent="0.4">
      <c r="F821" s="1">
        <v>46327</v>
      </c>
    </row>
    <row r="822" spans="6:6" ht="18.75" customHeight="1" x14ac:dyDescent="0.4">
      <c r="F822" s="1">
        <v>46357</v>
      </c>
    </row>
    <row r="823" spans="6:6" ht="18.75" customHeight="1" x14ac:dyDescent="0.4">
      <c r="F823" s="1">
        <v>46388</v>
      </c>
    </row>
    <row r="824" spans="6:6" ht="18.75" customHeight="1" x14ac:dyDescent="0.4">
      <c r="F824" s="1">
        <v>46419</v>
      </c>
    </row>
    <row r="825" spans="6:6" ht="18.75" customHeight="1" x14ac:dyDescent="0.4">
      <c r="F825" s="1">
        <v>46447</v>
      </c>
    </row>
    <row r="826" spans="6:6" ht="18.75" customHeight="1" x14ac:dyDescent="0.4">
      <c r="F826" s="1">
        <v>46478</v>
      </c>
    </row>
    <row r="827" spans="6:6" ht="18.75" customHeight="1" x14ac:dyDescent="0.4">
      <c r="F827" s="1">
        <v>46508</v>
      </c>
    </row>
    <row r="828" spans="6:6" ht="18.75" customHeight="1" x14ac:dyDescent="0.4">
      <c r="F828" s="1">
        <v>46539</v>
      </c>
    </row>
    <row r="829" spans="6:6" ht="18.75" customHeight="1" x14ac:dyDescent="0.4">
      <c r="F829" s="1">
        <v>46569</v>
      </c>
    </row>
    <row r="830" spans="6:6" ht="18.75" customHeight="1" x14ac:dyDescent="0.4">
      <c r="F830" s="1">
        <v>46600</v>
      </c>
    </row>
    <row r="831" spans="6:6" ht="18.75" customHeight="1" x14ac:dyDescent="0.4">
      <c r="F831" s="1">
        <v>46631</v>
      </c>
    </row>
    <row r="832" spans="6:6" ht="18.75" customHeight="1" x14ac:dyDescent="0.4">
      <c r="F832" s="1">
        <v>46661</v>
      </c>
    </row>
    <row r="833" spans="6:6" ht="18.75" customHeight="1" x14ac:dyDescent="0.4">
      <c r="F833" s="1">
        <v>46692</v>
      </c>
    </row>
    <row r="834" spans="6:6" ht="18.75" customHeight="1" x14ac:dyDescent="0.4">
      <c r="F834" s="1">
        <v>46722</v>
      </c>
    </row>
    <row r="835" spans="6:6" ht="18.75" customHeight="1" x14ac:dyDescent="0.4">
      <c r="F835" s="1">
        <v>46753</v>
      </c>
    </row>
    <row r="836" spans="6:6" ht="18.75" customHeight="1" x14ac:dyDescent="0.4">
      <c r="F836" s="1">
        <v>46784</v>
      </c>
    </row>
    <row r="837" spans="6:6" ht="18.75" customHeight="1" x14ac:dyDescent="0.4">
      <c r="F837" s="1">
        <v>46813</v>
      </c>
    </row>
    <row r="838" spans="6:6" ht="18.75" customHeight="1" x14ac:dyDescent="0.4">
      <c r="F838" s="1">
        <v>46844</v>
      </c>
    </row>
    <row r="839" spans="6:6" ht="18.75" customHeight="1" x14ac:dyDescent="0.4">
      <c r="F839" s="1">
        <v>46874</v>
      </c>
    </row>
    <row r="840" spans="6:6" ht="18.75" customHeight="1" x14ac:dyDescent="0.4">
      <c r="F840" s="1">
        <v>46905</v>
      </c>
    </row>
    <row r="841" spans="6:6" ht="18.75" customHeight="1" x14ac:dyDescent="0.4">
      <c r="F841" s="1">
        <v>46935</v>
      </c>
    </row>
    <row r="842" spans="6:6" ht="18.75" customHeight="1" x14ac:dyDescent="0.4">
      <c r="F842" s="1">
        <v>46966</v>
      </c>
    </row>
    <row r="843" spans="6:6" ht="18.75" customHeight="1" x14ac:dyDescent="0.4">
      <c r="F843" s="1">
        <v>46997</v>
      </c>
    </row>
    <row r="844" spans="6:6" ht="18.75" customHeight="1" x14ac:dyDescent="0.4">
      <c r="F844" s="1">
        <v>47027</v>
      </c>
    </row>
    <row r="845" spans="6:6" ht="18.75" customHeight="1" x14ac:dyDescent="0.4">
      <c r="F845" s="1">
        <v>47058</v>
      </c>
    </row>
    <row r="846" spans="6:6" ht="18.75" customHeight="1" x14ac:dyDescent="0.4">
      <c r="F846" s="1">
        <v>47088</v>
      </c>
    </row>
    <row r="847" spans="6:6" ht="18.75" customHeight="1" x14ac:dyDescent="0.4">
      <c r="F847" s="1">
        <v>47119</v>
      </c>
    </row>
    <row r="848" spans="6:6" ht="18.75" customHeight="1" x14ac:dyDescent="0.4">
      <c r="F848" s="1">
        <v>47150</v>
      </c>
    </row>
    <row r="849" spans="6:6" ht="18.75" customHeight="1" x14ac:dyDescent="0.4">
      <c r="F849" s="1">
        <v>47178</v>
      </c>
    </row>
    <row r="850" spans="6:6" ht="18.75" customHeight="1" x14ac:dyDescent="0.4">
      <c r="F850" s="1">
        <v>47209</v>
      </c>
    </row>
    <row r="851" spans="6:6" ht="18.75" customHeight="1" x14ac:dyDescent="0.4">
      <c r="F851" s="1">
        <v>47239</v>
      </c>
    </row>
    <row r="852" spans="6:6" ht="18.75" customHeight="1" x14ac:dyDescent="0.4">
      <c r="F852" s="1">
        <v>47270</v>
      </c>
    </row>
    <row r="853" spans="6:6" ht="18.75" customHeight="1" x14ac:dyDescent="0.4">
      <c r="F853" s="1">
        <v>47300</v>
      </c>
    </row>
    <row r="854" spans="6:6" ht="18.75" customHeight="1" x14ac:dyDescent="0.4">
      <c r="F854" s="1">
        <v>47331</v>
      </c>
    </row>
    <row r="855" spans="6:6" ht="18.75" customHeight="1" x14ac:dyDescent="0.4">
      <c r="F855" s="1">
        <v>47362</v>
      </c>
    </row>
    <row r="856" spans="6:6" ht="18.75" customHeight="1" x14ac:dyDescent="0.4">
      <c r="F856" s="1">
        <v>47392</v>
      </c>
    </row>
    <row r="857" spans="6:6" ht="18.75" customHeight="1" x14ac:dyDescent="0.4">
      <c r="F857" s="1">
        <v>47423</v>
      </c>
    </row>
    <row r="858" spans="6:6" ht="18.75" customHeight="1" x14ac:dyDescent="0.4">
      <c r="F858" s="1">
        <v>47453</v>
      </c>
    </row>
    <row r="859" spans="6:6" ht="18.75" customHeight="1" x14ac:dyDescent="0.4">
      <c r="F859" s="1">
        <v>47484</v>
      </c>
    </row>
    <row r="860" spans="6:6" ht="18.75" customHeight="1" x14ac:dyDescent="0.4">
      <c r="F860" s="1">
        <v>47515</v>
      </c>
    </row>
    <row r="861" spans="6:6" ht="18.75" customHeight="1" x14ac:dyDescent="0.4">
      <c r="F861" s="1">
        <v>47543</v>
      </c>
    </row>
    <row r="862" spans="6:6" ht="18.75" customHeight="1" x14ac:dyDescent="0.4">
      <c r="F862" s="1">
        <v>47574</v>
      </c>
    </row>
    <row r="863" spans="6:6" ht="18.75" customHeight="1" x14ac:dyDescent="0.4">
      <c r="F863" s="1">
        <v>47604</v>
      </c>
    </row>
    <row r="864" spans="6:6" ht="18.75" customHeight="1" x14ac:dyDescent="0.4">
      <c r="F864" s="1">
        <v>47635</v>
      </c>
    </row>
    <row r="865" spans="6:6" ht="18.75" customHeight="1" x14ac:dyDescent="0.4">
      <c r="F865" s="1">
        <v>47665</v>
      </c>
    </row>
    <row r="866" spans="6:6" ht="18.75" customHeight="1" x14ac:dyDescent="0.4">
      <c r="F866" s="1">
        <v>47696</v>
      </c>
    </row>
    <row r="867" spans="6:6" ht="18.75" customHeight="1" x14ac:dyDescent="0.4">
      <c r="F867" s="1">
        <v>47727</v>
      </c>
    </row>
    <row r="868" spans="6:6" ht="18.75" customHeight="1" x14ac:dyDescent="0.4">
      <c r="F868" s="1">
        <v>47757</v>
      </c>
    </row>
    <row r="869" spans="6:6" ht="18.75" customHeight="1" x14ac:dyDescent="0.4">
      <c r="F869" s="1">
        <v>47788</v>
      </c>
    </row>
    <row r="870" spans="6:6" ht="18.75" customHeight="1" x14ac:dyDescent="0.4">
      <c r="F870" s="1">
        <v>47818</v>
      </c>
    </row>
    <row r="871" spans="6:6" ht="18.75" customHeight="1" x14ac:dyDescent="0.4">
      <c r="F871" s="1">
        <v>47849</v>
      </c>
    </row>
    <row r="872" spans="6:6" ht="18.75" customHeight="1" x14ac:dyDescent="0.4">
      <c r="F872" s="1">
        <v>47880</v>
      </c>
    </row>
    <row r="873" spans="6:6" ht="18.75" customHeight="1" x14ac:dyDescent="0.4">
      <c r="F873" s="1">
        <v>47908</v>
      </c>
    </row>
    <row r="874" spans="6:6" ht="18.75" customHeight="1" x14ac:dyDescent="0.4">
      <c r="F874" s="1">
        <v>47939</v>
      </c>
    </row>
    <row r="875" spans="6:6" ht="18.75" customHeight="1" x14ac:dyDescent="0.4">
      <c r="F875" s="1">
        <v>47969</v>
      </c>
    </row>
    <row r="876" spans="6:6" ht="18.75" customHeight="1" x14ac:dyDescent="0.4">
      <c r="F876" s="1">
        <v>48000</v>
      </c>
    </row>
    <row r="877" spans="6:6" ht="18.75" customHeight="1" x14ac:dyDescent="0.4">
      <c r="F877" s="1">
        <v>48030</v>
      </c>
    </row>
    <row r="878" spans="6:6" ht="18.75" customHeight="1" x14ac:dyDescent="0.4">
      <c r="F878" s="1">
        <v>48061</v>
      </c>
    </row>
    <row r="879" spans="6:6" ht="18.75" customHeight="1" x14ac:dyDescent="0.4">
      <c r="F879" s="1">
        <v>48092</v>
      </c>
    </row>
    <row r="880" spans="6:6" ht="18.75" customHeight="1" x14ac:dyDescent="0.4">
      <c r="F880" s="1">
        <v>48122</v>
      </c>
    </row>
    <row r="881" spans="6:6" ht="18.75" customHeight="1" x14ac:dyDescent="0.4">
      <c r="F881" s="1">
        <v>48153</v>
      </c>
    </row>
    <row r="882" spans="6:6" ht="18.75" customHeight="1" x14ac:dyDescent="0.4">
      <c r="F882" s="1">
        <v>48183</v>
      </c>
    </row>
    <row r="883" spans="6:6" ht="18.75" customHeight="1" x14ac:dyDescent="0.4">
      <c r="F883" s="1">
        <v>48214</v>
      </c>
    </row>
    <row r="884" spans="6:6" ht="18.75" customHeight="1" x14ac:dyDescent="0.4">
      <c r="F884" s="1">
        <v>48245</v>
      </c>
    </row>
    <row r="885" spans="6:6" ht="18.75" customHeight="1" x14ac:dyDescent="0.4">
      <c r="F885" s="1">
        <v>48274</v>
      </c>
    </row>
    <row r="886" spans="6:6" ht="18.75" customHeight="1" x14ac:dyDescent="0.4">
      <c r="F886" s="1">
        <v>48305</v>
      </c>
    </row>
    <row r="887" spans="6:6" ht="18.75" customHeight="1" x14ac:dyDescent="0.4">
      <c r="F887" s="1">
        <v>48335</v>
      </c>
    </row>
    <row r="888" spans="6:6" ht="18.75" customHeight="1" x14ac:dyDescent="0.4">
      <c r="F888" s="1">
        <v>48366</v>
      </c>
    </row>
    <row r="889" spans="6:6" ht="18.75" customHeight="1" x14ac:dyDescent="0.4">
      <c r="F889" s="1">
        <v>48396</v>
      </c>
    </row>
    <row r="890" spans="6:6" ht="18.75" customHeight="1" x14ac:dyDescent="0.4">
      <c r="F890" s="1">
        <v>48427</v>
      </c>
    </row>
    <row r="891" spans="6:6" ht="18.75" customHeight="1" x14ac:dyDescent="0.4">
      <c r="F891" s="1">
        <v>48458</v>
      </c>
    </row>
    <row r="892" spans="6:6" ht="18.75" customHeight="1" x14ac:dyDescent="0.4">
      <c r="F892" s="1">
        <v>48488</v>
      </c>
    </row>
    <row r="893" spans="6:6" ht="18.75" customHeight="1" x14ac:dyDescent="0.4">
      <c r="F893" s="1">
        <v>48519</v>
      </c>
    </row>
    <row r="894" spans="6:6" ht="18.75" customHeight="1" x14ac:dyDescent="0.4">
      <c r="F894" s="1">
        <v>48549</v>
      </c>
    </row>
    <row r="895" spans="6:6" ht="18.75" customHeight="1" x14ac:dyDescent="0.4">
      <c r="F895" s="1">
        <v>48580</v>
      </c>
    </row>
    <row r="896" spans="6:6" ht="18.75" customHeight="1" x14ac:dyDescent="0.4">
      <c r="F896" s="1">
        <v>48611</v>
      </c>
    </row>
    <row r="897" spans="6:6" ht="18.75" customHeight="1" x14ac:dyDescent="0.4">
      <c r="F897" s="1">
        <v>48639</v>
      </c>
    </row>
    <row r="898" spans="6:6" ht="18.75" customHeight="1" x14ac:dyDescent="0.4">
      <c r="F898" s="1">
        <v>48670</v>
      </c>
    </row>
    <row r="899" spans="6:6" ht="18.75" customHeight="1" x14ac:dyDescent="0.4">
      <c r="F899" s="1">
        <v>48700</v>
      </c>
    </row>
    <row r="900" spans="6:6" ht="18.75" customHeight="1" x14ac:dyDescent="0.4">
      <c r="F900" s="1">
        <v>48731</v>
      </c>
    </row>
    <row r="901" spans="6:6" ht="18.75" customHeight="1" x14ac:dyDescent="0.4">
      <c r="F901" s="1">
        <v>48761</v>
      </c>
    </row>
    <row r="902" spans="6:6" ht="18.75" customHeight="1" x14ac:dyDescent="0.4">
      <c r="F902" s="1">
        <v>48792</v>
      </c>
    </row>
    <row r="903" spans="6:6" ht="18.75" customHeight="1" x14ac:dyDescent="0.4">
      <c r="F903" s="1">
        <v>48823</v>
      </c>
    </row>
    <row r="904" spans="6:6" ht="18.75" customHeight="1" x14ac:dyDescent="0.4">
      <c r="F904" s="1">
        <v>48853</v>
      </c>
    </row>
    <row r="905" spans="6:6" ht="18.75" customHeight="1" x14ac:dyDescent="0.4">
      <c r="F905" s="1">
        <v>48884</v>
      </c>
    </row>
    <row r="906" spans="6:6" ht="18.75" customHeight="1" x14ac:dyDescent="0.4">
      <c r="F906" s="1">
        <v>48914</v>
      </c>
    </row>
    <row r="907" spans="6:6" ht="18.75" customHeight="1" x14ac:dyDescent="0.4">
      <c r="F907" s="1">
        <v>48945</v>
      </c>
    </row>
    <row r="908" spans="6:6" ht="18.75" customHeight="1" x14ac:dyDescent="0.4">
      <c r="F908" s="1">
        <v>48976</v>
      </c>
    </row>
    <row r="909" spans="6:6" ht="18.75" customHeight="1" x14ac:dyDescent="0.4">
      <c r="F909" s="1">
        <v>49004</v>
      </c>
    </row>
    <row r="910" spans="6:6" ht="18.75" customHeight="1" x14ac:dyDescent="0.4">
      <c r="F910" s="1">
        <v>49035</v>
      </c>
    </row>
    <row r="911" spans="6:6" ht="18.75" customHeight="1" x14ac:dyDescent="0.4">
      <c r="F911" s="1">
        <v>49065</v>
      </c>
    </row>
    <row r="912" spans="6:6" ht="18.75" customHeight="1" x14ac:dyDescent="0.4">
      <c r="F912" s="1">
        <v>49096</v>
      </c>
    </row>
    <row r="913" spans="6:6" ht="18.75" customHeight="1" x14ac:dyDescent="0.4">
      <c r="F913" s="1">
        <v>49126</v>
      </c>
    </row>
    <row r="914" spans="6:6" ht="18.75" customHeight="1" x14ac:dyDescent="0.4">
      <c r="F914" s="1">
        <v>49157</v>
      </c>
    </row>
    <row r="915" spans="6:6" ht="18.75" customHeight="1" x14ac:dyDescent="0.4">
      <c r="F915" s="1">
        <v>49188</v>
      </c>
    </row>
    <row r="916" spans="6:6" ht="18.75" customHeight="1" x14ac:dyDescent="0.4">
      <c r="F916" s="1">
        <v>49218</v>
      </c>
    </row>
    <row r="917" spans="6:6" ht="18.75" customHeight="1" x14ac:dyDescent="0.4">
      <c r="F917" s="1">
        <v>49249</v>
      </c>
    </row>
    <row r="918" spans="6:6" ht="18.75" customHeight="1" x14ac:dyDescent="0.4">
      <c r="F918" s="1">
        <v>49279</v>
      </c>
    </row>
    <row r="919" spans="6:6" ht="18.75" customHeight="1" x14ac:dyDescent="0.4">
      <c r="F919" s="1">
        <v>49310</v>
      </c>
    </row>
    <row r="920" spans="6:6" ht="18.75" customHeight="1" x14ac:dyDescent="0.4">
      <c r="F920" s="1">
        <v>49341</v>
      </c>
    </row>
    <row r="921" spans="6:6" ht="18.75" customHeight="1" x14ac:dyDescent="0.4">
      <c r="F921" s="1">
        <v>49369</v>
      </c>
    </row>
    <row r="922" spans="6:6" ht="18.75" customHeight="1" x14ac:dyDescent="0.4">
      <c r="F922" s="1">
        <v>49400</v>
      </c>
    </row>
    <row r="923" spans="6:6" ht="18.75" customHeight="1" x14ac:dyDescent="0.4">
      <c r="F923" s="1">
        <v>49430</v>
      </c>
    </row>
    <row r="924" spans="6:6" ht="18.75" customHeight="1" x14ac:dyDescent="0.4">
      <c r="F924" s="1">
        <v>49461</v>
      </c>
    </row>
    <row r="925" spans="6:6" ht="18.75" customHeight="1" x14ac:dyDescent="0.4">
      <c r="F925" s="1">
        <v>49491</v>
      </c>
    </row>
    <row r="926" spans="6:6" ht="18.75" customHeight="1" x14ac:dyDescent="0.4">
      <c r="F926" s="1">
        <v>49522</v>
      </c>
    </row>
    <row r="927" spans="6:6" ht="18.75" customHeight="1" x14ac:dyDescent="0.4">
      <c r="F927" s="1">
        <v>49553</v>
      </c>
    </row>
    <row r="928" spans="6:6" ht="18.75" customHeight="1" x14ac:dyDescent="0.4">
      <c r="F928" s="1">
        <v>49583</v>
      </c>
    </row>
    <row r="929" spans="6:6" ht="18.75" customHeight="1" x14ac:dyDescent="0.4">
      <c r="F929" s="1">
        <v>49614</v>
      </c>
    </row>
    <row r="930" spans="6:6" ht="18.75" customHeight="1" x14ac:dyDescent="0.4">
      <c r="F930" s="1">
        <v>49644</v>
      </c>
    </row>
    <row r="931" spans="6:6" ht="18.75" customHeight="1" x14ac:dyDescent="0.4">
      <c r="F931" s="1">
        <v>49675</v>
      </c>
    </row>
    <row r="932" spans="6:6" ht="18.75" customHeight="1" x14ac:dyDescent="0.4">
      <c r="F932" s="1">
        <v>49706</v>
      </c>
    </row>
    <row r="933" spans="6:6" ht="18.75" customHeight="1" x14ac:dyDescent="0.4">
      <c r="F933" s="1">
        <v>49735</v>
      </c>
    </row>
    <row r="934" spans="6:6" ht="18.75" customHeight="1" x14ac:dyDescent="0.4">
      <c r="F934" s="1">
        <v>49766</v>
      </c>
    </row>
    <row r="935" spans="6:6" ht="18.75" customHeight="1" x14ac:dyDescent="0.4">
      <c r="F935" s="1">
        <v>49796</v>
      </c>
    </row>
    <row r="936" spans="6:6" ht="18.75" customHeight="1" x14ac:dyDescent="0.4">
      <c r="F936" s="1">
        <v>49827</v>
      </c>
    </row>
    <row r="937" spans="6:6" ht="18.75" customHeight="1" x14ac:dyDescent="0.4">
      <c r="F937" s="1">
        <v>49857</v>
      </c>
    </row>
    <row r="938" spans="6:6" ht="18.75" customHeight="1" x14ac:dyDescent="0.4">
      <c r="F938" s="1">
        <v>49888</v>
      </c>
    </row>
    <row r="939" spans="6:6" ht="18.75" customHeight="1" x14ac:dyDescent="0.4">
      <c r="F939" s="1">
        <v>49919</v>
      </c>
    </row>
    <row r="940" spans="6:6" ht="18.75" customHeight="1" x14ac:dyDescent="0.4">
      <c r="F940" s="1">
        <v>49949</v>
      </c>
    </row>
    <row r="941" spans="6:6" ht="18.75" customHeight="1" x14ac:dyDescent="0.4">
      <c r="F941" s="1">
        <v>49980</v>
      </c>
    </row>
    <row r="942" spans="6:6" ht="18.75" customHeight="1" x14ac:dyDescent="0.4">
      <c r="F942" s="1">
        <v>50010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8</vt:i4>
      </vt:variant>
    </vt:vector>
  </HeadingPairs>
  <TitlesOfParts>
    <vt:vector size="11" baseType="lpstr">
      <vt:lpstr>co2</vt:lpstr>
      <vt:lpstr>2次多項式モデル</vt:lpstr>
      <vt:lpstr>指数+定数モデル (2)</vt:lpstr>
      <vt:lpstr>'2次多項式モデル'!_A</vt:lpstr>
      <vt:lpstr>'指数+定数モデル (2)'!_A</vt:lpstr>
      <vt:lpstr>'2次多項式モデル'!_B</vt:lpstr>
      <vt:lpstr>'指数+定数モデル (2)'!_B</vt:lpstr>
      <vt:lpstr>'2次多項式モデル'!_C</vt:lpstr>
      <vt:lpstr>'指数+定数モデル (2)'!_C</vt:lpstr>
      <vt:lpstr>'2次多項式モデル'!Sm</vt:lpstr>
      <vt:lpstr>'指数+定数モデル (2)'!Sm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2021-09-17T04:25:10Z</dcterms:created>
  <dcterms:modified xsi:type="dcterms:W3CDTF">2022-11-15T03:46:35Z</dcterms:modified>
</cp:coreProperties>
</file>